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sigs" ContentType="application/vnd.openxmlformats-package.digital-signature-origin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Signature.bin" ContentType="application/vnd.ms-office.vbaProjectSignature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digital-signature/origin" Target="_xmlsignatures/origin.sig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ign" sheetId="10" r:id="rId1"/>
    <sheet name="Examples" sheetId="4" r:id="rId2"/>
    <sheet name="ChartTest" sheetId="5" r:id="rId3"/>
    <sheet name="GenerateTestData" sheetId="7" r:id="rId4"/>
    <sheet name="CurveFitting" sheetId="8" r:id="rId5"/>
    <sheet name="GenerateHierarchyTable" sheetId="9" r:id="rId6"/>
  </sheets>
  <functionGroups builtInGroupCount="17"/>
  <definedNames>
    <definedName name="MatA">Examples!$A$13:$C$15</definedName>
    <definedName name="MatB">Examples!$F$13:$F$15</definedName>
    <definedName name="MATC">Examples!$A$4:$D$7</definedName>
    <definedName name="MatD">Examples!$H$13:$H$15</definedName>
    <definedName name="VecA">Examples!$A$10:$D$10</definedName>
    <definedName name="VecB">Examples!$A$18:$A$22</definedName>
  </definedNames>
  <calcPr calcId="145621"/>
</workbook>
</file>

<file path=xl/calcChain.xml><?xml version="1.0" encoding="utf-8"?>
<calcChain xmlns="http://schemas.openxmlformats.org/spreadsheetml/2006/main">
  <c r="I3" i="8" l="1"/>
  <c r="I4" i="8"/>
  <c r="I5" i="8"/>
  <c r="I6" i="8"/>
  <c r="I7" i="8"/>
  <c r="I8" i="8"/>
  <c r="I9" i="8"/>
  <c r="I10" i="8"/>
  <c r="I11" i="8"/>
  <c r="I2" i="8"/>
  <c r="D4" i="8"/>
  <c r="J4" i="8" s="1"/>
  <c r="D6" i="8"/>
  <c r="J6" i="8" s="1"/>
  <c r="D8" i="8"/>
  <c r="J8" i="8" s="1"/>
  <c r="D10" i="8"/>
  <c r="J10" i="8" s="1"/>
  <c r="D3" i="8"/>
  <c r="J3" i="8" s="1"/>
  <c r="D5" i="8"/>
  <c r="J5" i="8" s="1"/>
  <c r="D7" i="8"/>
  <c r="J7" i="8" s="1"/>
  <c r="D9" i="8"/>
  <c r="J9" i="8" s="1"/>
  <c r="D11" i="8"/>
  <c r="J11" i="8" s="1"/>
  <c r="D2" i="8"/>
  <c r="J2" i="8" s="1"/>
</calcChain>
</file>

<file path=xl/sharedStrings.xml><?xml version="1.0" encoding="utf-8"?>
<sst xmlns="http://schemas.openxmlformats.org/spreadsheetml/2006/main" count="261" uniqueCount="62">
  <si>
    <t>inputs</t>
  </si>
  <si>
    <t>outputs</t>
  </si>
  <si>
    <t>x1</t>
  </si>
  <si>
    <t>x2</t>
  </si>
  <si>
    <t>x3</t>
  </si>
  <si>
    <t xml:space="preserve"> +</t>
  </si>
  <si>
    <t xml:space="preserve"> =</t>
  </si>
  <si>
    <t xml:space="preserve"> ---&gt;</t>
  </si>
  <si>
    <t>Matrix MatA</t>
  </si>
  <si>
    <t>MatB</t>
  </si>
  <si>
    <t>Solution MatX</t>
  </si>
  <si>
    <t>Matrix MatC</t>
  </si>
  <si>
    <t>Matrix Inverse(MatC)</t>
  </si>
  <si>
    <t>Vector VecA</t>
  </si>
  <si>
    <t>Sorted VecA</t>
  </si>
  <si>
    <t>Vector VecB</t>
  </si>
  <si>
    <t>MatD</t>
  </si>
  <si>
    <t>Basic Matrix and Vector functions written with VBA for Excel users</t>
  </si>
  <si>
    <t>by Finaquant Analytics Ltd.</t>
  </si>
  <si>
    <t>http://finaquant.com</t>
  </si>
  <si>
    <t>Writable zone</t>
  </si>
  <si>
    <t>Mercedes</t>
  </si>
  <si>
    <t>Red</t>
  </si>
  <si>
    <t>Green</t>
  </si>
  <si>
    <t>Blue</t>
  </si>
  <si>
    <t>Black</t>
  </si>
  <si>
    <t>Toyota</t>
  </si>
  <si>
    <t>Renault</t>
  </si>
  <si>
    <t>Car</t>
  </si>
  <si>
    <t>Color</t>
  </si>
  <si>
    <t>Year</t>
  </si>
  <si>
    <t>Sales in EUR</t>
  </si>
  <si>
    <t>Gray</t>
  </si>
  <si>
    <t>White</t>
  </si>
  <si>
    <t>Audi</t>
  </si>
  <si>
    <t>Type</t>
  </si>
  <si>
    <t>Sports</t>
  </si>
  <si>
    <t>Mini</t>
  </si>
  <si>
    <t>Economy</t>
  </si>
  <si>
    <t>Minivan</t>
  </si>
  <si>
    <t>Luxury</t>
  </si>
  <si>
    <t>X1</t>
  </si>
  <si>
    <t>X2</t>
  </si>
  <si>
    <t>Y</t>
  </si>
  <si>
    <t>observations</t>
  </si>
  <si>
    <t>Beta</t>
  </si>
  <si>
    <t>Ye</t>
  </si>
  <si>
    <t>Y - Ye</t>
  </si>
  <si>
    <t>Origin</t>
  </si>
  <si>
    <t>Model</t>
  </si>
  <si>
    <t>Germany</t>
  </si>
  <si>
    <t>BMW</t>
  </si>
  <si>
    <t>Japan</t>
  </si>
  <si>
    <t>Honda</t>
  </si>
  <si>
    <t>BMW-X</t>
  </si>
  <si>
    <t>BMW-Y</t>
  </si>
  <si>
    <t>M25</t>
  </si>
  <si>
    <t>M50</t>
  </si>
  <si>
    <t>M10X</t>
  </si>
  <si>
    <t>T10</t>
  </si>
  <si>
    <t>T20</t>
  </si>
  <si>
    <t>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</si>
</sst>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left"/>
    </xf>
    <xf numFmtId="0" fontId="2" fillId="0" borderId="0" xfId="0" applyFont="1" applyFill="1"/>
    <xf numFmtId="0" fontId="3" fillId="0" borderId="0" xfId="1" applyFill="1"/>
    <xf numFmtId="0" fontId="0" fillId="4" borderId="0" xfId="0" applyFill="1" applyProtection="1">
      <protection locked="0"/>
    </xf>
    <xf numFmtId="0" fontId="1" fillId="4" borderId="0" xfId="0" applyFont="1" applyFill="1" applyProtection="1">
      <protection locked="0"/>
    </xf>
    <xf numFmtId="0" fontId="0" fillId="0" borderId="0" xfId="0" applyFill="1" applyProtection="1"/>
    <xf numFmtId="0" fontId="0" fillId="0" borderId="0" xfId="0" applyFill="1" applyProtection="1">
      <protection locked="0"/>
    </xf>
    <xf numFmtId="0" fontId="2" fillId="5" borderId="0" xfId="0" applyFont="1" applyFill="1"/>
    <xf numFmtId="0" fontId="0" fillId="6" borderId="0" xfId="0" applyFill="1"/>
    <xf numFmtId="2" fontId="0" fillId="4" borderId="0" xfId="0" applyNumberFormat="1" applyFill="1"/>
    <xf numFmtId="2" fontId="0" fillId="0" borderId="0" xfId="0" applyNumberFormat="1"/>
    <xf numFmtId="2" fontId="0" fillId="6" borderId="0" xfId="0" applyNumberFormat="1" applyFill="1"/>
    <xf numFmtId="0" fontId="2" fillId="7" borderId="0" xfId="0" applyFont="1" applyFill="1"/>
    <xf numFmtId="0" fontId="2" fillId="8" borderId="0" xfId="0" applyFont="1" applyFill="1"/>
    <xf numFmtId="0" fontId="2" fillId="7" borderId="0" xfId="0" applyFont="1" applyFill="1" applyAlignment="1">
      <alignment horizontal="center"/>
    </xf>
    <xf numFmtId="0" fontId="0" fillId="7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18</xdr:row>
      <xdr:rowOff>66675</xdr:rowOff>
    </xdr:from>
    <xdr:to>
      <xdr:col>9</xdr:col>
      <xdr:colOff>581025</xdr:colOff>
      <xdr:row>21</xdr:row>
      <xdr:rowOff>41434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775" y="3495675"/>
          <a:ext cx="1762125" cy="546259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21</xdr:row>
      <xdr:rowOff>85725</xdr:rowOff>
    </xdr:from>
    <xdr:to>
      <xdr:col>10</xdr:col>
      <xdr:colOff>9526</xdr:colOff>
      <xdr:row>25</xdr:row>
      <xdr:rowOff>144145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1" y="4086225"/>
          <a:ext cx="3886200" cy="8204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inaquant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B3" sqref="B3"/>
    </sheetView>
  </sheetViews>
  <sheetFormatPr defaultRowHeight="15" x14ac:dyDescent="0.25"/>
  <sheetData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2"/>
  <sheetViews>
    <sheetView workbookViewId="0">
      <selection activeCell="F28" sqref="F28"/>
    </sheetView>
  </sheetViews>
  <sheetFormatPr defaultRowHeight="15" x14ac:dyDescent="0.25"/>
  <cols>
    <col min="1" max="4" width="9.140625" style="3"/>
    <col min="5" max="5" width="3.28515625" style="3" customWidth="1"/>
    <col min="6" max="10" width="9.140625" style="3"/>
    <col min="11" max="11" width="3.85546875" style="3" customWidth="1"/>
    <col min="12" max="16384" width="9.140625" style="3"/>
  </cols>
  <sheetData>
    <row r="1" spans="1:17" x14ac:dyDescent="0.25">
      <c r="A1" s="1" t="s">
        <v>0</v>
      </c>
      <c r="C1" s="4" t="s">
        <v>1</v>
      </c>
      <c r="L1" s="11" t="s">
        <v>20</v>
      </c>
      <c r="M1" s="11"/>
      <c r="N1" s="11"/>
      <c r="O1" s="11"/>
    </row>
    <row r="2" spans="1:17" x14ac:dyDescent="0.25">
      <c r="L2" s="9"/>
      <c r="M2" s="9"/>
      <c r="N2" s="9"/>
      <c r="O2" s="9"/>
    </row>
    <row r="3" spans="1:17" x14ac:dyDescent="0.25">
      <c r="A3" s="3" t="s">
        <v>11</v>
      </c>
      <c r="F3" s="3" t="s">
        <v>12</v>
      </c>
      <c r="L3" s="9"/>
      <c r="M3" s="9"/>
      <c r="N3" s="9"/>
      <c r="O3" s="9"/>
    </row>
    <row r="4" spans="1:17" x14ac:dyDescent="0.25">
      <c r="A4" s="2">
        <v>32</v>
      </c>
      <c r="B4" s="2">
        <v>25</v>
      </c>
      <c r="C4" s="2">
        <v>29</v>
      </c>
      <c r="D4" s="2">
        <v>13</v>
      </c>
      <c r="F4" s="9">
        <v>2.5126155979028231E-2</v>
      </c>
      <c r="G4" s="9">
        <v>-7.1505763617902042E-3</v>
      </c>
      <c r="H4" s="9">
        <v>-1.3280260026680906E-2</v>
      </c>
      <c r="I4" s="9">
        <v>1.1129107322770863E-2</v>
      </c>
      <c r="L4" s="9"/>
      <c r="M4" s="9"/>
      <c r="N4" s="9"/>
      <c r="O4" s="9"/>
    </row>
    <row r="5" spans="1:17" x14ac:dyDescent="0.25">
      <c r="A5" s="2">
        <v>58</v>
      </c>
      <c r="B5" s="2">
        <v>47</v>
      </c>
      <c r="C5" s="2">
        <v>20</v>
      </c>
      <c r="D5" s="2">
        <v>95</v>
      </c>
      <c r="F5" s="9">
        <v>3.4184365746315837E-2</v>
      </c>
      <c r="G5" s="9">
        <v>2.9320864410893762E-2</v>
      </c>
      <c r="H5" s="9">
        <v>6.1226023282648038E-3</v>
      </c>
      <c r="I5" s="9">
        <v>-4.2086153901836149E-2</v>
      </c>
      <c r="L5" s="9"/>
      <c r="M5" s="9"/>
      <c r="N5" s="9"/>
      <c r="O5" s="9"/>
    </row>
    <row r="6" spans="1:17" x14ac:dyDescent="0.25">
      <c r="A6" s="2">
        <v>11</v>
      </c>
      <c r="B6" s="2">
        <v>53</v>
      </c>
      <c r="C6" s="2">
        <v>86</v>
      </c>
      <c r="D6" s="2">
        <v>43</v>
      </c>
      <c r="F6" s="9">
        <v>-9.1140736451140927E-3</v>
      </c>
      <c r="G6" s="9">
        <v>-1.9389093089284243E-2</v>
      </c>
      <c r="H6" s="9">
        <v>7.8390396448630995E-3</v>
      </c>
      <c r="I6" s="9">
        <v>1.9558651760715338E-2</v>
      </c>
      <c r="L6" s="9"/>
      <c r="M6" s="9"/>
      <c r="N6" s="9"/>
      <c r="O6" s="9"/>
    </row>
    <row r="7" spans="1:17" x14ac:dyDescent="0.25">
      <c r="A7" s="2">
        <v>68</v>
      </c>
      <c r="B7" s="2">
        <v>37</v>
      </c>
      <c r="C7" s="2">
        <v>50</v>
      </c>
      <c r="D7" s="2">
        <v>83</v>
      </c>
      <c r="F7" s="9">
        <v>-3.0333692252191579E-2</v>
      </c>
      <c r="G7" s="9">
        <v>4.4677332995527348E-3</v>
      </c>
      <c r="H7" s="9">
        <v>3.4285471497029975E-3</v>
      </c>
      <c r="I7" s="9">
        <v>9.9093470889608654E-3</v>
      </c>
      <c r="L7" s="9"/>
      <c r="M7" s="9"/>
      <c r="N7" s="9"/>
      <c r="O7" s="9"/>
    </row>
    <row r="8" spans="1:17" x14ac:dyDescent="0.25">
      <c r="L8" s="9"/>
      <c r="M8" s="9"/>
      <c r="N8" s="9"/>
      <c r="O8" s="9"/>
    </row>
    <row r="9" spans="1:17" x14ac:dyDescent="0.25">
      <c r="A9" s="3" t="s">
        <v>13</v>
      </c>
      <c r="F9" s="3" t="s">
        <v>14</v>
      </c>
      <c r="L9" s="9"/>
      <c r="M9" s="9"/>
      <c r="N9" s="9"/>
      <c r="O9" s="9"/>
      <c r="P9" s="3">
        <v>25</v>
      </c>
      <c r="Q9" s="3">
        <v>30</v>
      </c>
    </row>
    <row r="10" spans="1:17" x14ac:dyDescent="0.25">
      <c r="A10" s="2">
        <v>1</v>
      </c>
      <c r="B10" s="2">
        <v>3</v>
      </c>
      <c r="C10" s="2">
        <v>5</v>
      </c>
      <c r="D10" s="2">
        <v>2</v>
      </c>
      <c r="F10" s="9"/>
      <c r="G10" s="9"/>
      <c r="H10" s="9"/>
      <c r="I10" s="9"/>
    </row>
    <row r="12" spans="1:17" x14ac:dyDescent="0.25">
      <c r="A12" s="3" t="s">
        <v>8</v>
      </c>
      <c r="F12" s="3" t="s">
        <v>9</v>
      </c>
      <c r="H12" s="3" t="s">
        <v>16</v>
      </c>
      <c r="L12" s="3" t="s">
        <v>10</v>
      </c>
    </row>
    <row r="13" spans="1:17" x14ac:dyDescent="0.25">
      <c r="A13" s="2">
        <v>32</v>
      </c>
      <c r="B13" s="2">
        <v>25</v>
      </c>
      <c r="C13" s="2">
        <v>29</v>
      </c>
      <c r="D13" s="5" t="s">
        <v>2</v>
      </c>
      <c r="F13" s="2">
        <v>2.5</v>
      </c>
      <c r="H13" s="2">
        <v>2.2000000000000002</v>
      </c>
      <c r="J13" s="5" t="s">
        <v>2</v>
      </c>
      <c r="L13" s="10"/>
    </row>
    <row r="14" spans="1:17" x14ac:dyDescent="0.25">
      <c r="A14" s="2">
        <v>58</v>
      </c>
      <c r="B14" s="2">
        <v>47</v>
      </c>
      <c r="C14" s="2">
        <v>20</v>
      </c>
      <c r="D14" s="5" t="s">
        <v>3</v>
      </c>
      <c r="E14" s="5" t="s">
        <v>5</v>
      </c>
      <c r="F14" s="2">
        <v>3.2</v>
      </c>
      <c r="G14" s="5" t="s">
        <v>6</v>
      </c>
      <c r="H14" s="2">
        <v>3.5</v>
      </c>
      <c r="I14" s="5" t="s">
        <v>7</v>
      </c>
      <c r="J14" s="5" t="s">
        <v>3</v>
      </c>
      <c r="K14" s="5" t="s">
        <v>6</v>
      </c>
      <c r="L14" s="10"/>
    </row>
    <row r="15" spans="1:17" x14ac:dyDescent="0.25">
      <c r="A15" s="2">
        <v>11</v>
      </c>
      <c r="B15" s="2">
        <v>53</v>
      </c>
      <c r="C15" s="2">
        <v>86</v>
      </c>
      <c r="D15" s="5" t="s">
        <v>4</v>
      </c>
      <c r="F15" s="2">
        <v>5.5</v>
      </c>
      <c r="H15" s="2">
        <v>10.6</v>
      </c>
      <c r="J15" s="5" t="s">
        <v>4</v>
      </c>
      <c r="L15" s="10"/>
    </row>
    <row r="17" spans="1:10" x14ac:dyDescent="0.25">
      <c r="A17" s="3" t="s">
        <v>15</v>
      </c>
    </row>
    <row r="18" spans="1:10" x14ac:dyDescent="0.25">
      <c r="A18" s="2">
        <v>1.5</v>
      </c>
      <c r="D18" s="6" t="s">
        <v>17</v>
      </c>
    </row>
    <row r="19" spans="1:10" x14ac:dyDescent="0.25">
      <c r="A19" s="2">
        <v>6.3</v>
      </c>
      <c r="D19" s="7" t="s">
        <v>18</v>
      </c>
    </row>
    <row r="20" spans="1:10" x14ac:dyDescent="0.25">
      <c r="A20" s="2">
        <v>2.2400000000000002</v>
      </c>
      <c r="D20" s="8" t="s">
        <v>19</v>
      </c>
    </row>
    <row r="21" spans="1:10" x14ac:dyDescent="0.25">
      <c r="A21" s="2">
        <v>4.9000000000000004</v>
      </c>
    </row>
    <row r="22" spans="1:10" x14ac:dyDescent="0.25">
      <c r="A22" s="2">
        <v>12</v>
      </c>
    </row>
    <row r="27" spans="1:10" x14ac:dyDescent="0.25">
      <c r="D27" s="12"/>
      <c r="E27" s="12"/>
      <c r="F27" s="12"/>
      <c r="G27" s="12"/>
      <c r="H27" s="12"/>
      <c r="I27" s="12"/>
      <c r="J27" s="12"/>
    </row>
    <row r="28" spans="1:10" x14ac:dyDescent="0.25">
      <c r="D28" s="12"/>
      <c r="E28" s="12"/>
      <c r="F28" s="12"/>
      <c r="G28" s="12"/>
      <c r="H28" s="12"/>
      <c r="I28" s="12"/>
      <c r="J28" s="12"/>
    </row>
    <row r="29" spans="1:10" x14ac:dyDescent="0.25">
      <c r="D29" s="12"/>
      <c r="E29" s="12"/>
      <c r="F29" s="12"/>
      <c r="G29" s="12"/>
      <c r="H29" s="12"/>
      <c r="I29" s="12"/>
      <c r="J29" s="12"/>
    </row>
    <row r="30" spans="1:10" x14ac:dyDescent="0.25">
      <c r="D30" s="12"/>
      <c r="E30" s="12"/>
      <c r="F30" s="12"/>
      <c r="G30" s="12"/>
      <c r="H30" s="12"/>
      <c r="I30" s="12"/>
      <c r="J30" s="12"/>
    </row>
    <row r="31" spans="1:10" x14ac:dyDescent="0.25">
      <c r="D31" s="12"/>
      <c r="E31" s="12"/>
      <c r="F31" s="12"/>
      <c r="G31" s="12"/>
      <c r="H31" s="12"/>
      <c r="I31" s="12"/>
      <c r="J31" s="12"/>
    </row>
    <row r="32" spans="1:10" x14ac:dyDescent="0.25">
      <c r="D32" s="12"/>
      <c r="E32" s="12"/>
      <c r="F32" s="12"/>
      <c r="G32" s="12"/>
      <c r="H32" s="12"/>
      <c r="I32" s="12"/>
      <c r="J32" s="12"/>
    </row>
  </sheetData>
  <sheetProtection password="8FBD" sheet="1" objects="1" scenarios="1" selectLockedCells="1"/>
  <hyperlinks>
    <hyperlink ref="D20" r:id="rId1"/>
  </hyperlinks>
  <pageMargins left="0.7" right="0.7" top="0.75" bottom="0.75" header="0.3" footer="0.3"/>
  <pageSetup paperSize="9" orientation="portrait" horizontalDpi="4294967293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I1:L7"/>
  <sheetViews>
    <sheetView workbookViewId="0">
      <selection activeCell="D15" sqref="D15"/>
    </sheetView>
  </sheetViews>
  <sheetFormatPr defaultRowHeight="15" x14ac:dyDescent="0.25"/>
  <sheetData>
    <row r="1" spans="9:12" x14ac:dyDescent="0.25">
      <c r="I1" s="1"/>
      <c r="J1" s="1">
        <v>4</v>
      </c>
      <c r="K1" s="1">
        <v>87</v>
      </c>
      <c r="L1" s="1">
        <v>32</v>
      </c>
    </row>
    <row r="2" spans="9:12" x14ac:dyDescent="0.25">
      <c r="I2" s="1"/>
      <c r="J2" s="1">
        <v>44</v>
      </c>
      <c r="K2" s="1">
        <v>72</v>
      </c>
      <c r="L2" s="1">
        <v>29</v>
      </c>
    </row>
    <row r="3" spans="9:12" x14ac:dyDescent="0.25">
      <c r="I3" s="1"/>
      <c r="J3" s="1">
        <v>18</v>
      </c>
      <c r="K3" s="1">
        <v>90</v>
      </c>
      <c r="L3" s="1">
        <v>81</v>
      </c>
    </row>
    <row r="4" spans="9:12" x14ac:dyDescent="0.25">
      <c r="I4" s="1"/>
      <c r="J4" s="1">
        <v>63</v>
      </c>
      <c r="K4" s="1">
        <v>73</v>
      </c>
      <c r="L4" s="1">
        <v>20</v>
      </c>
    </row>
    <row r="5" spans="9:12" x14ac:dyDescent="0.25">
      <c r="I5" s="1"/>
      <c r="J5" s="1">
        <v>74</v>
      </c>
      <c r="K5" s="1">
        <v>5</v>
      </c>
      <c r="L5" s="1">
        <v>69</v>
      </c>
    </row>
    <row r="6" spans="9:12" x14ac:dyDescent="0.25">
      <c r="I6" s="1"/>
      <c r="J6" s="1">
        <v>50</v>
      </c>
      <c r="K6" s="1">
        <v>30</v>
      </c>
      <c r="L6" s="1">
        <v>56</v>
      </c>
    </row>
    <row r="7" spans="9:12" x14ac:dyDescent="0.25">
      <c r="I7" s="1"/>
      <c r="J7" s="1">
        <v>30</v>
      </c>
      <c r="K7" s="1">
        <v>40</v>
      </c>
      <c r="L7" s="1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6"/>
  <sheetViews>
    <sheetView workbookViewId="0">
      <selection activeCell="D25" sqref="D25"/>
    </sheetView>
  </sheetViews>
  <sheetFormatPr defaultRowHeight="15" x14ac:dyDescent="0.25"/>
  <cols>
    <col min="1" max="1" width="13.5703125" customWidth="1"/>
    <col min="4" max="4" width="9.85546875" customWidth="1"/>
    <col min="5" max="5" width="3.5703125" customWidth="1"/>
    <col min="6" max="6" width="11.5703125" customWidth="1"/>
    <col min="7" max="7" width="6.42578125" bestFit="1" customWidth="1"/>
    <col min="8" max="8" width="8.140625" customWidth="1"/>
    <col min="9" max="9" width="7" customWidth="1"/>
    <col min="10" max="10" width="12" customWidth="1"/>
  </cols>
  <sheetData>
    <row r="1" spans="1:10" x14ac:dyDescent="0.25">
      <c r="A1" s="13" t="s">
        <v>28</v>
      </c>
      <c r="B1" s="13" t="s">
        <v>29</v>
      </c>
      <c r="C1" s="13" t="s">
        <v>35</v>
      </c>
      <c r="D1" s="13" t="s">
        <v>30</v>
      </c>
      <c r="F1" s="13" t="s">
        <v>28</v>
      </c>
      <c r="G1" s="13" t="s">
        <v>29</v>
      </c>
      <c r="H1" s="13" t="s">
        <v>35</v>
      </c>
      <c r="I1" s="13" t="s">
        <v>30</v>
      </c>
      <c r="J1" s="13" t="s">
        <v>31</v>
      </c>
    </row>
    <row r="2" spans="1:10" x14ac:dyDescent="0.25">
      <c r="A2" s="14" t="s">
        <v>21</v>
      </c>
      <c r="B2" s="14" t="s">
        <v>22</v>
      </c>
      <c r="C2" s="14" t="s">
        <v>37</v>
      </c>
      <c r="D2" s="14">
        <v>2010</v>
      </c>
      <c r="F2" s="4" t="s">
        <v>21</v>
      </c>
      <c r="G2" s="4" t="s">
        <v>22</v>
      </c>
      <c r="H2" s="4" t="s">
        <v>37</v>
      </c>
      <c r="I2" s="4">
        <v>2010</v>
      </c>
      <c r="J2" s="15"/>
    </row>
    <row r="3" spans="1:10" x14ac:dyDescent="0.25">
      <c r="A3" s="14" t="s">
        <v>34</v>
      </c>
      <c r="B3" s="14" t="s">
        <v>23</v>
      </c>
      <c r="C3" s="14" t="s">
        <v>36</v>
      </c>
      <c r="D3" s="14">
        <v>2011</v>
      </c>
      <c r="F3" s="4" t="s">
        <v>21</v>
      </c>
      <c r="G3" s="4" t="s">
        <v>22</v>
      </c>
      <c r="H3" s="4" t="s">
        <v>37</v>
      </c>
      <c r="I3" s="4">
        <v>2011</v>
      </c>
      <c r="J3" s="15"/>
    </row>
    <row r="4" spans="1:10" x14ac:dyDescent="0.25">
      <c r="A4" s="14"/>
      <c r="B4" s="14"/>
      <c r="C4" s="14" t="s">
        <v>40</v>
      </c>
      <c r="D4" s="14"/>
      <c r="F4" s="4" t="s">
        <v>21</v>
      </c>
      <c r="G4" s="4" t="s">
        <v>22</v>
      </c>
      <c r="H4" s="4" t="s">
        <v>36</v>
      </c>
      <c r="I4" s="4">
        <v>2010</v>
      </c>
      <c r="J4" s="15"/>
    </row>
    <row r="5" spans="1:10" x14ac:dyDescent="0.25">
      <c r="F5" s="4" t="s">
        <v>21</v>
      </c>
      <c r="G5" s="4" t="s">
        <v>22</v>
      </c>
      <c r="H5" s="4" t="s">
        <v>36</v>
      </c>
      <c r="I5" s="4">
        <v>2011</v>
      </c>
      <c r="J5" s="15"/>
    </row>
    <row r="6" spans="1:10" x14ac:dyDescent="0.25">
      <c r="A6" s="14" t="s">
        <v>27</v>
      </c>
      <c r="B6" s="14" t="s">
        <v>32</v>
      </c>
      <c r="C6" s="14" t="s">
        <v>37</v>
      </c>
      <c r="D6" s="14">
        <v>2010</v>
      </c>
      <c r="F6" s="4" t="s">
        <v>21</v>
      </c>
      <c r="G6" s="4" t="s">
        <v>22</v>
      </c>
      <c r="H6" s="4" t="s">
        <v>40</v>
      </c>
      <c r="I6" s="4">
        <v>2010</v>
      </c>
      <c r="J6" s="15"/>
    </row>
    <row r="7" spans="1:10" x14ac:dyDescent="0.25">
      <c r="A7" s="14"/>
      <c r="B7" s="14" t="s">
        <v>25</v>
      </c>
      <c r="C7" s="14" t="s">
        <v>38</v>
      </c>
      <c r="D7" s="14">
        <v>2011</v>
      </c>
      <c r="F7" s="4" t="s">
        <v>21</v>
      </c>
      <c r="G7" s="4" t="s">
        <v>22</v>
      </c>
      <c r="H7" s="4" t="s">
        <v>40</v>
      </c>
      <c r="I7" s="4">
        <v>2011</v>
      </c>
      <c r="J7" s="15"/>
    </row>
    <row r="8" spans="1:10" x14ac:dyDescent="0.25">
      <c r="A8" s="14"/>
      <c r="B8" s="14" t="s">
        <v>33</v>
      </c>
      <c r="C8" s="14"/>
      <c r="D8" s="14"/>
      <c r="F8" s="4" t="s">
        <v>21</v>
      </c>
      <c r="G8" s="4" t="s">
        <v>23</v>
      </c>
      <c r="H8" s="4" t="s">
        <v>37</v>
      </c>
      <c r="I8" s="4">
        <v>2010</v>
      </c>
      <c r="J8" s="15"/>
    </row>
    <row r="9" spans="1:10" x14ac:dyDescent="0.25">
      <c r="A9" s="3"/>
      <c r="B9" s="3"/>
      <c r="C9" s="3"/>
      <c r="D9" s="3"/>
      <c r="F9" s="4" t="s">
        <v>21</v>
      </c>
      <c r="G9" s="4" t="s">
        <v>23</v>
      </c>
      <c r="H9" s="4" t="s">
        <v>37</v>
      </c>
      <c r="I9" s="4">
        <v>2011</v>
      </c>
      <c r="J9" s="15"/>
    </row>
    <row r="10" spans="1:10" x14ac:dyDescent="0.25">
      <c r="A10" s="14" t="s">
        <v>26</v>
      </c>
      <c r="B10" s="14" t="s">
        <v>22</v>
      </c>
      <c r="C10" s="14" t="s">
        <v>36</v>
      </c>
      <c r="D10" s="14">
        <v>2010</v>
      </c>
      <c r="F10" s="4" t="s">
        <v>21</v>
      </c>
      <c r="G10" s="4" t="s">
        <v>23</v>
      </c>
      <c r="H10" s="4" t="s">
        <v>36</v>
      </c>
      <c r="I10" s="4">
        <v>2010</v>
      </c>
      <c r="J10" s="15"/>
    </row>
    <row r="11" spans="1:10" x14ac:dyDescent="0.25">
      <c r="A11" s="14"/>
      <c r="B11" s="14" t="s">
        <v>24</v>
      </c>
      <c r="C11" s="14" t="s">
        <v>39</v>
      </c>
      <c r="D11" s="14">
        <v>2011</v>
      </c>
      <c r="F11" s="4" t="s">
        <v>21</v>
      </c>
      <c r="G11" s="4" t="s">
        <v>23</v>
      </c>
      <c r="H11" s="4" t="s">
        <v>36</v>
      </c>
      <c r="I11" s="4">
        <v>2011</v>
      </c>
      <c r="J11" s="15"/>
    </row>
    <row r="12" spans="1:10" x14ac:dyDescent="0.25">
      <c r="A12" s="14"/>
      <c r="B12" s="14"/>
      <c r="C12" s="14" t="s">
        <v>40</v>
      </c>
      <c r="D12" s="14"/>
      <c r="F12" s="4" t="s">
        <v>21</v>
      </c>
      <c r="G12" s="4" t="s">
        <v>23</v>
      </c>
      <c r="H12" s="4" t="s">
        <v>40</v>
      </c>
      <c r="I12" s="4">
        <v>2010</v>
      </c>
      <c r="J12" s="15"/>
    </row>
    <row r="13" spans="1:10" x14ac:dyDescent="0.25">
      <c r="A13" s="3"/>
      <c r="B13" s="3"/>
      <c r="C13" s="3"/>
      <c r="D13" s="3"/>
      <c r="F13" s="4" t="s">
        <v>21</v>
      </c>
      <c r="G13" s="4" t="s">
        <v>23</v>
      </c>
      <c r="H13" s="4" t="s">
        <v>40</v>
      </c>
      <c r="I13" s="4">
        <v>2011</v>
      </c>
      <c r="J13" s="15"/>
    </row>
    <row r="14" spans="1:10" x14ac:dyDescent="0.25">
      <c r="A14" s="3"/>
      <c r="B14" s="3"/>
      <c r="C14" s="3"/>
      <c r="D14" s="3"/>
      <c r="F14" s="4" t="s">
        <v>34</v>
      </c>
      <c r="G14" s="4" t="s">
        <v>22</v>
      </c>
      <c r="H14" s="4" t="s">
        <v>37</v>
      </c>
      <c r="I14" s="4">
        <v>2010</v>
      </c>
      <c r="J14" s="15"/>
    </row>
    <row r="15" spans="1:10" x14ac:dyDescent="0.25">
      <c r="A15" s="3"/>
      <c r="B15" s="3"/>
      <c r="C15" s="3"/>
      <c r="D15" s="3"/>
      <c r="F15" s="4" t="s">
        <v>34</v>
      </c>
      <c r="G15" s="4" t="s">
        <v>22</v>
      </c>
      <c r="H15" s="4" t="s">
        <v>37</v>
      </c>
      <c r="I15" s="4">
        <v>2011</v>
      </c>
      <c r="J15" s="15"/>
    </row>
    <row r="16" spans="1:10" x14ac:dyDescent="0.25">
      <c r="F16" s="4" t="s">
        <v>34</v>
      </c>
      <c r="G16" s="4" t="s">
        <v>22</v>
      </c>
      <c r="H16" s="4" t="s">
        <v>36</v>
      </c>
      <c r="I16" s="4">
        <v>2010</v>
      </c>
      <c r="J16" s="15"/>
    </row>
    <row r="17" spans="6:10" x14ac:dyDescent="0.25">
      <c r="F17" s="4" t="s">
        <v>34</v>
      </c>
      <c r="G17" s="4" t="s">
        <v>22</v>
      </c>
      <c r="H17" s="4" t="s">
        <v>36</v>
      </c>
      <c r="I17" s="4">
        <v>2011</v>
      </c>
      <c r="J17" s="15"/>
    </row>
    <row r="18" spans="6:10" x14ac:dyDescent="0.25">
      <c r="F18" s="4" t="s">
        <v>34</v>
      </c>
      <c r="G18" s="4" t="s">
        <v>22</v>
      </c>
      <c r="H18" s="4" t="s">
        <v>40</v>
      </c>
      <c r="I18" s="4">
        <v>2010</v>
      </c>
      <c r="J18" s="15"/>
    </row>
    <row r="19" spans="6:10" x14ac:dyDescent="0.25">
      <c r="F19" s="4" t="s">
        <v>34</v>
      </c>
      <c r="G19" s="4" t="s">
        <v>22</v>
      </c>
      <c r="H19" s="4" t="s">
        <v>40</v>
      </c>
      <c r="I19" s="4">
        <v>2011</v>
      </c>
      <c r="J19" s="15"/>
    </row>
    <row r="20" spans="6:10" x14ac:dyDescent="0.25">
      <c r="F20" s="4" t="s">
        <v>34</v>
      </c>
      <c r="G20" s="4" t="s">
        <v>23</v>
      </c>
      <c r="H20" s="4" t="s">
        <v>37</v>
      </c>
      <c r="I20" s="4">
        <v>2010</v>
      </c>
      <c r="J20" s="15"/>
    </row>
    <row r="21" spans="6:10" x14ac:dyDescent="0.25">
      <c r="F21" s="4" t="s">
        <v>34</v>
      </c>
      <c r="G21" s="4" t="s">
        <v>23</v>
      </c>
      <c r="H21" s="4" t="s">
        <v>37</v>
      </c>
      <c r="I21" s="4">
        <v>2011</v>
      </c>
      <c r="J21" s="15"/>
    </row>
    <row r="22" spans="6:10" x14ac:dyDescent="0.25">
      <c r="F22" s="4" t="s">
        <v>34</v>
      </c>
      <c r="G22" s="4" t="s">
        <v>23</v>
      </c>
      <c r="H22" s="4" t="s">
        <v>36</v>
      </c>
      <c r="I22" s="4">
        <v>2010</v>
      </c>
      <c r="J22" s="4"/>
    </row>
    <row r="23" spans="6:10" x14ac:dyDescent="0.25">
      <c r="F23" s="4" t="s">
        <v>34</v>
      </c>
      <c r="G23" s="4" t="s">
        <v>23</v>
      </c>
      <c r="H23" s="4" t="s">
        <v>36</v>
      </c>
      <c r="I23" s="4">
        <v>2011</v>
      </c>
      <c r="J23" s="4"/>
    </row>
    <row r="24" spans="6:10" x14ac:dyDescent="0.25">
      <c r="F24" s="4" t="s">
        <v>34</v>
      </c>
      <c r="G24" s="4" t="s">
        <v>23</v>
      </c>
      <c r="H24" s="4" t="s">
        <v>40</v>
      </c>
      <c r="I24" s="4">
        <v>2010</v>
      </c>
      <c r="J24" s="4"/>
    </row>
    <row r="25" spans="6:10" x14ac:dyDescent="0.25">
      <c r="F25" s="4" t="s">
        <v>34</v>
      </c>
      <c r="G25" s="4" t="s">
        <v>23</v>
      </c>
      <c r="H25" s="4" t="s">
        <v>40</v>
      </c>
      <c r="I25" s="4">
        <v>2011</v>
      </c>
      <c r="J25" s="4"/>
    </row>
    <row r="26" spans="6:10" x14ac:dyDescent="0.25">
      <c r="F26" s="4" t="s">
        <v>27</v>
      </c>
      <c r="G26" s="4" t="s">
        <v>32</v>
      </c>
      <c r="H26" s="4" t="s">
        <v>37</v>
      </c>
      <c r="I26" s="4">
        <v>2010</v>
      </c>
      <c r="J26" s="4"/>
    </row>
    <row r="27" spans="6:10" x14ac:dyDescent="0.25">
      <c r="F27" s="4" t="s">
        <v>27</v>
      </c>
      <c r="G27" s="4" t="s">
        <v>32</v>
      </c>
      <c r="H27" s="4" t="s">
        <v>37</v>
      </c>
      <c r="I27" s="4">
        <v>2011</v>
      </c>
      <c r="J27" s="4"/>
    </row>
    <row r="28" spans="6:10" x14ac:dyDescent="0.25">
      <c r="F28" s="4" t="s">
        <v>27</v>
      </c>
      <c r="G28" s="4" t="s">
        <v>32</v>
      </c>
      <c r="H28" s="4" t="s">
        <v>38</v>
      </c>
      <c r="I28" s="4">
        <v>2010</v>
      </c>
      <c r="J28" s="4"/>
    </row>
    <row r="29" spans="6:10" x14ac:dyDescent="0.25">
      <c r="F29" s="4" t="s">
        <v>27</v>
      </c>
      <c r="G29" s="4" t="s">
        <v>32</v>
      </c>
      <c r="H29" s="4" t="s">
        <v>38</v>
      </c>
      <c r="I29" s="4">
        <v>2011</v>
      </c>
      <c r="J29" s="4"/>
    </row>
    <row r="30" spans="6:10" x14ac:dyDescent="0.25">
      <c r="F30" s="4" t="s">
        <v>27</v>
      </c>
      <c r="G30" s="4" t="s">
        <v>25</v>
      </c>
      <c r="H30" s="4" t="s">
        <v>37</v>
      </c>
      <c r="I30" s="4">
        <v>2010</v>
      </c>
      <c r="J30" s="4"/>
    </row>
    <row r="31" spans="6:10" x14ac:dyDescent="0.25">
      <c r="F31" s="4" t="s">
        <v>27</v>
      </c>
      <c r="G31" s="4" t="s">
        <v>25</v>
      </c>
      <c r="H31" s="4" t="s">
        <v>37</v>
      </c>
      <c r="I31" s="4">
        <v>2011</v>
      </c>
      <c r="J31" s="4"/>
    </row>
    <row r="32" spans="6:10" x14ac:dyDescent="0.25">
      <c r="F32" s="4" t="s">
        <v>27</v>
      </c>
      <c r="G32" s="4" t="s">
        <v>25</v>
      </c>
      <c r="H32" s="4" t="s">
        <v>38</v>
      </c>
      <c r="I32" s="4">
        <v>2010</v>
      </c>
      <c r="J32" s="4"/>
    </row>
    <row r="33" spans="6:10" x14ac:dyDescent="0.25">
      <c r="F33" s="4" t="s">
        <v>27</v>
      </c>
      <c r="G33" s="4" t="s">
        <v>25</v>
      </c>
      <c r="H33" s="4" t="s">
        <v>38</v>
      </c>
      <c r="I33" s="4">
        <v>2011</v>
      </c>
      <c r="J33" s="4"/>
    </row>
    <row r="34" spans="6:10" x14ac:dyDescent="0.25">
      <c r="F34" s="4" t="s">
        <v>27</v>
      </c>
      <c r="G34" s="4" t="s">
        <v>33</v>
      </c>
      <c r="H34" s="4" t="s">
        <v>37</v>
      </c>
      <c r="I34" s="4">
        <v>2010</v>
      </c>
      <c r="J34" s="4"/>
    </row>
    <row r="35" spans="6:10" x14ac:dyDescent="0.25">
      <c r="F35" s="4" t="s">
        <v>27</v>
      </c>
      <c r="G35" s="4" t="s">
        <v>33</v>
      </c>
      <c r="H35" s="4" t="s">
        <v>37</v>
      </c>
      <c r="I35" s="4">
        <v>2011</v>
      </c>
      <c r="J35" s="4"/>
    </row>
    <row r="36" spans="6:10" x14ac:dyDescent="0.25">
      <c r="F36" s="4" t="s">
        <v>27</v>
      </c>
      <c r="G36" s="4" t="s">
        <v>33</v>
      </c>
      <c r="H36" s="4" t="s">
        <v>38</v>
      </c>
      <c r="I36" s="4">
        <v>2010</v>
      </c>
      <c r="J36" s="4"/>
    </row>
    <row r="37" spans="6:10" x14ac:dyDescent="0.25">
      <c r="F37" s="4" t="s">
        <v>27</v>
      </c>
      <c r="G37" s="4" t="s">
        <v>33</v>
      </c>
      <c r="H37" s="4" t="s">
        <v>38</v>
      </c>
      <c r="I37" s="4">
        <v>2011</v>
      </c>
      <c r="J37" s="4"/>
    </row>
    <row r="38" spans="6:10" x14ac:dyDescent="0.25">
      <c r="F38" s="4" t="s">
        <v>26</v>
      </c>
      <c r="G38" s="4" t="s">
        <v>22</v>
      </c>
      <c r="H38" s="4" t="s">
        <v>36</v>
      </c>
      <c r="I38" s="4">
        <v>2010</v>
      </c>
      <c r="J38" s="4"/>
    </row>
    <row r="39" spans="6:10" x14ac:dyDescent="0.25">
      <c r="F39" s="4" t="s">
        <v>26</v>
      </c>
      <c r="G39" s="4" t="s">
        <v>22</v>
      </c>
      <c r="H39" s="4" t="s">
        <v>36</v>
      </c>
      <c r="I39" s="4">
        <v>2011</v>
      </c>
      <c r="J39" s="4"/>
    </row>
    <row r="40" spans="6:10" x14ac:dyDescent="0.25">
      <c r="F40" s="4" t="s">
        <v>26</v>
      </c>
      <c r="G40" s="4" t="s">
        <v>22</v>
      </c>
      <c r="H40" s="4" t="s">
        <v>39</v>
      </c>
      <c r="I40" s="4">
        <v>2010</v>
      </c>
      <c r="J40" s="4"/>
    </row>
    <row r="41" spans="6:10" x14ac:dyDescent="0.25">
      <c r="F41" s="4" t="s">
        <v>26</v>
      </c>
      <c r="G41" s="4" t="s">
        <v>22</v>
      </c>
      <c r="H41" s="4" t="s">
        <v>39</v>
      </c>
      <c r="I41" s="4">
        <v>2011</v>
      </c>
      <c r="J41" s="4"/>
    </row>
    <row r="42" spans="6:10" x14ac:dyDescent="0.25">
      <c r="F42" s="4" t="s">
        <v>26</v>
      </c>
      <c r="G42" s="4" t="s">
        <v>22</v>
      </c>
      <c r="H42" s="4" t="s">
        <v>40</v>
      </c>
      <c r="I42" s="4">
        <v>2010</v>
      </c>
      <c r="J42" s="4"/>
    </row>
    <row r="43" spans="6:10" x14ac:dyDescent="0.25">
      <c r="F43" s="4" t="s">
        <v>26</v>
      </c>
      <c r="G43" s="4" t="s">
        <v>22</v>
      </c>
      <c r="H43" s="4" t="s">
        <v>40</v>
      </c>
      <c r="I43" s="4">
        <v>2011</v>
      </c>
      <c r="J43" s="4"/>
    </row>
    <row r="44" spans="6:10" x14ac:dyDescent="0.25">
      <c r="F44" s="4" t="s">
        <v>26</v>
      </c>
      <c r="G44" s="4" t="s">
        <v>24</v>
      </c>
      <c r="H44" s="4" t="s">
        <v>36</v>
      </c>
      <c r="I44" s="4">
        <v>2010</v>
      </c>
      <c r="J44" s="4"/>
    </row>
    <row r="45" spans="6:10" x14ac:dyDescent="0.25">
      <c r="F45" s="4" t="s">
        <v>26</v>
      </c>
      <c r="G45" s="4" t="s">
        <v>24</v>
      </c>
      <c r="H45" s="4" t="s">
        <v>36</v>
      </c>
      <c r="I45" s="4">
        <v>2011</v>
      </c>
      <c r="J45" s="4"/>
    </row>
    <row r="46" spans="6:10" x14ac:dyDescent="0.25">
      <c r="F46" s="4" t="s">
        <v>26</v>
      </c>
      <c r="G46" s="4" t="s">
        <v>24</v>
      </c>
      <c r="H46" s="4" t="s">
        <v>39</v>
      </c>
      <c r="I46" s="4">
        <v>2010</v>
      </c>
      <c r="J46" s="4"/>
    </row>
    <row r="47" spans="6:10" x14ac:dyDescent="0.25">
      <c r="F47" s="4" t="s">
        <v>26</v>
      </c>
      <c r="G47" s="4" t="s">
        <v>24</v>
      </c>
      <c r="H47" s="4" t="s">
        <v>39</v>
      </c>
      <c r="I47" s="4">
        <v>2011</v>
      </c>
      <c r="J47" s="4"/>
    </row>
    <row r="48" spans="6:10" x14ac:dyDescent="0.25">
      <c r="F48" s="4" t="s">
        <v>26</v>
      </c>
      <c r="G48" s="4" t="s">
        <v>24</v>
      </c>
      <c r="H48" s="4" t="s">
        <v>40</v>
      </c>
      <c r="I48" s="4">
        <v>2010</v>
      </c>
      <c r="J48" s="4"/>
    </row>
    <row r="49" spans="6:10" x14ac:dyDescent="0.25">
      <c r="F49" s="4" t="s">
        <v>26</v>
      </c>
      <c r="G49" s="4" t="s">
        <v>24</v>
      </c>
      <c r="H49" s="4" t="s">
        <v>40</v>
      </c>
      <c r="I49" s="4">
        <v>2011</v>
      </c>
      <c r="J49" s="4"/>
    </row>
    <row r="50" spans="6:10" x14ac:dyDescent="0.25">
      <c r="F50" s="4"/>
      <c r="G50" s="4"/>
      <c r="H50" s="4"/>
      <c r="I50" s="4"/>
      <c r="J50" s="4"/>
    </row>
    <row r="51" spans="6:10" x14ac:dyDescent="0.25">
      <c r="F51" s="4"/>
      <c r="G51" s="4"/>
      <c r="H51" s="4"/>
      <c r="I51" s="4"/>
      <c r="J51" s="4"/>
    </row>
    <row r="52" spans="6:10" x14ac:dyDescent="0.25">
      <c r="F52" s="4"/>
      <c r="G52" s="4"/>
      <c r="H52" s="4"/>
      <c r="I52" s="4"/>
      <c r="J52" s="4"/>
    </row>
    <row r="53" spans="6:10" x14ac:dyDescent="0.25">
      <c r="F53" s="4"/>
      <c r="G53" s="4"/>
      <c r="H53" s="4"/>
      <c r="I53" s="4"/>
      <c r="J53" s="4"/>
    </row>
    <row r="54" spans="6:10" x14ac:dyDescent="0.25">
      <c r="F54" s="4"/>
      <c r="G54" s="4"/>
      <c r="H54" s="4"/>
      <c r="I54" s="4"/>
      <c r="J54" s="4"/>
    </row>
    <row r="55" spans="6:10" x14ac:dyDescent="0.25">
      <c r="F55" s="4"/>
      <c r="G55" s="4"/>
      <c r="H55" s="4"/>
      <c r="I55" s="4"/>
      <c r="J55" s="4"/>
    </row>
    <row r="56" spans="6:10" x14ac:dyDescent="0.25">
      <c r="F56" s="4"/>
      <c r="G56" s="4"/>
      <c r="H56" s="4"/>
      <c r="I56" s="4"/>
      <c r="J56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1"/>
  <sheetViews>
    <sheetView workbookViewId="0">
      <selection activeCell="E27" sqref="E27"/>
    </sheetView>
  </sheetViews>
  <sheetFormatPr defaultRowHeight="15" x14ac:dyDescent="0.25"/>
  <cols>
    <col min="1" max="1" width="12.85546875" customWidth="1"/>
    <col min="9" max="9" width="10.5703125" customWidth="1"/>
    <col min="10" max="10" width="8.28515625" customWidth="1"/>
  </cols>
  <sheetData>
    <row r="1" spans="1:10" x14ac:dyDescent="0.25">
      <c r="A1" s="20" t="s">
        <v>44</v>
      </c>
      <c r="B1" s="20" t="s">
        <v>41</v>
      </c>
      <c r="C1" s="20" t="s">
        <v>42</v>
      </c>
      <c r="D1" s="20" t="s">
        <v>43</v>
      </c>
      <c r="G1" s="19" t="s">
        <v>45</v>
      </c>
      <c r="I1" s="18" t="s">
        <v>46</v>
      </c>
      <c r="J1" s="21" t="s">
        <v>47</v>
      </c>
    </row>
    <row r="2" spans="1:10" x14ac:dyDescent="0.25">
      <c r="A2" s="20">
        <v>1</v>
      </c>
      <c r="B2" s="2">
        <v>73</v>
      </c>
      <c r="C2" s="2">
        <v>20</v>
      </c>
      <c r="D2" s="17">
        <f ca="1">B2*2 + C2^2/10 + RAND()*5</f>
        <v>186.60192956951559</v>
      </c>
      <c r="F2" s="19">
        <v>0</v>
      </c>
      <c r="G2" s="4">
        <v>-18.92360058255359</v>
      </c>
      <c r="I2" s="14">
        <f>$G$2+$G$3*B2+$G$4*C2</f>
        <v>188.38753536517771</v>
      </c>
      <c r="J2" s="16">
        <f ca="1">D2-I2</f>
        <v>-1.7856057956621214</v>
      </c>
    </row>
    <row r="3" spans="1:10" x14ac:dyDescent="0.25">
      <c r="A3" s="20">
        <v>2</v>
      </c>
      <c r="B3" s="2">
        <v>19</v>
      </c>
      <c r="C3" s="2">
        <v>14</v>
      </c>
      <c r="D3" s="17">
        <f t="shared" ref="D3:D11" ca="1" si="0">B3*2 + C3^2/10 + RAND()*5</f>
        <v>61.026247850271076</v>
      </c>
      <c r="F3" s="19">
        <v>1</v>
      </c>
      <c r="G3" s="4">
        <v>1.9986620815729768</v>
      </c>
      <c r="I3" s="14">
        <f t="shared" ref="I3:I11" si="1">$G$2+$G$3*B3+$G$4*C3</f>
        <v>62.037141762365771</v>
      </c>
      <c r="J3" s="16">
        <f t="shared" ref="J3:J11" ca="1" si="2">D3-I3</f>
        <v>-1.0108939120946943</v>
      </c>
    </row>
    <row r="4" spans="1:10" x14ac:dyDescent="0.25">
      <c r="A4" s="20">
        <v>3</v>
      </c>
      <c r="B4" s="2">
        <v>28</v>
      </c>
      <c r="C4" s="2">
        <v>20</v>
      </c>
      <c r="D4" s="17">
        <f t="shared" ca="1" si="0"/>
        <v>97.502872046614939</v>
      </c>
      <c r="F4" s="19">
        <v>2</v>
      </c>
      <c r="G4" s="4">
        <v>3.0704401996452004</v>
      </c>
      <c r="I4" s="14">
        <f t="shared" si="1"/>
        <v>98.44774169439377</v>
      </c>
      <c r="J4" s="16">
        <f t="shared" ca="1" si="2"/>
        <v>-0.94486964777883031</v>
      </c>
    </row>
    <row r="5" spans="1:10" x14ac:dyDescent="0.25">
      <c r="A5" s="20">
        <v>4</v>
      </c>
      <c r="B5" s="2">
        <v>16</v>
      </c>
      <c r="C5" s="2">
        <v>20</v>
      </c>
      <c r="D5" s="17">
        <f t="shared" ca="1" si="0"/>
        <v>76.052946140172196</v>
      </c>
      <c r="I5" s="14">
        <f t="shared" si="1"/>
        <v>74.463796715518043</v>
      </c>
      <c r="J5" s="16">
        <f t="shared" ca="1" si="2"/>
        <v>1.5891494246541527</v>
      </c>
    </row>
    <row r="6" spans="1:10" x14ac:dyDescent="0.25">
      <c r="A6" s="20">
        <v>5</v>
      </c>
      <c r="B6" s="2">
        <v>93</v>
      </c>
      <c r="C6" s="2">
        <v>17</v>
      </c>
      <c r="D6" s="17">
        <f t="shared" ca="1" si="0"/>
        <v>216.29295104995052</v>
      </c>
      <c r="I6" s="14">
        <f t="shared" si="1"/>
        <v>219.14945639770167</v>
      </c>
      <c r="J6" s="16">
        <f t="shared" ca="1" si="2"/>
        <v>-2.8565053477511526</v>
      </c>
    </row>
    <row r="7" spans="1:10" x14ac:dyDescent="0.25">
      <c r="A7" s="20">
        <v>6</v>
      </c>
      <c r="B7" s="2">
        <v>63</v>
      </c>
      <c r="C7" s="2">
        <v>15</v>
      </c>
      <c r="D7" s="17">
        <f t="shared" ca="1" si="0"/>
        <v>152.21068176829758</v>
      </c>
      <c r="I7" s="14">
        <f t="shared" si="1"/>
        <v>153.04871355122197</v>
      </c>
      <c r="J7" s="16">
        <f t="shared" ca="1" si="2"/>
        <v>-0.83803178292438929</v>
      </c>
    </row>
    <row r="8" spans="1:10" x14ac:dyDescent="0.25">
      <c r="A8" s="20">
        <v>7</v>
      </c>
      <c r="B8" s="2">
        <v>31</v>
      </c>
      <c r="C8" s="2">
        <v>18</v>
      </c>
      <c r="D8" s="17">
        <f t="shared" ca="1" si="0"/>
        <v>95.466528733203845</v>
      </c>
      <c r="I8" s="14">
        <f t="shared" si="1"/>
        <v>98.302847539822295</v>
      </c>
      <c r="J8" s="16">
        <f t="shared" ca="1" si="2"/>
        <v>-2.8363188066184506</v>
      </c>
    </row>
    <row r="9" spans="1:10" x14ac:dyDescent="0.25">
      <c r="A9" s="20">
        <v>8</v>
      </c>
      <c r="B9" s="2">
        <v>33</v>
      </c>
      <c r="C9" s="2">
        <v>12</v>
      </c>
      <c r="D9" s="17">
        <f t="shared" ca="1" si="0"/>
        <v>82.726836070537757</v>
      </c>
      <c r="I9" s="14">
        <f t="shared" si="1"/>
        <v>83.877530505097042</v>
      </c>
      <c r="J9" s="16">
        <f t="shared" ca="1" si="2"/>
        <v>-1.1506944345592842</v>
      </c>
    </row>
    <row r="10" spans="1:10" x14ac:dyDescent="0.25">
      <c r="A10" s="20">
        <v>9</v>
      </c>
      <c r="B10" s="2">
        <v>57</v>
      </c>
      <c r="C10" s="2">
        <v>11</v>
      </c>
      <c r="D10" s="17">
        <f t="shared" ca="1" si="0"/>
        <v>129.30607961682674</v>
      </c>
      <c r="I10" s="14">
        <f t="shared" si="1"/>
        <v>128.77498026320328</v>
      </c>
      <c r="J10" s="16">
        <f t="shared" ca="1" si="2"/>
        <v>0.5310993536234605</v>
      </c>
    </row>
    <row r="11" spans="1:10" x14ac:dyDescent="0.25">
      <c r="A11" s="20">
        <v>10</v>
      </c>
      <c r="B11" s="2">
        <v>59</v>
      </c>
      <c r="C11" s="2">
        <v>19</v>
      </c>
      <c r="D11" s="17">
        <f t="shared" ca="1" si="0"/>
        <v>155.93061363028625</v>
      </c>
      <c r="I11" s="14">
        <f t="shared" si="1"/>
        <v>157.33582602351083</v>
      </c>
      <c r="J11" s="16">
        <f t="shared" ca="1" si="2"/>
        <v>-1.4052123932245877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9"/>
  <sheetViews>
    <sheetView workbookViewId="0">
      <selection activeCell="F17" sqref="F17"/>
    </sheetView>
  </sheetViews>
  <sheetFormatPr defaultRowHeight="15" x14ac:dyDescent="0.25"/>
  <cols>
    <col min="3" max="3" width="9.7109375" bestFit="1" customWidth="1"/>
  </cols>
  <sheetData>
    <row r="1" spans="1:8" x14ac:dyDescent="0.25">
      <c r="A1" s="19" t="s">
        <v>48</v>
      </c>
      <c r="B1" s="19" t="s">
        <v>28</v>
      </c>
      <c r="C1" s="19" t="s">
        <v>28</v>
      </c>
      <c r="D1" s="19" t="s">
        <v>49</v>
      </c>
      <c r="F1" s="19" t="s">
        <v>48</v>
      </c>
      <c r="G1" s="19" t="s">
        <v>28</v>
      </c>
      <c r="H1" s="19" t="s">
        <v>49</v>
      </c>
    </row>
    <row r="2" spans="1:8" x14ac:dyDescent="0.25">
      <c r="A2" s="14" t="s">
        <v>50</v>
      </c>
      <c r="B2" s="14" t="s">
        <v>51</v>
      </c>
      <c r="C2" s="14" t="s">
        <v>51</v>
      </c>
      <c r="D2" s="14" t="s">
        <v>54</v>
      </c>
      <c r="F2" s="4" t="s">
        <v>50</v>
      </c>
      <c r="G2" s="4" t="s">
        <v>51</v>
      </c>
      <c r="H2" s="4" t="s">
        <v>54</v>
      </c>
    </row>
    <row r="3" spans="1:8" x14ac:dyDescent="0.25">
      <c r="A3" s="14" t="s">
        <v>50</v>
      </c>
      <c r="B3" s="14" t="s">
        <v>34</v>
      </c>
      <c r="C3" s="14" t="s">
        <v>51</v>
      </c>
      <c r="D3" s="14" t="s">
        <v>55</v>
      </c>
      <c r="F3" s="4" t="s">
        <v>50</v>
      </c>
      <c r="G3" s="4" t="s">
        <v>51</v>
      </c>
      <c r="H3" s="4" t="s">
        <v>55</v>
      </c>
    </row>
    <row r="4" spans="1:8" x14ac:dyDescent="0.25">
      <c r="A4" s="14" t="s">
        <v>50</v>
      </c>
      <c r="B4" s="14" t="s">
        <v>21</v>
      </c>
      <c r="C4" s="14" t="s">
        <v>21</v>
      </c>
      <c r="D4" s="14" t="s">
        <v>56</v>
      </c>
      <c r="F4" s="4" t="s">
        <v>50</v>
      </c>
      <c r="G4" s="4" t="s">
        <v>21</v>
      </c>
      <c r="H4" s="4" t="s">
        <v>56</v>
      </c>
    </row>
    <row r="5" spans="1:8" x14ac:dyDescent="0.25">
      <c r="A5" s="14" t="s">
        <v>52</v>
      </c>
      <c r="B5" s="14" t="s">
        <v>26</v>
      </c>
      <c r="C5" s="14" t="s">
        <v>21</v>
      </c>
      <c r="D5" s="14" t="s">
        <v>57</v>
      </c>
      <c r="F5" s="4" t="s">
        <v>50</v>
      </c>
      <c r="G5" s="4" t="s">
        <v>21</v>
      </c>
      <c r="H5" s="4" t="s">
        <v>57</v>
      </c>
    </row>
    <row r="6" spans="1:8" x14ac:dyDescent="0.25">
      <c r="A6" s="14" t="s">
        <v>52</v>
      </c>
      <c r="B6" s="14" t="s">
        <v>53</v>
      </c>
      <c r="C6" s="14" t="s">
        <v>21</v>
      </c>
      <c r="D6" s="14" t="s">
        <v>58</v>
      </c>
      <c r="F6" s="4" t="s">
        <v>50</v>
      </c>
      <c r="G6" s="4" t="s">
        <v>21</v>
      </c>
      <c r="H6" s="4" t="s">
        <v>58</v>
      </c>
    </row>
    <row r="7" spans="1:8" x14ac:dyDescent="0.25">
      <c r="A7" s="14"/>
      <c r="B7" s="14"/>
      <c r="C7" s="14" t="s">
        <v>26</v>
      </c>
      <c r="D7" s="14" t="s">
        <v>59</v>
      </c>
      <c r="F7" s="4" t="s">
        <v>52</v>
      </c>
      <c r="G7" s="4" t="s">
        <v>26</v>
      </c>
      <c r="H7" s="4" t="s">
        <v>59</v>
      </c>
    </row>
    <row r="8" spans="1:8" x14ac:dyDescent="0.25">
      <c r="A8" s="14"/>
      <c r="B8" s="14"/>
      <c r="C8" s="14" t="s">
        <v>26</v>
      </c>
      <c r="D8" s="14" t="s">
        <v>60</v>
      </c>
      <c r="F8" s="4" t="s">
        <v>52</v>
      </c>
      <c r="G8" s="4" t="s">
        <v>26</v>
      </c>
      <c r="H8" s="4" t="s">
        <v>60</v>
      </c>
    </row>
    <row r="9" spans="1:8" x14ac:dyDescent="0.25">
      <c r="A9" s="14"/>
      <c r="B9" s="14"/>
      <c r="C9" s="14" t="s">
        <v>53</v>
      </c>
      <c r="D9" s="14" t="s">
        <v>61</v>
      </c>
      <c r="F9" s="4" t="s">
        <v>52</v>
      </c>
      <c r="G9" s="4" t="s">
        <v>53</v>
      </c>
      <c r="H9" s="4" t="s">
        <v>61</v>
      </c>
    </row>
  </sheetData>
  <pageMargins left="0.7" right="0.7" top="0.75" bottom="0.75" header="0.3" footer="0.3"/>
  <pageSetup paperSize="9" orientation="portrait" horizontalDpi="300" verticalDpi="300" r:id="rId1"/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0/09/xmldsig#rsa-sha1"/>
    <Reference URI="#idPackageObject" Type="http://www.w3.org/2000/09/xmldsig#Object">
      <DigestMethod Algorithm="http://www.w3.org/2000/09/xmldsig#sha1"/>
      <DigestValue>V6SuYLeN2JtgK06qWY/PbFCT1OA=</DigestValue>
    </Reference>
    <Reference URI="#idOfficeObject" Type="http://www.w3.org/2000/09/xmldsig#Object">
      <DigestMethod Algorithm="http://www.w3.org/2000/09/xmldsig#sha1"/>
      <DigestValue>wy/cJs+bNBAINqbPB7ZN8b/rN8I=</DigestValue>
    </Reference>
    <Reference URI="#idSignedProperties" Type="http://uri.etsi.org/01903#SignedProperties">
      <Transforms>
        <Transform Algorithm="http://www.w3.org/TR/2001/REC-xml-c14n-20010315"/>
      </Transforms>
      <DigestMethod Algorithm="http://www.w3.org/2000/09/xmldsig#sha1"/>
      <DigestValue>EWx68ODZfQNJ/EFNkTezD9HJCrc=</DigestValue>
    </Reference>
    <Reference URI="#idValidSigLnImg" Type="http://www.w3.org/2000/09/xmldsig#Object">
      <DigestMethod Algorithm="http://www.w3.org/2000/09/xmldsig#sha1"/>
      <DigestValue>jH6f0RVCFY+xQntNsXbZrPH4zQ0=</DigestValue>
    </Reference>
    <Reference URI="#idInvalidSigLnImg" Type="http://www.w3.org/2000/09/xmldsig#Object">
      <DigestMethod Algorithm="http://www.w3.org/2000/09/xmldsig#sha1"/>
      <DigestValue>pz1bUrAONFTOuknNE2QL3HcqWEs=</DigestValue>
    </Reference>
  </SignedInfo>
  <SignatureValue>noLAbm1kjdW32An0s8AO2b8fLyB2NRVKxUE8msxnxa9+8K0PJb37611uodRrOnNTfZYKMtdKWg68
a2wzaSI88tufp4A96oUWyaxQEEsuNjHEQs1WyGByjbc5ndYrqyZiBPjbWlqSj0xJLt8LDvMoh2Tp
Wc0Un4AgXJvSZrkkEtfpIGy7iKJS+acgayh1mFA9FCUQCDDka9iX8sZgRyfSrahxn0yfFHZRUYUB
kitKHMZLMxoGQPUfgH4x2Ob7I40GZsnuTbOq/89xFrO0cRUxKNj6gLtmDdKW7+B/U3nQSm7JLeuO
BuhU7z8E4hdfD8dtZ07bKgs4oHCNxmKdFzSlfg==</SignatureValue>
  <KeyInfo>
    <X509Data>
      <X509Certificate>MIIFrDCCBJSgAwIBAgIRAODeshOEngk6zyvd0MnJsgYwDQYJKoZIhvcNAQEFBQAwfDELMAkGA1UE
BhMCR0IxGzAZBgNVBAgTEkdyZWF0ZXIgTWFuY2hlc3RlcjEQMA4GA1UEBxMHU2FsZm9yZDEaMBgG
A1UEChMRQ09NT0RPIENBIExpbWl0ZWQxIjAgBgNVBAMTGUNPTU9ETy9IUCBTZWN1cmUgRW1haWwg
Q0EwHhcNMTIwNjE4MDAwMDAwWhcNMTIxMjE4MjM1OTU5WjCB6DE1MDMGA1UECxMsQ29tb2RvIFRy
dXN0IE5ldHdvcmsgLSBQRVJTT05BIE5PVCBWQUxJREFURUQxRjBEBgNVBAsTPVRlcm1zIGFuZCBD
b25kaXRpb25zIG9mIHVzZTogaHR0cDovL3d3dy5jb21vZG8ubmV0L3JlcG9zaXRvcnkxHzAdBgNV
BAsTFihjKTIwMDMgQ29tb2RvIExpbWl0ZWQxHzAdBgNVBAMUFnR1bmNhbGlrQGZpbmFxdWFudC5j
b20xJTAjBgkqhkiG9w0BCQEWFnR1bmNhbGlrQGZpbmFxdWFudC5jb20wggEiMA0GCSqGSIb3DQEB
AQUAA4IBDwAwggEKAoIBAQDIJBo7QVQnKDjziNv+x0/lTr42kbcuXXRMaoJ89BkM7C2YASOvigCN
CVegPgzb4sWYcSVdaO+M2tZr93EaZ2WdoGd/WRn6FfnkUdsfFQtndP69IhVFpqOxHCf/SZsitoAy
+c/U79quu4Tncami6CVxmXP5urIK0qTOgM3E38/jd/cbjRe2+tkddguPrU1EwgmujNtMnYcpwAH4
W7ZmoqY2ZYZFM4HXnlaaPlmqwtrR+5adQpKfv88uJ/9yeK3AyeEU9Ys6OFed7q1lXTWpYs9BUo9M
AhLH315nhyWH3gRj7rDFQi5kpf0CRBc838DsLWx0U2Yo+bjpu6uXboT3AgaFAgMBAAGjggG6MIIB
tjAfBgNVHSMEGDAWgBQH4vTjmdz3/fBbaqd7jk7sERpx/DAdBgNVHQ4EFgQUfZ0xCxBuH3qIUOSO
fRhT1kp6DhAwDgYDVR0PAQH/BAQDAgWgMAwGA1UdEwEB/wQCMAAwHwYDVR0lBBgwFgYIKwYBBQUH
AwQGCisGAQQBgeYMAQEwEQYJYIZIAYb4QgEBBAQDAgUgMEYGA1UdIAQ/MD0wOwYMKwYBBAGyMQEC
AQEBMCswKQYIKwYBBQUHAgEWHWh0dHBzOi8vc2VjdXJlLmNvbW9kby5uZXQvQ1BTMEIGA1UdHwQ7
MDkwN6A1oDOGMWh0dHA6Ly9jcmwuY29tb2RvY2EuY29tL0NPTU9ET0hQU2VjdXJlRW1haWxDQS5j
cmwwcwYIKwYBBQUHAQEEZzBlMD0GCCsGAQUFBzAChjFodHRwOi8vY3J0LmNvbW9kb2NhLmNvbS9D
T01PRE9IUFNlY3VyZUVtYWlsQ0EuY3J0MCQGCCsGAQUFBzABhhhodHRwOi8vb2NzcC5jb21vZG9j
YS5jb20wIQYDVR0RBBowGIEWdHVuY2FsaWtAZmluYXF1YW50LmNvbTANBgkqhkiG9w0BAQUFAAOC
AQEASfUbYUfrekvaySSkj+B2gFJMRAyt4lnQqafCmFcRaNvOhdYwpzf/Wumk4oIr068x26oknRYr
qGGejKi+CqcNuOO3WPPxBQeo9KbPhp/rW8jhTfejVxw/PoWopNMDivlPXYrxnMxoObn19fQklfH5
TBbMGvnqQbw/sEgt73zFEeQQmqsUFeEUvPrtQFhlAk05ABRGpWGrQXQEX9k0zZ8VwCU+m3Wkj9Fz
XdnayJQpD72lU3KQW1hRU/zoFfo/QtssftpKMeRkuodLnNRk3A0/TBsFCCIgana0Nah55nrlGvgt
ZiP2tR0Kouqh1t3tVvQE2j4EYNqZe52dZBQHOahELQ==</X509Certificate>
    </X509Data>
  </KeyInfo>
  <Object xmlns:mdssi="http://schemas.openxmlformats.org/package/2006/digital-signature"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+nAd0bim5u961Z6hkrztwiSj8HA=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SourceId="rId8"/>
            <mdssi:RelationshipReference SourceId="rId3"/>
            <mdssi:RelationshipReference SourceId="rId7"/>
            <mdssi:RelationshipReference SourceId="rId2"/>
            <mdssi:RelationshipReference SourceId="rId1"/>
            <mdssi:RelationshipReference SourceId="rId6"/>
            <mdssi:RelationshipReference SourceId="rId11"/>
            <mdssi:RelationshipReference SourceId="rId5"/>
            <mdssi:RelationshipReference SourceId="rId10"/>
            <mdssi:RelationshipReference SourceId="rId4"/>
            <mdssi:RelationshipReference SourceId="rId9"/>
          </Transform>
          <Transform Algorithm="http://www.w3.org/TR/2001/REC-xml-c14n-20010315"/>
        </Transforms>
        <DigestMethod Algorithm="http://www.w3.org/2000/09/xmldsig#sha1"/>
        <DigestValue>JjluqGe1QXJOfIbNzH3HHPk3jzg=</DigestValue>
      </Reference>
      <Reference URI="/xl/calcChain.xml?ContentType=application/vnd.openxmlformats-officedocument.spreadsheetml.calcChain+xml">
        <DigestMethod Algorithm="http://www.w3.org/2000/09/xmldsig#sha1"/>
        <DigestValue>hS7PFiwh1+A0r6RUdcerDabnTtA=</DigestValue>
      </Reference>
      <Reference URI="/xl/drawings/_rels/drawing1.xml.rels?ContentType=application/vnd.openxmlformats-package.relationships+xml">
        <Transforms>
          <Transform Algorithm="http://schemas.openxmlformats.org/package/2006/RelationshipTransform">
            <mdssi:RelationshipReference SourceId="rId2"/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V/SVH0utVLzj+WoGm9ENw6p6Gw4=</DigestValue>
      </Reference>
      <Reference URI="/xl/drawings/_rels/vmlDrawing1.vml.rels?ContentType=application/vnd.openxmlformats-package.relationships+xml">
        <Transforms>
          <Transform Algorithm="http://schemas.openxmlformats.org/package/2006/RelationshipTransform"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i7jxgZTkWBerH7eBaAIusDPbN2g=</DigestValue>
      </Reference>
      <Reference URI="/xl/drawings/drawing1.xml?ContentType=application/vnd.openxmlformats-officedocument.drawing+xml">
        <DigestMethod Algorithm="http://www.w3.org/2000/09/xmldsig#sha1"/>
        <DigestValue>49KrPRBEJExav/ma3HGO39jxMTQ=</DigestValue>
      </Reference>
      <Reference URI="/xl/drawings/vmlDrawing1.vml?ContentType=application/vnd.openxmlformats-officedocument.vmlDrawing">
        <DigestMethod Algorithm="http://www.w3.org/2000/09/xmldsig#sha1"/>
        <DigestValue>qFWvhHfxRUiBMcR8OHoXyK34xA4=</DigestValue>
      </Reference>
      <Reference URI="/xl/media/image1.emf?ContentType=image/x-emf">
        <DigestMethod Algorithm="http://www.w3.org/2000/09/xmldsig#sha1"/>
        <DigestValue>K6boHO9fOPQAJYq48fzgrzo8+Zo=</DigestValue>
      </Reference>
      <Reference URI="/xl/media/image2.png?ContentType=image/png">
        <DigestMethod Algorithm="http://www.w3.org/2000/09/xmldsig#sha1"/>
        <DigestValue>miYeyhyx7A0Gw0+tV8fmg3goGu4=</DigestValue>
      </Reference>
      <Reference URI="/xl/media/image3.png?ContentType=image/png">
        <DigestMethod Algorithm="http://www.w3.org/2000/09/xmldsig#sha1"/>
        <DigestValue>a7Gy6AV05mt+5gUnUC2gpuAYy8k=</DigestValue>
      </Reference>
      <Reference URI="/xl/printerSettings/printerSettings1.bin?ContentType=application/vnd.openxmlformats-officedocument.spreadsheetml.printerSettings">
        <DigestMethod Algorithm="http://www.w3.org/2000/09/xmldsig#sha1"/>
        <DigestValue>4IHpydkyRxgFWwX+bJ/wChoD8Ac=</DigestValue>
      </Reference>
      <Reference URI="/xl/printerSettings/printerSettings2.bin?ContentType=application/vnd.openxmlformats-officedocument.spreadsheetml.printerSettings">
        <DigestMethod Algorithm="http://www.w3.org/2000/09/xmldsig#sha1"/>
        <DigestValue>4IHpydkyRxgFWwX+bJ/wChoD8Ac=</DigestValue>
      </Reference>
      <Reference URI="/xl/printerSettings/printerSettings3.bin?ContentType=application/vnd.openxmlformats-officedocument.spreadsheetml.printerSettings">
        <DigestMethod Algorithm="http://www.w3.org/2000/09/xmldsig#sha1"/>
        <DigestValue>4IHpydkyRxgFWwX+bJ/wChoD8Ac=</DigestValue>
      </Reference>
      <Reference URI="/xl/printerSettings/printerSettings4.bin?ContentType=application/vnd.openxmlformats-officedocument.spreadsheetml.printerSettings">
        <DigestMethod Algorithm="http://www.w3.org/2000/09/xmldsig#sha1"/>
        <DigestValue>4IHpydkyRxgFWwX+bJ/wChoD8Ac=</DigestValue>
      </Reference>
      <Reference URI="/xl/sharedStrings.xml?ContentType=application/vnd.openxmlformats-officedocument.spreadsheetml.sharedStrings+xml">
        <DigestMethod Algorithm="http://www.w3.org/2000/09/xmldsig#sha1"/>
        <DigestValue>30sfBapVFQo5gHehT2HmpkQFfvU=</DigestValue>
      </Reference>
      <Reference URI="/xl/styles.xml?ContentType=application/vnd.openxmlformats-officedocument.spreadsheetml.styles+xml">
        <DigestMethod Algorithm="http://www.w3.org/2000/09/xmldsig#sha1"/>
        <DigestValue>dPxGeTwjM+GDt1vI9j6Lfo/iEtc=</DigestValue>
      </Reference>
      <Reference URI="/xl/theme/theme1.xml?ContentType=application/vnd.openxmlformats-officedocument.theme+xml">
        <DigestMethod Algorithm="http://www.w3.org/2000/09/xmldsig#sha1"/>
        <DigestValue>9qmLS+LilE9mSl2hTMj5oHE8VR8=</DigestValue>
      </Reference>
      <Reference URI="/xl/vbaProject.bin?ContentType=application/vnd.ms-office.vbaProject">
        <DigestMethod Algorithm="http://www.w3.org/2000/09/xmldsig#sha1"/>
        <DigestValue>HHdbQ9HTEH8eFyeNqu6eRHxGJmY=</DigestValue>
      </Reference>
      <Reference URI="/xl/workbook.xml?ContentType=application/vnd.ms-excel.sheet.macroEnabled.main+xml">
        <DigestMethod Algorithm="http://www.w3.org/2000/09/xmldsig#sha1"/>
        <DigestValue>XUNUBALTykfijAOwK9ZW3AXfDGE=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7MhIpVCzeRcpMNMzOrYcZ8lZxB8=</DigestValue>
      </Reference>
      <Reference URI="/xl/worksheets/_rels/sheet2.xml.rels?ContentType=application/vnd.openxmlformats-package.relationships+xml">
        <Transforms>
          <Transform Algorithm="http://schemas.openxmlformats.org/package/2006/RelationshipTransform">
            <mdssi:RelationshipReference SourceId="rId3"/>
            <mdssi:RelationshipReference SourceId="rId2"/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CZ53HkXwBevcxe3IpS1t7vTPSFY=</DigestValue>
      </Reference>
      <Reference URI="/xl/worksheets/_rels/sheet4.xml.rels?ContentType=application/vnd.openxmlformats-package.relationships+xml">
        <Transforms>
          <Transform Algorithm="http://schemas.openxmlformats.org/package/2006/RelationshipTransform"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DPl54m8ZkWDWmPPYreVK672bwio=</DigestValue>
      </Reference>
      <Reference URI="/xl/worksheets/_rels/sheet5.xml.rels?ContentType=application/vnd.openxmlformats-package.relationships+xml">
        <Transforms>
          <Transform Algorithm="http://schemas.openxmlformats.org/package/2006/RelationshipTransform"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ew+sNkCbSxwNPstBsGRjC+14Sxg=</DigestValue>
      </Reference>
      <Reference URI="/xl/worksheets/_rels/sheet6.xml.rels?ContentType=application/vnd.openxmlformats-package.relationships+xml">
        <Transforms>
          <Transform Algorithm="http://schemas.openxmlformats.org/package/2006/RelationshipTransform">
            <mdssi:RelationshipReference SourceId="rId1"/>
          </Transform>
          <Transform Algorithm="http://www.w3.org/TR/2001/REC-xml-c14n-20010315"/>
        </Transforms>
        <DigestMethod Algorithm="http://www.w3.org/2000/09/xmldsig#sha1"/>
        <DigestValue>p3Vo1ELbv4NvleayWI6std39/r8=</DigestValue>
      </Reference>
      <Reference URI="/xl/worksheets/sheet1.xml?ContentType=application/vnd.openxmlformats-officedocument.spreadsheetml.worksheet+xml">
        <DigestMethod Algorithm="http://www.w3.org/2000/09/xmldsig#sha1"/>
        <DigestValue>dzefWJnp69eYj4UOdIh5yHreiSs=</DigestValue>
      </Reference>
      <Reference URI="/xl/worksheets/sheet2.xml?ContentType=application/vnd.openxmlformats-officedocument.spreadsheetml.worksheet+xml">
        <DigestMethod Algorithm="http://www.w3.org/2000/09/xmldsig#sha1"/>
        <DigestValue>g5Bk6mygJQFSacxJJlOP8HlXxaQ=</DigestValue>
      </Reference>
      <Reference URI="/xl/worksheets/sheet3.xml?ContentType=application/vnd.openxmlformats-officedocument.spreadsheetml.worksheet+xml">
        <DigestMethod Algorithm="http://www.w3.org/2000/09/xmldsig#sha1"/>
        <DigestValue>Y8hFH44vN0qZ3bC8XhQ+K4hxiV4=</DigestValue>
      </Reference>
      <Reference URI="/xl/worksheets/sheet4.xml?ContentType=application/vnd.openxmlformats-officedocument.spreadsheetml.worksheet+xml">
        <DigestMethod Algorithm="http://www.w3.org/2000/09/xmldsig#sha1"/>
        <DigestValue>e/5+I5ImcTbbVZKuUbeKUcPKkPs=</DigestValue>
      </Reference>
      <Reference URI="/xl/worksheets/sheet5.xml?ContentType=application/vnd.openxmlformats-officedocument.spreadsheetml.worksheet+xml">
        <DigestMethod Algorithm="http://www.w3.org/2000/09/xmldsig#sha1"/>
        <DigestValue>kCzuhdSNXbgwAXpIj0ngm7yNpJc=</DigestValue>
      </Reference>
      <Reference URI="/xl/worksheets/sheet6.xml?ContentType=application/vnd.openxmlformats-officedocument.spreadsheetml.worksheet+xml">
        <DigestMethod Algorithm="http://www.w3.org/2000/09/xmldsig#sha1"/>
        <DigestValue>fN0ejI8Adg0IzuXAsnlFuYbZTHc=</DigestValue>
      </Reference>
    </Manifest>
    <SignatureProperties>
      <SignatureProperty Id="idSignatureTime" Target="#idPackageSignature">
        <mdssi:SignatureTime>
          <mdssi:Format>YYYY-MM-DDThh:mm:ssTZD</mdssi:Format>
          <mdssi:Value>2012-09-20T21:15:44Z</mdssi:Value>
        </mdssi:SignatureTime>
      </SignatureProperty>
    </SignatureProperties>
  </Object>
  <Object Id="idOfficeObject">
    <SignatureProperties>
      <SignatureProperty Id="idOfficeV1Details" Target="idPackageSignature">
        <SignatureInfoV1 xmlns="http://schemas.microsoft.com/office/2006/digsig">
          <SetupID>{DF84A607-1277-42EC-8AE2-27FC80EDA4F6}</SetupID>
          <SignatureText>tuncalik@finaquant.com</SignatureText>
          <SignatureImage/>
          <SignatureComments>The signer's password is verified by HP ProtectTools.</SignatureComments>
          <WindowsVersion>6.1</WindowsVersion>
          <OfficeVersion>14.0</OfficeVersion>
          <ApplicationVersion>14.0</ApplicationVersion>
          <Monitors>1</Monitors>
          <HorizontalResolution>1600</HorizontalResolution>
          <VerticalResolution>900</VerticalResolution>
          <ColorDepth>32</ColorDepth>
          <SignatureProviderId>{F4ECAC9C-B199-4598-8CD8-30C4C90537D7}</SignatureProviderId>
          <SignatureProviderUrl>http://www.digitalpersona.com/privacymanager/download?h=2</SignatureProviderUrl>
          <SignatureProviderDetails>1</SignatureProviderDetails>
          <ManifestHashAlgorithm>http://www.w3.org/2000/09/xmldsig#sha1</ManifestHashAlgorithm>
          <SignatureType>2</SignatureType>
        </SignatureInfoV1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2012-09-20T21:15:44Z</xd:SigningTime>
          <xd:SigningCertificate>
            <xd:Cert>
              <xd:CertDigest>
                <DigestMethod Algorithm="http://www.w3.org/2000/09/xmldsig#sha1"/>
                <DigestValue>E1vgt4gXpMnxgl3XD+imkxfPEsw=</DigestValue>
              </xd:CertDigest>
              <xd:IssuerSerial>
                <X509IssuerName>CN=COMODO/HP Secure Email CA, O=COMODO CA Limited, L=Salford, S=Greater Manchester, C=GB</X509IssuerName>
                <X509SerialNumber>298903372773703500194398860437841621510</X509SerialNumber>
              </xd:IssuerSerial>
            </xd:Cert>
          </xd:SigningCertificate>
          <xd:SignaturePolicyIdentifier>
            <xd:SignaturePolicyImplied/>
          </xd:SignaturePolicyIdentifier>
        </xd:SignedSignatureProperties>
      </xd:SignedProperties>
      <xd:UnsignedProperties/>
    </xd:QualifyingProperties>
  </Object>
  <Object Id="idValidSigLnImg">AQAAAGwAAAAAAAAAAAAAAI8BAAB/AAAAAAAAAAAAAAATNwAAqhEAACBFTUYAAAEA+MEBAAwAAAABAAAAAAAAAAAAAAAAAAAAQAYAAIQDAAA0AgAAPgEAAAAAAAAAAAAAAAAAANycCAA82AQARgAAACwAAAAgAAAARU1GKwFAAQAcAAAAEAAAAAIQwNsBAAAAYAAAAGAAAABGAAAAHDAAABAwAABFTUYrIkAEAAwAAAAAAAAAHkAJAAwAAAAAAAAAJEABAAwAAAAAAAAAMEACABAAAAAEAAAAAACAPyFABwAMAAAAAAAAAAhAAAVoLwAAXC8AAAIQwNsBAAAAAAAAAAAAAAAAAAAAAAAAAAEAAACJUE5HDQoaCgAAAA1JSERSAAABkAAAAIAIAgAAAKp8qLQAAAABc1JHQgCuzhzpAAAACXBIWXMAAA7EAAAOxAGVKw4bAAAu4klEQVR4Xu19CXxU1dn+ucvs2ROSEJYkQiBsFRTUKlCigIhWbQt+at0+pVa/v622hdp+rdgf1lZ+0Lq0VWuh1qW2tXxoaVGKtImCQgVlCxDZkgAhZF9mvfv/PffOvXNnn4QYneRchsmde/bnnHnmfd/znnMoRVEQuQgCBAGCQDogQKdDJUkdCQIEAYIARoAQFhkHBAGCQNogQAgrbbqKVJQgQBAghEXGAEGAIJA2CBDCSpuuIhUlCBAECGGRMUAQIAikDQKEsNKmq0hFCQIDi0DNCip4rajRcm5cf03EE6PE6CAjuZ46VLuUc4aI16xvDCaMThXdXkJYAzsGSG4EgfRAAAioClWDG6aiNKyrrcKk07j+vmVT1UfwZLXBIxqTRQbVrKiqXdeAI1ejqhDpaKyXQs4aAVat1dGKkSoWkISw0mN4kVoSBAYWgdJ73lbWzFPzLJ2/ZFHtiUZUX7dl+bXqI3iCNmzTJR94EBXUeKJ20ZL5pTjyvAfWhUVOLWccCzPjomCzYqQihDWwXU5yIwgMDQSAjqaOK8UcVFmutah03NQtdfVG66KDcASd0iC5ObIZk6Q5xwRQSxUziEhYQ2PIkVYQBPqLgKrcPaAJW6lf89ZUT11Wplq8NqPlsdP1L+eEqQhhpd5FJCZBYMghAIZuMDi9fU9seSZhc+etUS1givJAZUg0C6XoX87JUhHCGnJDkDSIIJAiAho7GKYskxpo1gEjNMSIIAiNocGlnHNYTcNTEZUwxW4k0QgCwwCB4LRc0PCOG1xeuWjt5hp817htAwqa1DUkooMMh4TG9avXGrYvNXKfcjaQjk4VsxOCUh35QxAgCAwnBKrD7U6LVBeF0KTdcs3jAWIF76KCcJh2BWPokVPLWcMactVKDuWm5Rl8GtUjFDwZBr8mpIkEAYLAUECA2LCGQi+SNhAEhgkChLCGSUeTZhIEhgIChLCGQi+SNhAEhgkChLCGSUeTZhIEhgIChLCGQi+SNhAEhgkChLCGSUeTZhIEhgIChLCGQi+SNhAEhgkChLCGSUeTZhIEhgICSRxHpcApWj6D6GyKciiyiCgLouyIsVOURaEYJPMIMYhiKZrFJ4ZRNFJkFRUK/uF3chEECAIEgYFDIBFhCbxPbr3aZjmDFKt6gqFFfQcaAmJiMXkp8MSqUA41yIYo1+7uwEvNZ0ps2Q+UX5ZltSPXtZRt3MDVluREECAIDGsEEhGWr3ung7+Toq1IUSUmYxEPXsxjLOhR1Of4dbAb/ehM9ozSEl+AV9rq1070IPqLqPgvRNQa1kOMNJ4gMHAIxLVhwRpDyfcnUPuQokpVwFlYvFJfoPpBAAVClvoR9EHa2srZfnTKNW1McW2P22KznOYsiMlB0gHEnxm42pKcCAIEgWGNQFzC4gMdduZDrPRplqigPQr+4DtJQj6/1OtGPW7a7Rbcbt+Ko9K0saOPeXw5Vsu5dveNhWDMohAjKL6Nwxpg0niCAEFg4BCIL2GJLTTqChqtDM5SbwQB9bql1jZfm+8WD/uch3n8mXNzcwtLmziepqg8RGe4O24soHmBE0VR8fwBSZ6BqzDJiSBAEBi+CMS1YfHeTxjP9QyjmdvVS0GygoCCfD65o1tobadzxrzgyppyxH3g9x0/KSspqO/tqXA6Dh4Xnpr2UzvqpqQmJJ2l5FMu+1SLo5SmBERRNA3qJOiSVmwagxttkhE/ARO+iESPGgpinRYH3nEcSKfQDorNGb4dRVpOECAIgNYWbz8sX+8hW2AJw1gUmZJlJEqSLImipPC85PHI51o87b2TRpSvhcDH2x6d84WCw73uAlb5pL7jG9k/HJdZoRq5LHj7LYlXFDelBCilg5abaaWFVjoZ1EZTEo3dI+AFxGQH/qKBkhgnUCTwFMOwNCiUQG6UTFMigyC5QOX9N2MdATZ+CsLIRRAgCAw/BOISVk/rh5n0MpCpOJ7iBSkQcHb4Rmzy+DwiNVcpoHy0j59iy7h8q/CWc0JjwO7wcz65x13Qdtmi7EUgRoFuCNKU+gbvjCpYgaAEHlsWbMCnRGwWw8+x9ITfcRo1PkVjsoK/akDwohBNyywlgPOXoF7Z2dkOB7hTkIsgQBAYRgjEJazejlqHcIsgKH5O4QK+lq5pT3blFZd3uay2XfVtN/hvG8kUdwttG3NerJo+qcHtyZMCez723+u8n8GyFZCRfmE9EP9XhSKNiPCFY6j2e5WnNFfTYAh8ANrSzPzgNKGG4Egsy2RlZeXm5gJh5eXlsSxoi+QiCBAEhhECcQnL23OScn854A94fYovYOv2XfoY1zK7vKBdZMZmM+8cqV+W/eA/e7ZWTPZ1sXaH7P9g/4nvFf90tKsEaEejJsxCur+7+kl7phFR0BVei6te2p26h7N6Q8EfU7AWh2ZomxVfIGFpuZGLIEAQGD4IxCWsgLc50HJ1r6/UK85BllmMpfivHRtb7R/kZhTJrK3EibbUfpLtYC6ZOrUzEOhtaSronX3r2FtUacjgK219TnCK0fw3xF4IySpJYVEq5Jiq4FTBSJowhi+QxSCKKIkOO1YGs3OyCGMNn5FKWkoQwHQSz+jOB9pa6x9u579jsWSyjAQanUJJv2l6lso+PrpwLM/YipwMoql2Uc4Q3P/cefqXU39lZWFKMSguxaSpoHyly1lQtCzJsiLDhSkL1iHCI4qRFbD0yxSIWHhlIhi8gmojWLzgI2iCIGGB+JWfm0GzNnWFIzaTke4kCBAEhjwCcQlL5Huaj327S37YwmIrk2oQx0reuqb1nowDk0orfIwNHlopYW/tgcX2b87KnxWTrMK1QCwuqQt5ME3hiUdJUmQF/mq8KcoWSupyojqnpY1BPkrxU0ikKIlS8DuE00hiaCAyHN9izcF0hgQkB+j8pUzu1UO+t0gDCQLDHIG4hCWJ3qYjd7jpRxkgJnX2TrOeg1fWH8681JPx8eRxk3yIsfja9+6VVk5+FEtr+v+gdclkZNJutUPGgKuwUCXJ4CoBVIWFLCxhMeAz4ZQ/GuXanGU7gRS/mp+u82F7lmba0vvLfDiZ7JXzltMjHhjmfUmaTxAY8gjE9XQXhQBoW1gvU2kKM4Y6Zwey0Z2j7rR2VZ4+c7KYFf594OjdY+7BlKPSjqbgqRSEJSh8YVoCDy4RpvZ47eK4AMf5OXzxcIfvFb+3K1/544TcZ7Nsh5DII4kFWQpJNBaqsFwF74x+oz+Bh/hFIclCOa8Y8l1FGkgQIAjElbA4f+fZujsD9sdo2gW0BWyF7UlgYlLt48BLvz/9+xO+owvyF1UVXKlymmnCDxKoDIc5TrVOYTUQJ8OqnMZoWLrCSqEiiBaLdOqC7A2FWfuRpGAOMktSYV0UnD8Ml7YgjR1V1FBsFulOggBBYGgjEJewBN57+tBtvH0lRWeAu3pQjwPVTTU2qayl/cGfNPOWprDBvaauaZ9VzlLjYq93rPup5ivVgCXDskQ5z/LRhIJNLnsTEmBHwJjzfib1L/qYaoWTnbPpsvVkE5uhPVJJ6wgCmFXizRJKIl+//zbB+QOEXJIkqAKRSjcwlYf/arZzjZeCjgtqbgaqGpXh2KpwhqkOp4RJPWwyx+IVo/SMythVmr+doXyYrUwyWqhvNM7TqTFGn8keuXg1nX8T6U6CAEFgyCMQl7BAfTu5766A7SFZtgNhgRFKlJAoiDArRyk8UngacRSCd56mBWxMghV/NLzDLB6+wUGUwNAQQWAoDkemeUaNDxEgE4hpYf1WSweCVTogWAWJyQy4LqiZWDCyP0BcgyXT47ZQ9vIh31WkgQQBgkB8wlKUk/vu97H3iJJVFHgBBCOusTxrS6a9naEw6dCUTAFDAdOA2wGmHCAeeEkgQKk3hsBkmuxTRaWgZIYlNOApyCBKDdQYKqhixuwj3ZiFRIUegSZsw3s/kIsgQBAY6gjEnSXEHlN0hrpHA57j8/nFbPrDkpyaTMthJ3PShk5ZlDOs1ExLLbTQQQldSHAjwY+A2ETwRocZPQZreQKrvmOJCr9AwMKzfmqQNgmoWvIjX6oyGdyRWdt/Wd+FOXgfVEfhOa9kfImw1VAfpaR9BIEgAgm2SIbNr1xgsVJ9EkDG8tuUZpV9rEgEnwP9JTNYSpLVlwL3IGxpKp6q5QVf+r0mXWmqXrT5POypKnaZlUEjt2A0jcgklDWfdCZBgCAwTBBItKc7omB+EO+EJYrgjc7ZULs22xcGjUFAGr+Y1wOGCCucoSKoyvgYjG8IXHo5EYZ8o3gwYFFOyjFtmHQVaSZBgCCQQCWEXaqyNWdQlbO8dotXF45MnBJct2wIUyYrVVBEMul0ILQZKh7cGB/hRrs3y18h/tIyDzpHhKLBbKN9GtmGlAxigsDwQSA+YYEJi8WEpbqrKzLf47BwWN0Lul5pEGmOWGHqn25mMrjJxGVmlTCYQbh9KujcpctmGkmFaEwvVHsicyhrsXpyD7kIAgSBYYFA/G87Xj+YqS21ESWZlnusDKdTky40RWhzZj4JoWfWDM1MpN7jKUR4l/WX9kRPrHlgBVnMMM8HBS4F9nrPICtyhsUwJY0kCGgIJBJPKNqlrU0GGxaLesGbQRWqzCao8Cm8oA0r6mFQFjOYS0a0iCw+ZIGTVjmgJxmx8FnBJx5KiPUh1oMYHt9rB98H9UT1PvRZQswIZBtDOpIgQBAYPggkOvn5TMPuk6e8HCf0eMQc6V9XjX8TdimO4TaloRXa/1NjNNNGC1iSUj8yAn5J9lb/iL0dlYe8408zY9vFAjfvFCU48J7LZbtLLOcmOBtmZB+qyGhgLb0IZiFlK56C1PIz8pb9cs6t9NifDZ+uIi0lCBAEEhFW06kDx092BDi+s0cYxf597vitCNkiITN4JMaGxcAuajC8gTpJKY29F2w6W7Wj7aK9nZM66DwxzwUHejGyhOAlKrJAiQIlCbRFEjKQd6KrfkHRjvlFu2bkH2RZ8PBy6LSnVkHyyOWv0tnzSBcSBAgCwweBRITVcGx3Q5PX5/N3dvsrnBsuHbcTKdbwNTRmJ3WdnkzSFcYRtD9GONo95bnj//W35itbhAKakZ3Zkq0QNmgHpsI7hsLqGhkOA+MVxMF6aGAuGTbs43gLL7IZtO+ygv3/M+FPi8bU0JCVaFf7Bu9Qiib/h7LkDZ+uIi0lCBAEEhHWqfrDx+pb/H5/Z6f7wuw/XnjBQdh5Kg5k+joas5wF96yvmyt8+pO71p/6Woec63JyFrtMZ9FMgZUD3pJou8RbRc7C8UpAEnxUwM/6/DaeY1mJZ0HiwuutqYAIOwjK14ze/uiFz04pOIhEB/Cc7JhBT9hApgjJCCYIDCsEEhFWc9Opw3XHQMTq6uy+dMTvK8c04vU0EVdwExlD1NLkLNiYVEaWwHvnvvRw7ff2+yZlZHJWlyLbGSnf5ihgR7Lei5nGKcyZYqXHIfIKLwkBv+Dt8PR6WnvZk+6S/b0XnvSVucUMCxItcBwhQh7RWWDrWjn9+XsrX0OiVx65li66a1h1FWksQYAgkIiw2tvb9u7d5/H6ezrbqkb/trS4LT5hGUhiJwWKATVQ+c3x//7psfs5qyMjG1b8WQIue9EI+dpRZ66yHbmIaRKV3NPcuOO+UU2+jG4fCFaKEOAtXGsxt2es/508/tAZbtQHnnkfuS89GbgA1jVaKZ6XWU62fmPChtUzH3NM2YZsFaT/CAIEgWGFQCLC6unp2bVrl8fj7+06c+243xbmuvGcXcwt9jTMcBCNGFGkmB8f+v7zZ27Btqpshc9yOHPprxUfv6+otszSGFDG7BXmHg2UdPpQrxe5PcjtRz7YEYvDS6cFcFeQhTLhvbn808XKkW65cLf3ixvblx73jbfRsKGN0is4vla2/cX7FtmtUTMAw6rrSGMJAsMPgUR+WNqBESKYkWRYlyNomxyHv/Q1OtqKG/hPCxJFrTjwo2ebvp6ZL9jyUaAgc8aYnj9O+ssTY/9RZjtXR335LfnmI2JJJ486/cjrFVjvmTz3vkLfx06uUeZ9PI9p6wh91WvWdUeYa3IsPQvz3nli3MM3F/0ZCoPdZLItnjcbLvvff/gF2Bs5hath/TX6IdQrapLGr1kRjHzN+oakkUkEggBBYHARSCRhdXV179z5QU9vQOzdu3Tan+w2mMmLQ3DaMc9gt2Kl/z30w9803Z6dw1E5rJjjvGPsof8d/fdMG2ySVfSxcs1BoZzjUIcX3BI85Z7qsd53s/mTrOSBfRcExdImjf2Iv+oD/yKflEFTigX5F1FPzaT/LiPGxvA1nXOfbvhmt5Bjpzkvr3znqqyffjmVWUKgrPJlW1RcF62rf/uesngQd79xTe5X1YiJ4w1uF5HSCAIEAR2BhAvx8H6eCpy+ZaXcLG2WsEw7WAWXFsK27mBl9z978o5nT9+SleFXHJRss/1wdPXPi192yW7EOff7L33fXd7SJZ/sQBldR270/mSB/Nupjn1jMjsyLDyrcE6pY5T48bVozd2W7xRRR3mJCki2v0krmmyXZTpkAbkWFu74WeUTI61nIchpUZ75d/dbtd4UurLsnj9tXK7F27Ls/riSU8P6WzS2QsurE7BaCgWSKAQBgsCng0AiCauzs+ODD3a2dfjypK3XT31bPV0iyoKl+TFAmNX3buvcWz56SrFbWBctOR2PTHrn/lH/7JVYhs1pVSb9ib+lJ4B6vMwUec/XmGddSicvor3nit85PflETzFs8j7G0TQ7/yNwcKcUoUMe/Tv/z85K42AHmYmOI4+MXAFnhHkCtAO59/nmrTry/5rdeLPTXCe1ffnYkdlscnBA16tam0DKMsLZ724TfnFV8gxJDIIAQWDQEUhow8JmKYUXRRvjoyjw74yyYcEqQO00eZrr9I/44f7vBiQrS4l+gf3WyH/enbOpuUN091K8V9naMf1YK32qhS73fvh15pd2udsTQJ1d/udq5689dOvW5su2tlyxruHmhw78+I9NX6GtmSNtzUsdzzCyh1K4Q96J//FenuuScrPhUFfL5IrpTy4tssIGzYrU7hYe29yeEmjz1lQnkLJqVgTZDC1/h7BVSoCSSASBzwCBxCohJixY+mxnverxOlF7GaubWMFBpojif3H4rgOd4xyU1+Nnv5L34TdHvHmuQ+zt5eWA2Nib8X57aUcHz/f0XM3+RRa8Pr/c1SMEAuJNo7cUW8/ZKV8G485kev2i5TdH/+v1s9dlZTmnZx+62PaeT2BBENvedZmbs8AB1E6nTcyYPqvMtmJhLuzSxdLKq7u6jpzjUkFu3o/iKIZgugoJX2vmpZJXWsU5/eZzpYufe/msVun2lx9cafqIwkMHtmF1KxevLFusFRdZ7sCWRHIbJggkmSXEu+xJvAMICyQp9YSvsBc2YIFB3PdR2xf+cPx6F+UJ+OmJllPfHft6dy/X4xZFDlbmBA52jzzTZe3sQePlvcXouJejm3rsAZ5iaeqi/BM3jn0/IFo08Q2crRy078WjCz7xlGW5qMtzPsCbXsn8cf8F7YEssKb5UaHNOdrDSTfOyLpinAM264K9mZ/elpqQlfOVWFJWyHS1aN1z8Q3yaTweGhqaYcajvERrQkE5PmDI+IjCQxM28+yOJSoBGa/SB3ecjpsC2Oq1lxbe2vDWqsa37r+jJLLcNAaUVP2zQyDJ7nfqkfOCE7Z8MfRBoC3MXJq0JcGRX13e/B/sfsgTsMDaZYsYeHDcJqfU3u2FM8Hg/EF4JtR7CrrdcBi9OJ4+giTBz6HH9y75/p57d7ZPo632+6dsLc04B3Z0vEG7AqfO810B+7Yz00SFLbOfzqY7IJtuPqNHyoV9udyWmRarIwBhDHV/VYGFlllKfmNPZ1OXkBKGUYphw/r7tQlEMF0NiKVdFVg2bk+pNoMTqb2+HqGFk+fopc15CBjkq/rHyNDYddqzEQtKy1offGsVEJDxerV865zFK5e8GeMH4/Sb1S+hkY/dVGlkGF7u4LT9Uy/l89fdn3qTP9sCkhAW9nSSeae2ObKxqTG+UUUtUAnpwLvNF29vnm5HXl+AunLEvkvzDrR7rXiTUrBuweFfCmoPODm/qPD+HKo1IFIdfseRrpKdrRO/v/vu+3b8z+7W8V8r3wkGKfVUaXxUK6WIDb35bsFuowPZdDuohLyEeMoOTqle+0xYPwhbzPOSkudiXGDKkqVRuWymPdV9R+etqV+3SMV8y7KHv/WDIF0NmOmqvbq6GVUUln22vWou/WzdpmNoVllB7BolDlXT4O/kypZV68w0F8wMOKjhrVsnv/BMNGf1QXD7/GDV55p8/rq7z01IswTJVUIkB1xWv8pQ6pmDWCtUbzTOEi1VhTvnjtjl41lG5hu7s1s8LqA28DZFNANTiLBnKcfJfEASOTgzTBFklpctkoScjA9O4Pmwpex7739908kZDsav5w9ymcxQEJf2i1aPANwnyJIAtnyBciHHOLyVA5wcraDX/tPe5eHgxMTvLyrKckQtcozbEdjLQaOs13+9WvdjGCjTVfvxYwiVF3yO9hU827oHNrYYHY+wEoYCRns2zn4BPbYOdLp4gFauWjV99wt/1W1kWrTUBLc0+7JEV/fz191pD2mSBiRVCcHa7rOzfFAN1IxWwT1AMWGBUphta318+pNgwKIVcX/bqFeOzrZYZJmmFZoR8Slhkk12wzpAH0+1BbIkmbJbxAJbjyjCafeig/JbKO6UOweOlKZgoxl1byy4Kc9qYxmlmS886wdNUHTRvfm2bo99utVZEID9mmlqT6P3z++fA46bWGz78oyc1LsJNlCVsm54Lihl4XTgJDoQdIWNymWLX3sZxMqtr2EFSrfvbH8KrM7hSqJqDDKkkpBaYTISrQSaCbuCBmzNfhQh0UARYaalkIkdnT7ToqCR43W6iTCxR4QivQJ66XUrV+6bde/SEFupuqFqR9+4fc/GYLtmzn2sonnTh5piqOHwzMpjYThElmsozomajBK0S8MmQYSksCfNIWG/xO3uqKGYoOPCgiJ6PFR6CHN95kR/Ah0RNU5S/yqkZcxkhIWQhfKBl7muA6oGrIgXb5s1Yu/t5Zu8sHkMCvz16MwdzZUOK0RiOQnvtFDItMgi7+eVI+6xnGJxWIXLRx4VsB8VpjxQBuG0VV12k3mJHu3qnDv6KGLovb0TezgbLysj2dMt3pyz7A3Ad7BaqLlX+OU/GoHIYJn140vKXNZU9UHoIgYOA6LD4m/Z8K+GAei7gjueXrX93pHADqA9YUvz07NVOUuVNSKUxHCpR9WeUD18h1ejJ7GF6NurKtBLK0McB2MXqPDwvd8OGo9AomnQzUbqF/62+oXbddPSKwshs3CbesW0Kp2wcFlxPuJSlm3drZrJV83EVVftUNMfvDEonWEKWIleUQtqXIVuX7lPN40VVFWN1KsUG4cY5SZsskadCdqVLEJy2JPloE1HxOuXeN0dNpISdFxEEIycl1eGsY+KWGE9YL5jstrvt96Jmh95vQ4T2SuFandHjpMBGMWf+yySqYQybWO8FnBzj54i1GcMsbuDSC+f8uKUrOOcRMNKwKc/vvJkTxEDKqJE+0RrhaveDh5VkrCzvfJsYISgsIvHHZyaf8rDwYbLmpoZfEEhVkq4dfIuKK6mccKWs5fAcT20wrtE+kjgZq+Q0+N1d3r9T21uaGx20xbr1eOlBZOcfQa5+w3ddKUmTeT+3re8YxlusNYwq6rSrCSqcs30BSopaIxGoX2b0FKd4/D3H6GWes0R4eyO77zQPPPeb2/QiQPN/GrjQ5oxu26lSjF6wmh+rHsHtokNqahxPwIZzXmh+Y5Vq/Scce7QnFn3zg2a5/dsvG3ryMfW6db6mZPvQCHT2JjRRai+3ZgxjMIhotxkTU6hXckanhT2pNAlrWSyCdYEHRcVNObGpfhX6hVj1lUt/djWTWXf1nukYHwFFlpnN1TFHid9G6rpGjuZ0V1BDjA2USABxVn2rE4XgpBU5Gx+4uKnbBRHI6nZnfnzXQvOerJoWgbCKrG3Tc44yglykyf7r2fmiDKdbQ/86IqtXyo7Ca5VWGjShTYn7C+af6LXk/vOqQV/brzupLcIyUKx1XPZpJLCUWNYm8XLiy+8c3rnoQ7Gwpa4xEe/XMgwDGbM1K/uN1YEFwyi797/gJZugCgrluFmz2FQEiNMSNqPZ1mwzvirpVQsfNLgo/C2bH996+44odufeg0koFeD5KWxm2piN/jxbPthE62g2B8RKHFARiAYaoKVfmGW0Wve/vIrIE9VhXRDnNXI6y+JaRqLwiGiXJSsycnaFaPhap6hhieDPTl0ySqZ1E6XqOOgT02iqwq46vZxrLVBQ1/tx+hRAb9z5u4eHjMbYd+HhKfm4BO4kJ31w1yffpSp4Tsa5ZPF2xeMfu/HX3iBE1krxdW1F/z0/avAOEWxoPWh60fvzGQ8lBz4x+mLf3t88WlPfpePnVN4YFbe4YrMtguy3ZX5nrll7qXTuUsmFY8YPfksU36EG4VETpbEq8bJrgwHa7NxMvWHmubqvZ0MC4Yw6udXo8rxZfjQRPVKkbJqHv+qtkIH/Bh+8eyvErm/p5ijES3WjFukkQhHDhc31K/Wnbdr+qN2qXNPQbUOR44Q0MyEYvZXUAd6uBE9hY97XnjtkWPTX8WuUvEbrDbtztkhH4XTHx7cbVI8oZkmOU7lDvO8ZEQ1UmhywnapAJocNXC9wxkqGeyxcuhbJfXfhnjTr2ov96HjNOyNnzG1MmGjQhtdhsCrjpMY1oa+Dtp0i5+IsMBaBGsEbUwAwUbrkW7uGmFpi3VUIQveBctDU159cPJrnGS1M1xdS8Fj7161v3VUl5hpkdxTrPvhuDCQmDaduvgnH97wj+OXneGmTxybXzWFnT+Vnj+VnTXBMaIgk7NkvHvW+c7pLEEQGEW4bqJYUeygbdZWr/T8200fHOhiGApWJz72Jd+1VZdCHI2qUiWsqCU4cd3f+9GRsebjYvwGhosbsb5a6tyT9oVUI8e+IsUWHCsit+079oVZ3CMM8Kpm+sq6hbPQvqdj+VKFlxuy3AcpNUQZmGFDdBYl3UQa/sOroXF0RJMj/DDCckih4UlgTyGHJP0S/dsQ0Ul97Lgg++jKe7jRQM06xugajnOUSVRCilYJK+jNYJaq1EU5WHgCUpMoVqTs4KrAIov10YvWLx39Fi/b7azQ1J2xumbOL/49862jFxZapckZTeBuxUhcs1C0y1t50FPUxGf3KM4AZe+WbMe7Le+esr560La7yQbupmDMWnoRdUWFU6KZ3Sfcv9rYUNfgpllYTUg/9iXvXV+p4nnY7ibIVnhhdlIhK7QEB/Zj0CcGw9zfy1PYMSsuk8X9VQ+XBbCmYFKmIqzR6tAM1+MSOCVEBtX97gWzU7v2C2xY3DWnoYiPhWUlsx9ciKL8EqAe2Ghy+EysVQR73oNJwBCn7HkPZDTdJBdJmkF2i2/4T6HJEe3CKcK17IgIMQSoCNiT5aDap0x1jq5krO6OHBtxvUmi+zRMPI/h3hWjuFi024/f2fRKkoSwcrMzsxyaAQvEGI2eZIqRKJtEZSDkohXG2stlHG0u2LJn7PObJ/74tUu++8pcuvHYdKEaPDytDDhhodrWkftbCrulrAuLApeXtGZa/IrI+QLyoY7MrfU5/1eX+eda558P2t84bN91ytLtgdWL/AUF8t1zbOOKrIeafC+/0/TqW6e63RxjtebZhKcWK8uWzoejMfABFepeEdp7siu0BAeUwTA/hpD7O1pb1X/KSsmgsGfj7aDOhJQplVMi/LbMv6UlBZMRemlHXbzWmQkFJvVAuzTpShG/wHE/znlInYFaHbHOxjT3h6uBp6jU7+2OJTsKwUIcvODjyn13rjJc56O/6pHlJmmymm/CdqUUIQyxSNiT5pCsX9QZCfNsbGQHJei4GEHtL682W7ViiE7RBKpq5fHMiMm+DWkbnoiwaIYROK/NmY2sCghQlItGNlaU7ee6cz84POrVf018YuOs779+5Q/euO7Jmhu21N9wSlzM5lcVl11WPn7a1ROoBfYdDsUNLMPSYlsPvf2I9d3DFCVwV4zpvWSMpzgzYKf8sFCRC0g+vxQIgPsVn2HlK4ql62bQV1ayDU2edZtOvfhmw+Fj3eCIAIt4ZuR0vHJX0VeuvsLtdgNb9QlzYwkO7HYVvR9DSDFEaxd87199yjlhZCykoK2HtZU6eEJ6x2TsdhAyVcRwQ1f1OENgqVwA8bdWG26Z25/SnXFKKq+vAMnoPSPz2Q1F5pm7JK1Qf591PQ47f8Kc1O/Cnb/GXDJtVrDoylWgOWr+ZeB78dDsOx5eiF54Rl2vc/D6MGt9xIRgVC1iWfrCmpy0XdERqhHMFpi0yGSwJy0iaSVjgat6fhmLzON3HIoIApeuZx45ZpqBDesaraQYqKb0AzlwQ/lzklMiwhpRUHDddYsPtV9ad7Jk2/7x67dd/MRbCx/9501P77pz27llbY67s8purrjwuhkz58yYcVHlxIpRo0ry8vKysrJcLpfdbv9iRe7tYz8ZrxyGAwhpFmzvUnO7smO/XL07cO6Mu4DuLc/yjM/xX5DnH5cfmDiCmzSCnzyCL2D8Rz9p/+OmU5trzjY1e0F6Ymz2bAv3rQs7Xnzwi5Mqynt7e6O1P3iSSM6qWWHacjSWl6hJMRR/Ob9/Utacm7Ax6Pbg5gRa/xbAF1t7CN/t74DjwkMFYfJFLMNEhCUVlr+8urB55bKga+jTZYYbJ7gCgWRkyvymwnCDV+U37h0JE+H6twh/T0Ifz7bC77PhUIpmzlWdv4zvm1r9ktlP3oseWaY+LJm9QfPA0vzLjI8R1voYekpkuVGe9xHG46Ttiopwe1F4nslgh35JDF0q/RKju8O+1PE7DkHQjnuR3qfPPIIW7jDDGNE1kGsMVIejxR2QSGL68fl8jY2Nn3zyCU2zLpfTYmFB1gHpBubmtHftBi7RdIEtHC4IAhKB90One//TUdCkjAL9EQk8MJdqwkfgDG9hwZMT76IOVYHpPkFUYNUO1vHgKURGci7jrRrju3ne+EkTxkFWWNICkU29wKEBLn2/9mAmMX4HVD+GRHv36WlCe/yRLZJNOIJgCC5aMMW+I+gKq4eBMrhs6+RV4c4Q4IS9ch/4c4V7SHy6P89Qw2Trhz7dCpDcBw2BRISF90cWYdcpTElg4dZoCJ5oVKUFGZfGVxANLo7jAoGA8Q75eL2+ky3eIz2uU3yhD2VQrB1R4D+lHlJvXJhzWGArcBZ1KN4Jmb2Xl7OzJo0uHTNKIymQ2uCyAGvqhKWxFbBYfLxS3tAdZ9GnyIPWR5+LgjTaMlcF5h+j1xiCWnTbVnCSCJm0BqH2uND6KD4dhIJJEYOOQBIJC7gJb6GgvmvMpX3UvJ802coQtTQK03hNoy0wjQNzeYGufHAcDg8f2zu7W3q4Fi/dycF6QnsA2XlkAX0ONoqxUzzY1Itc8gWF9illI0rHlOTn5wM92Ww2h8NhUJUhWGH5MJm5vU8MBM1jev+mn0NBpKx+DEbVHAMKToQs1o+c+pAkuPGW2Ue/D6lJ1LRCIAVvANXLyXxBAyOeGO4FZoIzE5nGYoaqCLwGdIZZDGuO2HwOMhRwEmidYALTuAkuTbDSGMrQ/gx5Kilb9aMjBF4Az4mIxYb9yIckGTwEVM0UmZcuDV7ZpKTBRiAlwtIqZZi6Dc9y7Yk2YWfmrJiMFmEpN3skRFOPYZkCejL0vghz1adBWIMNPynv/BH4LKxm519rkkP/EOgDYUXTlvYkgrAioqVSrQjqMT4apKZRFWRFSCoVPEkcgsBQRaDPhBUBRITclMDhQAvSGCemtGXkHI+/hmofkHYRBAgCKSJwvoSVYjEkGkGAIEAQOH8E+rD13fkXRnIgCBAECALngwAhrPNBj6QlCBAEBheB5JscDG59SGkEAYIAQSAmAkBWRMIiY4MgQBBIGwSI0T1tuopUlCBAECASFhkDBAGCQNogQAgrbbqKVJQgQBAghEXGAEGAIJA2CBDCSpuuIhUlCBAECGGRMUAQIAikDQKEsNKmq0hFCQIEAUJYZAwQBAgCaYNAYsJqXH+NeRMqfH/N+kYEm5/jP/29zjO5qVio3/lUpL8N6E86aHTY2RYDB0KoNqY84RauFStS6qnzq1tEauOjVgXjiuioxKH9QThWmjgDOJXsP40OSqVcEichAokJq/Set9Xd+hrWLVq0rkG9ffue0vOFdN6agcjlfGvxGaf/NEAI5Vmzee3yakVZs+azhRrXIXhVT13265pwzBOHRvVPn36dgpE/nQH8GQ+dYV18equEpeOmTh133gQ6rAfAYDW+vHJR7Ym4Unni0MGqIynn849Avwmr7teatqhL+iHhO1JJCwn/QZ0oSnPR1AYcioNWrEicM45zDY4CCeatUU8ZjCrCAN6IbFTVrIsEqxqdPOJJqMY4QGsGbjC+CzVce26unqlmVdpBY2EV09TqeJXXC1CTGDWIxNlcXDCSdlzZ2iqongnq6A4yCo6sGy5ww31ar2CIYtekT4O7cduGLfF/W4Kh4dCFA9u4/r5lW7YsK1O7LLotCSLHrGdkr0X3Y1hXBRXb/h1Y2SegSOTECPSXsLbUVj6Phf2gpF+zoqzuYU34b1iy4T6Tgatx/epaTZtsWFe7OtzyVbOiyghbpNczlZy3TMWF6SeiJioCct2ClqjlQ1VxxUBvCldTopNHPZn3wDpUB2fKo8YTtQhpkkJ9HVr3wDxo+AYte6UaVQUJ0KhezAaGd0j8ypfe8/DytZtVEkRYxXsYlPGYOIejgXALq5cjULhMR8ZGJ0xctzDQUIyahLUCyNG4zOwXel62bGp15Am2sUJN0IUDi+55XrVLgEkiVlviRo45/KN7LWY/qmmTjC5CMIOLQH8Ja9GS+SZVDL5P+Bddvcrgh1D9cmsXaG3wu4jlofp73g43gMG3X88GYukJUsl5UWW5CaYEReBYeobzrl2uVSxCsohOHuPJ/CW1wB0gCUytrp66YRtMPGyuBQig4UZ9jfyRXr3YDQzv4ESVhxw1xoLCgBxV3oqBczgasb+hUQmT1C0CtKiahJdiskZhrjQu8/PoA7djheptiQ2sTt4RIIRFTsFqF515guKSjK7B/bqS0vpLWFHI6UZ5VdgwD86gRNNQuTqo9hlJ6+sSaAmhAuLmbESJX0R0B4MuUIWCtuDgdys6efQTGLa1J2q2bUCV5eWVaMO2mhO1ya1nKTUwUeVBssM8qZGj1pbkaMQZ1BEJU6pbKKsYNfkMvzz9BqE/de7L6OpP/iRNXxAYGMLCwoU+CRRm8AgZX2C+xvzbi+uIf7aDSiIWHWJeCXI24uuGmhhFmPPEv6KqZGYSgHB4dPJYGc67duqG1RsQEEfp/CUIbqdeO09twhYsb6n56PmHiDSFBiauPJRVu3mFwVepoJEijKmAb25URE36Msb6EzcBsNEghEVOwZEjOvMExaU4uvrTSJKm7wgMDGGB2QQsVJpOiK0JJglr3hqwHWGVkKLAYIX1GtPPthG2GZkUibBWxM85xAsJioBImkYKxaNqUEnBMqTXB5RXlTejksesMzAWGHawoIMZa4vKVzgx2OzM+UdUXm/86lrDSBfeSYnwgZiYJ9aG5KsU0Ig9BqIThgqOVbdw0HCeETXp+1DrW4poYIO62YqaWG2J7AUjcmz+juq1+P0Yq4MiHdf61jQS+zwQ+Jxs4Adi2X3o+QHw8YqEAobW6kpsqT0PjEhSFQGAcvO1Ydo+AYYgMNgIDJCE1a9qm9yQQSx7npBKv1AclER4niJKQB6UkkkhBAEzAp8TCYt0CkGAIEAQSI7AZylhJa8diUEQIAgQBEwIEMIiw4EgQBBIGwQIYaVNV5GKEgQIAoSwyBggCBAE0gYBQlhp01WkogQBggAhLDIGCAIEgbRBgBBW2nQVqShBgCBACIuMAYIAQSBtECCElTZdRSpKECAIEMIiY4AgQBBIGwQIYaVNV5GKEgQIAoSwyBggCBAE0gYBQlhp01WkogQBggAhLDIGCAIEgbRBgBBW2nQVqShBgCBACIuMAYIAQSBtEPj/bUoy3OMy7zMAAAAASUVORK5CYIIAAAAIQAEIJAAAABgAAAACEMDbAQAAAAMAAAAAAAAAAAAAAAAAAAAbQAAAQAAAADQAAAABAAAAAgAAAAAAAL8AAAC/AADIQwAAAEMDAAAAAAAAswAAALP//8dDAAAAswAAALP///9CIQAAAAgAAABiAAAADAAAAAEAAAAVAAAADAAAAAQAAAAVAAAADAAAAAQAAABRAAAAeJABAAAAAAAAAAAAjwEAAH8AAAAAAAAAAAAAAAAAAAAAAAAAkAEAAIAAAABQAAAAKAAAAHgAAAAAkAEAAAAAACAAzACQAQAAgAAAACgAAACQAQAAgAAAAAEAEAAAAAAAAAAAAAAAAAAAAAAAAAAAAAAAAAD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2lyAAAAAAAAfCb/f/9//3//f/9//3//f/9//3//f/9//3//f/9//3//f/9//3//f/9//3//f/9//3//f/9//3//fw9/MwH/c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Dn8AAHwm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H8pUZ9P/3//f/9//3//f/9//3//f/9//3//f/9//3//f/9//3//f/9//3//f/9//3//f/9//3//f/9/7n40Af9z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h/Dzz/X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5R/MyX/c/9//38OfzQB/3P/f8BhHz//f4lyAAAAADMB/3P/f/9//3/4fwA4AAAAAJwm/38PfzMB/3P/f+BhAAAPAMA5Hz8OfzQB/3P/f8BhHz//f4lyAAAAADMB/3MOfzQB/3P/f/9//3/4fwA8AAAAAHwm/3//f/9//38PfwAAAAAAAPgB/3/4fwA4AAAAAAAAHzv4fwA4AAAAAJwm/3/4fwA4AAAAAJwm/3//fw5/NAH/c/x/IE0fP/9//39pcgAAAAD4Af9/D38zAf9z/3//f8BhAAAJACAlHzv/f/9//38OfzQB/3P4fwA4AAAAAJwm/3//f/9//3//f/x/IE2cJv9//3//f4lyAAAAADMB/3MOfzQB/3P/fw5/NAH/c/h/Djj/Yw5/NAH/c/9/aXIAAAAANAH/c/9/wGEAAAkAICUfO/9//3//fw5/AAAAAAAA2AH/f/9//H8gTZwm/3//f/9//3//f/h/Djj/Y/9//3/4fw88/2P4fw44/2P/f/9//3//f/9//3//f/h/Djj/Y/9//3//f/9/Dn80Af9z/3//f4lyAAAAANgB/3/4fwA8DgD/Y2lyAAAAADQB/3P/f2lyAAAAAPgB/3/4fwA4DwD/Y/9/k380Jf9z/3//f/9/aXIAAAAA+AH/f/9/aXIAAAAA+AH/fw9/MwH/c/h/ADwAAAAAfCb/f/h/Dzz/Y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k380Jf9z/3//fw9/MwH/c/9/4GEfOw9/DgD/Y/9/iXLXAf9//3//f8BdnCb/f/h/Djj/Yw5/NAH/cw9/MwH/c/d/ADwfOw9/MwH/c/9/4GH/Og9/DgD/Y/9/iXLYAQ9/MwH/c/9//3//f+BhfCb/f/d/Dzz/Y/9//3//fw5/NAH/c/9/wGGcJmlynCb/f/x/IE0fP8BhnCb/f/h/Djj/Y8BdnCb/f/h/Djj/Y/9/6WEpJZ9Tk38pJdcl/38OfzQB/3P/f8BhnCbufjQB/3P/f+5+NAH/c/h/ADgfP/9//3//fw9/MwH/c8BdnCb/f/h/Djj/Y/9//3//f/9/k3/vJTM5/3P/fw9/DgD/Y/9/iXLXAQ9/MwH/c/9/D38zAf9z938PPP9jD38zAf9zDn8PAP9f/39pcvgB7n40Af9z+H8AOB8//3//f/9/D38zAf9z/3/gYXwm/3+Tf+8lMzn/c/9//3//f/9/938PPP9j/3//f/h/Djj/Y/d/Dzz/Y/9//3//f/9//3//f/9/+H8PPP9f/3//f/9//38PfzMB/3P/fw9/MwH/c/9/4GF8JpR/MyX/cw5/DwD/X/9/aXL4Ae5+NAH/c/9/wF2cJpN/NCX/c/9//3+UfzMl/3P/f/9/7n40Af9z/3/AXZwmDn80Af9z/3/AYZwm7n40Af9z4GF8Jv9/+H8PPP9f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UfzMl/3P/f/9/Dn80Af9z/3/AYR8/wGGcJv9//3//f/9//3//f/9//3//f/x/IE0PAP9jD38zAf9zwGEfP/9//3/AYR8/Dn80Af9z/3/AYR8/wGGcJv9//3//f/9/Dn80Af9z/3//f/9//3//f/x/IFEOAP9j/3//f/9/D38zAf9z/38Pf9gBiXLYAf9//3/gYR87/3//f/x/IE0PAP9j/3//f/x/IE0PAP9j+H8zOYlifCaJcngmL1H/Y+BhfCb/f/9/D3/YAQ9/MwH/c/9/4GEfO/9//3/gYR87/3//f/9/Dn80Af9z/3//f/x/IE0PAP9j/3//f/9//3+Jch876WGfT/9/wGGcJv9//3//f/9/Dn80Af9z/38OfzQB/3P4fw44/2MOfzQB/3PgYXwm/3//f/9//3/gYR87/3//f+BhHzv/f/9//38OfzQB/3P/fw5/+AH/f4lyHzvpYZ9P/3//f/9//3/4fw44/2P/f/9/+H8PPP9j+H8OOP9j/3//f/9//3//f/9//3/4fw44/2P/f/9//3//fw5/NAH/c/9/wGGcJv9//38Of/gBk380Jf9z4GF8Jv9//3//f/9/4GF8Jv9//3//f/9/lH8zJf9z/3//f5N/NCX/c/9//3/gYXwm/3//fw9/2AHgYXwm/3//fw9/2AEPfzMB/3P/f/9//H8gUQ4A/2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5N/NCX/c/9//38PfzMB/3P/f+Bh/zrgYQAAAAAAAAAA2AH/f/9//38OfwAAAAAfP/9//3/ufjQB/3OJcnwm/3//f+Bh/zoPfzMB/3P/f+BhHzvgYQAAAAAAAAAA1wEPfzMB/3P/f/9//38PfwAAAAAfO/9//3//f/9//3/ufjQB/3P/f+5++AH/f+BhAAAAAAAAHz/ufgAAAAAfP/9//38OfwAAAAAfP/9//3+Tf/glk3/4Jcldn1PJYZ9TwF2cJv9//3/ufvgBDn80Af9z/39pcpwm/3//f8BhHz//f/9//38PfzMB/3MOfwAAAAAfP/9//3//f/9//3/4fw44/2MOf5wm/3/gYQAAAAAAAAAA2AEPfzMB/3P/fw9/MwH/c/h/Dzz/Xw9/MwH/c8BdAAAAAAAAAAD4AWlynCb/f/9/wGEfP/9//3//fw9/MwH/c/9/D3/XAfh/Djj/Y+5+nCb/f/9//3//f/h/Dzz/X/9//3/4fw44/2P4fw88/1//f/9//3//f/9//3//f/d/Dzz/Y/9//3//f/9/D38zAf9z/3/gYXwm/3//fw9/1wGUfzMl/3PAXQAAAAAAAAAA+AHAYZwm/3//f/9//3+TfzQl/3P/f/9/lH8zJf9z/3//f8BhnCb/f/9/Dn/4AcBdnCb/f/9/7n74AQ5/NAH/cw9/AAAAAP86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lH8zJf9z/3//fw5/CQCfT/9/wGEfPw5/+AH/f/9/aXKcJv9//3//f4lyfCb/f5N/NCX/cw9/MwH/cw5/NAH/c/x/IE0fPw5/CQCfT/9/wGEfPw5/+AH/f/9/aXKcJg5/DwD/Y/9//3//f2lynCb/f5R/MyX/c/9//3//fw9/CQCfU/9/4GF8Jv9//3//f/9/4GEfO4lyfCb/f5N/NCX/c4lyfCb/f5N/NCX/c4lyHzv8fyBNNAH/cw9/fCYPfzMB/3P/f+BhfCYPfw4A/2P/fw9/MwH/c/x/IFEfO/9//3//fw5/NAH/c4lyfCb/f5N/NCX/c/9//3//fw5/+AH/f/h/Djj/Yw5/+AH/f/9/aXKcJg5/DwD/Y/9/Dn80Af9z+H8OOP9jDn80Af9zD3/YAf9//3+JcnwmD38zAf9z/H8gUR87/3//f/9/Dn8JAJ9P/3/AYZwmDn/4Af9/+H8OOP9j/3//f/9/+H8AOAAAAAAAAAAADwD/Y/h/ADgAAAAAAAAOAP9j/3//f/9/+H8AOAAAAAAAAA4A/2MOfw8A/2P/fw5/NAH/c/9/wGGcJpN/NCX/cw9/2AH/f/9/iXJ8Jg9/MwH/c/9/4GF8JpR/MyX/c/9//3+TfzQl/3P/f/9/D38zAf9z/3/gYXwmD38zAf9z/3/gYXwmD38zAf9zaXKcJv9/lH8zJf9z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TfzQl/3P/f/9/D38uASA9AAA0Af9z/39pcgAAAAA0Af9z/3//f/9/938APAAAAAD/Ov9/Dn80Af9z/3/AYQAAAAAAAB87D38uASA9AAA0Af9z/39pcgAAAAA0Af9zD38pAQAk2AH/f/9/+H8AOAAAAAAfP/9//3//f/9/Dn8pAQAkAAAzAf9z7n4AAAAAAAAzAf9z+H8APAAAAAAfO/9/938APAAAAAD/Ovh/CTifU/9/4GHYAf9/k38PJP9jiXIAAAAA2AH/f+5+KQEAJPgB/3/gYQAAAAAAAB8//3//f/9/D38zAf9z938APAAAAAD/Ov9//3//f/x/IFEfO/9//3/gYXwm/39pcgAAAAA0Af9zD38pAQAk1wEPfzMB+HMAOAAADgAPYzMB/3P/f4lyAAAAADMB/3P/f+BhAAAAAAAAHz//f/9//38PfykBACQAADQB/HMgUf86/3//f+BhfCb/f/9//3/3fw88/2P/f/9/+H8OOP9j938PPP9j/3//f4ly2AH/f/9//3/4fw88/1//f/9/iXLXAQ9/KQEAJNcB/39pcgAAAAD4Afx/IFEAADQB/3OJcgAAAAAzAf9z/3+JcgAAAADXAfx/IE0AADMB/3P/f5R/MyX/c/9//3//f4lyAAAAANcB/3//f4lyAAAAANgB/3/ufjQB/3P4fwA4AAAAAB8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5R/MyX/c/9//38OfzQB/3P/f/9//3//f/9//3//f/9//3//f/9//3//f/9//3//f/9//3//f/9//3//f/9//3//f/9//3//f/9//3//f/9//3//f/9//3//f/9//3//f/9//3//fw5/Hz//f/9//3//f/9//3//f/9//3//f/9//3//f/9//3//f/9//3//f/9//3//f/9//3//f/9//3//f/9//3//f/9//3//f/9//3//f/9//3//f/9//3//f/9//3//f/9//3//f/9//3//f/9//3//f+BhHzv/f/9//3//f/9//3//f/9//3//f/9//3//f/9//3//f/9//3//f/9//3//f/9//3//f/9//3//f/9//3//f/9//3//f/h/Djj/Y/9//3//f/9//3//f/9//3//f/9//3//f/9/4GEfO/9//3//fw5/NAH/c/9//3//f/9//3//f/9//3//f/9//3//f/h/Djj/Y/9//3/4fw88/2P4fw44/2P/f/9/k380Jf9z/3//f/h/Djj/Y/9//3+TfzQl/3P/f/9//3//f/9//3//f/9//3+TfzQl/3P/f/9//3//f/9//3//f/9//3//f/9//3+UfzMl/3P/f/9/k380Jf9z/3//f/9//3//f/9//3//f/9//3//f/9//3//fw9/MwH/c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k380Jf9z/3//fw9/MwH/c/9//3//f/9//3//f/9//3//f/9//3//f/9//3//f/9//3//f/9//3//f/9//3//f/9//3//f/9//3//f/9//3//f/9//3//f/9//3//f/9//3//f/9/iXJ8Jv9//3//f/9//3//f/9//3//f/9//3//f/9//3//f/9//3//f/9//3//f/9//3//f/9//3//f/9//3//f/9//3//f/9//3//f/9//3//f/9//3//f/9//3//f/9//3//f/9//3//f/9//3//f/9/wGEfP/9//3//f/9//3//f/9//3//f/9//3//f/9//3//f/9//3//f/9//3//f/9//3//f/9//3//f/9//3//f/9//3//f/9/+H8PPP9f/3//f/9//3//f/9//3//f/9//3//f/9//3/AYR8//3//f/9/D38zAf9z/3//f/9//3//f/9//3//f/9//3//f/9/+H8PPP9f/3//f/h/Djj/Y/h/Dzz/X/9//38Pf9cB/3//f/9/938PPP9j/3//fw9/2AH/f/9//3//f/9//3//f/9//3//f5R/MyX/c/9//3//f/9//3//f/9//3//f/9//3//f5N/NCX/c/9//3+UfzMl/3P/f/9//3//f/9//3//f/9//3//f/9//3//f/9/Dn80Af9z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8fyBRAAAAAAAAAAAAAJwmDn80Af9z/3//f/9//3//f/9//3//f/9//3//f/9//3//f/9//3//f/9/D38zAf9z/3//f/9//3//f/9//3//f/9//3//f/9//3//f/9//3//f/9//3//f/9//39pcpwm/3//f/9//3//f/9//3//f/9//3//f/9//3//f/9//3//f/9//3//f/9//3//f/9//3//f/9//3//f/9//3//f/9//3//f/9//3//f/9//3//f/9//3//f/9//3//f/9//3//f/9//3//f/9//3/gYR87/3//f/9/Dn80Af9z/3//f/9//3//f/9//3//f/9//3//f/9//3//f/9//3//f/9//3//f/9//3//f/9//38OfzQB/3P/f8BhAADOOTQB/3P/f/9//3//f/9//3//f/9//3//f+BhHzv/f/9//38OfzQB/3P/f/9//3//f/9//3//f/9//3//f/9//3/4fw44/2P/f/9/+H8PPP9j+H8AOAAAAAAAAAkAn1P/f/9//3/4fwA4AAAAAAAACQCfU/9//3//f/9//3//f/9//3//f/9//3//f/9//3//f/9//3//f/9//3//f/9//3//f/9//3//f/x/IE0AAAAAAAAAAAAAfCb/f/9//3//f/9//3//f/9//3//f/9//38PfzMB/3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f/9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957/3/ee/9/3nv/f9573nvee9573nvee9573nvee9573nv/f9573nvee/9/3nv/f957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NX9QET9D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957/3/ee/9/3nvee9573nu9d957vXe9d5xznHN7b3tvWmtaazlnOWcYY/de1lrWWrVW91r3XjlnWmucc5xzvXe9d9573nv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+5fy8p3Sr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ee/9/3nvee9573nu9d713nHOcc3tvnHN7b1prOWc5Z/de9161VpRSc05SSvA9zzWPJZAhcRVyFXMRcxFyEZIZkR3RLRI6tVIYY1pre2+cc7133nvee/9//3//f/9//3//f/9//3//f/9//3//f/9//3//f/9/iXIAAAAACQCfU/9//3//f/9//3//f/9//3//f/9//3/WfwAkAAAAAJwm/3//f/9//3//f/9//3//f/9//3//f/9//3//f/9//3//f/9//3//f/9//3//f/9//3//f/9//3//f/9//3//f/9//3//f/9//3//f/9//3//f/9//3//f/9//3//f/9//3//f/9//3//f/9//3//f/9//3//f/9//3//f/9//3//f/9//3//f/9//3//f/9//3//f/9//3//f/9//3//f/9//3//f/9//3//f/9//3//f/9//3//f/9//3//f/9//3//f/9//3//f/5/z1HZEf9z/3//f/9//3//f/9//3//f/9//3//f/9//3//f/9//3//f/9//3//f/9//3//f/9//3//f/9//3//f/9//3//f/9//3//f/t/MEFbEv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9573nu9d713nHOcc3tve29aa1prOWdaazlnOWf3Xvde1lq1VpRSc05SSlJKEULQNZEdlBF1CZYNlgmWDXUJlg12CZYNdgmXDZYJlg10DbMhMz73Wlpre297b713vXfee957/3//f/9//3//f/9//3//f/9//3//f/9//3/7fyBRAAAAADMB/3P/f/9//3//f/9//3//f/9//3/8fyBNAAAAADQB/2//f/9//3//f/9//3//f/9//3//f/9//3//f/9//3//f/9//3//f/9//3//f/9//3//f/9//3//f/9//3//f/9//3//f/9//3//f/9//3//f/9//3//f/9//3//f/9//3//f/9//3//f/9//3//f/9//3//f/9//3//f/9//3//f/9//3//f/9//3//f/9//3//f/9//3//f/9//3//f/9//3//f/9//3//f/9//3//f/9/0nIwES8NMBEvETARMg2/U/9//3//f/9//39QYjUN/2P/f/9//3//f/9//3//f/9//3//f/9//3//f/9//3//f/9//3//f/9//3//f/9//3//f/9//3//f/9//3//f/9//3//f/9//39PYtkR/3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3tv1lrWWhhjGGM5ZxhjGGP3Xhhj9173XtZa1lq1VrVWlFKUUnNOc05zTnNO8TWzGZYNuA2WDZYNdgmWDZYNthGWDbcRthG2EZYNlg12CZcNlwm3DbUVNDYYY713vXe9d713/3//f/9//3//f/9//3//f/9//3//f/9//3//f/9/1n8APAAAAAB8Jv9//3//f/9//3//f/9//3//f8BhAAAAAAkAn0//f/9//3//f/9//3//f/9//3//f/9//3//f/9//3//f/9//3//f/9//3//f/9//3//f/9//3//f/9//3//f/9//3//f/9//3//f/9//3//f/9//3//f/9//3//f/9//3//f/9//3//f/9//3//f/9//3//f/9//3//f/9//3//f/9//3//f/9//3//f/9//3//f/9//3//f/9//3//f/9//3//f/9//3//f/9//3//f9N2LxHZEf9z/3//f/9//3+5fy8pX0P/f/9//3//fzZ/MBE/P/9//3//f/9//3//f/9//3//f/9//3//f/9//3//f/9//3//f/9//3//f/9//3//f/9//3//f/9//3//f/9//3//f/9//3//f9N2MxG/U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kVaDamVeB07qRcw97j0QQlJKUkpzTnNOc05SSnNOUkpSSjFGUkpSShFCkh23DZcJlw12CZYJlg33GRYeFx4XGhgaGBo4HjgeWCY4Jhcelg2WCXYJlw2XCbYVVUK9d9573nvee/9//3//f/9//3//f/9//3//f/9//3//f/9//3//f+5+AAAAAAkAf0//f/9//3//f/9//3//f+5+AAAAAAAA/zr/f/9//3//f/9//3//f/9//3//f/9//3//f/9//3//f/9/mH8wLS8NMxGfU/9//3+4fy8pMBEvDd0q/X/QUToO/3//f1Z/Lw0/Q/9//3//f/1/r1HZEf9z/3//f/9/L2IwES8RMBG9Kv9//3//f/p/MEEvETARvSq4fy8p3i7/f/9//3/Tci8NMxGfU/9/L2IwETINv1M1fzMRn1P/f/9//X+vUTMRn1P/f/9//3//f9NyMg2/U/9//3//f/9//3//f/9//3//f/9//3//f/9/uH8vKd4u/3//f/9//38vYjARMg2/UzV/MBE/P/9//3//f/1/0FG4Df9z/3//f/p/MEEvETARvSq4fy8p3i7/f/9//3/7fy89MBEvEd4uNX8wET8//3//f/9/mH8wLS8NMBHdKv5/r1FbEv9//3//f/t/Lz0wES8N3SqYfzAtvSr/f/9/Vn8vDT9D/3//f/9//X+vUdkR/3P/f/9/uX8vKTARMg2/U/9/UGIyDb9T/3//f/9/UGIvDTARLxHeLv9//3//f/9/snIwES8RMBG4Df9z/3//f/9/Nn8yDb9T/3//f/9/uX8vKd0q/3//f/9//X+vUdkR/3P/f/9//3//f/9//3//f/9//3//f/9//3//f/9//3//f/9//3//f/9//3//f/9//3//f/9//3//f/9//3//f/9//3//f/9//3//f/9//3//f/9//3//f/9//3//f/9//3//f/9//3//f/9//3//f/9//3//f/9//3//f/9//3//f/9//3//f/9//3//f/9//3//f/9//3//f/9//3//f/9//3//f/9//3//f/9//3//f713917KaiB/AH8hfwF/An/CdoRmJlLoRak5rDmtNc857z0QQhBCMUYQQtExlhG4DZcJtw2XDfcZNiqYMlgmGRbZDfkJ2QnZCdkJ+Q35DVoemi77Ppky+BmWCZcNlw24DfUlW2v/f/9/3nv/f/9//3//f/9//3//f/9//3//f/9//3//f/9//39pcgAAAAAPAP9j/3//f/9//3//f9Z/ADwAAAAA1wH/f/9//3//f/9//3//f/9//3//f/9//3//f/9//3//f/9//39QZjYR/2f/f/9//3/+f89RVhH/Y/9/03JbElBi2RH/c/9/uH8wLd0q/3//f/9//39QZjYR/2f/f/9/UGIzEZ9T/3//f1Nmn1P/f/1/0FE1Ef9n/3/TdlUSUEHdKv9//3/7fzBBWxL/f/9/+38wQVsS/3//f7l/LylfQ/9//381f1ARP0P/f/9//3//f7l/Mym/V/9/uX8vKVAR2BH/d5h/UC0wETMRn1P/f/9//3/7f1BBWxL/f/9//3/7fzBBWxL/f/9/uX8vKd4u/3//f/9//39QYjYR/2P/f/1/0FE1Ef9n/3/TdlUSUEHdKv9//3/+f9BRNhH/Y/9/03LTES8p3i7/f/9//X/QVTYR/2f/f9N2WxJQZtgR/3f/f/5/z1FWEf9j/3/TclYSMEHeLv9//3+4fzAt3Sr/f/9//3//f1BmNhH/Z/9//39QYjYR/2P/f/9//39PYlMRv1P/f/9/UGYzEb9T/3//f1Niv1P/f/9/UGIzEZ9T/3/9f9BRMxG/V/9//3+Yf1AtP0P/f/9//3/7fzBBWxL/f/9//3//f1BmNhH/Z/9//3//f/9//3//f/9//3//f/9//3//f/9//3//f/9//3//f/9//3//f/9//3//f/9//3//f/9//3//f/9//3//f/9//3//f/9//3//f/9//3//f/9//3//f/9//3//f/9//3//f/9//3//f/9//3//f/9//3//f/9//3//f/9//3//f/9//3//f/9//3//f/9//3//f/9//3//f/9//3//f/9//3//f/9//3//f/9/vXf4XqhqAH8Bf+B+AX/gfgF/AH8hfyF/An/CeqNuRF4GTqc9iTWLMZEhlwm4DZcJlwnWFVYqdjZYKvkR2gnZCfoJ2Qn5DfkN+g3ZCdoJ2Qn6CTka+0IbS9s+GB6XCZcJuA23EfhW/3//f957/3//f/9//3//f/9//3//f/9//3//f/9//3//f/x/IE0AAAAA2AX/f/9//3//f/9/4GEAAAAADgD/Y/9//3//f/9//3//f/9//3//f/9//3//f/9//3//f/9//3//fy9iNhH/Y/9//3//f/t/MEE6Dv9//3//fzV/MBE1Df9j/3/9f69RWxL/f/9//3//fzV/MBE/P/9/+n8wQVsO/3//f/9//3//f/9/uH8vKd4u/3//f/9/03IvDVsS/3//f/p/MEFbDv9//3/7fy89WxL/f/9/+38wQToO/3/7fzBBuA3/c/9//3//f/9/0nJbEv9/+38vPVsS/3+4f1gq0FG9Kv9/mH8wLT8//3//f/9/L2LYEf9z/3//f/t/Lz1bEv9//3/9f9BROg7/f/9//3//fzZ/LxFfQ/9/uH8vKd4u/3//f/9/03IvDVsS/3//f5h/MCndKv9//3//f9JyMBE6Dv9//3/7fy89WxL/f/9//382fy8RNhH/Y/9/mH8wLb0q/3//f/9/snIwEVsO/3//f/1/r1FbEv9//3//f/9/NX8wET8//3//f1BiNQ3/Y/9//3//f/9//3//f/9/+38vPVsS/3//f/9//3//f/9/+n8wQVsO/3//f/9//X/QUTUN/2P/f/t/Lz1bEv9//3//f/9/T2LZEf9z/3//f/9/snIzEZ9T/3//f/9//3//f/9//3//f/9//3//f/9//3//f/9//3//f/9//3//f/9//3//f/9//3//f/9//3//f/9//3//f/9//3//f/9//3//f/9//3//f/9//3//f/9//3//f/9//3//f/9//3//f/9//3//f/9//3//f/9//3//f/9//3//f/9//3//f/9//3//f/9//3//f/9//3//f/9//3//f/9//3//f/9//3//f/9//3+9d9dWiWIBf+F+AX/hfgF/4X4Bf+F+AX8BfwF/AH8hfyF/IX8BfxA2mQm4DZcJuBH0HTQuVDI4IvoJ+g36CRoSOB54Lpg2uT6YOpk2WSYaEvoJ+g36Dds6PFM8U7o62BWXCbgNuA3YUv9//3//f/9//3//f/9//3//f/9//3//f/9//3//f/9//3/WfwAkAAAAAB8//3//f/9/D38AAAAAAAAfP/9//3//f/9//3//f/9//3//f/9//3//f/9//3//f/9//3//f/9/03YzEb9X/3//f/9/+38wQVsS/3//f/9//39PYlMRv1P/f/9/UGbYEf93/3//f/9/uX8vKd4u/3+5fy8pX0P/f/9//3//f/9//3+Yf1AtP0P/f/9//3/7fzBBNRH/Z/9//n/PUdkR/3P/f/1/0FXYEf93/3/+f9BR2RH/c1BmMxG/U/9//3//f/9//X/QVd0q/3+Yf1Mtv1P/f/9/Vn8wEd4u/3//fzZ/NhH/Y/9//3/TdjMRv1f/f/9//X/QVdgR/3f/f/9/UGLZEf9z/3//f/9/mH9QLd0q/3+Yf1AtP0P/f/9//3/7fzBBNRH/Z/9/uX8vKV9D/3//f/9/+38wQTYR/2P/f/t/MEFbEv9//3//f/9/UGYzEb9T/3+5fzApX0P/f/9//3/7fy89VhH/Y/9//39QZtgR/3f/f/9//3+5fy8p3i7/f/9/03JTEb9T/3//f/9//3//f/9//3+4fzAtPz//f/9//3//f/9//3+5fy8pX0P/f/9//3//f7h/MC3dKv9//X/QUdgR/3f/f/9//3/TdjMRv1P/f/9//3+5fy8p3i7/f/9//3//f/9//3//f/9//3//f/9//3//f/9//3//f/9//3//f/9//3//f/9//3//f/9//3//f/9//3//f/9//3//f/9//3//f/9//3//f/9//3//f/9//3//f/9//3//f/9//3//f/9//3//f/9//3//f/9//3//f/9//3//f/9//3//f/9//3//f/9//3//f/9//3//f/9//3//f/9//3//f/9//3//f/9//3//f713tlKKXgB/AX/hfgF/4X4Bf+F+AX/hfgF/4X4Bf+F+AX8Af04+mAW4DZgF1hWPSu5arlI1KvoJ+w37CRgaFCpVNnU6lz6XPrhCuELZRrg+WSb6CfsN+g27NhtPXFcbSxkelwm4DbgN2FL/f/9//3//f/9//3//f/9//3//f/9//3//f/9//3//f/9/D38AAAAADgD/Y/9/1n8AOAAAAACcJv9//3//f/9//3//f/9//3//f/9//3//f/9//3//f/9//3//f/9//381fzARPz//f/9//3//f1BiNQ3/Y/9//3//f7l/LyndKv9//3+ycjMRn1P/f/9//3/7fzBBOg7/f5h/MC29Kv9//3//f/9//3//f7l/LyndKv9//3//f/9/0nIzEZ9T/3//f1BiMg2/U/9//3+ycjMRn1P/f/9/03I1DbljLyndKv9//3//f/9//3/7fy89P0P/f7l/Mim/U/9//3/9f9BRWw7/f/9//X+vUV9D/3//fzV/MBE/P/9//3//f7JyMxGfU/9//3/TcjINv1P/f/9//3/7fy89WxL/f7l/LyndKv9//3//f/9/0nIzEZ9T/3+YfzAtvSr/f/9//3//f9NyMg2/U/9//39PYjYR/2P/f/9//3+YfzAp3Sr/f5h/MCndKv9//3//f/9/03IyDb9T/3//f7JyMxGfU/9//3//f/t/MEE6Dv9//39Wfy8NP0P/f/9//3//f/9//3//f7h/LyneLv9//3//f/9//3//f5h/MC29Kv9//3//f/9//X+vUVsS/3//f9JyNhH/Y/9//3//fzV/MBE/P/9//3//f/t/MEE6Dv9//3//f/9//3//f/9//3//f/9//3//f/9//3//f/9//3//f/9//3//f/9//3//f/9//3//f/9//3//f/9//3//f/9//3//f/9//3//f/9//3//f/9//3//f/9//3//f/9//3//f/9//3//f/9//3//f/9//3//f/9//3//f/9//3//f/9//3//f/9//3//f/9//3//f/9//3//f/9//3//f/9//3//f/9//3//f/9/vXe3VmtaAn8BfwJ/AX8BfwF/An8BfwF/AX8CfwF/AX8Af2xKmQW4DZgF9h3OVgxj7GLQUhsSGw77CXUyzlbOUm9CFCr2Hfcd9x03Lnc6uEa4RnkyGw4bDhsO2z47U1xXPFNaKpgJuQ3ZDRlf/3//f/9//3//f/9//3//f/9//3//f/9//3//f/9//3//f+BhAAAAANcB/3/AYQAAAAA0Af9z/3//f/9//3//f/9//3//f/9//3//f/9//3//f/9//3//f/9//3//f7l/MCneLv9//3//f/9/03JTEb9T/3//f/9/+38wQVsS/3//f1Z/LxFfQ/9//3//f/5/0FE2Ef9j+38wQd4u/3//f/9//3//f/9/+38wQVsS/3//f/9//39WfzARX0P/f/9/Nn8wET8//3//f1Z/LxFfQ/9//381f1ARMBE2Ef9j/3//f/9//3//f/t/MEE/P/9/uH8wLT8//3//f/9/03JWEf9j/3//f9N2WxL/f/9/+38wQd4u/3//f/9/Vn8vEV9D/3//fzV/UBE/Q/9//3//f/1/0FE1Ef9n+38wQVsS/3//f/9//39WfzARX0P/f/t/MEFbEv9//3//f/9/NX9QET9D/3//f9N2MxG/U/9//3//f/t/Lz1bEv9/+38vPVsS/3//f/9//382fzARPz//f/9/Vn8vEV9D/3//f/9//n/QUTYR/2P/f7h/MC3dKv9//3//f/9//3//f/9/+39QQd0q/3//f/9//3//f/9/+38wQVsS/3//f/9//3//f1Bm2BH/d/9/Vn8wEV9D/3//f/9/uX8vKd4u/3//f/9//n/QUdkR/3P/f/9//3//f/9//3//f/9//3//f/9//3//f/9//3//f/9//3//f/9//3//f/9//3//f/9//3//f/9//3//f/9//3//f/9//3//f/9//3//f/9//3//f/9//3//f/9//3//f/9//3//f/9//3//f/9//3//f/9//3//f/9//3//f/9//3//f/9//3//f/9//3//f/9//3//f/9//3//f/9//3//f/9//3//f/9//3+9d7ZSbFYCfwF/4X4BfwF/AX/hfgF/AX8Cf+F+AX8Af6heuAm5CZkF9h3NWgxn7F4MY1YmHA4cCnUy62ILZ81aNSa4CbkJuAm5DbgJuBH0JVM6VDo4IhwOHA46GvpOG1NcV1xXeiqYCbkN2RV8b/9//3//f/9//3//f/9//3//f/9//3//f/9//3//f/9/1X8APAAAAACtOQAAAAAJAJ9P/3//f/9//3//f/9//3//f/9//3//f/9//3//f/9//3//f/9//3//f/9//X/QUVsO/3//f/9//39Wfy8NP0P/f/9//3//f09i2RH/c/9/+38wQbgN/3P/f/9//3/TcjINv1P/f1BiuA3/c/9//3//f/9//3//f09iNhH/Y/9//3//f5h/MCndKv9//3+4fy8p3i7/f/9/mH8wLb0q/3//f7l/LynbKq9RMxGfU/9//3//f/9/+38vPV9D/3/9f69RWxL/f/9//3+5fzIpv1P/f/9/NX/YEf9z/3/9f9BRWw7/f/9//3+YfzAtvSr/f/9/+38vPdgR/3P/f/9//3/ScjMRn1P/f09iNhH/Y/9//3//f5h/MCndKv9//39QYjUN/2P/f/9//3/7fy893Sr/f/9/NX8wET8//3//f/9//39QYrgN/3P/f1BiNQ3/Y/9//3//f7h/LyneLv9//3/7fzBBuA3/c/9//3//f9NyMg2/U/9//X+vUVsS/3//f/9//3//f/9//3//fy9i2BH/c/9//3//f/9//3//f1BiNQ3/Y/9//3//f/9/L2I2Ef9j/3+YfzApuA3/c/9//3/9f9BRNQ3/Y/9//3//f1BiNQ3/Y/9//3//f/9//3//f/9//3//f/9//3//f/9//3//f/9//3//f/9//3//f/9//3//f/9//3//f/9//3//f/9//3//f/9//3//f/9//3//f/9//3//f/9//3//f/9//3//f/9//3//f/9//3//f/9//3//f/9//3//f/9//3//f/9//3//f/9//3//f/9//3//f/9//3//f/9//3//f/9//3//f/9//3//f/9//3//f713tlZNUgN/AX8CfwF/An8BfwJ/AX8CfwF/An8BfwR31hm6CbkJ+BXNWgxr7GIMZ89WPBYcDlsa7V4La+xeFx6ZBdkNuAnZDbgN2Q25CdkNcULsYo5OWiIcDjwSVzLYSjtXfl9+X1squAnaDVku/3//f/9//3//f/9//3//f/9//3//f/9//3//f/9//3//f9Z/ACQAAAAAAAAAAHwm/3//f/9//3//f/9//3//f/9//3//f/9//3//f/9//3//f/9//3//f/9//3//f09iVhH/Y/9//3//f/t/MEHdKv9//3//f/9/03Y2Ef9n/3/+f9BRMBHdKv9//3//f9NyUxG/U/9/mH9QLd0q/3//f/9//3//f/9/+38wQVsS/3//f/9//n/PUdkR/3P/f/t/UEFbEv9//3/7fzBBWxL/f/9/+38wQVsS/39QYjARPz//f/9//3//f1Bm3Sr/f/9/Vn8zEb9T/3//f/t/MEHdKv9//39Wf9gR/3f/f/9/T2JWEf9j/3//f/t/MEFbEv9//3/9f9BRLxHeLv9//3//f9N2MxG/U/9/+38wQVsS/3//f/9//n/PUdkR/3P/f/t/UEFbEv9//3//f/1/0FHYEf93/3/7fy893i7/f/9//3//f9NyNhH/Y/9/+38wQVsS/3//f/9//X/QVdgR/3f/f/5/0FEwEd0q/3//f/9/03JTEb9T/3//f1BmNhH/Z/9//3//f/9//3//f/9/uX8vKd4u/3//f/9//3//f/9/mH9QLd0q/3//f/9//X/QUdgR/3f/f/5/z1FQEd0q/3//f/5/0FEwEVsS/3//f/9/03JTEb9T/3//f/9//3//f/9//3//f/9//3//f/9//3//f/9//3//f/9//3//f/9//3//f/9//3//f/9//3//f/9//3//f/9//3//f/9//3//f/9//3//f/9//3//f/9//3//f/9//3//f/9//3//f/9//3//f/9//3//f/9//3//f/9//3//f/9//3//f/9//3//f/9//3//f/9//3//f/9//3//f/9//3//f/9//3//f/9/vXe2Vk9O43oCfwF/An8BfwJ/AX8CfwF/An8BfyF/Lzq6BbkJ2Q2PSgtr62YMZwprs0I9Dj0OlTYLawprcjqZBbkNuQnZDbgJuQ25CdkNuQXYFcxeKnOSQj0OHQ53LsxaOlufY79nfl8aGrgJugleW/9//3//f/9//3//f/9//3//f/9//3//f/9//3//f/9//39pcgAAAAAAADMB/3P/f/9//3//f/9//3//f/9//3//f/9//3//f/9//3//f/9//3//f/9//3//f/9/03IyDb9T/3//f/9//X+vUdkR/3P/f/9//381fzARPz//f/9/UGI1DdNSuA3/c/1/0FE1Df9j/3//f7JyMBHdKv9//382f1sO/3//f7h/LynZEf9z/3//f1BiNQ3/Y/9//38vYtgR/3P/f/9/UGK4Df9z/3//f09i2RH/c/9/0nIwEToO/3//f/9/snI2Ef9j/3//f1BiNQ3/Y/9/Nn8vEVsS/3//f9JyWxL/f/9//3/TcjINv1P/f/9//39QYrgN/3P/f/9/T2I2EbJS2BH/c/5/r1E2Ef9j/3//f7h/LynZEf9z/3//f1BiNQ3/Y/9//3+YfzApuA3/c/9//39PYjYR/2P/f/1/0FG4Df9z/3//f/9/Nn8vEV9D/3//f5h/MC24Df9z/3//fy9iNhH/Y/9//39QYjUN01K4Df9z/X/QUTUN/2P/f/9/snIzEZ9T/3//f/9//3//f/9//3//f9NyLw3dKv9//381f1sS/3//f7JyMBHdKv9//3/Tci8RX0P/f/9//39QYrgNUFJbDv9/+n8wQVsO03K4Df9z/X/QUTUN/2P/f/9//3//f/9//3//f/9//3//f/9//3//f/9//3//f/9//3//f/9//3//f/9//3//f/9//3//f/9//3//f/9//3//f/9//3//f/9//3//f/9//3//f/9//3//f/9//3//f/9//3//f/9//3//f/9//3//f/9//3//f/9//3//f/9//3//f/9//3//f/9//3//f/9//3//f/9//3//f/9//3//f/9//3//f/9//3+9d9ZaUEoEewJ/In8CfyJ/An8ifwJ/In8CfyF/x2bZDbkJ2wlSNgpr62YMawxrK2+VNl4SXRLSTgpvDGf3HboJuQnaDbkJ2gm5CdoNuQ3ZDboFkkIJb+5ePBY9FloeC2svZ79rv2e/bz5T2g25CRse/3v/f/9//3//f/9//3//f/9//3//f/9//3//f/9//3//f4lyAAAAAAAAnCb/f/9//3//f/9//3//f/9//3//f/9//3//f/9//3//f/9//3//f/9//3//f/1/0FUwETARLxFQEdgR/3f/f1BmNhH/Z/9//3//f7l/LyneLv9//3/TclYR/2O5fy8pUBEwEV9D/3//f/9//3/7f1BBMBEwES8R3i7/f/9//3//f1BiMBEvEVARMBEzEZ9T/3//f9N2MxG/V/9//3/TclMRv1P/f/9/03YzEb9T/3//f7h/MC0vEV9D/3/7fy893i7/f/9//39WfzARMBE1EVZnNhH/Z/1/0FXdKv9//X/QVTARMBEvEVAR2BH/d9NyUxG/U/9//3/TdjYR/2eYf1AtMBEwET8//3//f/9//3//f1BiMBEvEVARMBEzEZ9T/3//f/9//39QZjARMBEvEVARMxG/U/9//39QYjYR/2P/f/9//3+Yf1At3Sr/f/9//3//f1BmLxFQETARMBEzEb9X/3//f9NyVhH/Y7l/LylQETARX0P/f/5/0FEwES8RUBEwEdkR/3P/f/9//3//f/9//3/7fy89UBEwETAR3Sr/f/9//3/7f1BBMBEwES8RX0P/f/9//3//f9NyNhH/Y1Z/MBEwETMRv1f/f1Z/LxFQETARX0P/f/9//3//f/9//3//f/9//3//f/9//3//f/9//3//f/9//3//f/9//3//f/9//3//f/9//3//f/9//3//f/9//3//f/9//3//f/9//3//f/9//3//f/9//3//f/9//3//f/9//3//f/9//3//f/9//3//f/9//3//f/9//3//f/9//3//f/9//3//f/9//3//f/9//3//f/9//3//f/9//3//f/9//3//f/9//3//f713tVZRSuR2In8CfwJ/An8ifwJ/An8CfyJ/A3sVJroF2gn2Hetm6mbrZupmDG8Lb7c2XhJ9Gs9WCm/LXtkRuQnaDboFugn3GdkNuQnaDbkJuwUzLgpv6mZ6Jj0SXBrMXgpvfGO/b59rv2+cNroJuQU+V/9//3//f/9//3//f/9//3//f/9//3//f/9//3//f9Z/ACQAAAAAAAAAAB8//3//f/9//3//f/9//3//f/9//3//f/9//3//f/9//3//f/9//3//f/9//3//f/t/Lz1bEv9//3//f/9//3//f/9//3//f/9//3//f/9//3//f/9//3//f/9//3//f/9//3//f/9//3//f/9//3//f/9//3//f/9//3//f/9//3//f/9//3//f/9//3//f/9/NX8wET8//3//f/9//3//f/9//381fzARPz//f/9//3//f/9//3//f/9/Vn8yDb9T/3//f/9//3//f/9//3//f/9/Vn8yDb9T/3//f/9//X+vUVsS/3//f/9//3//f/9//3//f/9//3//f/9//3//f/9//3//f/9//3//f/9//3//f/9//3//f/9//3//f/9//3//f/9//3//f/9//3//f/9//3//f/9//3//f/9//3//f/9//3//f/9//3//f/9//3//f/9//3//f/9//3//f/9//3//f/9//3//f/9//3//f/9//3//f/t/MEE6Dv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vXfWWlJK5nIifyN/An8jfwJ/I38CfyN/IX/LWrwF+w3bCVUuCW8La+pm62oLayxz1zqfGn0a8FoJc+tm+BHbBdoJNyavTpJC2gnaDdoJ2g27BVQuCW8Kb3kqXhZdGu5eCG9YZ79vv2+/b59n+hHaDRsa/3v/f/9//3//f/9//3//f/9//3//f/9//3//f/x/IE0AAAAAzy0AJAAADgD/Y/9//3//f/9//3//f/9//3//f/9//3//f/9//3//f/9//3//f/9//3//f/9//X/QVdgR/3f/f/9//3//f/9//3//f/9//3//f/9//3//f/9//3//f/9//3//f/9//3//f/9//3//f/9//3//f/9//3//f/9//3//f/9//3//f/9//3//f/9//3//f/9//3+5fzAp3i7/f/9//3//f/9//3//f7l/LyneLv9//3//f/9//3//f/9//3//f9N2MxG/V/9//3//f/9//3//f/9/+38wQd4u/3//f/9//3//f1BmNhH/Z/9//3//f/9//3//f/9//3//f/9//3//f/9//3//f/9//3//f/9//3//f/9//3//f/9//3//f/9//3//f/9//3//f/9//3//f/9//3//f/9//3//f/9//3//f/9//3//f/9//3//f/9//3//f/9//3//f/9//3//f/9//3//f/9//3//f/9//3//f/9//3//f/9//n/QUdkR/3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+9d7ZWc0qnaiJ/An8jfwJ/I38CfyN/An8ifwR3NibbBfsN+w3QVglz62rqZgxvK3P2Qp8anxrSTil3Cm82KhYijk7pbgpr+BXbCdoJ2g3aCbsFcT4od+tmfCJeFn0ezF7objFnv2+/b99zXlvaDboJ2g2/c/9//3//f/9//3//f/9//3//f/9//3//f/9/wF0AAAAANAH/b4lyAAAAANcB/3//f/9//3//f/9//3//f/9//3//f/9//3//f/9//3//f/9//3//f/9//3//f7JyNhH/Y/9//3//f/9//3//f/9//3//f/9//3//f/9//3//f/9//3//f/9//3//f/9//3//f/9//3//f/9//3//f/9//3//f/9//3//f/9//3//f/9//3//f/9//3//f/1/0FFbDv9//3//f/9//3//f/9//X/QUToO/3//f/9//3//f/9//3//f/9//39Wfy8NNhH/Y/9//3//f/9/UGIvDd0q/3//f/9//3//f/9/snIzEZ9T/3//f/9//3//f/9//3//f/9//3//f/9//3//f/9//3//f/9//3//f/9//3//f/9//3//f/9//3//f/9//3//f/9//3//f/9//3//f/9//3//f/9//3//f/9//3//f/9//3//f/9//3//f/9//3//f/9//3//f/9//3//f/9//3//f/9//3//f/9//3//f/9//3//f9NyNQ3/Y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71311pzSqlmIn8jfyN/I38jfyN/I38jfyN/Qn/oZhsS+w0cDlkeLG8qbwtvC2tMdxRT/ya/Hvg+Kncqc+tm6mroauhuUzbcCdoN+w3aDdsJ2g3tYih371p+Gn8eeybqaghvK3Oea99zv298KtoJ2wmcNv9//3//f/9//3//f/9//3//f/9//3//f/9/Dn8AAAAACQCfT/9//H8gUQAAAAB8Jv9//3//f/9//3//f/9//3//f/9//3//f/9//3//f/9//3//f/9//3//f/9//3//f/9//3//f/9//3//f/9//3//f/9//3//f/9//3//f/9//3//f/9//3//f/9//3//f/9//3//f/9//3//f/9//3//f/9//3//f/9//3//f/9//3//f/9//3//f/9//39PYlYR/2P/f/9/UGY2Ef9n/3//f1BiNhH/Y/9//3//f/9//3//f/9//3//f/9//3+Yf1AtMBEwES8RUBHYEf93/3//f/9//3//f/9//3/7fy89WxL/f/9//39QZjYR/2f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nvWWnROiWJDfyN/I38jfyN/I38jfyN/I38jf0J/kT4dChsOPQq3Mmx7K3Msb01zUWseL/8q3iouayl3KnPpauhqjFLaDdsJ2w3aCdsJvAVyQghz6HKWOn8afxq3NuhuCXMIc3tr33f+SroF2wm6Bb9v/3//f/9//3//f/9//3//f/9//3//f/9/tX8APAAAAAB7Jv9//3//f7V/ACQAAAkAf0//f/9//3//f/9//3//f/9//3//f/9//3//f/9//3//f/9//3//f/9//3//f/9//3//f/9//3//f/9//3//f/9//3//f/9//3//f/9//3//f/9//3//f/9//3//f/9//3//f/9//3//f/9//3//f/9//3//f/9//3//f/9//3//f/9//3//f/9//3//f9NyMg2/U/9//n+vUTMRn1P/f/9/03IyDb9T/3//f/9//3//f/9//3//f/9//3//f/9//3//f/9//3//f/9//3//f/9//3//f/9//3//f/9/+38vPTARMg2+U69RMxGfU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dd/dedE6MXiN/JH8jf0R/I38kfyN/RH8jf0R/Q39Ge1gePQpcDn4OFUeMf2x3jnePe3tPXzM/LzlHa3tKd0p36W42Kr0B3QncBd0F2g1yPshq526tVp4inh6fHtBWKHsJc+hyNGt/X9sN2w3bCb06/3//f/9//3//f/9//3//f/9//3//f/9//3/gYQAAAAAzAf9z/3//f/9//38OfwAAAAAPAP9j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9571lqVUmxaI38jfyR/I38kfyN/JH8jfyR/I39Ef0J/CmM8Dl0OfQ6+DlVLrX+Ne69/tG+/R387XzdZS0x3SXtKd81ecj41KjUqUTaLVqdmx2qqXpsufx6fHroyCXPobshqxm6vVvwV3AnbCRwW33P/f/9//3//f/9//3//f/9//3//f/9//38PfwAAAAAJAJ9T/3//f/9//3//f/9/wF0AAAAA2AX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vXv3XpVSjlYkf0R/JH9EfyR/RH8kf0R/JH9EfyR/RH9Df/BOPgp9Er0O/xJ3S+5/zn/xf/lr30+/R58/e0tPbyl3SXsoewhz527ncsZux26sWrsynyKfJp8izlrHashmxmqMVvoV/AncCdwJXl//f/9//3//f/9//3//f/9//3//f/9//3/WfwA4AAAAAJwm/3//f/9//3//f/9//3/8fyBNAAAAAB8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ee9ZatlZvUiV/I39EfyR/RH8jf0R/JH9EfyN/RH8kf0R/Q3+zPj4GnhK9Dh8PeT/we+9/83/7Z/9T30+/R35DVlcOYwpr6Grobuhq7V7VRr4qnyK/Jp4msE6GYqdmpmZuSvoN3QncCdwF3T7/f/9//3//f/9//3//f/9//3//f/9//3/8fyBNAAAAADQB/3P/f/9//3//f/9//3//f/9/1n8AJAAACQCfU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9579161VpFSBXtEfyR/RH9Ef0R/JH9Ff0R/RH9Ef0V/RH9Ef0R/tDpeCp4S3hIfD30n9Wfxf/N/+2//W99P30t/P18/HD/6Pto63DK+Kr8mvya/Jr0qrlKFZqZmiF5TNvwJ/Qn8Cf0F3jr/f/9//3//f/9//3//f/9//3//f/9//3//f2lyAAAAAA8A/2P/f/9//3//f/9//3//f/9//3//fw9/AAAAADMB/3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nv3XtZack4Gd0R/RH8kf0R/JH9EfyR/RH8kf0R/JH9Ef0R/RH9Ef7M+PgqeDr0S/w4/E5s/9W/xf/V//We/U79Lf0NfPx8z/zLfLt8qvya/Kpc6ilpkYodeTkIZGt0F/QncCd4FVi7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+9dxhj1lqUUuZyZH9Ef0V/RH9Ff0R/RX9Ef0V/RH9Ff0R/RX9Ff2R/RH/xTj0OfwqdDt8S/wpfG7s/12PTd9V3uWedV35HX0MfOx472zrVRoxWh2JqUlI2GRr+Cf0J/Q3dCf4FczpEf/t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7x3917WWpRS6G5Ef0V/RH9FfyR/RX9Ef0V/JH9Ff0R/RX9Ef0V/RH9Ff0N/C2NZHj8GXgqeDr4OHw9fD34fejd3T3VXdF9UWzNb8FbPUo9GczYYHv0N/gX+CfwJ/QneBRwSr05Ef0J/tH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m3MYY9ZatVbKamR/RH9Ff0V/RX9Ef0V/RX9Ff0V/RX9Ff0V/RX9lf0V/ZX9jf0d7skJdEj8Gfg5+Dr4S/xIfD/8O/xLeEt0avRadFl0OXw4fBh4K/QkdDv0J/gn+BXcuCWtkf0R/RH9q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395cxhj916VUstmRH9Ff0R/RX9Ef0V/RH9Ff0V/RX9Ef0V/RX9Ff0R/RX9Ff0V/RH9kfylvtDo8Ej8GPgZ+Dr4O3hK+Dr4Sng6eDn4OXg49Cj0OHQoeCv4BHQpXJuxeRH9kf0R/RX9Ef0V//X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5pzGGP3XrdWrWJkf0V/RX9Ff2V/RX9Ff0V/ZX9Ff2V/RX9lf0V/ZX9Ff2V/RX9lf0V/ZX9kfylz0EqXLjwWXg5/Cr8KnwqfDn4KfwpfBl8GPgo9ElkiskYKZ2V/ZH9lf0V/ZX9Ff2V/Q3/Y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mXcXY/detlbPYiR/RX9Ff0V/RX9Ff0V/RX9Ff0V/RX9lf0V/RX9Ff2V/RX9Ff0V/RX9Ff0V/RH9kf0R/SHfsXtFK1DrXMrgquSqXKrY2skLvVglrRX9jf2R/RH9Ff0V/ZX9Ff0V/RX9Ef49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394czhn9173WrBeRX9Ff2V/RX9lf0V/Zn9Ff2V/RX9mf0V/ZX9Ff2Z/RX9lf0V/Zn9Ff2V/RX9mf0V/ZX9lf4R/ZH9lf2V/Zn9mf2Z/ZX+Ef2R/ZX9Ff2V/RX9lf0V/ZX9Ff2V/RX9lf0V/Z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3dzGGMYY9daslomf2V/RX9Ff0V/ZX9Ff0V/RX9lf0V/ZX9Ff2V/RX9lf0V/ZX9Ff2V/RX9lf0V/ZX9Ff2V/RX9lf0V/ZX9Ff2V/RX9lf0V/ZX9Ff2V/RX9Ff0V/ZX9Ff0V/RX9lf0V/RX9Ef/x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dXM5Zxhj+F6zWkd/RX9lf0V/Zn9Ff2Z/RX9mf0V/Zn9Ff2Z/RX9mf0V/Zn9Ff2Z/RX9mf0V/Zn9Ff2Z/ZX9mf0V/Zn9Ff2Z/RX9mf0V/Zn9Ff2Z/RX9mf0V/Zn9Ff2Z/RX9mf0V/ZX9Ff2R/tH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zczhnGWP3XtZaB3dlf0V/ZX9Ff2V/RX9lf0V/ZX9Ff2Z/RX9lf0V/Zn9Ff2V/RX9mf0V/ZX9Ff2Z/RX9lf0V/Zn9Ff2V/RX9mf0V/ZX9Ff2Z/RX9lf0V/ZX9Ff2V/RX9lf0V/ZX9Ff2V/RH+L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1FvWWsZYxhj114Jc2V/Zn9lf2Z/RX9mf2V/Zn9Ff2Z/ZX9mf0V/Zn9lf2Z/RX9mf2V/Zn9Ff2Z/ZX9mf2V/Zn9lf2Z/RX9mf2V/Zn9Ff2Z/ZX9mf0V/Zn9lf2Z/RX9mf2V/Zn9Ff2Z/ZX9lf0V//n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UHM5ZzlnGGP4XgtvZX9Ff2V/RX9mf0V/ZX9Ff2Z/RX9mf0V/Zn9Ff2Z/RX9mf0V/Zn9Ff2Z/RX9mf0V/Zn9Ff2Z/RX9mf0V/Zn9Ff2Z/RX9mf0V/Zn9Ff2V/RX9mf0V/ZX9Ff2Z/RX9lf0V/ZH/Y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Ob1lrOmc5Z/leL2+Ef4V/ZX9lf2V/ZX9lf2Z/ZX9lf2V/Zn9lf2Z/ZX9mf2V/Zn9lf2Z/ZX9mf2V/Zn9lf2Z/ZX9mf2V/Zn9lf2Z/ZX9mf2V/Zn9lf2Z/RX9mf2V/Zn9lf2Z/ZX9mf0V/Zn9Ef7B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01zWWtaazlnOWf1Ykx3Sntpf2h/aH9of4h/Z3+Hf2Z/hn9lf2Z/ZX+Ff2V/hX9lf4V/ZX+Ff2V/hX9lf2V/ZX9lf2V/Zn9lf2Z/RX9mf2V/Zn9Ff2Z/RX9mf0V/Zn9Ff2Z/RX9mf0V/Zn9Ff2V/Z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S296b1prWms5ZzpnGWM5ZxdnF2cWZzZnFGc0axNrM2syazJvMW9SczBvUHNPc093TndNd0x3bHtKe2p7SXtpf2h/hn9lf2Z/Zn9mf2V/Zn9mf2Z/ZX9mf2Z/Zn9lf2Z/ZX9mf2V/Zn9lf2Z/RX9lf/x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Lb1lre29aa1prOWdaazlnOWc5ZzpnOWM6ZzljOmc5YzpnOmM6ZxpjOmc6YzpnGWM5ZxljOWcYYxhjF2MXY/ZeFWMub4d/ZX9mf2V/Zn9Ff2Z/ZX9mf0V/Zn9lf2Z/RX9mf0V/Zn9Ff2Z/RX9mf0R/1X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0pvem97b3tvemt7b1prWmtaa3prWmtaa1prWmtaa1prWmtaa1prWmtaa3tvWmtaa1prW2taa1prOWdaazlnOWcZYxljEmtpf4V/hn9mf2Z/ZX9mf2Z/Zn9lf2Z/ZX9mf2V/Zn9lf2Z/ZX9mf2V/ZX+M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91/SnNZa3tve297b3tve297b3tvWmvuOskqE09aa3tve297b3tve297b3tve297b3tve29aa3tvWmt7b1prWms5ZzlnOWM6YxZnTHdlf2V/ZX9mf0V/Zn9lf2Z/RX9mf2V/Zn9Ff2Z/ZX9mf0V/Zn9Ff2Z//n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n9Kc3pve2+cc3tvnHN7b5xze28PP0o/71foKnlne2+cc5xznHOcc5xznHOcc5xznHOcc5xznHOcc3tve297b3tvWmtaazlnWmc4Z09zZ3+Gf2V/Zn9lf4Z/Zn9mf2V/Zn9lf2Z/ZX9mf2V/Zn9lf2Z/ZH/6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+f0pzWmt7b3tve297b5xze28QQyk3z0/OR6xLzDKcc3tvnHOcc5xznHOcc5xznHOcc5xznHO9d5xznHOcc5xze297b1pre29aa1trOmdUb0p7hn9lf4V/ZX+Ff2V/hn9lf4V/ZX+Ff2V/ZX9lf2V/ZX9kf7J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5/THN7b3tve297b5xze28PPyk3zk/PR89LzkspN1VXnHOcc5xznHOcc5xzvXecc713nHO9d5xzvXecc713nHO8d5xznHN7b3tve297b3trem9Uc3J3cHdwe293b3tue257bXttf21/bX9se49/jn+Of2x/13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X9sd1pnfG97b3xve28OOyk7rUuOQ85Tzk/OR6xLySp7b5xznHOcc5xznHOcc5xznHO9d5xzvXecc713nHO9d5xzvXecc5xznHOcc3tvnHN8b51vfG98b3xvfG97b5xzfG+cc5xzvXe9d753/n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9f4Z7anNRb3hve28xR0k7jUONQ61P6CopM85LrUdJOzJHnHO9d5xzvXecc713nHO9d713vXe9d713vXe9d713vXe9d713vXe9d713vXecc713nHe9d7xzvXe9d713vXfee7133nu9d9973nv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t7hX9kd0RzJW8MZ+kmbEdLO4xL6CY2W+02rEutP6xHxyZYY3tvnHN7b5xve2+cc3tvnHN7b5xze2+cc5xznHOcc5xznHOcc5xznHOcc5xznHOcc5xznHOcc5xznHOcc5xznHOcc713vXf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23ulf6Z/ZXdkdwlr7DJKP2tD6CbUTtZa1FLoKs1LizuLQ6km9173Xvde9173Xvde+GL3Xhhj92IYYxhjGGMYYxhjGGM5ZxhjOWcYYzlnOWc5ZzlnOms5ZzlnOWdaazlnWmtaa5xz3nu9d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+5e8Z/pX+Gf2V7Z3cpawhH6D4LX8pesFr3Xs46aj+LO2o3KTfPPjlnGGM5ZzlnOWc5Z1prOmdba1trfGtba3trW2t8b1trfG98b51vfG+dc51zvnOdc753vnO/d75333ved9573nvee713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t/pX/Gf6Z/pn+lf6V/hXuFe0Rz42aoWlprOWfpKotHajNqO+gqNlt7b3trfG9ca3xvWWtZb1ZrU28wb05vK29Lc0xzTXNNc293b3Nxd3J3k3uTd7R7k3u0f7N7s3+yf7J//X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23+lf6V/xn+lf6Z/pX+mf4V/ZXskb+VmWGuec1hfCC9qO0kvaT/pKplvmHd0c5F3bXOTe7Z/1n+2f9Z/1n/Yf9h/2X/Zf/p/2n/7f9p/2X/Zf9p/2n/7f9t//H/8f/1//X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7f6V/xn+mf8Z/pX/Gf6Z/xn+Ff4Z7JHNxc5hzlncsQ0k7STNJL0k75jqFf6V/hH+mf/5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91/p3+lf6Z/pX/Gf6V/pn+lf6Z/hX+Ff2V7hntke4R75S5qPygrSTMIM0ZXpX+kf9J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ue8V/pX/Gf6Z/xn+lf8Z/pn/Gf6Z/xn+lf8Z/pX+me+YqakMoK4pD5i6mf4V//X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l/pH/Gf6V/pn+lf6Z/pX+lf6V/pX+lf6V/pX+lf6R/ZWvmJopDSTsFO4N/q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n+of6R/pX+lf6Z/pn+mf6Z/p3+nf6h/qX+qf6p/rH+tf2xrCDcqR7F703/7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x/+X/6f/x/23/8f/x//n/+f/9//n//f/5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+BhAAAAAAAAAAB8Jv9/aXIAAAAA+AH/f/h/Djj/Y/9/iXIAAAAA2AH/f/9/4GEAAAAA/zr/f/h/Dzz/X+BhAAAAAAAAAAB8Jv9/aXIAAAAA+AH/f/9//3/8fylNn1P/f+BhAAAAAAAAAAB8Jv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k38PJP9j/3//f/9/k38PJP9j/H8pTZ9T/3//f/9/lH8OJP9j/H8pUZ9PD38zAf9zk38JJJ9P/3//f/9/k38PJP9j/3//f/9/k38PJP9j/H8pTZ9T/3//f/x/KVGfT/9/k38PJP9j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w5/DwD/X/9//38Pf9cB/3//f4lyfCb/f/9//3/ufvgB/3//f2lynCb/f/9//3//f8BhHz//f/9//3//f+5+DwD/Y/9//38Pf9gB/3//f4lyfCb/f/9//H8pTZ9T/3//fw5/DwD/X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38Ofw8A/2P/f2lynCb/f/9/Dn/4Af9//3//f4lyfCb/f/9/D3/YAf9//3//f/9/iXJ8Jv9//3//f/9//38Ofw8A/2P/f2lynCb/f/9/Dn/4Af9//3/8fylRn0//f/9//38Ofw8A/2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Dn80Af9ziXJ8Jv9//38Pf9gB/3//f/9/aXKcJv9//38Of/gB/3/gYQAAAADOOfgB/3//f/9//3//f/9/7n40Af9ziXJ8Jv9//38Pf9cB/3//f/x/KU2fU/9//3//f/9/Dn80Af9z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8BhHz9pcpwm/3//fw5/+AH/f/9//3+Jcnwm/3//fw9/2AEPfzMB/3P/f+Bh2AH/f/9//3//f/9//3//f8BhHz9pcpwm/3//fw5/+AH/f/9//H8pUZ9P/3//f/9//3//f8BhHz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iXJ8Jg9/1wH/f/9/iXJ8Jv9//3//f+5++AH/f/9/aXKcJmlynCb/f/9/aXKcJv9//3//f/9//3//f/9/iXJ8Jg9/2AH/f/9/iXJ8Jv9//3/8fylNn1P/f/9//3//f/9/iXJ8Jv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aXL4Af9//H8gTR8/k38PJP9j/H8pTZ9T/3//f/9/lH8OJP9j/H8pUZ9PD38zAf9z+H8JPJ9P/3//f/9/aXL4Af9//H8gTR8/k38PJP9j/H8pTZ9T/H8gUQAACQCfT/9/aXL4Af9//H8gTR8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8BdAAAAAPgB/3//f2lyAAAAAPgB/3//f/9//3//f4lyAAAAANgB/3//f+BhAAAAAP86/3//f/9//3//f8BhAAAAAPgB/3//f2lyAAAAAPgB/3//f/9/+H8JOJ9T/3//f8BdAAAAAPgB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TAAAAGQAAAAAAAAAAAAAAI8BAAB/AAAAAAAAAAAAAACQAQAAgAAAACkAqgAAAAAAAAAAAAAAgD8AAAAAAAAAAAAAgD8AAAAAAAAAAAAAAAAAAAAAAAAAAAAAAAAAAAAAAAAAACIAAAAMAAAA/////0YAAAAcAAAAEAAAAEVNRisCQAAADAAAAAAAAAAOAAAAFAAAAAAAAAAQAAAAFAAAAA==</Object>
  <Object Id="idInvalidSigLnImg">AQAAAGwAAAAAAAAAAAAAAI8BAAB/AAAAAAAAAAAAAAATNwAAqhEAACBFTUYAAAEA/L8BAAwAAAABAAAAAAAAAAAAAAAAAAAAQAYAAIQDAAA0AgAAPgEAAAAAAAAAAAAAAAAAANycCAA82AQARgAAACwAAAAgAAAARU1GKwFAAQAcAAAAEAAAAAIQwNsBAAAAYAAAAGAAAABGAAAAIC4AABQuAABFTUYrIkAEAAwAAAAAAAAAHkAJAAwAAAAAAAAAJEABAAwAAAAAAAAAMEACABAAAAAEAAAAAACAPyFABwAMAAAAAAAAAAhAAAVsLQAAYC0AAAIQwNsBAAAAAAAAAAAAAAAAAAAAAAAAAAEAAACJUE5HDQoaCgAAAA1JSERSAAABkAAAAIAIAgAAAKp8qLQAAAABc1JHQgCuzhzpAAAACXBIWXMAAA7EAAAOxAGVKw4bAAAs5klEQVR4Xu1dCXxU1bk/d5s1+0rYkhACYaugoFYBSQUERNzAqnWrUJ72WZcWtJv4HnaRn1TB96qWwmur1raWoqWiFGyJgoKCAhIgLJIFkkD2yax3f9+5d/Y9gMhkzmWY3Lnn3LP8z53/fN93vvMdSlVVRA6CAEGAIJAKCNCp0EjSRoIAQYAggBEghEWeA4IAQSBlECCElTJDRRpKECAIEMIizwBBgCCQMggQwkqZoSINJQgQBAhhkWeAIEAQSBkECGGlzFCRhhIEzi8CNUsp77G0Ri+5cd3ssCv+GiOT/Lf77g60LumSIePsdY3eGyPviuwvIazz+wyQ0ggCqYEAEFA12gZumKrasLa2GpNO47oHFo3VLsGVFX4e0ZksPKlmaXXt2gaceRuqDpCOznpJlKwTYPVKH1pR7ooGJCGs1Hi8SCsJAucXgdKF76rPTtPKLJ0+f1btF42ovm7zkuu1S3AFrX/PJ/nAhYikxi9qZ82fXoozT3tobUjm5ErGuTAzzvJ2K8pdhLDO75CT0ggC/QMBoKOxFaWYg6rK9R6VVozdXFfv711kEs7gozS4PThzMCYJS44KoH5X1CQiYfWPR470giBwtghoyt1DurCV/DHt2W1jF5VpFq9NaEn0+86u5Lh3EcJKfohIToJAv0MADN1gcHp3YXR5Jm53pz2rWcBU9aGqgGgWuOPsSk50FyGsfvcIkg4RBJJEQGcHvykrSA0M1gHDNMSwJEiNosElXXJIS0PvIiphksNIshEE0gAB77Sc1/COO1xeNWvlphp81vjeeuQ1qetIRCb5HRIa161Y6bd9aZn7VLIf6ci7og6CV6ojfwgCBIF0QmBbqN1pluaiEJi0W6J7PEAu71lEEk7TD28OX+bkStaxhlL1mgOl6WV6r0aMCAVX0uDXhHSRIEAQ6A8IEBtWfxhF0geCQJogQAgrTQaadJMg0B8QIITVH0aR9IEgkCYIEMJKk4Em3SQI9AcECGH1h1EkfSAIpAkChLDSZKBJNwkC/QEBQlj9YRRJHwgCaYIAIaw0GWjSTYJAf0AggeOo7GmilVOIzqYos6pIiOIQZUKMiaI4lWKQIiDEIIqlaBbvGEbRSFU0VCj4h9/JQRAgCBAEzh8C8QhLFFxK23VG7hRSDdoOhpz2DjQExMRi8lLhikGlzFqSEVFWBOeUSUUZFJOJc1qvp4wV56+1pCSCAEEgrRGIR1iunp1m4V6KNiBVk5h8i3h4h9r2PtW5l/KcpiHFWCwXXKqUXCNzwFTeQ8WZVR7RX0cD/kJErbR+xEjnCQLnD4GYhAVrDB2tj2QaNyPFFFzdyU3o1B8txXmleYWFHMtKPO+02zu7uto9Z4YvFIdO96uBQF4qkkRUuBUZhpy/BpOSCAIEgfRFICZh8e4Ouncux9ixlQrIB0tYqO5FSvxk8OCKClWW20+ftttssiybTKYsqxUKaunoyLqubewiyMpgREH6Up2q6WEq55H0BZj0nCBAEDh/CMQkLI/9IOe6hWF06xXW9Zr+jrrXDyooL5d7e0/0HMie52KrvmnKusr9xf6Ot3ZktngKsrObOztz7pJLpwss42FonkYeGuXRJdsRk3H+2kxKIggQBNIUgZiEJTiPMI55PsJCbpv62WLL0PKxlKJYTKbaw3uVW23F1b+xZo1hGIpm2Kbf/xb98+2inJxDXZ1f+7/nGLaHkpuR3EIpTVbTWM5cSlMioiiahslEMNgbsGkMTvRJRnwFTPgSkhxaKsxF6nngHeeB+1TaTLE5aTpKpNsEAYKAhkBMwnL1HjR65jMMpyrAUah+vcJvrbDm5Bw/vq8ga+Cwiop9tfvUO+/NvOwymqbwP4pq/MUvRrhdvS6Xc+6NBTNmAe/g8FuyoKp2SvVQaiettNLqGVrtYlA7Tck0do+AFxCTCfiLBkpiLECRwFMMw9IUYoDcKIWmJAbB7SKV923GUAjmfKiNDB9BgCCQhgjEJCxb2yeZ9CKkqLxACaJ88L8NRdIY3uGwXe3ke1DmHrpq5Mi9n3/eO2eOCXMWEBbtPHQwf/36/MzMA9nZg777XZCmgMW0JEYTrEBQAo8tDixbFCVhssTXsfSE3+FNz4/FNVyafq/3oBBNKywlgvOXqB3Z2dlmM7hTkIMgQBBIIwRiElZvZ61ZvEMUVTev8h5X3dKioYUje06fPjb3JtOQIeiTj0t27xpTVbWvtrZj6lR20iRgFt5uz3rhheElJR87HNmPPebd8xrrgfi/JhTpRIQPONW9SzWe0l1NvSnwAWhLdzsF5wgtBWdiWSYrKys3NxcIKy8vj2VBWyQHQYAgkEYIxCQsp+0EZb/B4/Y4XarLYzz5VG5p0XDb6dO2b387Z8RIhqHtO3aof/vbuBEjao8epebeUDzvBmdXV8djjwFh7RWEcatWYRby+btjdsIf/f7vXld47YJ+6GdaDGfthMJTk2GqH0hftNGAD5Cw9NLIQRAgCKQPAjHXEjKsWRAYBz/aoT6gZLxIFw4DMjFZrdmdnYUF+Xm5uaXz5lm/853PjhwZWVqqvP2Ptg0blPp6q9ksyrKhuNgMzg5wGPU/JqN2YoTDew1/NkOy0WgwGjgDx4FPF8vAfzgzsCy+hK8bDPo9JtD/LFar1WQ0ywowGW2z2Uks+vR5TElPCQJeuSbWJhSCp72t/okO4TGOy2QZueutv2Xu2pmRk3P09Ony555jTGAsx6pa55497atXjx08uL6lpYXnJxQX29xuYd68oTfeqIlNXilI++uTr3x/oWpFVhRVgQM7xsM6RLhEMYoKln6FAhELr0wEg5dXbQSLF3wEUgMeA7bKz82gWaO2whGbyciIEgQIAv0egZgqoSTYWo893K08wbHYyiT09LQ//nhFZaWnt/dkZmbZkiXAWTojdR040LxixbjiYo8ocjT9eXv72DVrjJmZPjXQp+7pViqYl8SWKUxTsgwvWVVU+KvzpqRwlNxtQXUWrp1BLkp1U0iiKJlS8Tuk00hmaCAynJ8z5GjOqSJSPHT+Aib3un4/WqSDBIE0RyAmYcmSs/nwPXb6KYYx6rN3oPRZtm8fMHSos7v7SHd33uw5hpEjQPgR6utb1q8fYTDQqtrpctG33DL0ppuCxSu/pKVvMgZchYUqWZGAruAPCFlYwmIkWbUonw6ybsoyfoFUt2bV8lmpsD1LN235xitYIVScSt4SuvChNB9L0n2CQL9HIM7SnM7TR+93cstpxkIDWWjyUtOqVfknTw4dNgx0s/YzZ7p7eoBzLEZjtskkS1Jzd7dzwoSqhx/2a4JeitHn+4CqMDHpopXvP+YsRVJYVbQPMG4akvNvhnJgQSqYqgKDEMpZ3usgrvFq6RuUdUK/Hy3SQYJAmiMQh7C6Wuru9ZiepmkrmJOAc8CeBIzTtuFN/p+bKwYPLioqgptFHnweXG0dHSe6u7NvvnnQvHm6PIU1PG+IB2ydwmogNklhVU6TrrAyqLGWKkocJzcNy15flLUfySqStXmA6BZ17/xhqLQF95hQZQ3FZqX5WJLuEwT6PQIxCUsUnCcP3iWYllF0Brire/U4LCGpnu5uW02N8+BB1NODCSg3N2PcuJxrppmyMWVgttJg05ZLe8PSaISFi4ECNPOVZsBSkCgqedynIwo2Wk3NSISIgFE9FYLYK5LIVF6xTKbL1pEgNv3+YSUdJAjEsWEJ9fvvEi0/RMgqy+Cr4DU1wTIdIByYzNNs5zov6SyDT4L2vdelIZxbF86wmIWlK0kzmWPxilFtgzJ2leZvZygXZquoEUp1zsMOpDEGS3EoA1bQ+beRsSQIEAT6PQKx42Ep8ol993mMjyqKCQhLgkOG8FYSzMpRqoBUgUY8heBdoGkRJu/wij8a3mEWD5/gJEpkaMggMhSEbeApWmC0/JABCoGcHOs2cJ0IVumAYOUlpmDAfYJaEAuGjweIa7BkumIzZSrv90NFOkgQIAjEC+B3Yt+DLnahJBskURBBMOIby7M2Z5o6GAqTDk0pFDAUMA24HWDKAeKBlwwClHbiF5iCJvs0UckrmWEJDXgKCohQA3WG0lXK6IfPmIUklS5EI97DsR/IQRAgCPR3BGJ6umOPKToDW5okmACUXG4pm/5kYE5NJnfIwpwwoiZOPcXKrbR8hhY7KbEbiXYkuhEQmwSBRhn8Ai1PZLV3LFHhFwhYMAOoJ8nworGyqPmMhrw0ZdIbkVmz12vnvhfO7CM+VVAzriFs1d+fUtI/goAXgZiEhY3jyAoWKxnzFchYbqPaqrGPAUkskn0vBeKRAu9oLxXOQdjSVTxNy/O+fOe6dKXLTXHmAf3iWbAy6C/Ne7NOZDLKmk4GkyBAEEgTBOIQFuh6MD+IwL1TksAbnTeiDo1uQpnGT0CYg3xikfc8IBWFMFQYVfk/einJL235hiCQP6xqRaUslHlcmgwV6SZBgCAQRyWEKFXZ2NUTJvYwZzlNnNMnHAVxiqagBWtsASuVTlu6TKWfgNDmV/HgxP8RTvTzYPkrwF96GXpqUDaYbTSNI2FIyUNMEEgfBGITFpiwWExY4NCAF/wJNjPHY3VPJy2vrKN7G4Sof1568kpbPg4KYyI/wP5sQQpkCM1p5YcqkD4SVHiUNQfv3koOggBBID0QiP1tx+sHM/VYCpKs0IrNwPA+avIJTWHanA5ZGL0EM1GI4VzLpzlvIUrxvfQrPux1DyyvjBYmXgHVMVTG1ekxTKSXBAGCAEYgnnhC0VZ9bTLYsFjUC94MGh8FG5KC1D1d7wvTAf2TfSF6o4JoCXEuxDkQzQM9KYiFzyre7F5GrAuxDsQI+Fzf+N7LgNp54LOMmEJkJDsekueYIJBGCMTb+flUw+4TTU6eF20OKUf+17XD34IoxVHcpnS4AvE/dUYLCrSAJSntIyPil2xqcxfu7aw66Bx+khnaIRXYBYskwyb3fC7bM5A7PcLSMCH7YGVGA8v1IpiFVAx4CtIbkdRXtuJWcu6kh/4ijcaKdJUgkPYIxCOs5qbPj5/o9PBCl00cxP5j6vAtCBnDEfPzSJSAxcBcWjK8gTpJqY29wza2VO9ov3Rv16hOOk/Ks8KGXowiI3hJqiJSkkjJIs3JYgZyjrTWzyjeMb1414T8AywLHl5mH+1pTZAdSvlrdPa0tB9BAgBBII0QiEdYDcd2NzQ7XS53V4+70rL+ioqdSDVgBS08ELtfU/MlBPuug/bHiEd7xrx0/Jt/b/3GGbGAZhRLtmwsggDtwFQ4YiisrlFgMzBBRTyshwbmUiBgHy9wgsRm0K4rC/Z/d8SfZg2poaEoCUcN1FYmIjT6Y4rLS6OxIl0lCKQ9AvEIq6n+0LH6M263u6vLfkn2Hy8ZdgDJXAzEfOtoguUsOGddPXzR6iP3rWu6tVPJtVp4zqTQWTRTYOCBt2TaJAsGied4QfXIoovyuFmX2yjwLCsLLEhcOLQf5ZEggqAye/D2py55cUzBASSZgecU8wR6xHoyRZj2DzABIL0QiEdYrc1Nh+qOgYjV3dVzReH/VQ1pxOtpwg5vEBm/TKULYBCGXUGc54PT1zxR+4P9rlEZmbzBqiomRs43mgvYEtZ5GdM4hjk1QLWZJUEVZNHjFp2djl5HWy97wj5wf+8lJ1xldimDQxIH2xEi5JAsBcbuZeNfXlz1OpKcSslKuvi+9Bor0luCQNojEI+wOjra9+7d53C6bV3t1YN/UzqgPTZh+YHUgpMyoAaqvz7+7Z8de5A3mDOyYcUf57GaiguV6wedutZ4+FKmWVJzT/IVx12Dml0ZPS4QrFTRI3B82wB+z1D31jzh4Cl+0EeOaZ/arzjhGQbrGg2UICgsrxi+M2L9iolPm8e8h4yVaT98BACCQHohEI+wbDbbrl27HA53b/ep6yt+U5Rrx3N2UUPs6aDhJBoxkkQxPz34+Mun7sC2qmxVyDJbculbBxx/oLi2jGv0qEP2ilOPegZ2uVCvE9kdyO5GLoiIxeOl0yK4KyhimfjBVGH1APVwj1K02/n1DR0LjruGG2kIaKP2iuZby7b/7oFZJkPEDEB6jR3pLUEg7RCI54elbxghgRlJgXU5oh7kOPQV8L3Sl80gWpQpaunnP3mx+VuZ+aIxH3kKMicMsf1x1F+eGfp2mfF0HXXDO8rth6WBXQLqciOnU2Sdp/Ls+4pcn1n4RkVwCQKmrcP0ta8b1h5mZudwtpl5W5+peOL24j9DZRBNJptzvNVw5Y/fdosQGzmJo2HdbO9m09TSmoT5a5Z6M89e15AwM8lAECAIXFgE4klY3d09O3d+ZOv1SL17F4z7k8kIM3kxCE7fdhDsVqz844M/+nXz3dk5PJXDSjmWe4Ye/PHgf2QaIUhW8Wfq7ANiOc+jTie4JTjKHduGOt/PFk6wsgPiLogq1y4P/VS49iP3LJecATtfcMg9i1o1kf6HghgjI9R0TV3d8B89Yo6J5p2C+ti1WT+7IZlZQqCs8kWbNVxnra1/d2FZLIh73pyde4uWMX6+CztEpDaCAEHAh0DchXg4nqcKu28ZKDtLB0tYQeGrvEsLYbtTsLK7Xzxxz4sn78jKcKtmSjEafzR42y8HvGJV7Ii37Hdf8aG9/Ey3cqITZXQfvsn5XzOU34w17xuS2ZnBCazKW+TOQdJn16Nn7+ceK6aOCjLlkY1/l5c2G6/MNCsiss4s2vGLqmdKDC2QZOHUF/7d806tM4mhLFv4pw1L9HybFz0YU3JqWHeHzlZoybY4rJZEhSQLQYAg8OUgEE/C6urq/Oijne2drjx5y7yx72q7S0RYsHQ/BkgzuN5vm3rHp6tUE8daadlifnLU1gcH/bNXhh3oc9rUUX8S7rB5kM3JjFH23Mq8aFW7BAntPT1g68nRX9gGQJD3IebmyfmfgoM7pYqdyuDfun/RIldABJmR5sNPliwVBcHhoc3Ivs81bfnh/2y142CnuRZq+5KhJdlsYnBA16teGUfK8qez339P/NW1iQskOQgCBIELjkBcGxY2S6mCJBkZF0WBf2eEDQtWAeq7ydN8l7vwR/u/75ENLCW5RfZ7Jf+8P2dja6dk76UEp7qlc/yxNrrpDF3u/ORbzHMmpcfhQV3d7pdqp688eOeW1iu3nLl6bcPtj37+0z8230wbMkuMrQvMLzCKg1L5g86RHzuvyrXKudmwqSs3unL88wuKDRCgWZU77OLTmzqSAm3as9viSFk1S71shpZsJWyVFKAkE0HgK0Agvkqo7X4qSSbWiTfEiYxlrAWxoiCOOyX86tB9n3dVmCmnw83enPfJfxS+dbpT6u0VFI/U2JvxYUdpZ6cg2GzXsX9RRKfLrXTbRI9Hum3w5gGG0ybKlcHYM5let8T9+ug332iZm5VlGZ998DLjBy6RBUFse/eVdp6DDagtFqOUMX5SmXHpzFyI0sXS6mu7ug+f5pNBbtpPYiiGYLoKCF/PTkumrJTKc/Ktl0rnvPRKi97ojlceWRb0EYWmnt+O1S2bs6xsjl5deL3ntyZSWpogkGCWEEfZkwUzEBZIUtoOXyEvbMACg7jr0/av/f74PCvl8LjpkVzT94e+0dPL2+ySxENcBs+BnpJT3YYuGxqu7B2Ajjt5utlm8ggUS1OX5n9x09APPRKni2/gbGWmXb87OuOIoyzLSl2V8xHs6gzLdo67h3V4ssCa5kZFRstgBy/fNCHr6gozBOuC2Myr30tOyMq5OZqUFTBdzVr7UmyDfAo/Dw0NrTDjUT5Q70JBOd5gyP8RhabG7WbLjvkaAflfpY/sOBnzDmCr1/8w886Gd5Y3vvPgPQPD601hQEnTvzoEEkS/w2tjFNECIV/8+iDQFmYu3e4uw5Zf3c78H+5+1OHhYO0yJ3keqdhokTt6nLAnGOw/CNfEekdBj111O6Xh9GEki24e/Xzv/Mf3LN7ZMY42mB4cs6U04zTY0XGAdlXmKKHbY3rv1DhJZctMJ7PpTiimR8iwybkQl8vOTeQMZg+kMdSD1QUcrbCU8uaeruZuMSkMIxTDhnUP6hOIYLo6L5Z2TWDZsD2p1lyYTB319QjNHD3FV9uUR4FBbvF9DE+N3qY9G7CgtKjtkXeWAwH5X6+Vb5kyZ9n8t6L8YJx8a9sfUMnTt1X5Cwyt98L0/Uuv5eIb7i+9y19tBQkIC3s6KYJFD47sD2qMTzRRC1RC2vN+62XbW8ebkNPlob5RuO+KvM87nAYcpBSsW7D5l4o6PBbeLamCO4dq80hUp9t8uHvgzraRj+++/4Ed393dNvzW8p1gkNJ2lcY7Q1Oq1NCbbxdNRtqTTXeASijISKBM4JTqNE2E9YMQYl6Q1TwrYwVTliIPymUzTcnGHZ32bP3aWRrmmxc98b0feunqvJmuOrZta0WVRWVf7agG195St/EYmlRWEL1F8VO1e/B3ctmZ5WuDac5bGHBQwzt3jl7zQiRn9UFwu3iw6nNLLr7h7nMXUuyGxCohUjxWg1tjKG3PQawVaic6Z0lcddHOqYW7XALLKEJjT/YZhxWoDbxNEc3AFCLELOV5RfDIEg97hqmiwgoKJ8vIwrhgB55PzpT94MNvbTwxwcy4feWDXKYwFOSl3ZLBIQL3iYosgi1fpKzIXIFDOcDO0Sp6/eOObgcPOyY+Pqs4yxyxyDHmQGAvB52y3vjfFT4/hvNluuo4fgyh8oKLKK5gS9seCGwxOBZhxU0FjPZsmLwGPb0WdLpYgFYtXz5+95q/+mxkerbkBLcU+7JENvfiG+6UhzRBBxKqhGBtd5lYwasG6kYrbwxQTFigFGYb234+/nkwYNGqtL990KtHJ3OcotC0SjMS3iVMNip2WAfoEqh2T5asUCZOKjDaJAl2u5fMlJuj+CZ7DmwpTUGgGS02FpyUZ7WzjNoqFLW4QROUrHRvvrHHYRpvsBR4IF4zTe1pdP75w9PAcSMHGG+YkJP8MEEAVTnrxpe8Uha+D5xEzwddYaNy2ZzXXwGxcsvrWIHy2Xe2rwKrc6iSqBmD/FJJQK0IMhItA5oJObwGbN1+FCbRQBUhpqWAiR2dPHVGRSXDfXQTZmIPS0W+Bvhqr1u2bN+kxQsCbKXphpodfcP2PRu8/Zo49enK1o2f6IqhjsMLy46F4BBer19xjtdlFKdfOjZxMiSEPWEJcccl5nBHPIpxBi4kKWzEA7UHMPfNnPiuwEBEPCfJfxVSMmciwkKIo1zgZe7TATUDVthLME4q3Ht3+UYnBI9Bnr8enbijtcpsgEwsL+NIC0XMGUUS3IJ62D6UVzmzQbyq5KiI/agw5YEyCLut+mQ3RZDpwdauqYOPIobe2zvSxhsFRS1hT55x5rSwNwLfwWqh1l7xubcbgchgmfXP55dZDcnqgzBEDGwGRIfk37z+Xw3nYewK7lm9fPviEmAH0J6wpXn1ZE3O0mSNMCUxVOrRtCdUD9/hFeh5bCF6eHkl+sOyAMfBswtUeGjxw17jEUg0DT6zkfaFv6t+5nafaenVmVBYqE29cly1j7BwXTE+4loWbdmtmcmXT8RN1+xQ4x+5ySudYQpYhl7VKmpcju5ets9nGiuori7xNSk6DlHqjdtlnTrj9CtRhsSwJypBn46INS6xhjvkSYozcGFJ8OS8siyEfTTEiuoB8x2jtXG/817U+uQbdZjIXi3Shjv8OTkPT/FFX0QilVChjYyTAzf3yClC34whdneQ6CVjfjcm6zgv07AScPVn3zhhK2ZARZRpl2SotNabwKNKFnd2VLV4CkWVnVNxYGx+k4OHgMu6mul9QSUGSrxz9C6orqZxxOaWy2G7HloVrBJ92HO7U8yxOe1dTveqTQ2NrXaaM1w3XJ4xytJnkHve9JmutFvjub/3rexohhusNUyqrgpWEjW5ZvwMjRR0RqPQvo1ogY/j8PcfoTP1uiNCy47H1rROXPzweh9xoIm3ND6qG7PrlmkU47sxkh/rtkKY2ICKGvMjkNGUNa33LF/uKxmXDt2ZtHiq1zy/Z8NdW0qeXuuz1k8cfQ8KmMaGDC5G9R3+GcMIHMLqTdTlJPqVqOMJYU8IXcJGJppgjTNwEUlDblqAf6Ve9c+6arUf27Kx7GHfiBQMr8RC6+SG6ujPSd8e1VTNncjoriIzGJsokIBiLHvWpgtBSCq2tD5z2SojxdNIbrVn/nLXjBZHFk0rQFgDTe2jM47yotLsyP7rqSmSQmebPD+5ess1ZSfAtQoLTT6hzQLxRfO/6HXkbm2a8efGuSecxUgRBxgcV44aWDRoCGvknIK0ZuvJnQc7GY4daJWeuqGIYRjMmMkfPW8u9S4YRN9/8CH9vvNEWdEMN3sOgZIYZkLSfzzLvG3GXy21cubzfj4K7cv2N7bsjpG6fdXrIAG95iUvnd00E7ufH1s6DgXRCor+EYESB2QEgqEuWPkOzDK+lne88irIU9UB3RAXVTLv8qimsQgcwupFibqcqF9ROq6VGeh4ItgTQ5eokQntdPEGDsY0SHTVANfcPo61Nejoa+MY+VTA71zwcKfHzEbI9yHurjl4By5kYt0w1xe0ianu0BDhkyWYZgz+4KdfW8NLrIHi6zoKfvbhtWCcoljQ+tC8wTszGQeleN4+edlvjs856cjvdrFTij6flHeoMrN9WLa9Kt8xtcy+YDx/+agBhYNHtzDlh/lBSOIVWbq2QrFmmFmjkVeo39e0btvbxbBgCKN+eR2qGl6GN03UjiQpq+bnt+grdMCP4Vcv/k889/ckS/RnizbjFm4kwplDxQ3tq3Xv3br+qB/a3JNXrcOZwwS0YEIJ9lfQHvRQI3oSH/esef3JY+Nfw65SsTusde3eyQEfhZOfHNgdpHhCN4PkOI07guclw5qRRJfj9ksDMMhRA7c7lKESwR6thL410vfbEGv6VRvlPgycjr3/Z0xrTMhToT9dfoFXe06iWBv6+tCmWv54hAXWIlgjaGQ8CAKth7u564SlM5cmZMG7yD065rVHRr/OywYTw9edKXj6/Wv3tw3qljI52T7GsB+2CwOJaWPTZf/1yY1vH7/yFD9+5ND86jHs9LH09LHspBHmwoJMnst4v8Wy9WSWKIqMKs4dKVUOMNNGQ5tTfvnd5o8+72YYClYnPn2N6/rqKyCPTlXJElbEEpyY7u9nMZDR5uOi/AaGihvRvlra3JP+hdQyRz/CxRacK6y07Tv2hVjcwwzwmmb66tqZk9C+1dF8qULrDVjuvZQaoAzMsAE6i5Buwg3/oc3QOTqsy2F+GCElJNHxBLAnUUKCcYn8bQgbpD4OnJd9fMp7qNFAKzrK05WOc5QJVEKK1gjL680QLFVpi3Kw8ASkJlOsRJnAVYFFnOGpS9ctGPyOoJhMrNjck7GiZsqv/j3xnaOXFBnk0RnN4G7FyHyrWLzLWXXAUdwsZNtUi4cy9cjG4z3c+02G1w4Ydzcbwd0UjFkLLqWurrTINLP7C/v/bGioa7DTLKwmpJ++xnnfzdWCAOFuvGyFF2YnFLICS3AgHoNvYjDE/b08iYhZMZks5q96qCyANYUgZSrMGq09mqF6XBynhPCkut+uCXZq13+B/RZ33Wko7GNR2cDJj8xEEX4J0A5sNDl0Ktoqgj0fwCRggFP2fAAyms8kF06aXnaLbfhPosth/cJ3hGrZYRmiCFBhsCcqQbNPBbU5spHRhjv82YjpTRI5piHieRT3rijVRaPds/idTa1bEhBWbnZmllk3YIEYo9OTQjEyZZSpDISstMoYevmMo60Fm/cMfXnTyJ++fvn3X51KNx4bL24DD08DA05YqLatZP+Zoh4565Jiz1UD2zI5tyrxLo9ysDNzS33O3+oy/1xr+fMB05uHTLuauB4HrF4UhhUo908xVhQbDja7Xtna/No7TT12njEY8oziqjnqogXTYWsMvEGFFitCf090BJbggDIY4scQcH9HK6vPnrKSMijs2XA3qDMBZUrjlDC/reDf0oEFoxH6w466WL0LJhSY1APtMkhXCvsFjvlxyqPaDNSKsHU2QXN/uBl4ikr73u6Yv6MILMTeAz4u23fvcr/rfORXPbzeBF3Wyo3br6QyhCAWDnvCEhKNizYjETwbGz5AcQYuSlLHKyuCrVpRRKdIAtW08lhmxETfhpRNj0dYNMOIvNNoyUYGFQQoykojIyspptM9uR8dGvTav0Y+s2HS429844dvzn2+5sbN9Tc2SXPY/OoBZVeWDx933QhqhmmHWbUDy7C01G6jtx82vH+IokT+6iG9lw9xDMj0mCg3LFTkPbLLLXs84H4lZBiEygHy3An0N6rYhmbH2o1Nv3ur4dCxHnBEgEU8E3I6X72v+Obrrrbb7cBWfcLcvwQHol1FxmMIKIZo5Ywf/KtPJcfNjIUUtOWQvlIHT0jvGI3dDgKmiihu6Joe5xdYqmZA/i3b/G6Z21f5nHEGVs2rBMnoA3/hkxuKg2fuEvRC+3326XHY+RPmpH4b6vw15PJxk7xVVy0HzVH3LwPfi0cn3/PETLTmBW29zoF5Idb6sAnBiFZEs/SFdDlhvyIzbEMwWxCkRSaCPWEVCRsZDVzN88u/yDz2wKGwJHDpeuHJY0EzsCFDo9cUBdWkfiDP36N8kZQUj7AKCwrmzp1zsOOKuhMD39s/fN17lz3zzsyn/nnb6l33vnd6Ubv5/qyy2ysvmTth4pQJEy6tGlk5aNDAvLy8rKwsq9VqMpm+Xpl799Ajw9VDsAEhzYLtXW7tUHfsV7bt9pw+ZS+ge8uzHMNz3MPy3BX5npGF/KhCYXShUMC4jx7p+OPGpk01Lc2tTpCeGKMpm+O/d0nn7x75+qjK8t7e3kjtD67Ek7NqlgaFHI3mJRqkGErPTT87KWvKbdgYdLc3OIE+vgXwxdYvwnf7MXBceLQgRL6IZpgIs6TC8pfXZrYuW+R1DV1d5nfjBFcgkIyCCr+tKNTgVfWdxSUwEe77FuHvSeBjSxv8PvsdStHEqZrzl//7pjV/4OTnF6MnF2kXB05er3tg6f5l/o9h1vooekp4vRGe92HG44T9ishwd3FomYlgh3GJD10y4xJluEO+1LEHDkHSjsXIN6YvPIlm7giGMWxooNQoqKajxR2QSGD6cblcjY2NR44coWnWarVwHAuyDkg3MDenv+sncEhBB9jC4YAkIBF4P3iy9+POgmZ1EOiPSBSAuTQTPgJneI4FT04cRR2aAtN9oqTCqh2s48FVyIyUXMZZPcR1+7Tho0ZUQFFY0gKRTTvAoQEOX7x2byFRfgc0P4Z4sft89wRi/JEQyUE4gmAILlowxb7D6wrrSwNlcNGW0ctDnSHACXvZPvDnCvWQ+HJ/nqGFidYPfbkNIKVfMATiERaOjyxB1ClMSWDh1mkIruhUpSf5D52vIBscPM97PB7/O5TjdLpOnHEetlmbhCIXyqBYE6LAf0rbpN5/YM5hga3AWdSsOkdk9l5Vzk4aNbh0yCCdpEBqg4MD1vQRls5WwGKx8Uo6oDsuok+ZL9gYXRQV6bQV3BSYf4xcYwhq0V1bwEkiYNK6AK3HldZH8OkFqJhUccERSCBhATfhEArau85c+kfd+0mXrfyilk5hOq/ptAWmcWAuJ9CVC7bDEeBjR1fPGRt/xkl38bCe0ORBJgFxoM9BoBgTJYBNvdiqDCsyjSkrLB0yMD8/H+jJaDSazWY/VfkFKywfJjK394mBoHtM7999+1AQKessHkbNHAMKTpgsdhYl9eEWb+CtYB/9PtxNsqYUAkl4A2heTsEHdDDsit+9IJjggolMZzG/qgi8BnSGWQxrjth8DjIUcBJonWAC07kJDl2w0hnKr/355amEbHUWAyEKInhOhC02PItyyC0XDgFNM0XBS5cuXN2kpguNQFKEpTfKb+r2e5brV/QJu2DOispoYZbyYI+ESOrxW6aAnvx6X5i56ssgrAsNP6nv3BH4Kqxm595qUsLZIdAHwoqkLf1KGGGFZUumWWHU4//oJzWdqqAoQlLJ4EnyEAT6KwJ9JqwwIMLkpjgOB3qSzjhRpS1/ybH4q7+OAekXQYAgkCQC50pYSVZDshEECAIEgXNHoA+h7869MlICQYAgQBA4FwQIYZ0LeuReggBB4MIikDjIwYVtD6mNIEAQIAhERQDIikhY5NkgCBAEUgYBYnRPmaEiDSUIEASIhEWeAYIAQSBlECCElTJDRRpKECAIEMIizwBBgCCQMggQwkqZoSINJQgQBAhhkWeAIEAQSBkECGGlzFCRhhIECAKEsMgzQBAgCKQMAgkJCwKdn92eDBoEcPfsdY3BJ0HIJC7af3vK4EkaShAgCHyJCCQkrPNU97Rn1XcXlva1sLO7y19L47rZOl2SgyBAEOgXCFwowuoXYJFOEAQIAl8tAkkTFtbOli6drYX+xGILSC8BXdGrusEf/xEm2gQpd/5c1freW4EjcL9XC412F9SAU8Pbo10Jqb1x3QOLNm9eVAYtCVI+vaf49tm4N1pNuDP6QSSyr/Z5JLUTBOIikDRhQSmba6texvHct41d9L81pQufWLJyE/62A1VsWrnkCVD4QIPzHVqeaDXXLK2uXduAszWsnRWSoXHdCn9K7YpQVS7qXSHtQRG1ly58ee2sWWsbYqmim8c+Aa2AbVVrlpbV4VPcpvnrHyBKJPnOEAQuVgT6Qliz5k8PtkJNu97LWDWbatc+NE2nLp+UEyE9eQFo/KLWV0xpxdgQVOAzyENY6Klf+G4oy0S/K6w9SdQeUt+sqnIf3aKV1bqAVQYyWV39xTpYpF0EgXRHoC+EFY7VtIfW1oKMBXylMxkoVtVomy6qbFsSHdn6us1jK2IY370CWkPVCp+q5isj3l2+PMnUHmu0QQ4LbFwWbSv7dH9MSP8JAhcHAudCWKh0+vzaTUt9fIU75JNaQCSK3j8slnnVPVAkQ/L4DFalC98Np7s4dwUXEbP28qpZtV9o04XhlcIlKHyzT38NscxdHCNEWkEQIAj4ETgnwtIYa6VXvkIIzFpjNZ1OU61igDztWTBvaZlW1IbasAIpFJi5vDqmt5RA2iYUQ3aLUrtXyVxaA+1EeqXRbp/2bMPaWl0nLFs/v4FIWOT7QRC4WBFIuQB+IAM9gF4+C5+ui3UESLsIAgSBpBE4Nwkr6WrOMWPA7QDLQC/33QP1HOsntxMECAIXBQIpJ2FdFKiRRhAECAJfCQKpIWF9JdCQSgkCBIGLDQFCWBfbiJD2EAQIAjERIIRFHg6CAEEgZRAghJUyQ0UaShAgCBDCIs8AQYAgkDIIEMJKmaEiDSUIEAQIYZFngCBAEEgZBAhhpcxQkYYSBAgChLDIM0AQIAikDAKEsFJmqEhDCQIEAUJY5BkgCBAEUgYBQlgpM1SkoQQBggAhLPIMEAQIAimDACGslBkq0lCCAEGAEBZ5BggCBIGUQYAQVsoMFWkoQYAg8P9NtLcy/6oUmgAAAABJRU5ErkJgggAAAAhAAQgkAAAAGAAAAAIQwNsBAAAAAwAAAAAAAAAAAAAAAAAAABtAAABAAAAANAAAAAEAAAACAAAAAAAAvwAAAL8AAMhDAAAAQwMAAAAAAACzAAAAs///x0MAAACzAAAAs////0IhAAAACAAAAGIAAAAMAAAAAQAAABUAAAAMAAAABAAAABUAAAAMAAAABAAAAFEAAAB4kAEAAAAAAAAAAACPAQAAfwAAAAAAAAAAAAAAAAAAAAAAAACQAQAAgAAAAFAAAAAoAAAAeAAAAACQAQAAAAAAIADMAJABAACAAAAAKAAAAJABAACAAAAAAQAQAAAAAAAAAAAAAAAAAAAAAAAAAAAAAAAAAP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2lyAAAAAAAAfCb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H8pUZ9P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4fw44/2MOfzQB/3P/f8BhHz//f/x/IE2cJv9//3/4fwA8AAAAAAAAHz8OfzQB/3MPfzMB/3P/f+BhAAAJACAlHz//f/9//3/4fwA4AAAAAJwm/38PfzMB/3P/f+BhAAAPAMA5Hz8OfzQB/3P/f8BhHz/4fwA8AAAAAAAAHz/4fwA8DgD8YyBNAAAOAOA9HzsPfzMB/3P/f/9/aXIAAAAANAH/c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h/Dzz/Xw9/MwH/c/9/4GEfO/9/k3/vJTM5/3P/f4lyfCb/f/x/IFEfOw9/MwH/cw5/NAH/cw9/MwH/c/d/ADwfO/9//3//f8BhnCb/f/h/Djj/Y+5+NAH/cw9/MwH/c/h/ADz/Og9/MwH/c/9/4GEfO4lyfCb/f/x/IFH/OpR/MyX/c5N/NCX/c/h/ADgfPw5/NAH/c/9/Dn8PAP9f/39pcvgB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+H8OOP9jDn80Af9z/3/AYR8//3+Jch876WGfT/9/aXL4Af9//3/AYR8/Dn80Af9zD38zAf9zwGEfP/9//3/AYR8//3//f/9//3//f/x/IE0PAP9jD38zAf9zwGEfP/9//3/AYR8/Dn80Af9z/3/AYR8/aXL4Af9//3/AYR8/k380Jf9zD3/YAf9//3/gYR87D38zAf9z/3/gYXwm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3fw88/2MPfzMB/3P/f+Bh/zr4fw44/2Pufpwm/3//f8BdAAAAAAAA/zoPfzMB/3PufjQB/3OJcnwm/3//f+Bh/zr/f/9//3/ufgAAAAAfP/9//38OfzQB/3OJcnwm/3//f+BhHzsPfzMB/3P/f+Bh/zr/f8BhAAAAAAAAHzuUfzMl/3MOf/gB/3//f8BhHz/ufjQB/3P/f8BdAAAAAAAAAAD4Af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h/Djj/Yw5/CQCfT/9/wGEfPw5/+AH/f/h/Djj/Y/9//3//f/9/wGEfPw5/NAH/cw9/MwH/cw5/NAH/c/x/IE0fP/9//3//f4lyfCb/f5N/NCX/cw9/MwH/cw5/NAH/c/x/IE0fPw5/CQCfT/9/wGEfP/9//3//f/9/wGEfP5N/NCX/cw9/2AH/f/9/4GEfOw9/DgD/Y/9/D3/YAf9//3+Jcnwm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+H8PPP9fD38uASA9AAA0AfxzIFH/Ov9//3/gYXwmD38AAAAAAAA0Af9zD38zAf9zDn80Af9z/3/AYQAAAAAAAB87/3//f/9/+H8APAAAAAAfO/9/7n40Af9z/3/AXQAAAAAAAP86D38uASA9AAA0Af9zD38AAAAAAAA0AfxzIFEAADQB7nL4Af9//3/AXR8/Dn8pAQAk+AH/f4lyAAAAADMB/3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4fw44/2P/f/9//3//f/9//3//f/9//3//f/9//3//f/9//3//f/9//38OfzQB/3P/f/9//3//f/9//3//f8BhHz//f/9//3//f/9//3//f/9//3//f/9//3//f/9//3//f/9//3//f/9//3//f/9//3//f/9//3//f/9//3+TfzQl/3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d/Dzz/Y/9//3//f/9//3//f/9//3//f/9//3//f/9//3//f/9//3//fw9/MwH/c/9//3//f/9//3//f/9/4GH/Ov9//3//f/9//3//f/9//3//f/9//3//f/9//3//f/9//3//f/9//3//f/9//3//f/9//3//f/9//3//f5R/MyX/c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+H8OOP9j/3//f/9//3//f/9//3//f/9//3//f/9//3//f/9//3//f/9/Dn80Af9zD38zAf9z/3//f/9//3/AYR8//3//f/9//3//f/9//3//f/9/D38zAf9z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9//38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nv/f957/3/ee/9/3nvee9573nvee9573nvee9573nvee/9/3nvee957/3/ee/9/3nv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381f1ARP0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nv/f957/3/ee9573nvee7133nu9d713nHOcc3tve29aa1prOWc5Zxhj917WWtZatVb3WvdeOWdaa5xznHO9d7133nvee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7l/LyndKv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957/3/ee9573nvee713vXecc5xze2+cc3tvWms5Zzln9173XrVWlFJzTlJK8D3PNY8lkCFxFXIVcxFzEXIRkhmRHdEtEjq1UhhjWmt7b5xzvXfee957/3//f/9//3//f/9//3//f/9//3//f/9//3//f/9//3+JcgAAAAAJAJ9T/3//f/9//3//f/9//3//f/9//3//f9Z/ACQAAAAAnCb/f/9//3//f/9//3//f/9//3//f/9//3//f/9//3//f/9//3//f/9//3//f/9//3//f/9//3//f/9//3//f/9//3//f/9//3//f/9//3//f/9//3//f/9//3//f/9//3//f/9//3//f/9//3//f/9//3//f/9//3//f/9//3//f/9//3//f/9//3//f/9//3//f/9//3//f/9//3//f/9//3//f/9//3//f/9//3//f/9//3//f/9//3//f/9//3//f/9//3//f/9//n/PUdkR/3P/f/9//3//f/9//3//f/9//3//f/9//3//f/9//3//f/9//3//f/9//3//f/9//3//f/9//3//f/9//3//f/9//3//f/9/+38wQVsS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nvee713vXecc5xze297b1prWms5Z1prOWc5Z/de917WWrVWlFJzTlJKUkoRQtA1kR2UEXUJlg2WCZYNdQmWDXYJlg12CZcNlgmWDXQNsyEzPvdaWmt7b3tvvXe9d9573nv/f/9//3//f/9//3//f/9//3//f/9//3//f/t/IFEAAAAAMwH/c/9//3//f/9//3//f/9//3//f/x/IE0AAAAANAH/b/9//3//f/9//3//f/9//3//f/9//3//f/9//3//f/9//3//f/9//3//f/9//3//f/9//3//f/9//3//f/9//3//f/9//3//f/9//3//f/9//3//f/9//3//f/9//3//f/9//3//f/9//3//f/9//3//f/9//3//f/9//3//f/9//3//f/9//3//f/9//3//f/9//3//f/9//3//f/9//3//f/9//3//f/9//3//f/9//3/ScjARLw0wES8RMBEyDb9T/3//f/9//3//f1BiNQ3/Y/9//3//f/9//3//f/9//3//f/9//3//f/9//3//f/9//3//f/9//3//f/9//3//f/9//3//f/9//3//f/9//3//f/9//3//f09i2RH/c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e2/WWtZaGGMYYzlnGGMYY/deGGP3Xvde1lrWWrVWtVaUUpRSc05zTnNOc07xNbMZlg24DZYNlg12CZYNlg22EZYNtxG2EbYRlg2WDXYJlw2XCbcNtRU0NhhjvXe9d713vXf/f/9//3//f/9//3//f/9//3//f/9//3//f/9//3/WfwA8AAAAAHwm/3//f/9//3//f/9//3//f/9/wGEAAAAACQCfT/9//3//f/9//3//f/9//3//f/9//3//f/9//3//f/9//3//f/9//3//f/9//3//f/9//3//f/9//3//f/9//3//f/9//3//f/9//3//f/9//3//f/9//3//f/9//3//f/9//3//f/9//3//f/9//3//f/9//3//f/9//3//f/9//3//f/9//3//f/9//3//f/9//3//f/9//3//f/9//3//f/9//3//f/9//3//f/9/03YvEdkR/3P/f/9//3//f7l/LylfQ/9//3//f/9/Nn8wET8//3//f/9//3//f/9//3//f/9//3//f/9//3//f/9//3//f/9//3//f/9//3//f/9//3//f/9//3//f/9//3//f/9//3//f/9/03YzEb9T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RVoNqZV4HTupFzD3uPRBCUkpSSnNOc05zTlJKc05SSlJKMUZSSlJKEUKSHbcNlwmXDXYJlgmWDfcZFh4XHhcaGBoYGjgeOB5YJjgmFx6WDZYJdgmXDZcJthVVQr133nvee957/3//f/9//3//f/9//3//f/9//3//f/9//3//f/9/7n4AAAAACQB/T/9//3//f/9//3//f/9/7n4AAAAAAAD/Ov9//3//f/9//3//f/9//3//f/9//3//f/9//3//f/9//3+YfzAtLw0zEZ9T/3//f7h/LykwES8N3Sr9f9BROg7/f/9/Vn8vDT9D/3//f/9//X+vUdkR/3P/f/9//38vYjARLxEwEb0q/3//f/9/+n8wQS8RMBG9Krh/LyneLv9//3//f9NyLw0zEZ9T/38vYjARMg2/UzV/MxGfU/9//3/9f69RMxGfU/9//3//f/9/03IyDb9T/3//f/9//3//f/9//3//f/9//3//f/9//3+4fy8p3i7/f/9//3//fy9iMBEyDb9TNX8wET8//3//f/9//X/QUbgN/3P/f/9/+n8wQS8RMBG9Krh/LyneLv9//3//f/t/Lz0wES8R3i41fzARPz//f/9//3+YfzAtLw0wEd0q/n+vUVsS/3//f/9/+38vPTARLw3dKph/MC29Kv9//39Wfy8NP0P/f/9//3/9f69R2RH/c/9//3+5fy8pMBEyDb9T/39QYjINv1P/f/9//39QYi8NMBEvEd4u/3//f/9//3+ycjARLxEwEbgN/3P/f/9//382fzINv1P/f/9//3+5fy8p3Sr/f/9//3/9f69R2RH/c/9//3//f/9//3//f/9//3//f/9//3//f/9//3//f/9//3//f/9//3//f/9//3//f/9//3//f/9//3//f/9//3//f/9//3//f/9//3//f/9//3//f/9//3//f/9//3//f/9//3//f/9//3//f/9//3//f/9//3//f/9//3//f/9//3//f/9//3//f/9//3//f/9//3//f/9//3//f/9//3//f/9//3//f/9//3//f/9/vXf3XspqIH8AfyF/AX8Cf8J2hGYmUuhFqTmsOa01zznvPRBCEEIxRhBC0TGWEbgNlwm3DZcN9xk2KpgyWCYZFtkN+QnZCdkJ2Qn5DfkNWh6aLvs+mTL4GZYJlw2XDbgN9SVba/9//3/ee/9//3//f/9//3//f/9//3//f/9//3//f/9//3//f2lyAAAAAA8A/2P/f/9//3//f/9/1n8APAAAAADXAf9//3//f/9//3//f/9//3//f/9//3//f/9//3//f/9//3//f1BmNhH/Z/9//3//f/5/z1FWEf9j/3/TclsSUGLZEf9z/3+4fzAt3Sr/f/9//3//f1BmNhH/Z/9//39QYjMRn1P/f/9/U2afU/9//X/QUTUR/2f/f9N2VRJQQd0q/3//f/t/MEFbEv9//3/7fzBBWxL/f/9/uX8vKV9D/3//fzV/UBE/Q/9//3//f/9/uX8zKb9X/3+5fy8pUBHYEf93mH9QLTARMxGfU/9//3//f/t/UEFbEv9//3//f/t/MEFbEv9//3+5fy8p3i7/f/9//3//f1BiNhH/Y/9//X/QUTUR/2f/f9N2VRJQQd0q/3//f/5/0FE2Ef9j/3/TctMRLyneLv9//3/9f9BVNhH/Z/9/03ZbElBm2BH/d/9//n/PUVYR/2P/f9NyVhIwQd4u/3//f7h/MC3dKv9//3//f/9/UGY2Ef9n/3//f1BiNhH/Y/9//3//f09iUxG/U/9//39QZjMRv1P/f/9/U2K/U/9//39QYjMRn1P/f/1/0FEzEb9X/3//f5h/UC0/Q/9//3//f/t/MEFbEv9//3//f/9/UGY2Ef9n/3//f/9//3//f/9//3//f/9//3//f/9//3//f/9//3//f/9//3//f/9//3//f/9//3//f/9//3//f/9//3//f/9//3//f/9//3//f/9//3//f/9//3//f/9//3//f/9//3//f/9//3//f/9//3//f/9//3//f/9//3//f/9//3//f/9//3//f/9//3//f/9//3//f/9//3//f/9//3//f/9//3//f/9//3//f/9//3+9d/heqGoAfwF/4H4Bf+B+AX8AfyF/IX8Cf8J6o25EXgZOpz2JNYsxkSGXCbgNlwmXCdYVVip2Nlgq+RHaCdkJ+gnZCfkN+Q36DdkJ2gnZCfoJORr7QhtL2z4YHpcJlwm4DbcR+Fb/f/9/3nv/f/9//3//f/9//3//f/9//3//f/9//3//f/9//H8gTQAAAADYBf9//3//f/9//3/gYQAAAAAOAP9j/3//f/9//3//f/9//3//f/9//3//f/9//3//f/9//3//f/9/L2I2Ef9j/3//f/9/+38wQToO/3//f/9/NX8wETUN/2P/f/1/r1FbEv9//3//f/9/NX8wET8//3/6fzBBWw7/f/9//3//f/9//3+4fy8p3i7/f/9//3/Tci8NWxL/f/9/+n8wQVsO/3//f/t/Lz1bEv9//3/7fzBBOg7/f/t/MEG4Df9z/3//f/9//3/SclsS/3/7fy89WxL/f7h/WCrQUb0q/3+YfzAtPz//f/9//38vYtgR/3P/f/9/+38vPVsS/3//f/1/0FE6Dv9//3//f/9/Nn8vEV9D/3+4fy8p3i7/f/9//3/Tci8NWxL/f/9/mH8wKd0q/3//f/9/0nIwEToO/3//f/t/Lz1bEv9//3//fzZ/LxE2Ef9j/3+YfzAtvSr/f/9//3+ycjARWw7/f/9//X+vUVsS/3//f/9//381fzARPz//f/9/UGI1Df9j/3//f/9//3//f/9//3/7fy89WxL/f/9//3//f/9//3/6fzBBWw7/f/9//3/9f9BRNQ3/Y/9/+38vPVsS/3//f/9//39PYtkR/3P/f/9//3+ycjMRn1P/f/9//3//f/9//3//f/9//3//f/9//3//f/9//3//f/9//3//f/9//3//f/9//3//f/9//3//f/9//3//f/9//3//f/9//3//f/9//3//f/9//3//f/9//3//f/9//3//f/9//3//f/9//3//f/9//3//f/9//3//f/9//3//f/9//3//f/9//3//f/9//3//f/9//3//f/9//3//f/9//3//f/9//3//f/9//3//f71311aJYgF/4X4Bf+F+AX/hfgF/4X4BfwF/AX8AfyF/IX8hfwF/EDaZCbgNlwm4EfQdNC5UMjgi+gn6DfoJGhI4HngumDa5Ppg6mTZZJhoS+gn6DfoN2zo8UzxTujrYFZcJuA24DdhS/3//f/9//3//f/9//3//f/9//3//f/9//3//f/9//3//f9Z/ACQAAAAAHz//f/9//38PfwAAAAAAAB8//3//f/9//3//f/9//3//f/9//3//f/9//3//f/9//3//f/9//3/TdjMRv1f/f/9//3/7fzBBWxL/f/9//3//f09iUxG/U/9//39QZtgR/3f/f/9//3+5fy8p3i7/f7l/LylfQ/9//3//f/9//3//f5h/UC0/Q/9//3//f/t/MEE1Ef9n/3/+f89R2RH/c/9//X/QVdgR/3f/f/5/0FHZEf9zUGYzEb9T/3//f/9//3/9f9BV3Sr/f5h/Uy2/U/9//39WfzAR3i7/f/9/Nn82Ef9j/3//f9N2MxG/V/9//3/9f9BV2BH/d/9//39QYtkR/3P/f/9//3+Yf1At3Sr/f5h/UC0/Q/9//3//f/t/MEE1Ef9n/3+5fy8pX0P/f/9//3/7fzBBNhH/Y/9/+38wQVsS/3//f/9//39QZjMRv1P/f7l/MClfQ/9//3//f/t/Lz1WEf9j/3//f1Bm2BH/d/9//3//f7l/LyneLv9//3/TclMRv1P/f/9//3//f/9//3//f7h/MC0/P/9//3//f/9//3//f7l/LylfQ/9//3//f/9/uH8wLd0q/3/9f9BR2BH/d/9//3//f9N2MxG/U/9//3//f7l/LyneLv9//3//f/9//3//f/9//3//f/9//3//f/9//3//f/9//3//f/9//3//f/9//3//f/9//3//f/9//3//f/9//3//f/9//3//f/9//3//f/9//3//f/9//3//f/9//3//f/9//3//f/9//3//f/9//3//f/9//3//f/9//3//f/9//3//f/9//3//f/9//3//f/9//3//f/9//3//f/9//3//f/9//3//f/9//3//f/9/vXe2UopeAH8Bf+F+AX/hfgF/4X4Bf+F+AX/hfgF/4X4BfwB/Tj6YBbgNmAXWFY9K7lquUjUq+gn7DfsJGBoUKlU2dTqXPpc+uEK4QtlGuD5ZJvoJ+w36Dbs2G09cVxtLGR6XCbgNuA3YUv9//3//f/9//3//f/9//3//f/9//3//f/9//3//f/9//38PfwAAAAAOAP9j/3/WfwA4AAAAAJwm/3//f/9//3//f/9//3//f/9//3//f/9//3//f/9//3//f/9//3//fzV/MBE/P/9//3//f/9/UGI1Df9j/3//f/9/uX8vKd0q/3//f7JyMxGfU/9//3//f/t/MEE6Dv9/mH8wLb0q/3//f/9//3//f/9/uX8vKd0q/3//f/9//3/ScjMRn1P/f/9/UGIyDb9T/3//f7JyMxGfU/9//3/TcjUNuWMvKd0q/3//f/9//3//f/t/Lz0/Q/9/uX8yKb9T/3//f/1/0FFbDv9//3/9f69RX0P/f/9/NX8wET8//3//f/9/snIzEZ9T/3//f9NyMg2/U/9//3//f/t/Lz1bEv9/uX8vKd0q/3//f/9//3/ScjMRn1P/f5h/MC29Kv9//3//f/9/03IyDb9T/3//f09iNhH/Y/9//3//f5h/MCndKv9/mH8wKd0q/3//f/9//3/TcjINv1P/f/9/snIzEZ9T/3//f/9/+38wQToO/3//f1Z/Lw0/Q/9//3//f/9//3//f/9/uH8vKd4u/3//f/9//3//f/9/mH8wLb0q/3//f/9//3/9f69RWxL/f/9/0nI2Ef9j/3//f/9/NX8wET8//3//f/9/+38wQToO/3//f/9//3//f/9//3//f/9//3//f/9//3//f/9//3//f/9//3//f/9//3//f/9//3//f/9//3//f/9//3//f/9//3//f/9//3//f/9//3//f/9//3//f/9//3//f/9//3//f/9//3//f/9//3//f/9//3//f/9//3//f/9//3//f/9//3//f/9//3//f/9//3//f/9//3//f/9//3//f/9//3//f/9//3//f/9//3+9d7dWa1oCfwF/An8BfwF/AX8CfwF/AX8BfwJ/AX8BfwB/bEqZBbgNmAX2Hc5WDGPsYtBSGxIbDvsJdTLOVs5Sb0IUKvYd9x33HTcudzq4RrhGeTIbDhsOGw7bPjtTXFc8U1oqmAm5DdkNGV//f/9//3//f/9//3//f/9//3//f/9//3//f/9//3//f/9/4GEAAAAA1wH/f8BhAAAAADQB/3P/f/9//3//f/9//3//f/9//3//f/9//3//f/9//3//f/9//3//f/9/uX8wKd4u/3//f/9//3/TclMRv1P/f/9//3/7fzBBWxL/f/9/Vn8vEV9D/3//f/9//n/QUTYR/2P7fzBB3i7/f/9//3//f/9//3/7fzBBWxL/f/9//3//f1Z/MBFfQ/9//382fzARPz//f/9/Vn8vEV9D/3//fzV/UBEwETYR/2P/f/9//3//f/9/+38wQT8//3+4fzAtPz//f/9//3/TclYR/2P/f/9/03ZbEv9//3/7fzBB3i7/f/9//39Wfy8RX0P/f/9/NX9QET9D/3//f/9//X/QUTUR/2f7fzBBWxL/f/9//3//f1Z/MBFfQ/9/+38wQVsS/3//f/9//381f1ARP0P/f/9/03YzEb9T/3//f/9/+38vPVsS/3/7fy89WxL/f/9//3//fzZ/MBE/P/9//39Wfy8RX0P/f/9//3/+f9BRNhH/Y/9/uH8wLd0q/3//f/9//3//f/9//3/7f1BB3Sr/f/9//3//f/9//3/7fzBBWxL/f/9//3//f/9/UGbYEf93/39WfzARX0P/f/9//3+5fy8p3i7/f/9//3/+f9BR2RH/c/9//3//f/9//3//f/9//3//f/9//3//f/9//3//f/9//3//f/9//3//f/9//3//f/9//3//f/9//3//f/9//3//f/9//3//f/9//3//f/9//3//f/9//3//f/9//3//f/9//3//f/9//3//f/9//3//f/9//3//f/9//3//f/9//3//f/9//3//f/9//3//f/9//3//f/9//3//f/9//3//f/9//3//f/9//3//f713tlJsVgJ/AX/hfgF/AX8Bf+F+AX8BfwJ/4X4BfwB/qF64CbkJmQX2Hc1aDGfsXgxjViYcDhwKdTLrYgtnzVo1JrgJuQm4CbkNuAm4EfQlUzpUOjgiHA4cDjoa+k4bU1xXXFd6KpgJuQ3ZFXxv/3//f/9//3//f/9//3//f/9//3//f/9//3//f/9//3/VfwA8AAAAAK05AAAAAAkAn0//f/9//3//f/9//3//f/9//3//f/9//3//f/9//3//f/9//3//f/9//3/9f9BRWw7/f/9//3//f1Z/Lw0/Q/9//3//f/9/T2LZEf9z/3/7fzBBuA3/c/9//3//f9NyMg2/U/9/UGK4Df9z/3//f/9//3//f/9/T2I2Ef9j/3//f/9/mH8wKd0q/3//f7h/LyneLv9//3+YfzAtvSr/f/9/uX8vKdsqr1EzEZ9T/3//f/9//3/7fy89X0P/f/1/r1FbEv9//3//f7l/Mim/U/9//381f9gR/3P/f/1/0FFbDv9//3//f5h/MC29Kv9//3/7fy892BH/c/9//3//f9JyMxGfU/9/T2I2Ef9j/3//f/9/mH8wKd0q/3//f1BiNQ3/Y/9//3//f/t/Lz3dKv9//381fzARPz//f/9//3//f1BiuA3/c/9/UGI1Df9j/3//f/9/uH8vKd4u/3//f/t/MEG4Df9z/3//f/9/03IyDb9T/3/9f69RWxL/f/9//3//f/9//3//f/9/L2LYEf9z/3//f/9//3//f/9/UGI1Df9j/3//f/9//38vYjYR/2P/f5h/MCm4Df9z/3//f/1/0FE1Df9j/3//f/9/UGI1Df9j/3//f/9//3//f/9//3//f/9//3//f/9//3//f/9//3//f/9//3//f/9//3//f/9//3//f/9//3//f/9//3//f/9//3//f/9//3//f/9//3//f/9//3//f/9//3//f/9//3//f/9//3//f/9//3//f/9//3//f/9//3//f/9//3//f/9//3//f/9//3//f/9//3//f/9//3//f/9//3//f/9//3//f/9//3//f/9/vXe2Vk1SA38BfwJ/AX8CfwF/An8BfwJ/AX8CfwF/BHfWGboJuQn4Fc1aDGvsYgxnz1Y8FhwOWxrtXgtr7F4XHpkF2Q24CdkNuA3ZDbkJ2Q1xQuxijk5aIhwOPBJXMthKO1d+X35fWyq4CdoNWS7/f/9//3//f/9//3//f/9//3//f/9//3//f/9//3//f/9/1n8AJAAAAAAAAAAAfCb/f/9//3//f/9//3//f/9//3//f/9//3//f/9//3//f/9//3//f/9//3//f/9/T2JWEf9j/3//f/9/+38wQd0q/3//f/9//3/TdjYR/2f/f/5/0FEwEd0q/3//f/9/03JTEb9T/3+Yf1At3Sr/f/9//3//f/9//3/7fzBBWxL/f/9//3/+f89R2RH/c/9/+39QQVsS/3//f/t/MEFbEv9//3/7fzBBWxL/f1BiMBE/P/9//3//f/9/UGbdKv9//39WfzMRv1P/f/9/+38wQd0q/3//f1Z/2BH/d/9//39PYlYR/2P/f/9/+38wQVsS/3//f/1/0FEvEd4u/3//f/9/03YzEb9T/3/7fzBBWxL/f/9//3/+f89R2RH/c/9/+39QQVsS/3//f/9//X/QUdgR/3f/f/t/Lz3eLv9//3//f/9/03I2Ef9j/3/7fzBBWxL/f/9//3/9f9BV2BH/d/9//n/QUTAR3Sr/f/9//3/TclMRv1P/f/9/UGY2Ef9n/3//f/9//3//f/9//3+5fy8p3i7/f/9//3//f/9//3+Yf1At3Sr/f/9//3/9f9BR2BH/d/9//n/PUVAR3Sr/f/9//n/QUTARWxL/f/9//3/TclMRv1P/f/9//3//f/9//3//f/9//3//f/9//3//f/9//3//f/9//3//f/9//3//f/9//3//f/9//3//f/9//3//f/9//3//f/9//3//f/9//3//f/9//3//f/9//3//f/9//3//f/9//3//f/9//3//f/9//3//f/9//3//f/9//3//f/9//3//f/9//3//f/9//3//f/9//3//f/9//3//f/9//3//f/9//3//f/9//3+9d7ZWT07jegJ/AX8CfwF/An8BfwJ/AX8CfwF/IX8vOroFuQnZDY9KC2vrZgxnCmuzQj0OPQ6VNgtrCmtyOpkFuQ25CdkNuAm5DbkJ2Q25BdgVzF4qc5JCPQ4dDncuzFo6W59jv2d+XxoauAm6CV5b/3//f/9//3//f/9//3//f/9//3//f/9//3//f/9//3//f2lyAAAAAAAAMwH/c/9//3//f/9//3//f/9//3//f/9//3//f/9//3//f/9//3//f/9//3//f/9//3/TcjINv1P/f/9//3/9f69R2RH/c/9//3//fzV/MBE/P/9//39QYjUN01K4Df9z/X/QUTUN/2P/f/9/snIwEd0q/3//fzZ/Ww7/f/9/uH8vKdkR/3P/f/9/UGI1Df9j/3//fy9i2BH/c/9//39QYrgN/3P/f/9/T2LZEf9z/3/ScjAROg7/f/9//3+ycjYR/2P/f/9/UGI1Df9j/382fy8RWxL/f/9/0nJbEv9//3//f9NyMg2/U/9//3//f1BiuA3/c/9//39PYjYRslLYEf9z/n+vUTYR/2P/f/9/uH8vKdkR/3P/f/9/UGI1Df9j/3//f5h/MCm4Df9z/3//f09iNhH/Y/9//X/QUbgN/3P/f/9//382fy8RX0P/f/9/mH8wLbgN/3P/f/9/L2I2Ef9j/3//f1BiNQ3TUrgN/3P9f9BRNQ3/Y/9//3+ycjMRn1P/f/9//3//f/9//3//f/9/03IvDd0q/3//fzV/WxL/f/9/snIwEd0q/3//f9NyLxFfQ/9//3//f1BiuA1QUlsO/3/6fzBBWw7TcrgN/3P9f9BRNQ3/Y/9//3//f/9//3//f/9//3//f/9//3//f/9//3//f/9//3//f/9//3//f/9//3//f/9//3//f/9//3//f/9//3//f/9//3//f/9//3//f/9//3//f/9//3//f/9//3//f/9//3//f/9//3//f/9//3//f/9//3//f/9//3//f/9//3//f/9//3//f/9//3//f/9//3//f/9//3//f/9//3//f/9//3//f/9//3//f7131lpQSgR7An8ifwJ/In8CfyJ/An8ifwJ/IX/HZtkNuQnbCVI2CmvrZgxrDGsrb5U2XhJdEtJOCm8MZ/cdugm5CdoNuQnaCbkJ2g25DdkNugWSQglv7l48Fj0WWh4Lay9nv2u/Z79vPlPaDbkJGx7/e/9//3//f/9//3//f/9//3//f/9//3//f/9//3//f/9/iXIAAAAAAACcJv9//3//f/9//3//f/9//3//f/9//3//f/9//3//f/9//3//f/9//3//f/9//X/QVTARMBEvEVAR2BH/d/9/UGY2Ef9n/3//f/9/uX8vKd4u/3//f9NyVhH/Y7l/LylQETARX0P/f/9//3//f/t/UEEwETARLxHeLv9//3//f/9/UGIwES8RUBEwETMRn1P/f/9/03YzEb9X/3//f9NyUxG/U/9//3/TdjMRv1P/f/9/uH8wLS8RX0P/f/t/Lz3eLv9//3//f1Z/MBEwETURVmc2Ef9n/X/QVd0q/3/9f9BVMBEwES8RUBHYEf9303JTEb9T/3//f9N2NhH/Z5h/UC0wETARPz//f/9//3//f/9/UGIwES8RUBEwETMRn1P/f/9//3//f1BmMBEwES8RUBEzEb9T/3//f1BiNhH/Y/9//3//f5h/UC3dKv9//3//f/9/UGYvEVARMBEwETMRv1f/f/9/03JWEf9juX8vKVARMBFfQ/9//n/QUTARLxFQETAR2RH/c/9//3//f/9//3//f/t/Lz1QETARMBHdKv9//3//f/t/UEEwETARLxFfQ/9//3//f/9/03I2Ef9jVn8wETARMxG/V/9/Vn8vEVARMBFfQ/9//3//f/9//3//f/9//3//f/9//3//f/9//3//f/9//3//f/9//3//f/9//3//f/9//3//f/9//3//f/9//3//f/9//3//f/9//3//f/9//3//f/9//3//f/9//3//f/9//3//f/9//3//f/9//3//f/9//3//f/9//3//f/9//3//f/9//3//f/9//3//f/9//3//f/9//3//f/9//3//f/9//3//f/9//3//f/9/vXe1VlFK5HYifwJ/An8CfyJ/An8CfwJ/In8DexUmugXaCfYd62bqZutm6mYMbwtvtzZeEn0az1YKb8te2RG5CdoNugW6CfcZ2Q25CdoNuQm7BTMuCm/qZnomPRJcGsxeCm98Y79vn2u/b5w2ugm5BT5X/3//f/9//3//f/9//3//f/9//3//f/9//3//f/9/1n8AJAAAAAAAAAAAHz//f/9//3//f/9//3//f/9//3//f/9//3//f/9//3//f/9//3//f/9//3//f/9/+38vPVsS/3//f/9//3//f/9//3//f/9//3//f/9//3//f/9//3//f/9//3//f/9//3//f/9//3//f/9//3//f/9//3//f/9//3//f/9//3//f/9//3//f/9//3//f/9//381fzARPz//f/9//3//f/9//3//fzV/MBE/P/9//3//f/9//3//f/9//39WfzINv1P/f/9//3//f/9//3//f/9//39WfzINv1P/f/9//3/9f69RWxL/f/9//3//f/9//3//f/9//3//f/9//3//f/9//3//f/9//3//f/9//3//f/9//3//f/9//3//f/9//3//f/9//3//f/9//3//f/9//3//f/9//3//f/9//3//f/9//3//f/9//3//f/9//3//f/9//3//f/9//3//f/9//3//f/9//3//f/9//3//f/9//3//f/9/+38wQToO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+9d9ZaUkrmciJ/I38CfyN/An8jfwJ/I38hf8tavAX7DdsJVS4Jbwtr6mbragtrLHPXOp8afRrwWglz62b4EdsF2gk3Jq9OkkLaCdoN2gnaDbsFVC4JbwpveSpeFl0a7l4Ib1hnv2+/b79vn2f6EdoNGxr/e/9//3//f/9//3//f/9//3//f/9//3//f/9//H8gTQAAAADPLQAkAAAOAP9j/3//f/9//3//f/9//3//f/9//3//f/9//3//f/9//3//f/9//3//f/9//3/9f9BV2BH/d/9//3//f/9//3//f/9//3//f/9//3//f/9//3//f/9//3//f/9//3//f/9//3//f/9//3//f/9//3//f/9//3//f/9//3//f/9//3//f/9//3//f/9//3//f7l/MCneLv9//3//f/9//3//f/9/uX8vKd4u/3//f/9//3//f/9//3//f/9/03YzEb9X/3//f/9//3//f/9//3/7fzBB3i7/f/9//3//f/9/UGY2Ef9n/3//f/9//3//f/9//3//f/9//3//f/9//3//f/9//3//f/9//3//f/9//3//f/9//3//f/9//3//f/9//3//f/9//3//f/9//3//f/9//3//f/9//3//f/9//3//f/9//3//f/9//3//f/9//3//f/9//3//f/9//3//f/9//3//f/9//3//f/9//3//f/9//3/+f9BR2RH/c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713tlZzSqdqIn8CfyN/An8jfwJ/I38CfyJ/BHc2JtsF+w37DdBWCXPraupmDG8rc/ZCnxqfGtJOKXcKbzYqFiKOTuluCmv4FdsJ2gnaDdoJuwVxPih362Z8Il4WfR7MXuhuMWe/b79v33NeW9oNugnaDb9z/3//f/9//3//f/9//3//f/9//3//f/9//3/AXQAAAAA0Af9viXIAAAAA1wH/f/9//3//f/9//3//f/9//3//f/9//3//f/9//3//f/9//3//f/9//3//f/9/snI2Ef9j/3//f/9//3//f/9//3//f/9//3//f/9//3//f/9//3//f/9//3//f/9//3//f/9//3//f/9//3//f/9//3//f/9//3//f/9//3//f/9//3//f/9//3//f/9//X/QUVsO/3//f/9//3//f/9//3/9f9BROg7/f/9//3//f/9//3//f/9//3//f1Z/Lw02Ef9j/3//f/9//39QYi8N3Sr/f/9//3//f/9//3+ycjMRn1P/f/9//3//f/9//3//f/9//3//f/9//3//f/9//3//f/9//3//f/9//3//f/9//3//f/9//3//f/9//3//f/9//3//f/9//3//f/9//3//f/9//3//f/9//3//f/9//3//f/9//3//f/9//3//f/9//3//f/9//3//f/9//3//f/9//3//f/9//3//f/9//3//f/9/03I1Df9j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vXfXWnNKqWYifyN/I38jfyN/I38jfyN/I39Cf+hmGxL7DRwOWR4sbypvC28La0x3FFP/Jr8e+D4qdypz62bqauhq6G5TNtwJ2g37DdoN2wnaDe1iKHfvWn4afx57JupqCG8rc55r33O/b3wq2gnbCZw2/3//f/9//3//f/9//3//f/9//3//f/9//38OfwAAAAAJAJ9P/3/8fyBRAAAAAHwm/3//f/9//3//f/9//3//f/9//3//f/9//3//f/9//3//f/9//3//f/9//3//f/9//3//f/9//3//f/9//3//f/9//3//f/9//3//f/9//3//f/9//3//f/9//3//f/9//3//f/9//3//f/9//3//f/9//3//f/9//3//f/9//3//f/9//3//f/9//3//f09iVhH/Y/9//39QZjYR/2f/f/9/UGI2Ef9j/3//f/9//3//f/9//3//f/9//3//f5h/UC0wETARLxFQEdgR/3f/f/9//3//f/9//3//f/t/Lz1bEv9//3//f1BmNhH/Z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ee9ZadE6JYkN/I38jfyN/I38jfyN/I38jfyN/Qn+RPh0KGw49CrcybHsrcyxvTXNRax4v/yreKi5rKXcqc+lq6GqMUtoN2wnbDdoJ2wm8BXJCCHPocpY6fxp/Grc26G4Jcwhze2vfd/5KugXbCboFv2//f/9//3//f/9//3//f/9//3//f/9//3+1fwA8AAAAAHsm/3//f/9/tX8AJAAACQB/T/9//3//f/9//3//f/9//3//f/9//3//f/9//3//f/9//3//f/9//3//f/9//3//f/9//3//f/9//3//f/9//3//f/9//3//f/9//3//f/9//3//f/9//3//f/9//3//f/9//3//f/9//3//f/9//3//f/9//3//f/9//3//f/9//3//f/9//3//f/9/03IyDb9T/3/+f69RMxGfU/9//3/TcjINv1P/f/9//3//f/9//3//f/9//3//f/9//3//f/9//3//f/9//3//f/9//3//f/9//3//f/9//3/7fy89MBEyDb5Tr1EzEZ9T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9139150ToxeI38kfyN/RH8jfyR/I39EfyN/RH9Df0Z7WB49ClwOfg4VR4x/bHeOd497e09fMz8vOUdre0p3SnfpbjYqvQHdCdwF3QXaDXI+yGrnbq1WniKeHp8e0FYoewlz6HI0a39f2w3bDdsJvTr/f/9//3//f/9//3//f/9//3//f/9//3//f+BhAAAAADMB/3P/f/9//3//fw5/AAAAAA8A/2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nvWWpVSbFojfyN/JH8jfyR/I38kfyN/JH8jf0R/Qn8KYzwOXQ59Dr4OVUutf417r3+0b79HfztfN1lLTHdJe0p3zV5yPjUqNSpRNotWp2bHaqpemy5/Hp8eujIJc+huyGrGbq9W/BXcCdsJHBbfc/9//3//f/9//3//f/9//3//f/9//3//fw9/AAAAAAkAn1P/f/9//3//f/9//3/AXQAAAADYBf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+9e/delVKOViR/RH8kf0R/JH9EfyR/RH8kf0R/JH9Ef0N/8E4+Cn0SvQ7/EndL7n/Of/F/+WvfT79Hnz97S09vKXdJeyh7CHPnbudyxm7HbqxauzKfIp8mnyLOWsdqyGbGaoxW+hX8CdwJ3AleX/9//3//f/9//3//f/9//3//f/9//3//f9Z/ADgAAAAAnCb/f/9//3//f/9//3//f/x/IE0AAAAAHz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9571lq2Vm9SJX8jf0R/JH9EfyN/RH8kf0R/I39EfyR/RH9Df7M+PgaeEr0OHw95P/B773/zf/tn/1PfT79HfkNWVw5jCmvoauhu6GrtXtVGviqfIr8mniawToZip2amZm5K+g3dCdwJ3AXdPv9//3//f/9//3//f/9//3//f/9//3//f/x/IE0AAAAANAH/c/9//3//f/9//3//f/9//3/WfwAkAAAJAJ9T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nv3XrVWkVIFe0R/JH9Ef0R/RH8kf0V/RH9Ef0R/RX9Ef0R/RH+0Ol4KnhLeEh8PfSf1Z/F/83/7b/9b30/fS38/Xz8cP/o+2jrcMr4qvya/Jr8mvSquUoVmpmaIXlM2/An9CfwJ/QXeOv9//3//f/9//3//f/9//3//f/9//3//f/9/aXIAAAAADwD/Y/9//3//f/9//3//f/9//3//f/9/D38AAAAAMwH/c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ee/de1lpyTgZ3RH9EfyR/RH8kf0R/JH9EfyR/RH8kf0R/RH9Ef0R/sz4+Cp4OvRL/Dj8Tmz/1b/F/9X/9Z79Tv0t/Q18/HzP/Mt8u3yq/Jr8qlzqKWmRih15OQhka3QX9CdwJ3gVWLv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713GGPWWpRS5nJkf0R/RX9Ef0V/RH9Ff0R/RX9Ef0V/RH9Ff0V/ZH9Ef/FOPQ5/Cp0O3xL/Cl8buz/XY9N31Xe5Z51XfkdfQx87HjvbOtVGjFaHYmpSUjYZGv4J/Qn9Dd0J/gVzOkR/+3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vHf3XtZalFLobkR/RX9Ef0V/JH9Ff0R/RX8kf0V/RH9Ff0R/RX9Ef0V/Q38LY1kePwZeCp4Ovg4fD18Pfh96N3dPdVd0X1RbM1vwVs9Sj0ZzNhge/Q3+Bf4J/An9Cd4FHBKvTkR/Qn+0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bcxhj1lq1VspqZH9Ef0V/RX9Ff0R/RX9Ff0V/RX9Ff0V/RX9Ff2V/RX9lf2N/R3uyQl0SPwZ+Dn4OvhL/Eh8P/w7/Et4S3Rq9Fp0WXQ5fDh8GHgr9CR0O/Qn+Cf4Fdy4Ja2R/RH9Ef2p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3lzGGP3XpVSy2ZEf0V/RH9Ff0R/RX9Ef0V/RX9Ff0R/RX9Ff0V/RH9Ff0V/RX9Ef2R/KW+0OjwSPwY+Bn4Ovg7eEr4OvhKeDp4Ofg5eDj0KPQ4dCh4K/gEdClcm7F5Ef2R/RH9Ff0R/RX/9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mnMYY/det1atYmR/RX9Ff0V/ZX9Ff0V/RX9lf0V/ZX9Ff2V/RX9lf0V/ZX9Ff2V/RX9lf2R/KXPQSpcuPBZeDn8KvwqfCp8Ofgp/Cl8GXwY+Cj0SWSKyRgpnZX9kf2V/RX9lf0V/ZX9Df9h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Zdxdj9162Vs9iJH9Ff0V/RX9Ff0V/RX9Ff0V/RX9Ff2V/RX9Ff0V/ZX9Ff0V/RX9Ff0V/RX9Ef2R/RH9Id+xe0UrUOtcyuCq5KpcqtjayQu9WCWtFf2N/ZH9Ef0V/RX9lf0V/RX9Ff0R/j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3hzOGf3XvdasF5Ff0V/ZX9Ff2V/RX9mf0V/ZX9Ff2Z/RX9lf0V/Zn9Ff2V/RX9mf0V/ZX9Ff2Z/RX9lf2V/hH9kf2V/ZX9mf2Z/Zn9lf4R/ZH9lf0V/ZX9Ff2V/RX9lf0V/ZX9Ff2V/RX9n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d3MYYxhj11qyWiZ/ZX9Ff0V/RX9lf0V/RX9Ff2V/RX9lf0V/ZX9Ff2V/RX9lf0V/ZX9Ff2V/RX9lf0V/ZX9Ff2V/RX9lf0V/ZX9Ff2V/RX9lf0V/ZX9Ff0V/RX9lf0V/RX9Ff2V/RX9Ff0R//H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391czlnGGP4XrNaR39Ff2V/RX9mf0V/Zn9Ff2Z/RX9mf0V/Zn9Ff2Z/RX9mf0V/Zn9Ff2Z/RX9mf0V/Zn9lf2Z/RX9mf0V/Zn9Ff2Z/RX9mf0V/Zn9Ff2Z/RX9mf0V/Zn9Ff2Z/RX9lf0V/ZH+0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3NzOGcZY/de1loHd2V/RX9lf0V/ZX9Ff2V/RX9lf0V/Zn9Ff2V/RX9mf0V/ZX9Ff2Z/RX9lf0V/Zn9Ff2V/RX9mf0V/ZX9Ff2Z/RX9lf0V/Zn9Ff2V/RX9lf0V/ZX9Ff2V/RX9lf0V/ZX9Ef4t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UW9ZaxljGGPXXglzZX9mf2V/Zn9Ff2Z/ZX9mf0V/Zn9lf2Z/RX9mf2V/Zn9Ff2Z/ZX9mf0V/Zn9lf2Z/ZX9mf2V/Zn9Ff2Z/ZX9mf0V/Zn9lf2Z/RX9mf2V/Zn9Ff2Z/ZX9mf0V/Zn9lf2V/RX/+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QczlnOWcYY/heC29lf0V/ZX9Ff2Z/RX9lf0V/Zn9Ff2Z/RX9mf0V/Zn9Ff2Z/RX9mf0V/Zn9Ff2Z/RX9mf0V/Zn9Ff2Z/RX9mf0V/Zn9Ff2Z/RX9mf0V/ZX9Ff2Z/RX9lf0V/Zn9Ff2V/RX9kf9h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05vWWs6Zzln+V4vb4R/hX9lf2V/ZX9lf2V/Zn9lf2V/ZX9mf2V/Zn9lf2Z/ZX9mf2V/Zn9lf2Z/ZX9mf2V/Zn9lf2Z/ZX9mf2V/Zn9lf2Z/ZX9mf2V/Zn9Ff2Z/ZX9mf2V/Zn9lf2Z/RX9mf0R/sH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TXNZa1prOWc5Z/ViTHdKe2l/aH9of2h/iH9nf4d/Zn+Gf2V/Zn9lf4V/ZX+Ff2V/hX9lf4V/ZX+Ff2V/ZX9lf2V/ZX9mf2V/Zn9Ff2Z/ZX9mf0V/Zn9Ff2Z/RX9mf0V/Zn9Ff2Z/RX9mf0V/ZX9n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Lb3pvWmtaazlnOmcZYzlnF2cXZxZnNmcUZzRrE2szazJrMm8xb1JzMG9Qc09zT3dOd013THdse0p7antJe2l/aH+Gf2V/Zn9mf2Z/ZX9mf2Z/Zn9lf2Z/Zn9mf2V/Zn9lf2Z/ZX9mf2V/Zn9Ff2V//H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0tvWWt7b1prWms5Z1prOWc5ZzlnOmc5YzpnOWM6ZzljOmc6YzpnGmM6ZzpjOmcZYzlnGWM5ZxhjGGMXYxdj9l4VYy5vh39lf2Z/ZX9mf0V/Zn9lf2Z/RX9mf2V/Zn9Ff2Z/RX9mf0V/Zn9Ff2Z/RH/V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Sm96b3tve296a3tvWmtaaxhnEGJrWSlZCFlrWRBeGWdaa1prWmtaa1pre29aa1prWmtba1prWms5Z1prOWc5ZxljGWMSa2l/hX+Gf2Z/Zn9lf2Z/Zn9mf2V/Zn9lf2Z/ZX9mf2V/Zn9lf2Z/ZX9lf4x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X9Kc1lre297b3tve297bxBiCF1rbc55znmteWtxKWnnVDFie297b3tve297b3tve297b1pre29aa3tvWmtaazlnOWc5YzpjFmdMd2V/ZX9lf2Z/RX9mf2V/Zn9Ff2Z/ZX9mf0V/Zn9lf2Z/RX9mf0V/Zn/+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+f0pzem97b5xze2+cc61dSmnOec55a20paSllSmlKcUpxCGHOXZxznHOcc5xznHOcc5xznHOcc5xze297b3tve29aa1prOWdaZzhnT3Nnf4Z/ZX9mf2V/hn9mf2Z/ZX9mf2V/Zn9lf2Z/ZX9mf2V/Zn9kf/p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5/SnNaa3tve297bzFiSmmtcWttKVlSZtZm92pzYilZKWkpbQhhUmacc5xznHOcc5xznHOcc713nHOcc5xznHN7b3tvWmt7b1prW2s6Z1RvSnuGf2V/hX9lf4V/ZX+Gf2V/hX9lf4V/ZX9lf2V/ZX9lf2R/sn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n9Mc3tve297bzlrCGGMcWttjF17c5xznHOcc/dq51hrcSltSnHnWHtznHO9d5xzvXecc713nHO9d5xzvXecc7x3nHOcc3tve297b3tve2t6b1Rzcndwd3B7b3dve257bntte21/bX9tf2x7j3+Of45/bH/X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9f2x3Wmd8b3tvMWZKaYxxKV17b3tvnHOcc9Zq51hrcedg51QpbSllUmKcc5xznHOcc713nHO9d5xzvXecc713nHO9d5xznHOcc5xze2+cc3xvnW98b3xvfG98b3tvnHN8b5xznHO9d713vnf+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1/hntqc1FveG9rYYxxSmlzapxznHOcc7VqCF2MdQhhMWa1aillSm2tXZxzvXecc713vXe9d713vXe9d713vXe9d713vXe9d713vXe9d5xzvXecd713vHO9d713vXe9d957vXfee71333vee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23uFf2R3RHMlbydda20paZReWmtaa3NiCGGteQhhUmZ7bzlr51xKcSlVnG97b5xze2+cc3tvnHN7b5xznHOcc5xznHOcc5xznHOcc5xznHOcc5xznHOcc5xznHOcc5xznHOcc5xzvXe9d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be6V/pn9ld2R3J12McSllU1bWWvBZCGXOfQhhEFrWWvdetVYIYUpxKVX3Xvde9174YvdeGGP3YhhjGGMYYxhjGGMYYzlnGGM5ZxhjOWc5ZzlnOWc6azlnOWc5Z1prOWdaa1prnHPee713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7l7xn+lf4Z/ZXuGZWttSm0oYulhCGXOeQhhMV73XhhjGGNzXghhSm1rVTlnOWc5ZzlnWms6Z1trW2t8a1tre2tba3xvW2t8b3xvnW98b51znXO+c51zvne+c793vnffe9533nvee957vXf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+3+lf8Z/pn+mf0VuSm2McQZhKWnOeQdhlGJaa1prWmt7b2tZSm0IZVNie2t8b1xrfG9Za1lvVmtTbzBvTm8rb0tzTHNNc01zb3dvc3F3cneTe5N3tHuTe7R/s3uzf7J/sn/9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bf6V/pX/Gf6V/hn8HYa1xjHGteQdhZWJYa55znXO+dzFmCGVKbQhdeXOYd3RzkXdtc5N7tn/Wf7Z/1n/Wf9h/2H/Zf9l/+n/af/t/2n/Zf9l/2n/af/t/23/8f/x//X/9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t/pX/Gf6Z/xn+lf4Z2KWmtdWtxRmFkahBvVm/RbmlhKWlKcQhlZ2qHf4V/pX+Ef6Z//n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X+nf6V/pn+lf8Z/pX8GbilpznmtdUptCGUIZSlpSnFKcQhlBWqlf6V/pn+lf6R/0n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657xX+lf8Z/pn/Gf6V/hnYHZWtxrXnOfa15jHUpaSdhhnKmf6Z/pn+mf6Z/hX/9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2X+kf8Z/pX+mf6V/pn+lf4V/hXLGaUVhZmWlZYVyZH+lf6R/pX+Ef6R/g3+r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+f6h/pH+lf6V/pn+mf6Z/pn+nf6d/qH+pf6p/qn+sf61/zn+vf9F/sn/Tf/t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3H/5f/p//H/bf/x//H/+f/5//3/+f/9//n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4GEAAAAAAAAAAHwm/39pcgAAAAD4Af9/+H8OOP9j/3+JcgAAAADYAf9//3/gYQAAAAD/Ov9/+H8PPP9f4GEAAAAAAAAAAHwm/39pcgAAAAD4Af9//3//f/x/KU2fU/9/4GEAAAAAAAAAAHwm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Tfw8k/2P/f/9//3+Tfw8k/2P8fylNn1P/f/9//3+Ufw4k/2P8fylRn08PfzMB/3OTfwkkn0//f/9//3+Tfw8k/2P/f/9//3+Tfw8k/2P8fylNn1P/f/9//H8pUZ9P/3+Tfw8k/2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Dn8PAP9f/3//fw9/1wH/f/9/iXJ8Jv9//3//f+5++AH/f/9/aXKcJv9//3//f/9/wGEfP/9//3//f/9/7n4PAP9j/3//fw9/2AH/f/9/iXJ8Jv9//3/8fylNn1P/f/9/Dn8PAP9f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w5/DwD/Y/9/aXKcJv9//38Of/gB/3//f/9/iXJ8Jv9//38Pf9gB/3//f/9//3+Jcnwm/3//f/9//3//fw5/DwD/Y/9/aXKcJv9//38Of/gB/3//f/x/KVGfT/9//3//fw5/DwD/Y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38OfzQB/3OJcnwm/3//fw9/2AH/f/9//39pcpwm/3//fw5/+AH/f+BhAAAAAM45+AH/f/9//3//f/9//3/ufjQB/3OJcnwm/3//fw9/1wH/f/9//H8pTZ9T/3//f/9//38OfzQB/3P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wGEfP2lynCb/f/9/Dn/4Af9//3//f4lyfCb/f/9/D3/YAQ9/MwH/c/9/4GHYAf9//3//f/9//3//f/9/wGEfP2lynCb/f/9/Dn/4Af9//3/8fylRn0//f/9//3//f/9/wGEfP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+JcnwmD3/XAf9//3+Jcnwm/3//f/9/7n74Af9//39pcpwmaXKcJv9//39pcpwm/3//f/9//3//f/9//3+JcnwmD3/YAf9//3+Jcnwm/3//f/x/KU2fU/9//3//f/9//3+Jcnwm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pcvgB/3/8fyBNHz+Tfw8k/2P8fylNn1P/f/9//3+Ufw4k/2P8fylRn08PfzMB/3P4fwk8n0//f/9//39pcvgB/3/8fyBNHz+Tfw8k/2P8fylNn1P8fyBRAAAJAJ9P/39pcvgB/3/8fyBNHz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wF0AAAAA+AH/f/9/aXIAAAAA+AH/f/9//3//f/9/iXIAAAAA2AH/f/9/4GEAAAAA/zr/f/9//3//f/9/wGEAAAAA+AH/f/9/aXIAAAAA+AH/f/9//3/4fwk4n1P/f/9/wF0AAAAA+AH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//f/9//39MAAAAZAAAAAAAAAAAAAAAjwEAAH8AAAAAAAAAAAAAAJABAACAAAAAKQCqAAAAAAAAAAAAAACAPwAAAAAAAAAAAACAPwAAAAAAAAAAAAAAAAAAAAAAAAAAAAAAAAAAAAAAAAAAIgAAAAwAAAD/////RgAAABwAAAAQAAAARU1GKwJAAAAMAAAAAAAAAA4AAAAUAAAAAAAAABAAAAAUAAAA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Sign</vt:lpstr>
      <vt:lpstr>Examples</vt:lpstr>
      <vt:lpstr>ChartTest</vt:lpstr>
      <vt:lpstr>GenerateTestData</vt:lpstr>
      <vt:lpstr>CurveFitting</vt:lpstr>
      <vt:lpstr>GenerateHierarchyTable</vt:lpstr>
      <vt:lpstr>MatA</vt:lpstr>
      <vt:lpstr>MatB</vt:lpstr>
      <vt:lpstr>MATC</vt:lpstr>
      <vt:lpstr>MatD</vt:lpstr>
      <vt:lpstr>VecA</vt:lpstr>
      <vt:lpstr>VecB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Tuncali</dc:creator>
  <cp:lastModifiedBy>Tuncali</cp:lastModifiedBy>
  <dcterms:created xsi:type="dcterms:W3CDTF">2006-09-16T00:00:00Z</dcterms:created>
  <dcterms:modified xsi:type="dcterms:W3CDTF">2012-09-20T21:15:44Z</dcterms:modified>
</cp:coreProperties>
</file>