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105" windowWidth="19155" windowHeight="11760" activeTab="1"/>
  </bookViews>
  <sheets>
    <sheet name="Inputs" sheetId="4" r:id="rId1"/>
    <sheet name="Simulation" sheetId="5" r:id="rId2"/>
    <sheet name="Graph" sheetId="6" r:id="rId3"/>
  </sheets>
  <functionGroups builtInGroupCount="17"/>
  <definedNames>
    <definedName name="AnnualVarConvtr">Inputs!$H$4</definedName>
    <definedName name="Dividend">Inputs!$C$10</definedName>
    <definedName name="Eta">Inputs!$C$6</definedName>
    <definedName name="Lambda">Inputs!$C$8</definedName>
    <definedName name="Rho">Inputs!$C$7</definedName>
    <definedName name="RiskFreeRate">Inputs!$C$9</definedName>
    <definedName name="StockPrice_T0">Inputs!$C$11</definedName>
    <definedName name="Strike">Inputs!$C$12</definedName>
    <definedName name="Variance_Avg">Inputs!$C$4</definedName>
    <definedName name="Variance_T0">Inputs!$C$5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C5" i="5" l="1"/>
  <c r="N5" i="5" l="1"/>
  <c r="I254" i="5"/>
  <c r="H254" i="5"/>
  <c r="I253" i="5"/>
  <c r="H253" i="5"/>
  <c r="I252" i="5"/>
  <c r="H252" i="5"/>
  <c r="I251" i="5"/>
  <c r="H251" i="5"/>
  <c r="I250" i="5"/>
  <c r="H250" i="5"/>
  <c r="I249" i="5"/>
  <c r="H249" i="5"/>
  <c r="I248" i="5"/>
  <c r="H248" i="5"/>
  <c r="I247" i="5"/>
  <c r="H247" i="5"/>
  <c r="I246" i="5"/>
  <c r="H246" i="5"/>
  <c r="I245" i="5"/>
  <c r="H245" i="5"/>
  <c r="I244" i="5"/>
  <c r="H244" i="5"/>
  <c r="I243" i="5"/>
  <c r="H243" i="5"/>
  <c r="I242" i="5"/>
  <c r="H242" i="5"/>
  <c r="I241" i="5"/>
  <c r="H241" i="5"/>
  <c r="I240" i="5"/>
  <c r="H240" i="5"/>
  <c r="I239" i="5"/>
  <c r="H239" i="5"/>
  <c r="I238" i="5"/>
  <c r="H238" i="5"/>
  <c r="I237" i="5"/>
  <c r="H237" i="5"/>
  <c r="I236" i="5"/>
  <c r="H236" i="5"/>
  <c r="I235" i="5"/>
  <c r="H235" i="5"/>
  <c r="I234" i="5"/>
  <c r="H234" i="5"/>
  <c r="I233" i="5"/>
  <c r="H233" i="5"/>
  <c r="I232" i="5"/>
  <c r="H232" i="5"/>
  <c r="I231" i="5"/>
  <c r="H231" i="5"/>
  <c r="I230" i="5"/>
  <c r="H230" i="5"/>
  <c r="I229" i="5"/>
  <c r="H229" i="5"/>
  <c r="I228" i="5"/>
  <c r="H228" i="5"/>
  <c r="I227" i="5"/>
  <c r="H227" i="5"/>
  <c r="I226" i="5"/>
  <c r="H226" i="5"/>
  <c r="I225" i="5"/>
  <c r="H225" i="5"/>
  <c r="I224" i="5"/>
  <c r="H224" i="5"/>
  <c r="I223" i="5"/>
  <c r="H223" i="5"/>
  <c r="I222" i="5"/>
  <c r="H222" i="5"/>
  <c r="I221" i="5"/>
  <c r="H221" i="5"/>
  <c r="I220" i="5"/>
  <c r="H220" i="5"/>
  <c r="I219" i="5"/>
  <c r="H219" i="5"/>
  <c r="I218" i="5"/>
  <c r="H218" i="5"/>
  <c r="I217" i="5"/>
  <c r="H217" i="5"/>
  <c r="I216" i="5"/>
  <c r="H216" i="5"/>
  <c r="I215" i="5"/>
  <c r="H215" i="5"/>
  <c r="I214" i="5"/>
  <c r="H214" i="5"/>
  <c r="I213" i="5"/>
  <c r="H213" i="5"/>
  <c r="I212" i="5"/>
  <c r="H212" i="5"/>
  <c r="I211" i="5"/>
  <c r="H211" i="5"/>
  <c r="I210" i="5"/>
  <c r="H210" i="5"/>
  <c r="I209" i="5"/>
  <c r="H209" i="5"/>
  <c r="I208" i="5"/>
  <c r="H208" i="5"/>
  <c r="I207" i="5"/>
  <c r="H207" i="5"/>
  <c r="I206" i="5"/>
  <c r="H206" i="5"/>
  <c r="I205" i="5"/>
  <c r="H205" i="5"/>
  <c r="I204" i="5"/>
  <c r="H204" i="5"/>
  <c r="I203" i="5"/>
  <c r="H203" i="5"/>
  <c r="I202" i="5"/>
  <c r="H202" i="5"/>
  <c r="I201" i="5"/>
  <c r="H201" i="5"/>
  <c r="I200" i="5"/>
  <c r="H200" i="5"/>
  <c r="I199" i="5"/>
  <c r="H199" i="5"/>
  <c r="I198" i="5"/>
  <c r="H198" i="5"/>
  <c r="I197" i="5"/>
  <c r="H197" i="5"/>
  <c r="I196" i="5"/>
  <c r="H196" i="5"/>
  <c r="I195" i="5"/>
  <c r="H195" i="5"/>
  <c r="I194" i="5"/>
  <c r="H194" i="5"/>
  <c r="I193" i="5"/>
  <c r="H193" i="5"/>
  <c r="I192" i="5"/>
  <c r="H192" i="5"/>
  <c r="I191" i="5"/>
  <c r="H191" i="5"/>
  <c r="I190" i="5"/>
  <c r="H190" i="5"/>
  <c r="I189" i="5"/>
  <c r="H189" i="5"/>
  <c r="I188" i="5"/>
  <c r="H188" i="5"/>
  <c r="I187" i="5"/>
  <c r="H187" i="5"/>
  <c r="I186" i="5"/>
  <c r="H186" i="5"/>
  <c r="I185" i="5"/>
  <c r="H185" i="5"/>
  <c r="I184" i="5"/>
  <c r="H184" i="5"/>
  <c r="I183" i="5"/>
  <c r="H183" i="5"/>
  <c r="I182" i="5"/>
  <c r="H182" i="5"/>
  <c r="I181" i="5"/>
  <c r="H181" i="5"/>
  <c r="I180" i="5"/>
  <c r="H180" i="5"/>
  <c r="I179" i="5"/>
  <c r="H179" i="5"/>
  <c r="I178" i="5"/>
  <c r="H178" i="5"/>
  <c r="I177" i="5"/>
  <c r="H177" i="5"/>
  <c r="I176" i="5"/>
  <c r="H176" i="5"/>
  <c r="I175" i="5"/>
  <c r="H175" i="5"/>
  <c r="I174" i="5"/>
  <c r="H174" i="5"/>
  <c r="I173" i="5"/>
  <c r="H173" i="5"/>
  <c r="I172" i="5"/>
  <c r="H172" i="5"/>
  <c r="I171" i="5"/>
  <c r="H171" i="5"/>
  <c r="I170" i="5"/>
  <c r="H170" i="5"/>
  <c r="I169" i="5"/>
  <c r="H169" i="5"/>
  <c r="I168" i="5"/>
  <c r="H168" i="5"/>
  <c r="J168" i="5" s="1"/>
  <c r="I167" i="5"/>
  <c r="H167" i="5"/>
  <c r="I166" i="5"/>
  <c r="H166" i="5"/>
  <c r="I165" i="5"/>
  <c r="H165" i="5"/>
  <c r="I164" i="5"/>
  <c r="H164" i="5"/>
  <c r="I163" i="5"/>
  <c r="H163" i="5"/>
  <c r="I162" i="5"/>
  <c r="H162" i="5"/>
  <c r="I161" i="5"/>
  <c r="H161" i="5"/>
  <c r="I160" i="5"/>
  <c r="H160" i="5"/>
  <c r="I159" i="5"/>
  <c r="H159" i="5"/>
  <c r="I158" i="5"/>
  <c r="H158" i="5"/>
  <c r="I157" i="5"/>
  <c r="H157" i="5"/>
  <c r="I156" i="5"/>
  <c r="H156" i="5"/>
  <c r="I155" i="5"/>
  <c r="H155" i="5"/>
  <c r="I154" i="5"/>
  <c r="H154" i="5"/>
  <c r="I153" i="5"/>
  <c r="H153" i="5"/>
  <c r="I152" i="5"/>
  <c r="H152" i="5"/>
  <c r="I151" i="5"/>
  <c r="H151" i="5"/>
  <c r="I150" i="5"/>
  <c r="H150" i="5"/>
  <c r="I149" i="5"/>
  <c r="H149" i="5"/>
  <c r="I148" i="5"/>
  <c r="H148" i="5"/>
  <c r="I147" i="5"/>
  <c r="H147" i="5"/>
  <c r="I146" i="5"/>
  <c r="H146" i="5"/>
  <c r="I145" i="5"/>
  <c r="H145" i="5"/>
  <c r="I144" i="5"/>
  <c r="H144" i="5"/>
  <c r="J144" i="5" s="1"/>
  <c r="I143" i="5"/>
  <c r="H143" i="5"/>
  <c r="I142" i="5"/>
  <c r="H142" i="5"/>
  <c r="I141" i="5"/>
  <c r="H141" i="5"/>
  <c r="I140" i="5"/>
  <c r="H140" i="5"/>
  <c r="I139" i="5"/>
  <c r="H139" i="5"/>
  <c r="I138" i="5"/>
  <c r="H138" i="5"/>
  <c r="I137" i="5"/>
  <c r="H137" i="5"/>
  <c r="I136" i="5"/>
  <c r="H136" i="5"/>
  <c r="I135" i="5"/>
  <c r="H135" i="5"/>
  <c r="I134" i="5"/>
  <c r="H134" i="5"/>
  <c r="I133" i="5"/>
  <c r="H133" i="5"/>
  <c r="I132" i="5"/>
  <c r="H132" i="5"/>
  <c r="I131" i="5"/>
  <c r="H131" i="5"/>
  <c r="I130" i="5"/>
  <c r="H130" i="5"/>
  <c r="I129" i="5"/>
  <c r="H129" i="5"/>
  <c r="I128" i="5"/>
  <c r="H128" i="5"/>
  <c r="I127" i="5"/>
  <c r="H127" i="5"/>
  <c r="I126" i="5"/>
  <c r="H126" i="5"/>
  <c r="I125" i="5"/>
  <c r="H125" i="5"/>
  <c r="I124" i="5"/>
  <c r="H124" i="5"/>
  <c r="I123" i="5"/>
  <c r="H123" i="5"/>
  <c r="I122" i="5"/>
  <c r="H122" i="5"/>
  <c r="I121" i="5"/>
  <c r="H121" i="5"/>
  <c r="I120" i="5"/>
  <c r="H120" i="5"/>
  <c r="I119" i="5"/>
  <c r="H119" i="5"/>
  <c r="I118" i="5"/>
  <c r="H118" i="5"/>
  <c r="I117" i="5"/>
  <c r="H117" i="5"/>
  <c r="I116" i="5"/>
  <c r="H116" i="5"/>
  <c r="I115" i="5"/>
  <c r="H115" i="5"/>
  <c r="I114" i="5"/>
  <c r="H114" i="5"/>
  <c r="I113" i="5"/>
  <c r="H113" i="5"/>
  <c r="I112" i="5"/>
  <c r="H112" i="5"/>
  <c r="I111" i="5"/>
  <c r="H111" i="5"/>
  <c r="I110" i="5"/>
  <c r="H110" i="5"/>
  <c r="I109" i="5"/>
  <c r="H109" i="5"/>
  <c r="I108" i="5"/>
  <c r="H108" i="5"/>
  <c r="I107" i="5"/>
  <c r="H107" i="5"/>
  <c r="I106" i="5"/>
  <c r="H106" i="5"/>
  <c r="I105" i="5"/>
  <c r="H105" i="5"/>
  <c r="I104" i="5"/>
  <c r="H104" i="5"/>
  <c r="I103" i="5"/>
  <c r="H103" i="5"/>
  <c r="I102" i="5"/>
  <c r="H102" i="5"/>
  <c r="I101" i="5"/>
  <c r="H101" i="5"/>
  <c r="I100" i="5"/>
  <c r="H100" i="5"/>
  <c r="I99" i="5"/>
  <c r="H99" i="5"/>
  <c r="I98" i="5"/>
  <c r="H98" i="5"/>
  <c r="I97" i="5"/>
  <c r="H97" i="5"/>
  <c r="I96" i="5"/>
  <c r="H96" i="5"/>
  <c r="I95" i="5"/>
  <c r="H95" i="5"/>
  <c r="I94" i="5"/>
  <c r="H94" i="5"/>
  <c r="I93" i="5"/>
  <c r="H93" i="5"/>
  <c r="I92" i="5"/>
  <c r="H92" i="5"/>
  <c r="I91" i="5"/>
  <c r="H91" i="5"/>
  <c r="I90" i="5"/>
  <c r="H90" i="5"/>
  <c r="I89" i="5"/>
  <c r="H89" i="5"/>
  <c r="I88" i="5"/>
  <c r="H88" i="5"/>
  <c r="I87" i="5"/>
  <c r="H87" i="5"/>
  <c r="I86" i="5"/>
  <c r="H86" i="5"/>
  <c r="I85" i="5"/>
  <c r="H85" i="5"/>
  <c r="I84" i="5"/>
  <c r="H84" i="5"/>
  <c r="I83" i="5"/>
  <c r="H83" i="5"/>
  <c r="I82" i="5"/>
  <c r="H82" i="5"/>
  <c r="I81" i="5"/>
  <c r="H81" i="5"/>
  <c r="I80" i="5"/>
  <c r="H80" i="5"/>
  <c r="I79" i="5"/>
  <c r="H79" i="5"/>
  <c r="I78" i="5"/>
  <c r="H78" i="5"/>
  <c r="I77" i="5"/>
  <c r="H77" i="5"/>
  <c r="I76" i="5"/>
  <c r="H76" i="5"/>
  <c r="I75" i="5"/>
  <c r="H75" i="5"/>
  <c r="I74" i="5"/>
  <c r="H74" i="5"/>
  <c r="I73" i="5"/>
  <c r="H73" i="5"/>
  <c r="I72" i="5"/>
  <c r="H72" i="5"/>
  <c r="I71" i="5"/>
  <c r="H71" i="5"/>
  <c r="I70" i="5"/>
  <c r="H70" i="5"/>
  <c r="I69" i="5"/>
  <c r="H69" i="5"/>
  <c r="I68" i="5"/>
  <c r="H68" i="5"/>
  <c r="I67" i="5"/>
  <c r="H67" i="5"/>
  <c r="I66" i="5"/>
  <c r="H66" i="5"/>
  <c r="I65" i="5"/>
  <c r="H65" i="5"/>
  <c r="I64" i="5"/>
  <c r="H64" i="5"/>
  <c r="I63" i="5"/>
  <c r="H63" i="5"/>
  <c r="I62" i="5"/>
  <c r="H62" i="5"/>
  <c r="I61" i="5"/>
  <c r="H61" i="5"/>
  <c r="I60" i="5"/>
  <c r="H60" i="5"/>
  <c r="K60" i="5" s="1"/>
  <c r="I59" i="5"/>
  <c r="H59" i="5"/>
  <c r="I58" i="5"/>
  <c r="H58" i="5"/>
  <c r="I57" i="5"/>
  <c r="H57" i="5"/>
  <c r="I56" i="5"/>
  <c r="H56" i="5"/>
  <c r="K56" i="5" s="1"/>
  <c r="I55" i="5"/>
  <c r="H55" i="5"/>
  <c r="I54" i="5"/>
  <c r="H54" i="5"/>
  <c r="I53" i="5"/>
  <c r="H53" i="5"/>
  <c r="I52" i="5"/>
  <c r="H52" i="5"/>
  <c r="I51" i="5"/>
  <c r="H51" i="5"/>
  <c r="I50" i="5"/>
  <c r="H50" i="5"/>
  <c r="I49" i="5"/>
  <c r="H49" i="5"/>
  <c r="I48" i="5"/>
  <c r="H48" i="5"/>
  <c r="J48" i="5" s="1"/>
  <c r="I47" i="5"/>
  <c r="H47" i="5"/>
  <c r="I46" i="5"/>
  <c r="H46" i="5"/>
  <c r="I45" i="5"/>
  <c r="H45" i="5"/>
  <c r="I44" i="5"/>
  <c r="H44" i="5"/>
  <c r="J44" i="5" s="1"/>
  <c r="I43" i="5"/>
  <c r="H43" i="5"/>
  <c r="I42" i="5"/>
  <c r="H42" i="5"/>
  <c r="I41" i="5"/>
  <c r="H41" i="5"/>
  <c r="I40" i="5"/>
  <c r="H40" i="5"/>
  <c r="J40" i="5" s="1"/>
  <c r="I39" i="5"/>
  <c r="H39" i="5"/>
  <c r="I38" i="5"/>
  <c r="H38" i="5"/>
  <c r="I37" i="5"/>
  <c r="H37" i="5"/>
  <c r="I36" i="5"/>
  <c r="H36" i="5"/>
  <c r="I35" i="5"/>
  <c r="H35" i="5"/>
  <c r="I34" i="5"/>
  <c r="H34" i="5"/>
  <c r="I33" i="5"/>
  <c r="H33" i="5"/>
  <c r="I32" i="5"/>
  <c r="H32" i="5"/>
  <c r="I31" i="5"/>
  <c r="H31" i="5"/>
  <c r="I30" i="5"/>
  <c r="H30" i="5"/>
  <c r="I29" i="5"/>
  <c r="H29" i="5"/>
  <c r="I28" i="5"/>
  <c r="H28" i="5"/>
  <c r="I27" i="5"/>
  <c r="H27" i="5"/>
  <c r="I26" i="5"/>
  <c r="H26" i="5"/>
  <c r="I25" i="5"/>
  <c r="H25" i="5"/>
  <c r="I24" i="5"/>
  <c r="H24" i="5"/>
  <c r="I23" i="5"/>
  <c r="H23" i="5"/>
  <c r="I22" i="5"/>
  <c r="H22" i="5"/>
  <c r="I21" i="5"/>
  <c r="H21" i="5"/>
  <c r="I20" i="5"/>
  <c r="H20" i="5"/>
  <c r="J20" i="5" s="1"/>
  <c r="I19" i="5"/>
  <c r="H19" i="5"/>
  <c r="I18" i="5"/>
  <c r="H18" i="5"/>
  <c r="I17" i="5"/>
  <c r="H17" i="5"/>
  <c r="I16" i="5"/>
  <c r="H16" i="5"/>
  <c r="I15" i="5"/>
  <c r="H15" i="5"/>
  <c r="I14" i="5"/>
  <c r="H14" i="5"/>
  <c r="I13" i="5"/>
  <c r="H13" i="5"/>
  <c r="I12" i="5"/>
  <c r="H12" i="5"/>
  <c r="I11" i="5"/>
  <c r="H11" i="5"/>
  <c r="I10" i="5"/>
  <c r="H10" i="5"/>
  <c r="I9" i="5"/>
  <c r="H9" i="5"/>
  <c r="I8" i="5"/>
  <c r="H8" i="5"/>
  <c r="I7" i="5"/>
  <c r="H7" i="5"/>
  <c r="I6" i="5"/>
  <c r="H6" i="5"/>
  <c r="B6" i="5"/>
  <c r="W5" i="5"/>
  <c r="V5" i="5"/>
  <c r="I5" i="5"/>
  <c r="H5" i="5"/>
  <c r="C5" i="4"/>
  <c r="H4" i="4"/>
  <c r="Q5" i="5"/>
  <c r="B10" i="5" a="1"/>
  <c r="K28" i="5" l="1"/>
  <c r="K150" i="5"/>
  <c r="K41" i="5"/>
  <c r="K65" i="5"/>
  <c r="K73" i="5"/>
  <c r="K101" i="5"/>
  <c r="K105" i="5"/>
  <c r="J198" i="5"/>
  <c r="J214" i="5"/>
  <c r="J238" i="5"/>
  <c r="K232" i="5"/>
  <c r="J105" i="5"/>
  <c r="K19" i="5"/>
  <c r="J31" i="5"/>
  <c r="J39" i="5"/>
  <c r="J63" i="5"/>
  <c r="J71" i="5"/>
  <c r="J79" i="5"/>
  <c r="K83" i="5"/>
  <c r="K99" i="5"/>
  <c r="K119" i="5"/>
  <c r="J127" i="5"/>
  <c r="J131" i="5"/>
  <c r="K135" i="5"/>
  <c r="J215" i="5"/>
  <c r="J239" i="5"/>
  <c r="J176" i="5"/>
  <c r="J240" i="5"/>
  <c r="J145" i="5"/>
  <c r="K214" i="5"/>
  <c r="K120" i="5"/>
  <c r="J140" i="5"/>
  <c r="J184" i="5"/>
  <c r="K188" i="5"/>
  <c r="J192" i="5"/>
  <c r="J200" i="5"/>
  <c r="K212" i="5"/>
  <c r="J137" i="5"/>
  <c r="K160" i="5"/>
  <c r="J216" i="5"/>
  <c r="J220" i="5"/>
  <c r="J228" i="5"/>
  <c r="J248" i="5"/>
  <c r="J167" i="5"/>
  <c r="J114" i="5"/>
  <c r="K115" i="5"/>
  <c r="K9" i="5"/>
  <c r="J17" i="5"/>
  <c r="K21" i="5"/>
  <c r="K33" i="5"/>
  <c r="J72" i="5"/>
  <c r="K96" i="5"/>
  <c r="J112" i="5"/>
  <c r="J116" i="5"/>
  <c r="J120" i="5"/>
  <c r="K139" i="5"/>
  <c r="J166" i="5"/>
  <c r="K236" i="5"/>
  <c r="K240" i="5"/>
  <c r="J135" i="5"/>
  <c r="K252" i="5"/>
  <c r="J51" i="5"/>
  <c r="K6" i="5"/>
  <c r="K14" i="5"/>
  <c r="J117" i="5"/>
  <c r="J151" i="5"/>
  <c r="K155" i="5"/>
  <c r="J163" i="5"/>
  <c r="J175" i="5"/>
  <c r="J182" i="5"/>
  <c r="J180" i="5"/>
  <c r="K246" i="5"/>
  <c r="K102" i="5"/>
  <c r="K121" i="5"/>
  <c r="J125" i="5"/>
  <c r="K129" i="5"/>
  <c r="J152" i="5"/>
  <c r="J160" i="5"/>
  <c r="J179" i="5"/>
  <c r="J207" i="5"/>
  <c r="J218" i="5"/>
  <c r="K222" i="5"/>
  <c r="K17" i="5"/>
  <c r="K117" i="5"/>
  <c r="K167" i="5"/>
  <c r="K10" i="5"/>
  <c r="K57" i="5"/>
  <c r="J60" i="5"/>
  <c r="K76" i="5"/>
  <c r="K111" i="5"/>
  <c r="J115" i="5"/>
  <c r="J126" i="5"/>
  <c r="J155" i="5"/>
  <c r="J199" i="5"/>
  <c r="K238" i="5"/>
  <c r="K242" i="5"/>
  <c r="J246" i="5"/>
  <c r="K137" i="5"/>
  <c r="J159" i="5"/>
  <c r="J232" i="5"/>
  <c r="K254" i="5"/>
  <c r="K93" i="5"/>
  <c r="J108" i="5"/>
  <c r="K112" i="5"/>
  <c r="J123" i="5"/>
  <c r="K152" i="5"/>
  <c r="K166" i="5"/>
  <c r="K192" i="5"/>
  <c r="J196" i="5"/>
  <c r="K12" i="5"/>
  <c r="J43" i="5"/>
  <c r="J47" i="5"/>
  <c r="K86" i="5"/>
  <c r="K94" i="5"/>
  <c r="K124" i="5"/>
  <c r="K127" i="5"/>
  <c r="K153" i="5"/>
  <c r="K163" i="5"/>
  <c r="J178" i="5"/>
  <c r="K200" i="5"/>
  <c r="K208" i="5"/>
  <c r="J222" i="5"/>
  <c r="J230" i="5"/>
  <c r="K244" i="5"/>
  <c r="J15" i="5"/>
  <c r="J132" i="5"/>
  <c r="K190" i="5"/>
  <c r="K216" i="5"/>
  <c r="K44" i="5"/>
  <c r="J75" i="5"/>
  <c r="K110" i="5"/>
  <c r="J136" i="5"/>
  <c r="K154" i="5"/>
  <c r="J161" i="5"/>
  <c r="K172" i="5"/>
  <c r="K176" i="5"/>
  <c r="K198" i="5"/>
  <c r="J202" i="5"/>
  <c r="K206" i="5"/>
  <c r="K210" i="5"/>
  <c r="K224" i="5"/>
  <c r="J190" i="5"/>
  <c r="J208" i="5"/>
  <c r="J254" i="5"/>
  <c r="J21" i="5"/>
  <c r="J28" i="5"/>
  <c r="J56" i="5"/>
  <c r="K146" i="5"/>
  <c r="J172" i="5"/>
  <c r="J236" i="5"/>
  <c r="J6" i="5"/>
  <c r="J19" i="5"/>
  <c r="J36" i="5"/>
  <c r="J76" i="5"/>
  <c r="K114" i="5"/>
  <c r="J119" i="5"/>
  <c r="J121" i="5"/>
  <c r="J124" i="5"/>
  <c r="K144" i="5"/>
  <c r="J147" i="5"/>
  <c r="K184" i="5"/>
  <c r="J191" i="5"/>
  <c r="K194" i="5"/>
  <c r="J206" i="5"/>
  <c r="J212" i="5"/>
  <c r="J224" i="5"/>
  <c r="K228" i="5"/>
  <c r="K230" i="5"/>
  <c r="K248" i="5"/>
  <c r="J12" i="5"/>
  <c r="J110" i="5"/>
  <c r="K132" i="5"/>
  <c r="K175" i="5"/>
  <c r="J59" i="5"/>
  <c r="J107" i="5"/>
  <c r="K116" i="5"/>
  <c r="J143" i="5"/>
  <c r="J150" i="5"/>
  <c r="K178" i="5"/>
  <c r="K80" i="5"/>
  <c r="J188" i="5"/>
  <c r="K204" i="5"/>
  <c r="J231" i="5"/>
  <c r="J234" i="5"/>
  <c r="J252" i="5"/>
  <c r="J67" i="5"/>
  <c r="J128" i="5"/>
  <c r="J158" i="5"/>
  <c r="K174" i="5"/>
  <c r="J186" i="5"/>
  <c r="J204" i="5"/>
  <c r="K220" i="5"/>
  <c r="J247" i="5"/>
  <c r="J250" i="5"/>
  <c r="J129" i="5"/>
  <c r="K68" i="5"/>
  <c r="J142" i="5"/>
  <c r="K171" i="5"/>
  <c r="K196" i="5"/>
  <c r="J223" i="5"/>
  <c r="K226" i="5"/>
  <c r="J244" i="5"/>
  <c r="K29" i="5"/>
  <c r="K113" i="5"/>
  <c r="K123" i="5"/>
  <c r="J193" i="5"/>
  <c r="K249" i="5"/>
  <c r="K143" i="5"/>
  <c r="J169" i="5"/>
  <c r="J49" i="5"/>
  <c r="K72" i="5"/>
  <c r="J109" i="5"/>
  <c r="K168" i="5"/>
  <c r="J104" i="5"/>
  <c r="K20" i="5"/>
  <c r="J138" i="5"/>
  <c r="K159" i="5"/>
  <c r="J185" i="5"/>
  <c r="J225" i="5"/>
  <c r="J241" i="5"/>
  <c r="J106" i="5"/>
  <c r="J164" i="5"/>
  <c r="K182" i="5"/>
  <c r="K85" i="5"/>
  <c r="J187" i="5"/>
  <c r="J227" i="5"/>
  <c r="J251" i="5"/>
  <c r="K131" i="5"/>
  <c r="K142" i="5"/>
  <c r="K186" i="5"/>
  <c r="K202" i="5"/>
  <c r="K218" i="5"/>
  <c r="K234" i="5"/>
  <c r="K250" i="5"/>
  <c r="K36" i="5"/>
  <c r="J68" i="5"/>
  <c r="J111" i="5"/>
  <c r="J139" i="5"/>
  <c r="K145" i="5"/>
  <c r="K147" i="5"/>
  <c r="J171" i="5"/>
  <c r="J189" i="5"/>
  <c r="J194" i="5"/>
  <c r="J197" i="5"/>
  <c r="J205" i="5"/>
  <c r="J210" i="5"/>
  <c r="J213" i="5"/>
  <c r="J221" i="5"/>
  <c r="J226" i="5"/>
  <c r="J229" i="5"/>
  <c r="J237" i="5"/>
  <c r="J242" i="5"/>
  <c r="J245" i="5"/>
  <c r="K253" i="5"/>
  <c r="K18" i="5"/>
  <c r="J64" i="5"/>
  <c r="J162" i="5"/>
  <c r="J32" i="5"/>
  <c r="K179" i="5"/>
  <c r="J201" i="5"/>
  <c r="J209" i="5"/>
  <c r="J217" i="5"/>
  <c r="J233" i="5"/>
  <c r="K35" i="5"/>
  <c r="K125" i="5"/>
  <c r="J195" i="5"/>
  <c r="J203" i="5"/>
  <c r="J211" i="5"/>
  <c r="J219" i="5"/>
  <c r="J235" i="5"/>
  <c r="J243" i="5"/>
  <c r="K88" i="5"/>
  <c r="J148" i="5"/>
  <c r="K40" i="5"/>
  <c r="K48" i="5"/>
  <c r="K128" i="5"/>
  <c r="K136" i="5"/>
  <c r="J10" i="5"/>
  <c r="J13" i="5"/>
  <c r="K16" i="5"/>
  <c r="J18" i="5"/>
  <c r="J52" i="5"/>
  <c r="K91" i="5"/>
  <c r="J113" i="5"/>
  <c r="K126" i="5"/>
  <c r="J153" i="5"/>
  <c r="J174" i="5"/>
  <c r="J183" i="5"/>
  <c r="J5" i="5"/>
  <c r="K43" i="5"/>
  <c r="J66" i="5"/>
  <c r="J78" i="5"/>
  <c r="J57" i="5"/>
  <c r="K15" i="5"/>
  <c r="J42" i="5"/>
  <c r="J54" i="5"/>
  <c r="J74" i="5"/>
  <c r="J90" i="5"/>
  <c r="K31" i="5"/>
  <c r="J33" i="5"/>
  <c r="K53" i="5"/>
  <c r="K64" i="5"/>
  <c r="K148" i="5"/>
  <c r="K169" i="5"/>
  <c r="K205" i="5"/>
  <c r="K37" i="5"/>
  <c r="K69" i="5"/>
  <c r="K45" i="5"/>
  <c r="K63" i="5"/>
  <c r="K77" i="5"/>
  <c r="J65" i="5"/>
  <c r="K39" i="5"/>
  <c r="J50" i="5"/>
  <c r="J62" i="5"/>
  <c r="K71" i="5"/>
  <c r="K104" i="5"/>
  <c r="K185" i="5"/>
  <c r="K187" i="5"/>
  <c r="K189" i="5"/>
  <c r="K191" i="5"/>
  <c r="K193" i="5"/>
  <c r="K195" i="5"/>
  <c r="K197" i="5"/>
  <c r="K199" i="5"/>
  <c r="K201" i="5"/>
  <c r="K203" i="5"/>
  <c r="K207" i="5"/>
  <c r="K209" i="5"/>
  <c r="K211" i="5"/>
  <c r="K213" i="5"/>
  <c r="K215" i="5"/>
  <c r="K217" i="5"/>
  <c r="K219" i="5"/>
  <c r="K221" i="5"/>
  <c r="K223" i="5"/>
  <c r="K225" i="5"/>
  <c r="K227" i="5"/>
  <c r="K229" i="5"/>
  <c r="K231" i="5"/>
  <c r="K233" i="5"/>
  <c r="K235" i="5"/>
  <c r="K237" i="5"/>
  <c r="K239" i="5"/>
  <c r="K241" i="5"/>
  <c r="K243" i="5"/>
  <c r="K245" i="5"/>
  <c r="K247" i="5"/>
  <c r="K251" i="5"/>
  <c r="J11" i="5"/>
  <c r="J30" i="5"/>
  <c r="K49" i="5"/>
  <c r="J73" i="5"/>
  <c r="K164" i="5"/>
  <c r="J249" i="5"/>
  <c r="J253" i="5"/>
  <c r="J46" i="5"/>
  <c r="K55" i="5"/>
  <c r="K75" i="5"/>
  <c r="J34" i="5"/>
  <c r="K87" i="5"/>
  <c r="J8" i="5"/>
  <c r="J14" i="5"/>
  <c r="K32" i="5"/>
  <c r="J35" i="5"/>
  <c r="J41" i="5"/>
  <c r="K52" i="5"/>
  <c r="K95" i="5"/>
  <c r="K109" i="5"/>
  <c r="J38" i="5"/>
  <c r="K47" i="5"/>
  <c r="J55" i="5"/>
  <c r="J58" i="5"/>
  <c r="K61" i="5"/>
  <c r="K67" i="5"/>
  <c r="J70" i="5"/>
  <c r="K79" i="5"/>
  <c r="J82" i="5"/>
  <c r="J98" i="5"/>
  <c r="K106" i="5"/>
  <c r="K138" i="5"/>
  <c r="K162" i="5"/>
  <c r="C10" i="5"/>
  <c r="B11" i="5"/>
  <c r="C11" i="5"/>
  <c r="B10" i="5"/>
  <c r="J103" i="5"/>
  <c r="K5" i="5"/>
  <c r="K11" i="5"/>
  <c r="K13" i="5"/>
  <c r="J16" i="5"/>
  <c r="J29" i="5"/>
  <c r="K30" i="5"/>
  <c r="J37" i="5"/>
  <c r="K38" i="5"/>
  <c r="J45" i="5"/>
  <c r="K46" i="5"/>
  <c r="J53" i="5"/>
  <c r="K54" i="5"/>
  <c r="J61" i="5"/>
  <c r="K62" i="5"/>
  <c r="J69" i="5"/>
  <c r="K70" i="5"/>
  <c r="J77" i="5"/>
  <c r="K78" i="5"/>
  <c r="K82" i="5"/>
  <c r="K90" i="5"/>
  <c r="K98" i="5"/>
  <c r="K107" i="5"/>
  <c r="K122" i="5"/>
  <c r="J122" i="5"/>
  <c r="J22" i="5"/>
  <c r="K22" i="5"/>
  <c r="J25" i="5"/>
  <c r="K25" i="5"/>
  <c r="J7" i="5"/>
  <c r="K7" i="5"/>
  <c r="J9" i="5"/>
  <c r="J85" i="5"/>
  <c r="J93" i="5"/>
  <c r="J101" i="5"/>
  <c r="K103" i="5"/>
  <c r="J24" i="5"/>
  <c r="K24" i="5"/>
  <c r="J87" i="5"/>
  <c r="J95" i="5"/>
  <c r="K8" i="5"/>
  <c r="K34" i="5"/>
  <c r="K42" i="5"/>
  <c r="K50" i="5"/>
  <c r="K58" i="5"/>
  <c r="K66" i="5"/>
  <c r="K74" i="5"/>
  <c r="J23" i="5"/>
  <c r="K23" i="5"/>
  <c r="J84" i="5"/>
  <c r="K84" i="5"/>
  <c r="J92" i="5"/>
  <c r="K92" i="5"/>
  <c r="J100" i="5"/>
  <c r="K100" i="5"/>
  <c r="K118" i="5"/>
  <c r="J118" i="5"/>
  <c r="K51" i="5"/>
  <c r="K59" i="5"/>
  <c r="K108" i="5"/>
  <c r="K130" i="5"/>
  <c r="J130" i="5"/>
  <c r="J27" i="5"/>
  <c r="K27" i="5"/>
  <c r="J134" i="5"/>
  <c r="K134" i="5"/>
  <c r="J26" i="5"/>
  <c r="K26" i="5"/>
  <c r="J81" i="5"/>
  <c r="K81" i="5"/>
  <c r="J89" i="5"/>
  <c r="K89" i="5"/>
  <c r="J97" i="5"/>
  <c r="K97" i="5"/>
  <c r="K170" i="5"/>
  <c r="J170" i="5"/>
  <c r="J149" i="5"/>
  <c r="K149" i="5"/>
  <c r="J156" i="5"/>
  <c r="K156" i="5"/>
  <c r="J177" i="5"/>
  <c r="K177" i="5"/>
  <c r="J80" i="5"/>
  <c r="J88" i="5"/>
  <c r="J96" i="5"/>
  <c r="J83" i="5"/>
  <c r="J91" i="5"/>
  <c r="J99" i="5"/>
  <c r="J86" i="5"/>
  <c r="J94" i="5"/>
  <c r="J102" i="5"/>
  <c r="J173" i="5"/>
  <c r="K173" i="5"/>
  <c r="J181" i="5"/>
  <c r="K181" i="5"/>
  <c r="K140" i="5"/>
  <c r="J146" i="5"/>
  <c r="K161" i="5"/>
  <c r="J154" i="5"/>
  <c r="J133" i="5"/>
  <c r="K133" i="5"/>
  <c r="J141" i="5"/>
  <c r="K141" i="5"/>
  <c r="J157" i="5"/>
  <c r="K157" i="5"/>
  <c r="K151" i="5"/>
  <c r="K158" i="5"/>
  <c r="K180" i="5"/>
  <c r="K183" i="5"/>
  <c r="J165" i="5"/>
  <c r="K165" i="5"/>
  <c r="R5" i="5"/>
  <c r="S5" i="5"/>
  <c r="AA231" i="5" l="1"/>
  <c r="AA171" i="5"/>
  <c r="AA234" i="5"/>
  <c r="AA174" i="5"/>
  <c r="AA245" i="5"/>
  <c r="AA238" i="5"/>
  <c r="AA153" i="5"/>
  <c r="AA168" i="5"/>
  <c r="AA224" i="5"/>
  <c r="AA115" i="5"/>
  <c r="AA164" i="5"/>
  <c r="AA218" i="5"/>
  <c r="AA127" i="5"/>
  <c r="AA162" i="5"/>
  <c r="AA192" i="5"/>
  <c r="AA105" i="5"/>
  <c r="AA74" i="5"/>
  <c r="AA66" i="5"/>
  <c r="AA58" i="5"/>
  <c r="AA50" i="5"/>
  <c r="AA42" i="5"/>
  <c r="AA34" i="5"/>
  <c r="AA180" i="5"/>
  <c r="AA108" i="5"/>
  <c r="AA132" i="5"/>
  <c r="AA16" i="5"/>
  <c r="AA10" i="5"/>
  <c r="AA18" i="5"/>
  <c r="AA110" i="5"/>
  <c r="AA23" i="5"/>
  <c r="AA79" i="5"/>
  <c r="AA221" i="5"/>
  <c r="AA135" i="5"/>
  <c r="AA81" i="5"/>
  <c r="AA55" i="5"/>
  <c r="AA31" i="5"/>
  <c r="AA111" i="5"/>
  <c r="AA114" i="5"/>
  <c r="AA88" i="5"/>
  <c r="AA205" i="5"/>
  <c r="AA156" i="5"/>
  <c r="AA69" i="5"/>
  <c r="AA29" i="5"/>
  <c r="AA116" i="5"/>
  <c r="AA113" i="5"/>
  <c r="AA188" i="5"/>
  <c r="AA246" i="5"/>
  <c r="AA184" i="5"/>
  <c r="AA68" i="5"/>
  <c r="AA36" i="5"/>
  <c r="AA82" i="5"/>
  <c r="AA17" i="5"/>
  <c r="AA242" i="5"/>
  <c r="AA167" i="5"/>
  <c r="AA178" i="5"/>
  <c r="AA169" i="5"/>
  <c r="AA67" i="5"/>
  <c r="AA43" i="5"/>
  <c r="AA173" i="5"/>
  <c r="AA15" i="5"/>
  <c r="AA227" i="5"/>
  <c r="AA163" i="5"/>
  <c r="AA228" i="5"/>
  <c r="AA166" i="5"/>
  <c r="AA237" i="5"/>
  <c r="AA236" i="5"/>
  <c r="AA146" i="5"/>
  <c r="AA159" i="5"/>
  <c r="AA207" i="5"/>
  <c r="AA249" i="5"/>
  <c r="AA157" i="5"/>
  <c r="AA198" i="5"/>
  <c r="AA233" i="5"/>
  <c r="AA148" i="5"/>
  <c r="AA181" i="5"/>
  <c r="AA97" i="5"/>
  <c r="AA73" i="5"/>
  <c r="AA65" i="5"/>
  <c r="AA57" i="5"/>
  <c r="AA49" i="5"/>
  <c r="AA41" i="5"/>
  <c r="AA33" i="5"/>
  <c r="AA160" i="5"/>
  <c r="AA107" i="5"/>
  <c r="AA194" i="5"/>
  <c r="AA199" i="5"/>
  <c r="AA151" i="5"/>
  <c r="AA8" i="5"/>
  <c r="AA96" i="5"/>
  <c r="AA6" i="5"/>
  <c r="AA9" i="5"/>
  <c r="AA211" i="5"/>
  <c r="AA147" i="5"/>
  <c r="AA150" i="5"/>
  <c r="AA217" i="5"/>
  <c r="AA138" i="5"/>
  <c r="AA215" i="5"/>
  <c r="AA226" i="5"/>
  <c r="AA128" i="5"/>
  <c r="AA71" i="5"/>
  <c r="AA47" i="5"/>
  <c r="AA102" i="5"/>
  <c r="AA101" i="5"/>
  <c r="AA109" i="5"/>
  <c r="AA131" i="5"/>
  <c r="AA208" i="5"/>
  <c r="AA190" i="5"/>
  <c r="AA235" i="5"/>
  <c r="AA77" i="5"/>
  <c r="AA45" i="5"/>
  <c r="AA86" i="5"/>
  <c r="AA85" i="5"/>
  <c r="AA19" i="5"/>
  <c r="AA252" i="5"/>
  <c r="AA176" i="5"/>
  <c r="AA185" i="5"/>
  <c r="AA214" i="5"/>
  <c r="AA60" i="5"/>
  <c r="AA28" i="5"/>
  <c r="AA14" i="5"/>
  <c r="AA95" i="5"/>
  <c r="AA179" i="5"/>
  <c r="AA189" i="5"/>
  <c r="AA244" i="5"/>
  <c r="AA136" i="5"/>
  <c r="AA75" i="5"/>
  <c r="AA51" i="5"/>
  <c r="AA118" i="5"/>
  <c r="AA20" i="5"/>
  <c r="AA219" i="5"/>
  <c r="AA155" i="5"/>
  <c r="AA220" i="5"/>
  <c r="AA158" i="5"/>
  <c r="AA229" i="5"/>
  <c r="AA222" i="5"/>
  <c r="AA241" i="5"/>
  <c r="AA145" i="5"/>
  <c r="AA202" i="5"/>
  <c r="AA248" i="5"/>
  <c r="AA144" i="5"/>
  <c r="AA193" i="5"/>
  <c r="AA232" i="5"/>
  <c r="AA141" i="5"/>
  <c r="AA175" i="5"/>
  <c r="AA89" i="5"/>
  <c r="AA72" i="5"/>
  <c r="AA64" i="5"/>
  <c r="AA56" i="5"/>
  <c r="AA48" i="5"/>
  <c r="AA40" i="5"/>
  <c r="AA32" i="5"/>
  <c r="AA106" i="5"/>
  <c r="AA99" i="5"/>
  <c r="AA130" i="5"/>
  <c r="AA120" i="5"/>
  <c r="AA137" i="5"/>
  <c r="AA5" i="5"/>
  <c r="AA117" i="5"/>
  <c r="AA25" i="5"/>
  <c r="AA123" i="5"/>
  <c r="AA212" i="5"/>
  <c r="AA240" i="5"/>
  <c r="AA172" i="5"/>
  <c r="AA177" i="5"/>
  <c r="AA161" i="5"/>
  <c r="AA63" i="5"/>
  <c r="AA39" i="5"/>
  <c r="AA91" i="5"/>
  <c r="AA7" i="5"/>
  <c r="AA100" i="5"/>
  <c r="AA134" i="5"/>
  <c r="AA103" i="5"/>
  <c r="AA250" i="5"/>
  <c r="AA243" i="5"/>
  <c r="AA61" i="5"/>
  <c r="AA37" i="5"/>
  <c r="AA26" i="5"/>
  <c r="AA92" i="5"/>
  <c r="AA247" i="5"/>
  <c r="AA187" i="5"/>
  <c r="AA125" i="5"/>
  <c r="AA191" i="5"/>
  <c r="AA143" i="5"/>
  <c r="AA149" i="5"/>
  <c r="AA140" i="5"/>
  <c r="AA52" i="5"/>
  <c r="AA133" i="5"/>
  <c r="AA24" i="5"/>
  <c r="AA239" i="5"/>
  <c r="AA182" i="5"/>
  <c r="AA186" i="5"/>
  <c r="AA223" i="5"/>
  <c r="AA209" i="5"/>
  <c r="AA59" i="5"/>
  <c r="AA27" i="5"/>
  <c r="AA112" i="5"/>
  <c r="AA13" i="5"/>
  <c r="AA254" i="5"/>
  <c r="AA203" i="5"/>
  <c r="AA139" i="5"/>
  <c r="AA204" i="5"/>
  <c r="AA142" i="5"/>
  <c r="AA213" i="5"/>
  <c r="AA200" i="5"/>
  <c r="AA225" i="5"/>
  <c r="AA119" i="5"/>
  <c r="AA165" i="5"/>
  <c r="AA210" i="5"/>
  <c r="AA122" i="5"/>
  <c r="AA170" i="5"/>
  <c r="AA206" i="5"/>
  <c r="AA126" i="5"/>
  <c r="AA154" i="5"/>
  <c r="AA78" i="5"/>
  <c r="AA70" i="5"/>
  <c r="AA62" i="5"/>
  <c r="AA54" i="5"/>
  <c r="AA46" i="5"/>
  <c r="AA38" i="5"/>
  <c r="AA30" i="5"/>
  <c r="AA94" i="5"/>
  <c r="AA83" i="5"/>
  <c r="AA98" i="5"/>
  <c r="AA93" i="5"/>
  <c r="AA121" i="5"/>
  <c r="AA21" i="5"/>
  <c r="AA22" i="5"/>
  <c r="AA84" i="5"/>
  <c r="AA80" i="5"/>
  <c r="AA251" i="5"/>
  <c r="AA195" i="5"/>
  <c r="AA196" i="5"/>
  <c r="AA183" i="5"/>
  <c r="AA152" i="5"/>
  <c r="AA201" i="5"/>
  <c r="AA53" i="5"/>
  <c r="AA90" i="5"/>
  <c r="AA11" i="5"/>
  <c r="AA197" i="5"/>
  <c r="AA230" i="5"/>
  <c r="AA76" i="5"/>
  <c r="AA44" i="5"/>
  <c r="AA216" i="5"/>
  <c r="AA104" i="5"/>
  <c r="AA253" i="5"/>
  <c r="AA129" i="5"/>
  <c r="AA124" i="5"/>
  <c r="AA35" i="5"/>
  <c r="AA12" i="5"/>
  <c r="AA87" i="5"/>
  <c r="B16" i="5" a="1"/>
  <c r="C16" i="5" s="1"/>
  <c r="L13" i="5" a="1"/>
  <c r="L13" i="5" s="1"/>
  <c r="L59" i="5" a="1"/>
  <c r="L59" i="5" s="1"/>
  <c r="L10" i="5" a="1"/>
  <c r="M10" i="5" s="1"/>
  <c r="L56" i="5" a="1"/>
  <c r="M56" i="5" s="1"/>
  <c r="L39" i="5" a="1"/>
  <c r="M39" i="5" s="1"/>
  <c r="L175" i="5" a="1"/>
  <c r="L175" i="5" s="1"/>
  <c r="L129" i="5" a="1"/>
  <c r="L129" i="5" s="1"/>
  <c r="L113" i="5" a="1"/>
  <c r="M113" i="5" s="1"/>
  <c r="L68" i="5" a="1"/>
  <c r="L68" i="5" s="1"/>
  <c r="L124" i="5" a="1"/>
  <c r="L124" i="5" s="1"/>
  <c r="L241" i="5" a="1"/>
  <c r="L241" i="5" s="1"/>
  <c r="L180" i="5" a="1"/>
  <c r="L180" i="5" s="1"/>
  <c r="L76" i="5" a="1"/>
  <c r="L76" i="5" s="1"/>
  <c r="L75" i="5" a="1"/>
  <c r="M75" i="5" s="1"/>
  <c r="L126" i="5" a="1"/>
  <c r="M126" i="5" s="1"/>
  <c r="L111" i="5" a="1"/>
  <c r="L111" i="5" s="1"/>
  <c r="L26" i="5" a="1"/>
  <c r="L26" i="5" s="1"/>
  <c r="L187" i="5" a="1"/>
  <c r="M187" i="5" s="1"/>
  <c r="L159" i="5" a="1"/>
  <c r="M159" i="5" s="1"/>
  <c r="L92" i="5" a="1"/>
  <c r="L92" i="5" s="1"/>
  <c r="L54" i="5" a="1"/>
  <c r="L54" i="5" s="1"/>
  <c r="L16" i="5" a="1"/>
  <c r="L16" i="5" s="1"/>
  <c r="L123" i="5" a="1"/>
  <c r="L123" i="5" s="1"/>
  <c r="L138" i="5" a="1"/>
  <c r="M138" i="5" s="1"/>
  <c r="L233" i="5" a="1"/>
  <c r="M233" i="5" s="1"/>
  <c r="L178" i="5" a="1"/>
  <c r="M178" i="5" s="1"/>
  <c r="L78" i="5" a="1"/>
  <c r="M78" i="5" s="1"/>
  <c r="C17" i="5"/>
  <c r="B16" i="5"/>
  <c r="L151" i="5" a="1"/>
  <c r="L151" i="5" s="1"/>
  <c r="L135" i="5" a="1"/>
  <c r="L135" i="5" s="1"/>
  <c r="L81" i="5" a="1"/>
  <c r="L81" i="5" s="1"/>
  <c r="L100" i="5" a="1"/>
  <c r="L100" i="5" s="1"/>
  <c r="L229" i="5" a="1"/>
  <c r="M229" i="5" s="1"/>
  <c r="L46" i="5" a="1"/>
  <c r="L46" i="5" s="1"/>
  <c r="L11" i="5" a="1"/>
  <c r="M11" i="5" s="1"/>
  <c r="L36" i="5" a="1"/>
  <c r="L36" i="5" s="1"/>
  <c r="L154" i="5" a="1"/>
  <c r="L154" i="5" s="1"/>
  <c r="L108" i="5" a="1"/>
  <c r="L108" i="5" s="1"/>
  <c r="L43" i="5" a="1"/>
  <c r="M43" i="5" s="1"/>
  <c r="L5" i="5" a="1"/>
  <c r="L53" i="5" a="1"/>
  <c r="M53" i="5" s="1"/>
  <c r="L218" i="5" a="1"/>
  <c r="M218" i="5" s="1"/>
  <c r="L51" i="5" a="1"/>
  <c r="L51" i="5" s="1"/>
  <c r="L24" i="5" a="1"/>
  <c r="L24" i="5" s="1"/>
  <c r="L21" i="5" a="1"/>
  <c r="L21" i="5" s="1"/>
  <c r="L65" i="5" a="1"/>
  <c r="M65" i="5" s="1"/>
  <c r="L249" i="5" a="1"/>
  <c r="M249" i="5" s="1"/>
  <c r="L25" i="5" a="1"/>
  <c r="M25" i="5" s="1"/>
  <c r="L153" i="5" a="1"/>
  <c r="L153" i="5" s="1"/>
  <c r="L70" i="5" a="1"/>
  <c r="M70" i="5" s="1"/>
  <c r="L141" i="5" a="1"/>
  <c r="L141" i="5" s="1"/>
  <c r="L140" i="5" a="1"/>
  <c r="L140" i="5" s="1"/>
  <c r="L40" i="5" a="1"/>
  <c r="L40" i="5" s="1"/>
  <c r="L30" i="5" a="1"/>
  <c r="L30" i="5" s="1"/>
  <c r="L221" i="5" a="1"/>
  <c r="L221" i="5" s="1"/>
  <c r="L58" i="5" a="1"/>
  <c r="M58" i="5" s="1"/>
  <c r="L22" i="5" a="1"/>
  <c r="L22" i="5" s="1"/>
  <c r="L34" i="5" a="1"/>
  <c r="M34" i="5" s="1"/>
  <c r="L38" i="5" a="1"/>
  <c r="L38" i="5" s="1"/>
  <c r="L42" i="5" a="1"/>
  <c r="L42" i="5" s="1"/>
  <c r="L134" i="5" a="1"/>
  <c r="L134" i="5" s="1"/>
  <c r="L82" i="5" a="1"/>
  <c r="M82" i="5" s="1"/>
  <c r="L98" i="5" a="1"/>
  <c r="M98" i="5" s="1"/>
  <c r="L90" i="5" a="1"/>
  <c r="M90" i="5" s="1"/>
  <c r="L50" i="5" a="1"/>
  <c r="M50" i="5" s="1"/>
  <c r="L62" i="5" a="1"/>
  <c r="M62" i="5" s="1"/>
  <c r="L31" i="5" a="1"/>
  <c r="M31" i="5" s="1"/>
  <c r="T5" i="5"/>
  <c r="U5" i="5" s="1"/>
  <c r="L170" i="5" a="1"/>
  <c r="L15" i="5" a="1"/>
  <c r="L213" i="5" a="1"/>
  <c r="L188" i="5" a="1"/>
  <c r="L228" i="5" a="1"/>
  <c r="L41" i="5" a="1"/>
  <c r="L89" i="5" a="1"/>
  <c r="L33" i="5" a="1"/>
  <c r="L254" i="5" a="1"/>
  <c r="L244" i="5" a="1"/>
  <c r="L236" i="5" a="1"/>
  <c r="L222" i="5" a="1"/>
  <c r="L214" i="5" a="1"/>
  <c r="L206" i="5" a="1"/>
  <c r="L198" i="5" a="1"/>
  <c r="L190" i="5" a="1"/>
  <c r="L247" i="5" a="1"/>
  <c r="L239" i="5" a="1"/>
  <c r="L231" i="5" a="1"/>
  <c r="L223" i="5" a="1"/>
  <c r="L215" i="5" a="1"/>
  <c r="L207" i="5" a="1"/>
  <c r="L199" i="5" a="1"/>
  <c r="L191" i="5" a="1"/>
  <c r="L246" i="5" a="1"/>
  <c r="L245" i="5" a="1"/>
  <c r="L209" i="5" a="1"/>
  <c r="L203" i="5" a="1"/>
  <c r="L192" i="5" a="1"/>
  <c r="L160" i="5" a="1"/>
  <c r="L139" i="5" a="1"/>
  <c r="L253" i="5" a="1"/>
  <c r="L250" i="5" a="1"/>
  <c r="L217" i="5" a="1"/>
  <c r="L200" i="5" a="1"/>
  <c r="L152" i="5" a="1"/>
  <c r="L234" i="5" a="1"/>
  <c r="L232" i="5" a="1"/>
  <c r="L227" i="5" a="1"/>
  <c r="L216" i="5" a="1"/>
  <c r="L204" i="5" a="1"/>
  <c r="L194" i="5" a="1"/>
  <c r="L179" i="5" a="1"/>
  <c r="L136" i="5" a="1"/>
  <c r="L114" i="5" a="1"/>
  <c r="L235" i="5" a="1"/>
  <c r="L224" i="5" a="1"/>
  <c r="L212" i="5" a="1"/>
  <c r="L202" i="5" a="1"/>
  <c r="L171" i="5" a="1"/>
  <c r="L164" i="5" a="1"/>
  <c r="L142" i="5" a="1"/>
  <c r="L128" i="5" a="1"/>
  <c r="L127" i="5" a="1"/>
  <c r="L121" i="5" a="1"/>
  <c r="L238" i="5" a="1"/>
  <c r="L237" i="5" a="1"/>
  <c r="L220" i="5" a="1"/>
  <c r="L210" i="5" a="1"/>
  <c r="L185" i="5" a="1"/>
  <c r="L182" i="5" a="1"/>
  <c r="L163" i="5" a="1"/>
  <c r="L242" i="5" a="1"/>
  <c r="L193" i="5" a="1"/>
  <c r="L176" i="5" a="1"/>
  <c r="L243" i="5" a="1"/>
  <c r="L226" i="5" a="1"/>
  <c r="L201" i="5" a="1"/>
  <c r="L195" i="5" a="1"/>
  <c r="L184" i="5" a="1"/>
  <c r="L168" i="5" a="1"/>
  <c r="L251" i="5" a="1"/>
  <c r="L225" i="5" a="1"/>
  <c r="L230" i="5" a="1"/>
  <c r="L147" i="5" a="1"/>
  <c r="L219" i="5" a="1"/>
  <c r="L208" i="5" a="1"/>
  <c r="L117" i="5" a="1"/>
  <c r="L116" i="5" a="1"/>
  <c r="L109" i="5" a="1"/>
  <c r="L137" i="5" a="1"/>
  <c r="L186" i="5" a="1"/>
  <c r="L158" i="5" a="1"/>
  <c r="L252" i="5" a="1"/>
  <c r="L144" i="5" a="1"/>
  <c r="L107" i="5" a="1"/>
  <c r="L102" i="5" a="1"/>
  <c r="L94" i="5" a="1"/>
  <c r="L86" i="5" a="1"/>
  <c r="L88" i="5" a="1"/>
  <c r="L125" i="5" a="1"/>
  <c r="L9" i="5" a="1"/>
  <c r="L115" i="5" a="1"/>
  <c r="L6" i="5" a="1"/>
  <c r="L196" i="5" a="1"/>
  <c r="L96" i="5" a="1"/>
  <c r="L106" i="5" a="1"/>
  <c r="L104" i="5" a="1"/>
  <c r="L112" i="5" a="1"/>
  <c r="L80" i="5" a="1"/>
  <c r="L14" i="5" a="1"/>
  <c r="L110" i="5" a="1"/>
  <c r="L8" i="5" a="1"/>
  <c r="L181" i="5" a="1"/>
  <c r="L131" i="5" a="1"/>
  <c r="L133" i="5" a="1"/>
  <c r="L169" i="5" a="1"/>
  <c r="L248" i="5" a="1"/>
  <c r="L72" i="5" a="1"/>
  <c r="L67" i="5" a="1"/>
  <c r="L18" i="5" a="1"/>
  <c r="L83" i="5" a="1"/>
  <c r="L44" i="5" a="1"/>
  <c r="L118" i="5" a="1"/>
  <c r="L87" i="5" a="1"/>
  <c r="L85" i="5" a="1"/>
  <c r="L63" i="5" a="1"/>
  <c r="L172" i="5" a="1"/>
  <c r="L69" i="5" a="1"/>
  <c r="L37" i="5" a="1"/>
  <c r="L103" i="5" a="1"/>
  <c r="L73" i="5" a="1"/>
  <c r="L120" i="5" a="1"/>
  <c r="L20" i="5" a="1"/>
  <c r="L197" i="5" a="1"/>
  <c r="L166" i="5" a="1"/>
  <c r="L174" i="5" a="1"/>
  <c r="L61" i="5" a="1"/>
  <c r="L74" i="5" a="1"/>
  <c r="L155" i="5" a="1"/>
  <c r="L177" i="5" a="1"/>
  <c r="L64" i="5" a="1"/>
  <c r="L211" i="5" a="1"/>
  <c r="L149" i="5" a="1"/>
  <c r="L146" i="5" a="1"/>
  <c r="L240" i="5" a="1"/>
  <c r="L161" i="5" a="1"/>
  <c r="L52" i="5" a="1"/>
  <c r="L130" i="5" a="1"/>
  <c r="L95" i="5" a="1"/>
  <c r="L167" i="5" a="1"/>
  <c r="L165" i="5" a="1"/>
  <c r="L150" i="5" a="1"/>
  <c r="L32" i="5" a="1"/>
  <c r="L29" i="5" a="1"/>
  <c r="L157" i="5" a="1"/>
  <c r="L145" i="5" a="1"/>
  <c r="L28" i="5" a="1"/>
  <c r="L23" i="5" a="1"/>
  <c r="L55" i="5" a="1"/>
  <c r="L47" i="5" a="1"/>
  <c r="L189" i="5" a="1"/>
  <c r="L35" i="5" a="1"/>
  <c r="L162" i="5" a="1"/>
  <c r="L173" i="5" a="1"/>
  <c r="L91" i="5" a="1"/>
  <c r="L97" i="5" a="1"/>
  <c r="L143" i="5" a="1"/>
  <c r="L71" i="5" a="1"/>
  <c r="L84" i="5" a="1"/>
  <c r="L119" i="5" a="1"/>
  <c r="L93" i="5" a="1"/>
  <c r="L7" i="5" a="1"/>
  <c r="L12" i="5" a="1"/>
  <c r="L17" i="5" a="1"/>
  <c r="L57" i="5" a="1"/>
  <c r="L205" i="5" a="1"/>
  <c r="L99" i="5" a="1"/>
  <c r="L183" i="5" a="1"/>
  <c r="L156" i="5" a="1"/>
  <c r="L60" i="5" a="1"/>
  <c r="L148" i="5" a="1"/>
  <c r="L27" i="5" a="1"/>
  <c r="L79" i="5" a="1"/>
  <c r="L132" i="5" a="1"/>
  <c r="L101" i="5" a="1"/>
  <c r="L48" i="5" a="1"/>
  <c r="L122" i="5" a="1"/>
  <c r="L77" i="5" a="1"/>
  <c r="L45" i="5" a="1"/>
  <c r="L66" i="5" a="1"/>
  <c r="L19" i="5" a="1"/>
  <c r="L105" i="5" a="1"/>
  <c r="L49" i="5" a="1"/>
  <c r="AB5" i="5"/>
  <c r="M26" i="5" l="1"/>
  <c r="L25" i="5"/>
  <c r="M59" i="5"/>
  <c r="M124" i="5"/>
  <c r="L78" i="5"/>
  <c r="L75" i="5"/>
  <c r="M76" i="5"/>
  <c r="AC5" i="5"/>
  <c r="AD5" i="5" s="1"/>
  <c r="L39" i="5"/>
  <c r="M13" i="5"/>
  <c r="M241" i="5"/>
  <c r="M68" i="5"/>
  <c r="B17" i="5"/>
  <c r="L10" i="5"/>
  <c r="L113" i="5"/>
  <c r="M92" i="5"/>
  <c r="M129" i="5"/>
  <c r="L53" i="5"/>
  <c r="L56" i="5"/>
  <c r="L229" i="5"/>
  <c r="M175" i="5"/>
  <c r="M153" i="5"/>
  <c r="M180" i="5"/>
  <c r="L126" i="5"/>
  <c r="M54" i="5"/>
  <c r="L65" i="5"/>
  <c r="L187" i="5"/>
  <c r="L159" i="5"/>
  <c r="M111" i="5"/>
  <c r="M100" i="5"/>
  <c r="M51" i="5"/>
  <c r="M141" i="5"/>
  <c r="M140" i="5"/>
  <c r="L70" i="5"/>
  <c r="L11" i="5"/>
  <c r="L31" i="5"/>
  <c r="M36" i="5"/>
  <c r="M38" i="5"/>
  <c r="M16" i="5"/>
  <c r="M40" i="5"/>
  <c r="M151" i="5"/>
  <c r="M42" i="5"/>
  <c r="L43" i="5"/>
  <c r="M123" i="5"/>
  <c r="M24" i="5"/>
  <c r="M81" i="5"/>
  <c r="L233" i="5"/>
  <c r="L178" i="5"/>
  <c r="L138" i="5"/>
  <c r="M21" i="5"/>
  <c r="M135" i="5"/>
  <c r="L249" i="5"/>
  <c r="L50" i="5"/>
  <c r="M221" i="5"/>
  <c r="M30" i="5"/>
  <c r="M154" i="5"/>
  <c r="L218" i="5"/>
  <c r="M108" i="5"/>
  <c r="M46" i="5"/>
  <c r="M5" i="5"/>
  <c r="L5" i="5"/>
  <c r="L58" i="5"/>
  <c r="L90" i="5"/>
  <c r="M134" i="5"/>
  <c r="L34" i="5"/>
  <c r="L62" i="5"/>
  <c r="M22" i="5"/>
  <c r="L82" i="5"/>
  <c r="L98" i="5"/>
  <c r="L66" i="5"/>
  <c r="M66" i="5"/>
  <c r="M211" i="5"/>
  <c r="L211" i="5"/>
  <c r="L197" i="5"/>
  <c r="M197" i="5"/>
  <c r="L69" i="5"/>
  <c r="M69" i="5"/>
  <c r="M18" i="5"/>
  <c r="L18" i="5"/>
  <c r="M8" i="5"/>
  <c r="L8" i="5"/>
  <c r="L196" i="5"/>
  <c r="M196" i="5"/>
  <c r="L102" i="5"/>
  <c r="M102" i="5"/>
  <c r="L116" i="5"/>
  <c r="M116" i="5"/>
  <c r="L168" i="5"/>
  <c r="M168" i="5"/>
  <c r="L242" i="5"/>
  <c r="M242" i="5"/>
  <c r="M121" i="5"/>
  <c r="L121" i="5"/>
  <c r="L224" i="5"/>
  <c r="M224" i="5"/>
  <c r="M227" i="5"/>
  <c r="L227" i="5"/>
  <c r="L139" i="5"/>
  <c r="M139" i="5"/>
  <c r="L199" i="5"/>
  <c r="M199" i="5"/>
  <c r="L198" i="5"/>
  <c r="M198" i="5"/>
  <c r="L213" i="5"/>
  <c r="M213" i="5"/>
  <c r="M181" i="5"/>
  <c r="L181" i="5"/>
  <c r="L253" i="5"/>
  <c r="M253" i="5"/>
  <c r="L150" i="5"/>
  <c r="M150" i="5"/>
  <c r="L103" i="5"/>
  <c r="M103" i="5"/>
  <c r="M137" i="5"/>
  <c r="L137" i="5"/>
  <c r="L202" i="5"/>
  <c r="M202" i="5"/>
  <c r="L246" i="5"/>
  <c r="M246" i="5"/>
  <c r="L228" i="5"/>
  <c r="M228" i="5"/>
  <c r="L97" i="5"/>
  <c r="M97" i="5"/>
  <c r="M165" i="5"/>
  <c r="L165" i="5"/>
  <c r="L212" i="5"/>
  <c r="M212" i="5"/>
  <c r="L104" i="5"/>
  <c r="M104" i="5"/>
  <c r="L23" i="5"/>
  <c r="M23" i="5"/>
  <c r="L57" i="5"/>
  <c r="M57" i="5"/>
  <c r="L37" i="5"/>
  <c r="M37" i="5"/>
  <c r="L251" i="5"/>
  <c r="M251" i="5"/>
  <c r="L190" i="5"/>
  <c r="M190" i="5"/>
  <c r="L174" i="5"/>
  <c r="M174" i="5"/>
  <c r="L247" i="5"/>
  <c r="M247" i="5"/>
  <c r="L27" i="5"/>
  <c r="M27" i="5"/>
  <c r="L55" i="5"/>
  <c r="M55" i="5"/>
  <c r="M166" i="5"/>
  <c r="L166" i="5"/>
  <c r="L96" i="5"/>
  <c r="M96" i="5"/>
  <c r="M193" i="5"/>
  <c r="L193" i="5"/>
  <c r="L191" i="5"/>
  <c r="M191" i="5"/>
  <c r="L132" i="5"/>
  <c r="M132" i="5"/>
  <c r="L71" i="5"/>
  <c r="M71" i="5"/>
  <c r="L44" i="5"/>
  <c r="M44" i="5"/>
  <c r="L86" i="5"/>
  <c r="M86" i="5"/>
  <c r="M176" i="5"/>
  <c r="L176" i="5"/>
  <c r="L250" i="5"/>
  <c r="M250" i="5"/>
  <c r="M101" i="5"/>
  <c r="L101" i="5"/>
  <c r="L189" i="5"/>
  <c r="M189" i="5"/>
  <c r="L61" i="5"/>
  <c r="M61" i="5"/>
  <c r="L133" i="5"/>
  <c r="M133" i="5"/>
  <c r="L230" i="5"/>
  <c r="M230" i="5"/>
  <c r="L171" i="5"/>
  <c r="M171" i="5"/>
  <c r="L245" i="5"/>
  <c r="M245" i="5"/>
  <c r="L41" i="5"/>
  <c r="M41" i="5"/>
  <c r="L48" i="5"/>
  <c r="M48" i="5"/>
  <c r="L35" i="5"/>
  <c r="M35" i="5"/>
  <c r="L74" i="5"/>
  <c r="M74" i="5"/>
  <c r="L87" i="5"/>
  <c r="M87" i="5"/>
  <c r="L125" i="5"/>
  <c r="M125" i="5"/>
  <c r="L226" i="5"/>
  <c r="M226" i="5"/>
  <c r="L179" i="5"/>
  <c r="M179" i="5"/>
  <c r="L231" i="5"/>
  <c r="M231" i="5"/>
  <c r="L170" i="5"/>
  <c r="M170" i="5"/>
  <c r="M122" i="5"/>
  <c r="L122" i="5"/>
  <c r="L162" i="5"/>
  <c r="M162" i="5"/>
  <c r="M20" i="5"/>
  <c r="L20" i="5"/>
  <c r="M85" i="5"/>
  <c r="L85" i="5"/>
  <c r="L248" i="5"/>
  <c r="M248" i="5"/>
  <c r="L80" i="5"/>
  <c r="M80" i="5"/>
  <c r="L9" i="5"/>
  <c r="M9" i="5"/>
  <c r="L252" i="5"/>
  <c r="M252" i="5"/>
  <c r="M219" i="5"/>
  <c r="L219" i="5"/>
  <c r="L201" i="5"/>
  <c r="M201" i="5"/>
  <c r="L185" i="5"/>
  <c r="M185" i="5"/>
  <c r="L142" i="5"/>
  <c r="M142" i="5"/>
  <c r="L136" i="5"/>
  <c r="M136" i="5"/>
  <c r="M152" i="5"/>
  <c r="L152" i="5"/>
  <c r="M203" i="5"/>
  <c r="L203" i="5"/>
  <c r="M223" i="5"/>
  <c r="L223" i="5"/>
  <c r="L222" i="5"/>
  <c r="M222" i="5"/>
  <c r="L33" i="5"/>
  <c r="M33" i="5"/>
  <c r="M15" i="5"/>
  <c r="L15" i="5"/>
  <c r="M17" i="5"/>
  <c r="L17" i="5"/>
  <c r="L79" i="5"/>
  <c r="M79" i="5"/>
  <c r="L149" i="5"/>
  <c r="M149" i="5"/>
  <c r="L94" i="5"/>
  <c r="M94" i="5"/>
  <c r="L238" i="5"/>
  <c r="M238" i="5"/>
  <c r="L188" i="5"/>
  <c r="M188" i="5"/>
  <c r="L19" i="5"/>
  <c r="M19" i="5"/>
  <c r="L47" i="5"/>
  <c r="M47" i="5"/>
  <c r="M131" i="5"/>
  <c r="L131" i="5"/>
  <c r="L225" i="5"/>
  <c r="M225" i="5"/>
  <c r="L204" i="5"/>
  <c r="M204" i="5"/>
  <c r="M99" i="5"/>
  <c r="L99" i="5"/>
  <c r="L32" i="5"/>
  <c r="M32" i="5"/>
  <c r="L73" i="5"/>
  <c r="M73" i="5"/>
  <c r="L88" i="5"/>
  <c r="M88" i="5"/>
  <c r="L243" i="5"/>
  <c r="M243" i="5"/>
  <c r="L194" i="5"/>
  <c r="M194" i="5"/>
  <c r="L239" i="5"/>
  <c r="M239" i="5"/>
  <c r="L49" i="5"/>
  <c r="M49" i="5"/>
  <c r="L119" i="5"/>
  <c r="M119" i="5"/>
  <c r="M161" i="5"/>
  <c r="L161" i="5"/>
  <c r="M169" i="5"/>
  <c r="L169" i="5"/>
  <c r="L158" i="5"/>
  <c r="M158" i="5"/>
  <c r="L210" i="5"/>
  <c r="M210" i="5"/>
  <c r="M200" i="5"/>
  <c r="L200" i="5"/>
  <c r="L236" i="5"/>
  <c r="M236" i="5"/>
  <c r="L156" i="5"/>
  <c r="M156" i="5"/>
  <c r="L157" i="5"/>
  <c r="M157" i="5"/>
  <c r="L52" i="5"/>
  <c r="M52" i="5"/>
  <c r="L60" i="5"/>
  <c r="M60" i="5"/>
  <c r="M145" i="5"/>
  <c r="L145" i="5"/>
  <c r="M177" i="5"/>
  <c r="L177" i="5"/>
  <c r="L72" i="5"/>
  <c r="M72" i="5"/>
  <c r="L115" i="5"/>
  <c r="M115" i="5"/>
  <c r="L144" i="5"/>
  <c r="M144" i="5"/>
  <c r="M195" i="5"/>
  <c r="L195" i="5"/>
  <c r="L182" i="5"/>
  <c r="M182" i="5"/>
  <c r="L128" i="5"/>
  <c r="M128" i="5"/>
  <c r="L114" i="5"/>
  <c r="M114" i="5"/>
  <c r="L234" i="5"/>
  <c r="M234" i="5"/>
  <c r="L192" i="5"/>
  <c r="M192" i="5"/>
  <c r="L215" i="5"/>
  <c r="M215" i="5"/>
  <c r="L214" i="5"/>
  <c r="M214" i="5"/>
  <c r="L167" i="5"/>
  <c r="M167" i="5"/>
  <c r="L143" i="5"/>
  <c r="M143" i="5"/>
  <c r="M83" i="5"/>
  <c r="L83" i="5"/>
  <c r="M109" i="5"/>
  <c r="L109" i="5"/>
  <c r="L216" i="5"/>
  <c r="M216" i="5"/>
  <c r="L205" i="5"/>
  <c r="M205" i="5"/>
  <c r="M146" i="5"/>
  <c r="L146" i="5"/>
  <c r="M106" i="5"/>
  <c r="L106" i="5"/>
  <c r="L237" i="5"/>
  <c r="M237" i="5"/>
  <c r="L254" i="5"/>
  <c r="M254" i="5"/>
  <c r="L105" i="5"/>
  <c r="M105" i="5"/>
  <c r="L84" i="5"/>
  <c r="M84" i="5"/>
  <c r="L240" i="5"/>
  <c r="M240" i="5"/>
  <c r="M118" i="5"/>
  <c r="L118" i="5"/>
  <c r="L186" i="5"/>
  <c r="M186" i="5"/>
  <c r="L220" i="5"/>
  <c r="M220" i="5"/>
  <c r="M217" i="5"/>
  <c r="L217" i="5"/>
  <c r="L244" i="5"/>
  <c r="M244" i="5"/>
  <c r="L183" i="5"/>
  <c r="M183" i="5"/>
  <c r="L29" i="5"/>
  <c r="M29" i="5"/>
  <c r="L120" i="5"/>
  <c r="M120" i="5"/>
  <c r="M112" i="5"/>
  <c r="L112" i="5"/>
  <c r="L147" i="5"/>
  <c r="M147" i="5"/>
  <c r="L164" i="5"/>
  <c r="M164" i="5"/>
  <c r="L209" i="5"/>
  <c r="M209" i="5"/>
  <c r="L89" i="5"/>
  <c r="M89" i="5"/>
  <c r="M93" i="5"/>
  <c r="L93" i="5"/>
  <c r="M155" i="5"/>
  <c r="L155" i="5"/>
  <c r="L77" i="5"/>
  <c r="M77" i="5"/>
  <c r="M7" i="5"/>
  <c r="L7" i="5"/>
  <c r="L173" i="5"/>
  <c r="M173" i="5"/>
  <c r="L130" i="5"/>
  <c r="M130" i="5"/>
  <c r="L63" i="5"/>
  <c r="M63" i="5"/>
  <c r="M14" i="5"/>
  <c r="L14" i="5"/>
  <c r="L208" i="5"/>
  <c r="M208" i="5"/>
  <c r="L45" i="5"/>
  <c r="M45" i="5"/>
  <c r="L148" i="5"/>
  <c r="M148" i="5"/>
  <c r="M12" i="5"/>
  <c r="L12" i="5"/>
  <c r="M91" i="5"/>
  <c r="L91" i="5"/>
  <c r="L28" i="5"/>
  <c r="M28" i="5"/>
  <c r="L95" i="5"/>
  <c r="M95" i="5"/>
  <c r="L64" i="5"/>
  <c r="M64" i="5"/>
  <c r="L172" i="5"/>
  <c r="M172" i="5"/>
  <c r="L67" i="5"/>
  <c r="M67" i="5"/>
  <c r="M110" i="5"/>
  <c r="L110" i="5"/>
  <c r="M6" i="5"/>
  <c r="L6" i="5"/>
  <c r="L107" i="5"/>
  <c r="M107" i="5"/>
  <c r="L117" i="5"/>
  <c r="M117" i="5"/>
  <c r="L184" i="5"/>
  <c r="M184" i="5"/>
  <c r="L163" i="5"/>
  <c r="M163" i="5"/>
  <c r="L127" i="5"/>
  <c r="M127" i="5"/>
  <c r="L235" i="5"/>
  <c r="M235" i="5"/>
  <c r="L232" i="5"/>
  <c r="M232" i="5"/>
  <c r="L160" i="5"/>
  <c r="M160" i="5"/>
  <c r="L207" i="5"/>
  <c r="M207" i="5"/>
  <c r="L206" i="5"/>
  <c r="M206" i="5"/>
  <c r="N6" i="5"/>
  <c r="N7" i="5" s="1"/>
  <c r="O6" i="5"/>
  <c r="O7" i="5" s="1"/>
  <c r="O8" i="5"/>
  <c r="N8" i="5"/>
  <c r="O9" i="5"/>
  <c r="N9" i="5"/>
  <c r="N10" i="5"/>
  <c r="O10" i="5"/>
  <c r="O11" i="5"/>
  <c r="N11" i="5"/>
  <c r="N12" i="5"/>
  <c r="O12" i="5"/>
  <c r="O13" i="5"/>
  <c r="N13" i="5"/>
  <c r="N14" i="5"/>
  <c r="O14" i="5"/>
  <c r="O15" i="5"/>
  <c r="N15" i="5"/>
  <c r="N16" i="5"/>
  <c r="O16" i="5"/>
  <c r="N17" i="5"/>
  <c r="O17" i="5"/>
  <c r="N18" i="5"/>
  <c r="O18" i="5"/>
  <c r="N19" i="5"/>
  <c r="O19" i="5"/>
  <c r="N20" i="5"/>
  <c r="O20" i="5"/>
  <c r="O21" i="5"/>
  <c r="N21" i="5"/>
  <c r="O22" i="5"/>
  <c r="N22" i="5"/>
  <c r="N23" i="5"/>
  <c r="O23" i="5"/>
  <c r="N24" i="5"/>
  <c r="O24" i="5"/>
  <c r="N25" i="5"/>
  <c r="O25" i="5"/>
  <c r="O26" i="5"/>
  <c r="N26" i="5"/>
  <c r="N27" i="5"/>
  <c r="O27" i="5"/>
  <c r="O28" i="5"/>
  <c r="N28" i="5"/>
  <c r="O29" i="5"/>
  <c r="N29" i="5"/>
  <c r="O30" i="5"/>
  <c r="N30" i="5"/>
  <c r="O31" i="5"/>
  <c r="N31" i="5"/>
  <c r="N32" i="5"/>
  <c r="O32" i="5"/>
  <c r="O33" i="5"/>
  <c r="N33" i="5"/>
  <c r="N34" i="5"/>
  <c r="O34" i="5"/>
  <c r="N35" i="5"/>
  <c r="O35" i="5"/>
  <c r="O36" i="5"/>
  <c r="N36" i="5"/>
  <c r="O37" i="5"/>
  <c r="N37" i="5"/>
  <c r="O38" i="5"/>
  <c r="N38" i="5"/>
  <c r="O39" i="5"/>
  <c r="N39" i="5"/>
  <c r="N40" i="5"/>
  <c r="O40" i="5"/>
  <c r="O41" i="5"/>
  <c r="N41" i="5"/>
  <c r="O42" i="5"/>
  <c r="N42" i="5"/>
  <c r="O43" i="5"/>
  <c r="N43" i="5"/>
  <c r="O44" i="5"/>
  <c r="N44" i="5"/>
  <c r="O45" i="5"/>
  <c r="N45" i="5"/>
  <c r="O46" i="5"/>
  <c r="N46" i="5"/>
  <c r="N47" i="5"/>
  <c r="O47" i="5"/>
  <c r="O48" i="5"/>
  <c r="N48" i="5"/>
  <c r="N49" i="5"/>
  <c r="O49" i="5"/>
  <c r="N50" i="5"/>
  <c r="O50" i="5"/>
  <c r="N51" i="5"/>
  <c r="O51" i="5"/>
  <c r="O52" i="5"/>
  <c r="N52" i="5"/>
  <c r="N53" i="5"/>
  <c r="O53" i="5"/>
  <c r="O54" i="5"/>
  <c r="N54" i="5"/>
  <c r="N55" i="5"/>
  <c r="O55" i="5"/>
  <c r="N56" i="5"/>
  <c r="O56" i="5"/>
  <c r="N57" i="5"/>
  <c r="O57" i="5"/>
  <c r="N58" i="5"/>
  <c r="O58" i="5"/>
  <c r="N59" i="5"/>
  <c r="O59" i="5"/>
  <c r="N60" i="5"/>
  <c r="O60" i="5"/>
  <c r="O61" i="5"/>
  <c r="N61" i="5"/>
  <c r="N62" i="5"/>
  <c r="O62" i="5"/>
  <c r="N63" i="5"/>
  <c r="O63" i="5"/>
  <c r="N64" i="5"/>
  <c r="O64" i="5"/>
  <c r="N65" i="5"/>
  <c r="O65" i="5"/>
  <c r="O66" i="5"/>
  <c r="N66" i="5"/>
  <c r="N67" i="5"/>
  <c r="O67" i="5"/>
  <c r="N68" i="5"/>
  <c r="O68" i="5"/>
  <c r="O69" i="5"/>
  <c r="N69" i="5"/>
  <c r="N70" i="5"/>
  <c r="O70" i="5"/>
  <c r="N71" i="5"/>
  <c r="O71" i="5"/>
  <c r="N72" i="5"/>
  <c r="O72" i="5"/>
  <c r="O73" i="5"/>
  <c r="N73" i="5"/>
  <c r="O74" i="5"/>
  <c r="N74" i="5"/>
  <c r="O75" i="5"/>
  <c r="N75" i="5"/>
  <c r="O76" i="5"/>
  <c r="N76" i="5"/>
  <c r="O77" i="5"/>
  <c r="N77" i="5"/>
  <c r="N78" i="5"/>
  <c r="O78" i="5"/>
  <c r="N79" i="5"/>
  <c r="O79" i="5"/>
  <c r="O80" i="5"/>
  <c r="N80" i="5"/>
  <c r="O81" i="5"/>
  <c r="N81" i="5"/>
  <c r="N82" i="5"/>
  <c r="O82" i="5"/>
  <c r="O83" i="5"/>
  <c r="N83" i="5"/>
  <c r="O84" i="5"/>
  <c r="N84" i="5"/>
  <c r="N85" i="5"/>
  <c r="O85" i="5"/>
  <c r="O86" i="5"/>
  <c r="N86" i="5"/>
  <c r="N87" i="5"/>
  <c r="O87" i="5"/>
  <c r="N88" i="5"/>
  <c r="O88" i="5"/>
  <c r="O89" i="5"/>
  <c r="N89" i="5"/>
  <c r="N90" i="5"/>
  <c r="O90" i="5"/>
  <c r="O91" i="5"/>
  <c r="N91" i="5"/>
  <c r="O92" i="5"/>
  <c r="N92" i="5"/>
  <c r="N93" i="5"/>
  <c r="O93" i="5"/>
  <c r="O94" i="5"/>
  <c r="N94" i="5"/>
  <c r="N95" i="5"/>
  <c r="O95" i="5"/>
  <c r="N96" i="5"/>
  <c r="O96" i="5"/>
  <c r="O97" i="5"/>
  <c r="N97" i="5"/>
  <c r="N98" i="5"/>
  <c r="O98" i="5"/>
  <c r="O99" i="5"/>
  <c r="N99" i="5"/>
  <c r="O100" i="5"/>
  <c r="N100" i="5"/>
  <c r="N101" i="5"/>
  <c r="O101" i="5"/>
  <c r="O102" i="5"/>
  <c r="N102" i="5"/>
  <c r="N103" i="5"/>
  <c r="O103" i="5"/>
  <c r="N104" i="5"/>
  <c r="O104" i="5"/>
  <c r="O105" i="5"/>
  <c r="N105" i="5"/>
  <c r="N106" i="5"/>
  <c r="O106" i="5"/>
  <c r="N107" i="5"/>
  <c r="O107" i="5"/>
  <c r="O108" i="5"/>
  <c r="N108" i="5"/>
  <c r="N109" i="5"/>
  <c r="O109" i="5"/>
  <c r="N110" i="5"/>
  <c r="O110" i="5"/>
  <c r="N111" i="5"/>
  <c r="O111" i="5"/>
  <c r="O112" i="5"/>
  <c r="N112" i="5"/>
  <c r="N113" i="5"/>
  <c r="O113" i="5"/>
  <c r="O114" i="5"/>
  <c r="N114" i="5"/>
  <c r="N115" i="5"/>
  <c r="O115" i="5"/>
  <c r="O116" i="5"/>
  <c r="N116" i="5"/>
  <c r="O117" i="5"/>
  <c r="N117" i="5"/>
  <c r="N118" i="5"/>
  <c r="O118" i="5"/>
  <c r="N119" i="5"/>
  <c r="O119" i="5"/>
  <c r="O120" i="5"/>
  <c r="N120" i="5"/>
  <c r="N121" i="5"/>
  <c r="O121" i="5"/>
  <c r="N122" i="5"/>
  <c r="O122" i="5"/>
  <c r="N123" i="5"/>
  <c r="O123" i="5"/>
  <c r="N124" i="5"/>
  <c r="O124" i="5"/>
  <c r="O125" i="5"/>
  <c r="N125" i="5"/>
  <c r="N126" i="5"/>
  <c r="O126" i="5"/>
  <c r="N127" i="5"/>
  <c r="O127" i="5"/>
  <c r="O128" i="5"/>
  <c r="N128" i="5"/>
  <c r="O129" i="5"/>
  <c r="N129" i="5"/>
  <c r="O130" i="5"/>
  <c r="N130" i="5"/>
  <c r="O131" i="5"/>
  <c r="N131" i="5"/>
  <c r="N132" i="5"/>
  <c r="O132" i="5"/>
  <c r="O133" i="5"/>
  <c r="N133" i="5"/>
  <c r="O134" i="5"/>
  <c r="N134" i="5"/>
  <c r="N135" i="5"/>
  <c r="O135" i="5"/>
  <c r="O136" i="5"/>
  <c r="N136" i="5"/>
  <c r="N137" i="5"/>
  <c r="O137" i="5"/>
  <c r="N138" i="5"/>
  <c r="O138" i="5"/>
  <c r="N139" i="5"/>
  <c r="O139" i="5"/>
  <c r="N140" i="5"/>
  <c r="O140" i="5"/>
  <c r="O141" i="5"/>
  <c r="N141" i="5"/>
  <c r="O142" i="5"/>
  <c r="N142" i="5"/>
  <c r="N143" i="5"/>
  <c r="O143" i="5"/>
  <c r="N144" i="5"/>
  <c r="O144" i="5"/>
  <c r="N145" i="5"/>
  <c r="O145" i="5"/>
  <c r="N146" i="5"/>
  <c r="O146" i="5"/>
  <c r="N147" i="5"/>
  <c r="O147" i="5"/>
  <c r="N148" i="5"/>
  <c r="O148" i="5"/>
  <c r="O149" i="5"/>
  <c r="N149" i="5"/>
  <c r="O150" i="5"/>
  <c r="N150" i="5"/>
  <c r="N151" i="5"/>
  <c r="O151" i="5"/>
  <c r="O152" i="5"/>
  <c r="N152" i="5"/>
  <c r="N153" i="5"/>
  <c r="O153" i="5"/>
  <c r="O154" i="5"/>
  <c r="N154" i="5"/>
  <c r="O155" i="5"/>
  <c r="N155" i="5"/>
  <c r="N156" i="5"/>
  <c r="O156" i="5"/>
  <c r="N157" i="5"/>
  <c r="O157" i="5"/>
  <c r="O158" i="5"/>
  <c r="N158" i="5"/>
  <c r="O159" i="5"/>
  <c r="N159" i="5"/>
  <c r="O160" i="5"/>
  <c r="N160" i="5"/>
  <c r="N161" i="5"/>
  <c r="O161" i="5"/>
  <c r="O162" i="5"/>
  <c r="N162" i="5"/>
  <c r="N163" i="5"/>
  <c r="O163" i="5"/>
  <c r="N164" i="5"/>
  <c r="O164" i="5"/>
  <c r="N165" i="5"/>
  <c r="O165" i="5"/>
  <c r="N166" i="5"/>
  <c r="O166" i="5"/>
  <c r="N167" i="5"/>
  <c r="O167" i="5"/>
  <c r="O168" i="5"/>
  <c r="N168" i="5"/>
  <c r="O169" i="5"/>
  <c r="N169" i="5"/>
  <c r="O170" i="5"/>
  <c r="N170" i="5"/>
  <c r="N171" i="5"/>
  <c r="O171" i="5"/>
  <c r="N172" i="5"/>
  <c r="O172" i="5"/>
  <c r="N173" i="5"/>
  <c r="O173" i="5"/>
  <c r="O174" i="5"/>
  <c r="N174" i="5"/>
  <c r="N175" i="5"/>
  <c r="O175" i="5"/>
  <c r="N176" i="5"/>
  <c r="O176" i="5"/>
  <c r="O177" i="5"/>
  <c r="N177" i="5"/>
  <c r="N178" i="5"/>
  <c r="O178" i="5"/>
  <c r="O179" i="5"/>
  <c r="N179" i="5"/>
  <c r="N180" i="5"/>
  <c r="O180" i="5"/>
  <c r="N181" i="5"/>
  <c r="O181" i="5"/>
  <c r="O182" i="5"/>
  <c r="N182" i="5"/>
  <c r="N183" i="5"/>
  <c r="O183" i="5"/>
  <c r="O184" i="5"/>
  <c r="N184" i="5"/>
  <c r="N185" i="5"/>
  <c r="O185" i="5"/>
  <c r="O186" i="5"/>
  <c r="N186" i="5"/>
  <c r="O187" i="5"/>
  <c r="N187" i="5"/>
  <c r="N188" i="5"/>
  <c r="O188" i="5"/>
  <c r="N189" i="5"/>
  <c r="O189" i="5"/>
  <c r="O190" i="5"/>
  <c r="N190" i="5"/>
  <c r="N191" i="5"/>
  <c r="O191" i="5"/>
  <c r="O192" i="5"/>
  <c r="N192" i="5"/>
  <c r="O193" i="5"/>
  <c r="N193" i="5"/>
  <c r="O194" i="5"/>
  <c r="N194" i="5"/>
  <c r="O195" i="5"/>
  <c r="N195" i="5"/>
  <c r="N196" i="5"/>
  <c r="O196" i="5"/>
  <c r="O197" i="5"/>
  <c r="N197" i="5"/>
  <c r="O198" i="5"/>
  <c r="N198" i="5"/>
  <c r="N199" i="5"/>
  <c r="O199" i="5"/>
  <c r="O200" i="5"/>
  <c r="N200" i="5"/>
  <c r="N201" i="5"/>
  <c r="O201" i="5"/>
  <c r="O202" i="5"/>
  <c r="N202" i="5"/>
  <c r="O203" i="5"/>
  <c r="N203" i="5"/>
  <c r="N204" i="5"/>
  <c r="O204" i="5"/>
  <c r="N205" i="5"/>
  <c r="O205" i="5"/>
  <c r="O206" i="5"/>
  <c r="N206" i="5"/>
  <c r="N207" i="5"/>
  <c r="O207" i="5"/>
  <c r="N208" i="5"/>
  <c r="O208" i="5"/>
  <c r="N209" i="5"/>
  <c r="O209" i="5"/>
  <c r="O210" i="5"/>
  <c r="N210" i="5"/>
  <c r="O211" i="5"/>
  <c r="N211" i="5"/>
  <c r="O212" i="5"/>
  <c r="N212" i="5"/>
  <c r="O213" i="5"/>
  <c r="N213" i="5"/>
  <c r="O214" i="5"/>
  <c r="N214" i="5"/>
  <c r="N215" i="5"/>
  <c r="O215" i="5"/>
  <c r="N216" i="5"/>
  <c r="O216" i="5"/>
  <c r="O217" i="5"/>
  <c r="N217" i="5"/>
  <c r="N218" i="5"/>
  <c r="O218" i="5"/>
  <c r="O219" i="5"/>
  <c r="N219" i="5"/>
  <c r="O220" i="5"/>
  <c r="N220" i="5"/>
  <c r="N221" i="5"/>
  <c r="O221" i="5"/>
  <c r="O222" i="5"/>
  <c r="N222" i="5"/>
  <c r="O223" i="5"/>
  <c r="N223" i="5"/>
  <c r="N224" i="5"/>
  <c r="O224" i="5"/>
  <c r="O225" i="5"/>
  <c r="N225" i="5"/>
  <c r="O226" i="5"/>
  <c r="N226" i="5"/>
  <c r="O227" i="5"/>
  <c r="N227" i="5"/>
  <c r="O228" i="5"/>
  <c r="N228" i="5"/>
  <c r="O229" i="5"/>
  <c r="N229" i="5"/>
  <c r="N230" i="5"/>
  <c r="O230" i="5"/>
  <c r="N231" i="5"/>
  <c r="O231" i="5"/>
  <c r="N232" i="5"/>
  <c r="O232" i="5"/>
  <c r="O233" i="5"/>
  <c r="N233" i="5"/>
  <c r="O234" i="5"/>
  <c r="N234" i="5"/>
  <c r="N235" i="5"/>
  <c r="O235" i="5"/>
  <c r="O236" i="5"/>
  <c r="N236" i="5"/>
  <c r="O237" i="5"/>
  <c r="N237" i="5"/>
  <c r="O238" i="5"/>
  <c r="N238" i="5"/>
  <c r="N239" i="5"/>
  <c r="O239" i="5"/>
  <c r="N240" i="5"/>
  <c r="O240" i="5"/>
  <c r="N241" i="5"/>
  <c r="O241" i="5"/>
  <c r="O242" i="5"/>
  <c r="N242" i="5"/>
  <c r="N243" i="5"/>
  <c r="O243" i="5"/>
  <c r="O244" i="5"/>
  <c r="N244" i="5"/>
  <c r="O245" i="5"/>
  <c r="N245" i="5"/>
  <c r="O246" i="5"/>
  <c r="N246" i="5"/>
  <c r="N247" i="5"/>
  <c r="O247" i="5"/>
  <c r="N248" i="5"/>
  <c r="O248" i="5"/>
  <c r="N249" i="5"/>
  <c r="O249" i="5"/>
  <c r="O250" i="5"/>
  <c r="N250" i="5"/>
  <c r="N251" i="5"/>
  <c r="O251" i="5"/>
  <c r="O252" i="5"/>
  <c r="N252" i="5"/>
  <c r="N253" i="5"/>
  <c r="O253" i="5"/>
  <c r="O254" i="5"/>
  <c r="N254" i="5"/>
  <c r="V22" i="5" l="1"/>
  <c r="W22" i="5" s="1"/>
  <c r="V254" i="5"/>
  <c r="W254" i="5" s="1"/>
  <c r="V253" i="5"/>
  <c r="W253" i="5" s="1"/>
  <c r="V252" i="5"/>
  <c r="W252" i="5" s="1"/>
  <c r="V251" i="5"/>
  <c r="W251" i="5" s="1"/>
  <c r="V250" i="5"/>
  <c r="W250" i="5" s="1"/>
  <c r="V249" i="5"/>
  <c r="W249" i="5" s="1"/>
  <c r="V248" i="5"/>
  <c r="W248" i="5" s="1"/>
  <c r="V247" i="5"/>
  <c r="W247" i="5" s="1"/>
  <c r="V246" i="5"/>
  <c r="W246" i="5" s="1"/>
  <c r="V245" i="5"/>
  <c r="W245" i="5" s="1"/>
  <c r="V244" i="5"/>
  <c r="W244" i="5" s="1"/>
  <c r="V243" i="5"/>
  <c r="W243" i="5" s="1"/>
  <c r="V242" i="5"/>
  <c r="W242" i="5" s="1"/>
  <c r="V241" i="5"/>
  <c r="W241" i="5" s="1"/>
  <c r="V240" i="5"/>
  <c r="W240" i="5" s="1"/>
  <c r="V239" i="5"/>
  <c r="W239" i="5" s="1"/>
  <c r="V238" i="5"/>
  <c r="W238" i="5" s="1"/>
  <c r="V237" i="5"/>
  <c r="W237" i="5" s="1"/>
  <c r="V236" i="5"/>
  <c r="W236" i="5" s="1"/>
  <c r="V235" i="5"/>
  <c r="W235" i="5" s="1"/>
  <c r="V234" i="5"/>
  <c r="W234" i="5" s="1"/>
  <c r="V233" i="5"/>
  <c r="W233" i="5" s="1"/>
  <c r="V232" i="5"/>
  <c r="W232" i="5" s="1"/>
  <c r="V231" i="5"/>
  <c r="W231" i="5" s="1"/>
  <c r="V230" i="5"/>
  <c r="W230" i="5" s="1"/>
  <c r="V229" i="5"/>
  <c r="W229" i="5" s="1"/>
  <c r="V228" i="5"/>
  <c r="W228" i="5" s="1"/>
  <c r="V227" i="5"/>
  <c r="W227" i="5" s="1"/>
  <c r="V226" i="5"/>
  <c r="W226" i="5" s="1"/>
  <c r="V225" i="5"/>
  <c r="W225" i="5" s="1"/>
  <c r="V224" i="5"/>
  <c r="W224" i="5" s="1"/>
  <c r="V223" i="5"/>
  <c r="W223" i="5" s="1"/>
  <c r="V222" i="5"/>
  <c r="W222" i="5" s="1"/>
  <c r="V221" i="5"/>
  <c r="W221" i="5" s="1"/>
  <c r="V220" i="5"/>
  <c r="W220" i="5" s="1"/>
  <c r="V219" i="5"/>
  <c r="W219" i="5" s="1"/>
  <c r="V218" i="5"/>
  <c r="W218" i="5" s="1"/>
  <c r="V217" i="5"/>
  <c r="W217" i="5" s="1"/>
  <c r="V216" i="5"/>
  <c r="W216" i="5" s="1"/>
  <c r="V215" i="5"/>
  <c r="W215" i="5" s="1"/>
  <c r="V214" i="5"/>
  <c r="W214" i="5" s="1"/>
  <c r="V213" i="5"/>
  <c r="W213" i="5" s="1"/>
  <c r="V212" i="5"/>
  <c r="W212" i="5" s="1"/>
  <c r="V211" i="5"/>
  <c r="W211" i="5" s="1"/>
  <c r="V210" i="5"/>
  <c r="W210" i="5" s="1"/>
  <c r="V209" i="5"/>
  <c r="W209" i="5" s="1"/>
  <c r="V208" i="5"/>
  <c r="W208" i="5" s="1"/>
  <c r="V207" i="5"/>
  <c r="W207" i="5" s="1"/>
  <c r="V206" i="5"/>
  <c r="W206" i="5" s="1"/>
  <c r="V205" i="5"/>
  <c r="W205" i="5" s="1"/>
  <c r="V204" i="5"/>
  <c r="W204" i="5" s="1"/>
  <c r="V203" i="5"/>
  <c r="W203" i="5" s="1"/>
  <c r="V202" i="5"/>
  <c r="W202" i="5" s="1"/>
  <c r="V201" i="5"/>
  <c r="W201" i="5" s="1"/>
  <c r="V200" i="5"/>
  <c r="W200" i="5" s="1"/>
  <c r="V199" i="5"/>
  <c r="W199" i="5" s="1"/>
  <c r="V198" i="5"/>
  <c r="W198" i="5" s="1"/>
  <c r="V197" i="5"/>
  <c r="W197" i="5" s="1"/>
  <c r="V196" i="5"/>
  <c r="W196" i="5" s="1"/>
  <c r="V195" i="5"/>
  <c r="W195" i="5" s="1"/>
  <c r="V194" i="5"/>
  <c r="W194" i="5" s="1"/>
  <c r="V193" i="5"/>
  <c r="W193" i="5" s="1"/>
  <c r="V192" i="5"/>
  <c r="W192" i="5" s="1"/>
  <c r="V191" i="5"/>
  <c r="W191" i="5" s="1"/>
  <c r="V190" i="5"/>
  <c r="W190" i="5" s="1"/>
  <c r="V189" i="5"/>
  <c r="W189" i="5" s="1"/>
  <c r="V188" i="5"/>
  <c r="W188" i="5" s="1"/>
  <c r="V187" i="5"/>
  <c r="W187" i="5" s="1"/>
  <c r="V186" i="5"/>
  <c r="W186" i="5" s="1"/>
  <c r="V185" i="5"/>
  <c r="W185" i="5" s="1"/>
  <c r="V184" i="5"/>
  <c r="W184" i="5" s="1"/>
  <c r="V183" i="5"/>
  <c r="W183" i="5" s="1"/>
  <c r="V182" i="5"/>
  <c r="W182" i="5" s="1"/>
  <c r="V181" i="5"/>
  <c r="W181" i="5" s="1"/>
  <c r="V180" i="5"/>
  <c r="W180" i="5" s="1"/>
  <c r="V179" i="5"/>
  <c r="W179" i="5" s="1"/>
  <c r="V178" i="5"/>
  <c r="W178" i="5" s="1"/>
  <c r="V177" i="5"/>
  <c r="W177" i="5" s="1"/>
  <c r="V176" i="5"/>
  <c r="W176" i="5" s="1"/>
  <c r="V175" i="5"/>
  <c r="W175" i="5" s="1"/>
  <c r="V174" i="5"/>
  <c r="W174" i="5" s="1"/>
  <c r="V173" i="5"/>
  <c r="W173" i="5" s="1"/>
  <c r="V172" i="5"/>
  <c r="W172" i="5" s="1"/>
  <c r="V171" i="5"/>
  <c r="W171" i="5" s="1"/>
  <c r="V170" i="5"/>
  <c r="W170" i="5" s="1"/>
  <c r="V169" i="5"/>
  <c r="W169" i="5" s="1"/>
  <c r="V168" i="5"/>
  <c r="W168" i="5" s="1"/>
  <c r="V167" i="5"/>
  <c r="W167" i="5" s="1"/>
  <c r="V166" i="5"/>
  <c r="W166" i="5" s="1"/>
  <c r="V165" i="5"/>
  <c r="W165" i="5" s="1"/>
  <c r="V164" i="5"/>
  <c r="W164" i="5" s="1"/>
  <c r="V163" i="5"/>
  <c r="W163" i="5" s="1"/>
  <c r="V162" i="5"/>
  <c r="W162" i="5" s="1"/>
  <c r="V161" i="5"/>
  <c r="W161" i="5" s="1"/>
  <c r="V160" i="5"/>
  <c r="W160" i="5" s="1"/>
  <c r="V159" i="5"/>
  <c r="W159" i="5" s="1"/>
  <c r="V158" i="5"/>
  <c r="W158" i="5" s="1"/>
  <c r="V157" i="5"/>
  <c r="W157" i="5" s="1"/>
  <c r="V156" i="5"/>
  <c r="W156" i="5" s="1"/>
  <c r="V155" i="5"/>
  <c r="W155" i="5" s="1"/>
  <c r="V154" i="5"/>
  <c r="W154" i="5" s="1"/>
  <c r="V153" i="5"/>
  <c r="W153" i="5" s="1"/>
  <c r="V152" i="5"/>
  <c r="W152" i="5" s="1"/>
  <c r="V151" i="5"/>
  <c r="W151" i="5" s="1"/>
  <c r="V150" i="5"/>
  <c r="W150" i="5" s="1"/>
  <c r="V149" i="5"/>
  <c r="W149" i="5" s="1"/>
  <c r="V148" i="5"/>
  <c r="W148" i="5" s="1"/>
  <c r="V147" i="5"/>
  <c r="W147" i="5" s="1"/>
  <c r="V146" i="5"/>
  <c r="W146" i="5" s="1"/>
  <c r="V145" i="5"/>
  <c r="W145" i="5" s="1"/>
  <c r="V144" i="5"/>
  <c r="W144" i="5" s="1"/>
  <c r="V143" i="5"/>
  <c r="W143" i="5" s="1"/>
  <c r="V142" i="5"/>
  <c r="W142" i="5" s="1"/>
  <c r="V141" i="5"/>
  <c r="W141" i="5" s="1"/>
  <c r="V140" i="5"/>
  <c r="W140" i="5" s="1"/>
  <c r="V139" i="5"/>
  <c r="W139" i="5" s="1"/>
  <c r="V138" i="5"/>
  <c r="W138" i="5" s="1"/>
  <c r="V137" i="5"/>
  <c r="W137" i="5" s="1"/>
  <c r="V136" i="5"/>
  <c r="W136" i="5" s="1"/>
  <c r="V135" i="5"/>
  <c r="W135" i="5" s="1"/>
  <c r="V134" i="5"/>
  <c r="W134" i="5" s="1"/>
  <c r="V133" i="5"/>
  <c r="W133" i="5" s="1"/>
  <c r="V132" i="5"/>
  <c r="W132" i="5" s="1"/>
  <c r="V131" i="5"/>
  <c r="W131" i="5" s="1"/>
  <c r="V130" i="5"/>
  <c r="W130" i="5" s="1"/>
  <c r="V129" i="5"/>
  <c r="W129" i="5" s="1"/>
  <c r="V128" i="5"/>
  <c r="W128" i="5" s="1"/>
  <c r="V127" i="5"/>
  <c r="W127" i="5" s="1"/>
  <c r="V126" i="5"/>
  <c r="W126" i="5" s="1"/>
  <c r="V125" i="5"/>
  <c r="W125" i="5" s="1"/>
  <c r="V124" i="5"/>
  <c r="W124" i="5" s="1"/>
  <c r="V123" i="5"/>
  <c r="W123" i="5" s="1"/>
  <c r="V122" i="5"/>
  <c r="W122" i="5" s="1"/>
  <c r="V121" i="5"/>
  <c r="W121" i="5" s="1"/>
  <c r="V120" i="5"/>
  <c r="W120" i="5" s="1"/>
  <c r="V119" i="5"/>
  <c r="W119" i="5" s="1"/>
  <c r="V118" i="5"/>
  <c r="W118" i="5" s="1"/>
  <c r="V117" i="5"/>
  <c r="W117" i="5" s="1"/>
  <c r="V116" i="5"/>
  <c r="W116" i="5" s="1"/>
  <c r="V115" i="5"/>
  <c r="W115" i="5" s="1"/>
  <c r="V114" i="5"/>
  <c r="W114" i="5" s="1"/>
  <c r="V113" i="5"/>
  <c r="W113" i="5" s="1"/>
  <c r="V112" i="5"/>
  <c r="W112" i="5" s="1"/>
  <c r="V111" i="5"/>
  <c r="W111" i="5" s="1"/>
  <c r="V110" i="5"/>
  <c r="W110" i="5" s="1"/>
  <c r="V109" i="5"/>
  <c r="W109" i="5" s="1"/>
  <c r="V108" i="5"/>
  <c r="W108" i="5" s="1"/>
  <c r="V107" i="5"/>
  <c r="W107" i="5" s="1"/>
  <c r="V106" i="5"/>
  <c r="W106" i="5" s="1"/>
  <c r="V105" i="5"/>
  <c r="W105" i="5" s="1"/>
  <c r="V104" i="5"/>
  <c r="W104" i="5" s="1"/>
  <c r="V103" i="5"/>
  <c r="W103" i="5" s="1"/>
  <c r="V102" i="5"/>
  <c r="W102" i="5" s="1"/>
  <c r="V101" i="5"/>
  <c r="W101" i="5" s="1"/>
  <c r="V100" i="5"/>
  <c r="W100" i="5" s="1"/>
  <c r="V99" i="5"/>
  <c r="W99" i="5" s="1"/>
  <c r="V98" i="5"/>
  <c r="W98" i="5" s="1"/>
  <c r="V97" i="5"/>
  <c r="W97" i="5" s="1"/>
  <c r="V96" i="5"/>
  <c r="W96" i="5" s="1"/>
  <c r="V95" i="5"/>
  <c r="W95" i="5" s="1"/>
  <c r="V94" i="5"/>
  <c r="W94" i="5" s="1"/>
  <c r="V93" i="5"/>
  <c r="W93" i="5" s="1"/>
  <c r="V92" i="5"/>
  <c r="W92" i="5" s="1"/>
  <c r="V91" i="5"/>
  <c r="W91" i="5" s="1"/>
  <c r="V90" i="5"/>
  <c r="W90" i="5" s="1"/>
  <c r="V89" i="5"/>
  <c r="W89" i="5" s="1"/>
  <c r="V88" i="5"/>
  <c r="W88" i="5" s="1"/>
  <c r="V87" i="5"/>
  <c r="W87" i="5" s="1"/>
  <c r="V86" i="5"/>
  <c r="W86" i="5" s="1"/>
  <c r="V85" i="5"/>
  <c r="W85" i="5" s="1"/>
  <c r="V84" i="5"/>
  <c r="W84" i="5" s="1"/>
  <c r="V83" i="5"/>
  <c r="W83" i="5" s="1"/>
  <c r="V82" i="5"/>
  <c r="W82" i="5" s="1"/>
  <c r="V81" i="5"/>
  <c r="W81" i="5" s="1"/>
  <c r="V80" i="5"/>
  <c r="W80" i="5" s="1"/>
  <c r="V79" i="5"/>
  <c r="W79" i="5" s="1"/>
  <c r="V78" i="5"/>
  <c r="W78" i="5" s="1"/>
  <c r="V77" i="5"/>
  <c r="W77" i="5" s="1"/>
  <c r="V76" i="5"/>
  <c r="W76" i="5" s="1"/>
  <c r="V75" i="5"/>
  <c r="W75" i="5" s="1"/>
  <c r="V74" i="5"/>
  <c r="W74" i="5" s="1"/>
  <c r="V73" i="5"/>
  <c r="W73" i="5" s="1"/>
  <c r="V72" i="5"/>
  <c r="W72" i="5" s="1"/>
  <c r="V71" i="5"/>
  <c r="W71" i="5" s="1"/>
  <c r="V70" i="5"/>
  <c r="W70" i="5" s="1"/>
  <c r="V69" i="5"/>
  <c r="W69" i="5" s="1"/>
  <c r="V68" i="5"/>
  <c r="W68" i="5" s="1"/>
  <c r="V67" i="5"/>
  <c r="W67" i="5" s="1"/>
  <c r="V66" i="5"/>
  <c r="W66" i="5" s="1"/>
  <c r="V65" i="5"/>
  <c r="W65" i="5" s="1"/>
  <c r="V64" i="5"/>
  <c r="W64" i="5" s="1"/>
  <c r="V63" i="5"/>
  <c r="W63" i="5" s="1"/>
  <c r="V62" i="5"/>
  <c r="W62" i="5" s="1"/>
  <c r="V61" i="5"/>
  <c r="W61" i="5" s="1"/>
  <c r="V60" i="5"/>
  <c r="W60" i="5" s="1"/>
  <c r="V59" i="5"/>
  <c r="W59" i="5" s="1"/>
  <c r="V58" i="5"/>
  <c r="W58" i="5" s="1"/>
  <c r="V57" i="5"/>
  <c r="W57" i="5" s="1"/>
  <c r="V56" i="5"/>
  <c r="W56" i="5" s="1"/>
  <c r="V55" i="5"/>
  <c r="W55" i="5" s="1"/>
  <c r="V54" i="5"/>
  <c r="W54" i="5" s="1"/>
  <c r="V53" i="5"/>
  <c r="W53" i="5" s="1"/>
  <c r="V52" i="5"/>
  <c r="W52" i="5" s="1"/>
  <c r="V51" i="5"/>
  <c r="W51" i="5" s="1"/>
  <c r="V50" i="5"/>
  <c r="W50" i="5" s="1"/>
  <c r="V49" i="5"/>
  <c r="W49" i="5" s="1"/>
  <c r="V48" i="5"/>
  <c r="W48" i="5" s="1"/>
  <c r="V47" i="5"/>
  <c r="W47" i="5" s="1"/>
  <c r="V46" i="5"/>
  <c r="W46" i="5" s="1"/>
  <c r="V45" i="5"/>
  <c r="W45" i="5" s="1"/>
  <c r="V44" i="5"/>
  <c r="W44" i="5" s="1"/>
  <c r="V43" i="5"/>
  <c r="W43" i="5" s="1"/>
  <c r="V42" i="5"/>
  <c r="W42" i="5" s="1"/>
  <c r="V41" i="5"/>
  <c r="W41" i="5" s="1"/>
  <c r="V40" i="5"/>
  <c r="W40" i="5" s="1"/>
  <c r="V39" i="5"/>
  <c r="W39" i="5" s="1"/>
  <c r="V38" i="5"/>
  <c r="W38" i="5" s="1"/>
  <c r="V37" i="5"/>
  <c r="W37" i="5" s="1"/>
  <c r="V36" i="5"/>
  <c r="W36" i="5" s="1"/>
  <c r="V35" i="5"/>
  <c r="W35" i="5" s="1"/>
  <c r="V34" i="5"/>
  <c r="W34" i="5" s="1"/>
  <c r="V33" i="5"/>
  <c r="W33" i="5" s="1"/>
  <c r="V32" i="5"/>
  <c r="W32" i="5" s="1"/>
  <c r="V11" i="5"/>
  <c r="W11" i="5" s="1"/>
  <c r="V10" i="5"/>
  <c r="W10" i="5" s="1"/>
  <c r="V16" i="5"/>
  <c r="W16" i="5" s="1"/>
  <c r="V17" i="5"/>
  <c r="W17" i="5" s="1"/>
  <c r="V26" i="5"/>
  <c r="W26" i="5" s="1"/>
  <c r="V27" i="5"/>
  <c r="W27" i="5" s="1"/>
  <c r="V31" i="5"/>
  <c r="W31" i="5" s="1"/>
  <c r="V9" i="5"/>
  <c r="W9" i="5" s="1"/>
  <c r="V15" i="5"/>
  <c r="W15" i="5" s="1"/>
  <c r="V25" i="5"/>
  <c r="W25" i="5" s="1"/>
  <c r="V21" i="5"/>
  <c r="W21" i="5" s="1"/>
  <c r="V20" i="5"/>
  <c r="W20" i="5" s="1"/>
  <c r="V30" i="5"/>
  <c r="W30" i="5" s="1"/>
  <c r="V8" i="5"/>
  <c r="W8" i="5" s="1"/>
  <c r="V14" i="5"/>
  <c r="W14" i="5" s="1"/>
  <c r="V24" i="5"/>
  <c r="W24" i="5" s="1"/>
  <c r="V19" i="5"/>
  <c r="W19" i="5" s="1"/>
  <c r="V29" i="5"/>
  <c r="W29" i="5" s="1"/>
  <c r="V7" i="5"/>
  <c r="W7" i="5" s="1"/>
  <c r="V13" i="5"/>
  <c r="W13" i="5" s="1"/>
  <c r="V18" i="5"/>
  <c r="W18" i="5" s="1"/>
  <c r="P6" i="5"/>
  <c r="P7" i="5" s="1"/>
  <c r="V6" i="5"/>
  <c r="W6" i="5" s="1"/>
  <c r="V12" i="5"/>
  <c r="W12" i="5" s="1"/>
  <c r="V23" i="5"/>
  <c r="W23" i="5" s="1"/>
  <c r="V28" i="5"/>
  <c r="W28" i="5" s="1"/>
  <c r="B14" i="5"/>
  <c r="AB6" i="5"/>
  <c r="Q6" i="5"/>
  <c r="Q7" i="5"/>
  <c r="R7" i="5" s="1"/>
  <c r="X6" i="5"/>
  <c r="P8" i="5" l="1"/>
  <c r="Y6" i="5"/>
  <c r="Z6" i="5" s="1"/>
  <c r="AC6" i="5"/>
  <c r="AD6" i="5" s="1"/>
  <c r="S7" i="5"/>
  <c r="AB7" i="5"/>
  <c r="R6" i="5"/>
  <c r="Q8" i="5"/>
  <c r="X7" i="5"/>
  <c r="P9" i="5" l="1"/>
  <c r="AC7" i="5"/>
  <c r="AD7" i="5" s="1"/>
  <c r="Y7" i="5"/>
  <c r="Z7" i="5" s="1"/>
  <c r="R8" i="5"/>
  <c r="AB8" i="5"/>
  <c r="X8" i="5"/>
  <c r="Q9" i="5"/>
  <c r="S6" i="5"/>
  <c r="T6" i="5" l="1"/>
  <c r="U6" i="5" s="1"/>
  <c r="T7" i="5"/>
  <c r="P10" i="5"/>
  <c r="AC8" i="5"/>
  <c r="AD8" i="5" s="1"/>
  <c r="Y8" i="5"/>
  <c r="Z8" i="5" s="1"/>
  <c r="R9" i="5"/>
  <c r="X9" i="5"/>
  <c r="AB9" i="5"/>
  <c r="S8" i="5"/>
  <c r="Q10" i="5"/>
  <c r="R10" i="5" s="1"/>
  <c r="T8" i="5" l="1"/>
  <c r="U7" i="5"/>
  <c r="P11" i="5"/>
  <c r="AC9" i="5"/>
  <c r="AD9" i="5" s="1"/>
  <c r="Y9" i="5"/>
  <c r="Z9" i="5" s="1"/>
  <c r="S9" i="5"/>
  <c r="X11" i="5"/>
  <c r="AB11" i="5"/>
  <c r="S10" i="5"/>
  <c r="Q11" i="5"/>
  <c r="AB10" i="5"/>
  <c r="X10" i="5"/>
  <c r="T9" i="5" l="1"/>
  <c r="U8" i="5"/>
  <c r="U9" i="5"/>
  <c r="T10" i="5"/>
  <c r="P12" i="5"/>
  <c r="AC10" i="5"/>
  <c r="AD10" i="5" s="1"/>
  <c r="AC11" i="5"/>
  <c r="Y10" i="5"/>
  <c r="Z10" i="5" s="1"/>
  <c r="Y11" i="5"/>
  <c r="Q12" i="5"/>
  <c r="R12" i="5"/>
  <c r="X12" i="5"/>
  <c r="AB12" i="5"/>
  <c r="R11" i="5"/>
  <c r="AD11" i="5" l="1"/>
  <c r="U10" i="5"/>
  <c r="Z11" i="5"/>
  <c r="AC12" i="5"/>
  <c r="Y12" i="5"/>
  <c r="P13" i="5"/>
  <c r="AB13" i="5"/>
  <c r="Q13" i="5"/>
  <c r="R13" i="5"/>
  <c r="S11" i="5"/>
  <c r="X13" i="5"/>
  <c r="S12" i="5"/>
  <c r="T11" i="5" l="1"/>
  <c r="AD12" i="5"/>
  <c r="U11" i="5"/>
  <c r="Z12" i="5"/>
  <c r="AC13" i="5"/>
  <c r="Y13" i="5"/>
  <c r="T12" i="5"/>
  <c r="P14" i="5"/>
  <c r="X14" i="5"/>
  <c r="S13" i="5"/>
  <c r="AB14" i="5"/>
  <c r="Q14" i="5"/>
  <c r="R14" i="5" s="1"/>
  <c r="AD13" i="5" l="1"/>
  <c r="U12" i="5"/>
  <c r="Z13" i="5"/>
  <c r="AC14" i="5"/>
  <c r="Y14" i="5"/>
  <c r="T13" i="5"/>
  <c r="P15" i="5"/>
  <c r="X15" i="5"/>
  <c r="Q15" i="5"/>
  <c r="S14" i="5"/>
  <c r="AB15" i="5"/>
  <c r="U13" i="5" l="1"/>
  <c r="AD14" i="5"/>
  <c r="Z14" i="5"/>
  <c r="T14" i="5"/>
  <c r="Y15" i="5"/>
  <c r="AC15" i="5"/>
  <c r="P16" i="5"/>
  <c r="X16" i="5"/>
  <c r="AB16" i="5"/>
  <c r="R15" i="5"/>
  <c r="Q16" i="5"/>
  <c r="R16" i="5" s="1"/>
  <c r="AD15" i="5" l="1"/>
  <c r="U14" i="5"/>
  <c r="Z15" i="5"/>
  <c r="Y16" i="5"/>
  <c r="AC16" i="5"/>
  <c r="P17" i="5"/>
  <c r="X17" i="5"/>
  <c r="Q17" i="5"/>
  <c r="AB17" i="5"/>
  <c r="R17" i="5"/>
  <c r="S15" i="5"/>
  <c r="S16" i="5"/>
  <c r="T15" i="5" l="1"/>
  <c r="Z16" i="5"/>
  <c r="U15" i="5"/>
  <c r="AD16" i="5"/>
  <c r="T16" i="5"/>
  <c r="AC17" i="5"/>
  <c r="Y17" i="5"/>
  <c r="P18" i="5"/>
  <c r="AB18" i="5"/>
  <c r="Q18" i="5"/>
  <c r="X18" i="5"/>
  <c r="S17" i="5"/>
  <c r="Z17" i="5" l="1"/>
  <c r="AD17" i="5"/>
  <c r="U16" i="5"/>
  <c r="AC18" i="5"/>
  <c r="Y18" i="5"/>
  <c r="T17" i="5"/>
  <c r="P19" i="5"/>
  <c r="R18" i="5"/>
  <c r="AB19" i="5"/>
  <c r="Q19" i="5"/>
  <c r="X19" i="5"/>
  <c r="Z18" i="5" l="1"/>
  <c r="U17" i="5"/>
  <c r="AD18" i="5"/>
  <c r="Y19" i="5"/>
  <c r="AC19" i="5"/>
  <c r="P20" i="5"/>
  <c r="R19" i="5"/>
  <c r="Q20" i="5"/>
  <c r="S18" i="5"/>
  <c r="AB20" i="5"/>
  <c r="R20" i="5"/>
  <c r="X20" i="5"/>
  <c r="T18" i="5" l="1"/>
  <c r="AD19" i="5"/>
  <c r="Z19" i="5"/>
  <c r="U18" i="5"/>
  <c r="AC20" i="5"/>
  <c r="Y20" i="5"/>
  <c r="P21" i="5"/>
  <c r="Q21" i="5"/>
  <c r="S19" i="5"/>
  <c r="S20" i="5"/>
  <c r="X21" i="5"/>
  <c r="AB21" i="5"/>
  <c r="T19" i="5" l="1"/>
  <c r="U19" i="5" s="1"/>
  <c r="AD20" i="5"/>
  <c r="Z20" i="5"/>
  <c r="AC21" i="5"/>
  <c r="Y21" i="5"/>
  <c r="T20" i="5"/>
  <c r="P22" i="5"/>
  <c r="Q22" i="5"/>
  <c r="AB22" i="5"/>
  <c r="R22" i="5"/>
  <c r="X22" i="5"/>
  <c r="R21" i="5"/>
  <c r="AD21" i="5" l="1"/>
  <c r="Z21" i="5"/>
  <c r="U20" i="5"/>
  <c r="Y22" i="5"/>
  <c r="AC22" i="5"/>
  <c r="P23" i="5"/>
  <c r="Q23" i="5"/>
  <c r="AB23" i="5"/>
  <c r="S22" i="5"/>
  <c r="X23" i="5"/>
  <c r="S21" i="5"/>
  <c r="T21" i="5" l="1"/>
  <c r="AD22" i="5"/>
  <c r="Z22" i="5"/>
  <c r="U21" i="5"/>
  <c r="Y23" i="5"/>
  <c r="AC23" i="5"/>
  <c r="T22" i="5"/>
  <c r="P24" i="5"/>
  <c r="X24" i="5"/>
  <c r="R23" i="5"/>
  <c r="AB24" i="5"/>
  <c r="Q24" i="5"/>
  <c r="AD23" i="5" l="1"/>
  <c r="Z23" i="5"/>
  <c r="U22" i="5"/>
  <c r="Y24" i="5"/>
  <c r="AC24" i="5"/>
  <c r="P25" i="5"/>
  <c r="S23" i="5"/>
  <c r="Q25" i="5"/>
  <c r="R25" i="5"/>
  <c r="AB25" i="5"/>
  <c r="X25" i="5"/>
  <c r="R24" i="5"/>
  <c r="T23" i="5" l="1"/>
  <c r="U23" i="5" s="1"/>
  <c r="AD24" i="5"/>
  <c r="Z24" i="5"/>
  <c r="Y25" i="5"/>
  <c r="AC25" i="5"/>
  <c r="P26" i="5"/>
  <c r="AB26" i="5"/>
  <c r="S24" i="5"/>
  <c r="X26" i="5"/>
  <c r="Q26" i="5"/>
  <c r="S25" i="5"/>
  <c r="T24" i="5" l="1"/>
  <c r="U24" i="5"/>
  <c r="AD25" i="5"/>
  <c r="Z25" i="5"/>
  <c r="AC26" i="5"/>
  <c r="Y26" i="5"/>
  <c r="T25" i="5"/>
  <c r="P27" i="5"/>
  <c r="R26" i="5"/>
  <c r="AB27" i="5"/>
  <c r="Q27" i="5"/>
  <c r="X27" i="5"/>
  <c r="U25" i="5" l="1"/>
  <c r="AD26" i="5"/>
  <c r="Z26" i="5"/>
  <c r="AC27" i="5"/>
  <c r="Y27" i="5"/>
  <c r="P28" i="5"/>
  <c r="S26" i="5"/>
  <c r="X28" i="5"/>
  <c r="AB28" i="5"/>
  <c r="R27" i="5"/>
  <c r="Q28" i="5"/>
  <c r="T26" i="5" l="1"/>
  <c r="U26" i="5"/>
  <c r="AD27" i="5"/>
  <c r="Z27" i="5"/>
  <c r="Y28" i="5"/>
  <c r="AC28" i="5"/>
  <c r="AD28" i="5" s="1"/>
  <c r="P29" i="5"/>
  <c r="R28" i="5"/>
  <c r="S27" i="5"/>
  <c r="Q29" i="5"/>
  <c r="X29" i="5"/>
  <c r="AB29" i="5"/>
  <c r="T27" i="5" l="1"/>
  <c r="U27" i="5"/>
  <c r="Z28" i="5"/>
  <c r="AC29" i="5"/>
  <c r="AD29" i="5" s="1"/>
  <c r="Y29" i="5"/>
  <c r="P30" i="5"/>
  <c r="Q30" i="5"/>
  <c r="S28" i="5"/>
  <c r="R30" i="5"/>
  <c r="X30" i="5"/>
  <c r="AB30" i="5"/>
  <c r="R29" i="5"/>
  <c r="T28" i="5" l="1"/>
  <c r="U28" i="5"/>
  <c r="Z29" i="5"/>
  <c r="Y30" i="5"/>
  <c r="Z30" i="5" s="1"/>
  <c r="AC30" i="5"/>
  <c r="AD30" i="5" s="1"/>
  <c r="P31" i="5"/>
  <c r="S29" i="5"/>
  <c r="S30" i="5"/>
  <c r="X31" i="5"/>
  <c r="AB31" i="5"/>
  <c r="Q31" i="5"/>
  <c r="R31" i="5" s="1"/>
  <c r="T29" i="5" l="1"/>
  <c r="U29" i="5" s="1"/>
  <c r="AC31" i="5"/>
  <c r="AD31" i="5" s="1"/>
  <c r="Y31" i="5"/>
  <c r="Z31" i="5" s="1"/>
  <c r="T30" i="5"/>
  <c r="P32" i="5"/>
  <c r="S31" i="5"/>
  <c r="Q32" i="5"/>
  <c r="X32" i="5"/>
  <c r="AB32" i="5"/>
  <c r="U30" i="5" l="1"/>
  <c r="AC32" i="5"/>
  <c r="AD32" i="5" s="1"/>
  <c r="Y32" i="5"/>
  <c r="Z32" i="5" s="1"/>
  <c r="T31" i="5"/>
  <c r="P33" i="5"/>
  <c r="AB33" i="5"/>
  <c r="R32" i="5"/>
  <c r="X33" i="5"/>
  <c r="Q33" i="5"/>
  <c r="R33" i="5" s="1"/>
  <c r="U31" i="5" l="1"/>
  <c r="Y33" i="5"/>
  <c r="Z33" i="5" s="1"/>
  <c r="AC33" i="5"/>
  <c r="AD33" i="5" s="1"/>
  <c r="P34" i="5"/>
  <c r="Q34" i="5"/>
  <c r="S32" i="5"/>
  <c r="R34" i="5"/>
  <c r="S33" i="5"/>
  <c r="X34" i="5"/>
  <c r="AB34" i="5"/>
  <c r="T32" i="5" l="1"/>
  <c r="U32" i="5" s="1"/>
  <c r="AC34" i="5"/>
  <c r="AD34" i="5" s="1"/>
  <c r="Y34" i="5"/>
  <c r="Z34" i="5" s="1"/>
  <c r="T33" i="5"/>
  <c r="P35" i="5"/>
  <c r="S34" i="5"/>
  <c r="AB35" i="5"/>
  <c r="X35" i="5"/>
  <c r="Q35" i="5"/>
  <c r="R35" i="5"/>
  <c r="U33" i="5" l="1"/>
  <c r="Y35" i="5"/>
  <c r="Z35" i="5" s="1"/>
  <c r="AC35" i="5"/>
  <c r="AD35" i="5" s="1"/>
  <c r="T34" i="5"/>
  <c r="P36" i="5"/>
  <c r="AB36" i="5"/>
  <c r="Q36" i="5"/>
  <c r="X36" i="5"/>
  <c r="S35" i="5"/>
  <c r="U34" i="5" l="1"/>
  <c r="Y36" i="5"/>
  <c r="Z36" i="5" s="1"/>
  <c r="AC36" i="5"/>
  <c r="AD36" i="5" s="1"/>
  <c r="T35" i="5"/>
  <c r="U35" i="5" s="1"/>
  <c r="P37" i="5"/>
  <c r="X37" i="5"/>
  <c r="R36" i="5"/>
  <c r="Q37" i="5"/>
  <c r="AB37" i="5"/>
  <c r="AC37" i="5" l="1"/>
  <c r="AD37" i="5" s="1"/>
  <c r="Y37" i="5"/>
  <c r="Z37" i="5" s="1"/>
  <c r="P38" i="5"/>
  <c r="S36" i="5"/>
  <c r="Q38" i="5"/>
  <c r="X38" i="5"/>
  <c r="R37" i="5"/>
  <c r="AB38" i="5"/>
  <c r="T36" i="5" l="1"/>
  <c r="U36" i="5" s="1"/>
  <c r="Y38" i="5"/>
  <c r="Z38" i="5" s="1"/>
  <c r="AC38" i="5"/>
  <c r="AD38" i="5" s="1"/>
  <c r="P39" i="5"/>
  <c r="S37" i="5"/>
  <c r="Q39" i="5"/>
  <c r="R38" i="5"/>
  <c r="R39" i="5"/>
  <c r="AB39" i="5"/>
  <c r="X39" i="5"/>
  <c r="T37" i="5" l="1"/>
  <c r="U37" i="5" s="1"/>
  <c r="AC39" i="5"/>
  <c r="AD39" i="5" s="1"/>
  <c r="Y39" i="5"/>
  <c r="Z39" i="5" s="1"/>
  <c r="P40" i="5"/>
  <c r="S38" i="5"/>
  <c r="Q40" i="5"/>
  <c r="R40" i="5"/>
  <c r="X40" i="5"/>
  <c r="AB40" i="5"/>
  <c r="S39" i="5"/>
  <c r="T38" i="5" l="1"/>
  <c r="U38" i="5" s="1"/>
  <c r="T39" i="5"/>
  <c r="Y40" i="5"/>
  <c r="Z40" i="5" s="1"/>
  <c r="AC40" i="5"/>
  <c r="AD40" i="5" s="1"/>
  <c r="P41" i="5"/>
  <c r="Q41" i="5"/>
  <c r="X41" i="5"/>
  <c r="AB41" i="5"/>
  <c r="S40" i="5"/>
  <c r="U39" i="5" l="1"/>
  <c r="Y41" i="5"/>
  <c r="Z41" i="5" s="1"/>
  <c r="AC41" i="5"/>
  <c r="AD41" i="5" s="1"/>
  <c r="T40" i="5"/>
  <c r="U40" i="5" s="1"/>
  <c r="P42" i="5"/>
  <c r="R41" i="5"/>
  <c r="AB42" i="5"/>
  <c r="Q42" i="5"/>
  <c r="X42" i="5"/>
  <c r="Y42" i="5" l="1"/>
  <c r="Z42" i="5" s="1"/>
  <c r="AC42" i="5"/>
  <c r="AD42" i="5" s="1"/>
  <c r="P43" i="5"/>
  <c r="R42" i="5"/>
  <c r="S41" i="5"/>
  <c r="X43" i="5"/>
  <c r="AB43" i="5"/>
  <c r="Q43" i="5"/>
  <c r="R43" i="5" s="1"/>
  <c r="T41" i="5" l="1"/>
  <c r="U41" i="5" s="1"/>
  <c r="Y43" i="5"/>
  <c r="Z43" i="5" s="1"/>
  <c r="AC43" i="5"/>
  <c r="AD43" i="5" s="1"/>
  <c r="P44" i="5"/>
  <c r="S43" i="5"/>
  <c r="S42" i="5"/>
  <c r="X44" i="5"/>
  <c r="AB44" i="5"/>
  <c r="Q44" i="5"/>
  <c r="T42" i="5" l="1"/>
  <c r="U42" i="5" s="1"/>
  <c r="T43" i="5"/>
  <c r="Y44" i="5"/>
  <c r="Z44" i="5" s="1"/>
  <c r="AC44" i="5"/>
  <c r="AD44" i="5" s="1"/>
  <c r="P45" i="5"/>
  <c r="AB45" i="5"/>
  <c r="Q45" i="5"/>
  <c r="X45" i="5"/>
  <c r="R44" i="5"/>
  <c r="U43" i="5" l="1"/>
  <c r="AC45" i="5"/>
  <c r="AD45" i="5" s="1"/>
  <c r="Y45" i="5"/>
  <c r="Z45" i="5" s="1"/>
  <c r="P46" i="5"/>
  <c r="R45" i="5"/>
  <c r="Q46" i="5"/>
  <c r="S44" i="5"/>
  <c r="X46" i="5"/>
  <c r="AB46" i="5"/>
  <c r="T44" i="5" l="1"/>
  <c r="U44" i="5" s="1"/>
  <c r="AC46" i="5"/>
  <c r="AD46" i="5" s="1"/>
  <c r="Y46" i="5"/>
  <c r="Z46" i="5" s="1"/>
  <c r="P47" i="5"/>
  <c r="S45" i="5"/>
  <c r="X47" i="5"/>
  <c r="AB47" i="5"/>
  <c r="R46" i="5"/>
  <c r="Q47" i="5"/>
  <c r="T45" i="5" l="1"/>
  <c r="U45" i="5" s="1"/>
  <c r="Y47" i="5"/>
  <c r="Z47" i="5" s="1"/>
  <c r="AC47" i="5"/>
  <c r="AD47" i="5" s="1"/>
  <c r="P48" i="5"/>
  <c r="S46" i="5"/>
  <c r="X48" i="5"/>
  <c r="AB48" i="5"/>
  <c r="Q48" i="5"/>
  <c r="R47" i="5"/>
  <c r="T46" i="5" l="1"/>
  <c r="U46" i="5" s="1"/>
  <c r="Y48" i="5"/>
  <c r="Z48" i="5" s="1"/>
  <c r="AC48" i="5"/>
  <c r="AD48" i="5" s="1"/>
  <c r="P49" i="5"/>
  <c r="R48" i="5"/>
  <c r="Q49" i="5"/>
  <c r="R49" i="5"/>
  <c r="X49" i="5"/>
  <c r="AB49" i="5"/>
  <c r="S47" i="5"/>
  <c r="T47" i="5" l="1"/>
  <c r="U47" i="5" s="1"/>
  <c r="Y49" i="5"/>
  <c r="Z49" i="5" s="1"/>
  <c r="AC49" i="5"/>
  <c r="AD49" i="5" s="1"/>
  <c r="P50" i="5"/>
  <c r="S48" i="5"/>
  <c r="AB50" i="5"/>
  <c r="X50" i="5"/>
  <c r="S49" i="5"/>
  <c r="Q50" i="5"/>
  <c r="T48" i="5" l="1"/>
  <c r="U48" i="5" s="1"/>
  <c r="Y50" i="5"/>
  <c r="Z50" i="5" s="1"/>
  <c r="AC50" i="5"/>
  <c r="AD50" i="5" s="1"/>
  <c r="T49" i="5"/>
  <c r="U49" i="5" s="1"/>
  <c r="P51" i="5"/>
  <c r="R50" i="5"/>
  <c r="X51" i="5"/>
  <c r="AB51" i="5"/>
  <c r="Q51" i="5"/>
  <c r="Y51" i="5" l="1"/>
  <c r="Z51" i="5" s="1"/>
  <c r="AC51" i="5"/>
  <c r="AD51" i="5" s="1"/>
  <c r="P52" i="5"/>
  <c r="AB52" i="5"/>
  <c r="R51" i="5"/>
  <c r="X52" i="5"/>
  <c r="Q52" i="5"/>
  <c r="S50" i="5"/>
  <c r="T50" i="5" l="1"/>
  <c r="U50" i="5" s="1"/>
  <c r="Y52" i="5"/>
  <c r="Z52" i="5" s="1"/>
  <c r="AC52" i="5"/>
  <c r="AD52" i="5" s="1"/>
  <c r="P53" i="5"/>
  <c r="R52" i="5"/>
  <c r="Q53" i="5"/>
  <c r="S51" i="5"/>
  <c r="AB53" i="5"/>
  <c r="X53" i="5"/>
  <c r="R53" i="5"/>
  <c r="T51" i="5" l="1"/>
  <c r="U51" i="5" s="1"/>
  <c r="Y53" i="5"/>
  <c r="Z53" i="5" s="1"/>
  <c r="AC53" i="5"/>
  <c r="AD53" i="5" s="1"/>
  <c r="P54" i="5"/>
  <c r="S53" i="5"/>
  <c r="Q54" i="5"/>
  <c r="S52" i="5"/>
  <c r="X54" i="5"/>
  <c r="AB54" i="5"/>
  <c r="T52" i="5" l="1"/>
  <c r="U52" i="5" s="1"/>
  <c r="Y54" i="5"/>
  <c r="Z54" i="5" s="1"/>
  <c r="AC54" i="5"/>
  <c r="AD54" i="5" s="1"/>
  <c r="T53" i="5"/>
  <c r="U53" i="5" s="1"/>
  <c r="P55" i="5"/>
  <c r="Q55" i="5"/>
  <c r="R54" i="5"/>
  <c r="AB55" i="5"/>
  <c r="R55" i="5"/>
  <c r="X55" i="5"/>
  <c r="Y55" i="5" l="1"/>
  <c r="Z55" i="5" s="1"/>
  <c r="AC55" i="5"/>
  <c r="AD55" i="5" s="1"/>
  <c r="P56" i="5"/>
  <c r="S54" i="5"/>
  <c r="AB56" i="5"/>
  <c r="S55" i="5"/>
  <c r="X56" i="5"/>
  <c r="Q56" i="5"/>
  <c r="R56" i="5" s="1"/>
  <c r="T54" i="5" l="1"/>
  <c r="U54" i="5" s="1"/>
  <c r="T55" i="5"/>
  <c r="Y56" i="5"/>
  <c r="Z56" i="5" s="1"/>
  <c r="AC56" i="5"/>
  <c r="AD56" i="5" s="1"/>
  <c r="P57" i="5"/>
  <c r="AB57" i="5"/>
  <c r="S56" i="5"/>
  <c r="X57" i="5"/>
  <c r="Q57" i="5"/>
  <c r="U55" i="5" l="1"/>
  <c r="Y57" i="5"/>
  <c r="Z57" i="5" s="1"/>
  <c r="AC57" i="5"/>
  <c r="AD57" i="5" s="1"/>
  <c r="T56" i="5"/>
  <c r="U56" i="5" s="1"/>
  <c r="P58" i="5"/>
  <c r="Q58" i="5"/>
  <c r="X58" i="5"/>
  <c r="R57" i="5"/>
  <c r="AB58" i="5"/>
  <c r="Y58" i="5" l="1"/>
  <c r="Z58" i="5" s="1"/>
  <c r="AC58" i="5"/>
  <c r="AD58" i="5" s="1"/>
  <c r="P59" i="5"/>
  <c r="S57" i="5"/>
  <c r="X59" i="5"/>
  <c r="AB59" i="5"/>
  <c r="Q59" i="5"/>
  <c r="R58" i="5"/>
  <c r="T57" i="5" l="1"/>
  <c r="U57" i="5" s="1"/>
  <c r="Y59" i="5"/>
  <c r="Z59" i="5" s="1"/>
  <c r="AC59" i="5"/>
  <c r="AD59" i="5" s="1"/>
  <c r="P60" i="5"/>
  <c r="AB60" i="5"/>
  <c r="S58" i="5"/>
  <c r="X60" i="5"/>
  <c r="R59" i="5"/>
  <c r="Q60" i="5"/>
  <c r="T58" i="5" l="1"/>
  <c r="U58" i="5" s="1"/>
  <c r="Y60" i="5"/>
  <c r="Z60" i="5" s="1"/>
  <c r="AC60" i="5"/>
  <c r="AD60" i="5" s="1"/>
  <c r="P61" i="5"/>
  <c r="AB61" i="5"/>
  <c r="R60" i="5"/>
  <c r="X61" i="5"/>
  <c r="S59" i="5"/>
  <c r="Q61" i="5"/>
  <c r="R61" i="5" s="1"/>
  <c r="T59" i="5" l="1"/>
  <c r="U59" i="5" s="1"/>
  <c r="Y61" i="5"/>
  <c r="Z61" i="5" s="1"/>
  <c r="AC61" i="5"/>
  <c r="AD61" i="5" s="1"/>
  <c r="P62" i="5"/>
  <c r="S60" i="5"/>
  <c r="Q62" i="5"/>
  <c r="AB62" i="5"/>
  <c r="S61" i="5"/>
  <c r="X62" i="5"/>
  <c r="T60" i="5" l="1"/>
  <c r="U60" i="5" s="1"/>
  <c r="Y62" i="5"/>
  <c r="Z62" i="5" s="1"/>
  <c r="AC62" i="5"/>
  <c r="AD62" i="5" s="1"/>
  <c r="T61" i="5"/>
  <c r="P63" i="5"/>
  <c r="R62" i="5"/>
  <c r="AB63" i="5"/>
  <c r="Q63" i="5"/>
  <c r="X63" i="5"/>
  <c r="U61" i="5" l="1"/>
  <c r="AC63" i="5"/>
  <c r="AD63" i="5" s="1"/>
  <c r="Y63" i="5"/>
  <c r="Z63" i="5" s="1"/>
  <c r="P64" i="5"/>
  <c r="R63" i="5"/>
  <c r="AB64" i="5"/>
  <c r="X64" i="5"/>
  <c r="S62" i="5"/>
  <c r="Q64" i="5"/>
  <c r="T62" i="5" l="1"/>
  <c r="U62" i="5" s="1"/>
  <c r="Y64" i="5"/>
  <c r="Z64" i="5" s="1"/>
  <c r="AC64" i="5"/>
  <c r="AD64" i="5" s="1"/>
  <c r="P65" i="5"/>
  <c r="R64" i="5"/>
  <c r="S63" i="5"/>
  <c r="X65" i="5"/>
  <c r="AB65" i="5"/>
  <c r="Q65" i="5"/>
  <c r="T63" i="5" l="1"/>
  <c r="U63" i="5" s="1"/>
  <c r="Y65" i="5"/>
  <c r="Z65" i="5" s="1"/>
  <c r="AC65" i="5"/>
  <c r="AD65" i="5" s="1"/>
  <c r="P66" i="5"/>
  <c r="R65" i="5"/>
  <c r="Q66" i="5"/>
  <c r="S64" i="5"/>
  <c r="X66" i="5"/>
  <c r="AB66" i="5"/>
  <c r="T64" i="5" l="1"/>
  <c r="U64" i="5" s="1"/>
  <c r="AC66" i="5"/>
  <c r="AD66" i="5" s="1"/>
  <c r="Y66" i="5"/>
  <c r="Z66" i="5" s="1"/>
  <c r="P67" i="5"/>
  <c r="Q67" i="5"/>
  <c r="R66" i="5"/>
  <c r="X67" i="5"/>
  <c r="AB67" i="5"/>
  <c r="S65" i="5"/>
  <c r="T65" i="5" l="1"/>
  <c r="U65" i="5" s="1"/>
  <c r="AC67" i="5"/>
  <c r="AD67" i="5" s="1"/>
  <c r="Y67" i="5"/>
  <c r="Z67" i="5" s="1"/>
  <c r="P68" i="5"/>
  <c r="X68" i="5"/>
  <c r="S66" i="5"/>
  <c r="R67" i="5"/>
  <c r="AB68" i="5"/>
  <c r="Q68" i="5"/>
  <c r="T66" i="5" l="1"/>
  <c r="U66" i="5" s="1"/>
  <c r="AC68" i="5"/>
  <c r="AD68" i="5" s="1"/>
  <c r="Y68" i="5"/>
  <c r="Z68" i="5" s="1"/>
  <c r="P69" i="5"/>
  <c r="R68" i="5"/>
  <c r="Q69" i="5"/>
  <c r="S67" i="5"/>
  <c r="AB69" i="5"/>
  <c r="X69" i="5"/>
  <c r="T67" i="5" l="1"/>
  <c r="U67" i="5" s="1"/>
  <c r="Y69" i="5"/>
  <c r="Z69" i="5" s="1"/>
  <c r="AC69" i="5"/>
  <c r="AD69" i="5" s="1"/>
  <c r="P70" i="5"/>
  <c r="X70" i="5"/>
  <c r="AB70" i="5"/>
  <c r="R69" i="5"/>
  <c r="Q70" i="5"/>
  <c r="S68" i="5"/>
  <c r="T68" i="5" l="1"/>
  <c r="U68" i="5" s="1"/>
  <c r="Y70" i="5"/>
  <c r="Z70" i="5" s="1"/>
  <c r="AC70" i="5"/>
  <c r="AD70" i="5" s="1"/>
  <c r="P71" i="5"/>
  <c r="AB71" i="5"/>
  <c r="S69" i="5"/>
  <c r="R70" i="5"/>
  <c r="Q71" i="5"/>
  <c r="X71" i="5"/>
  <c r="T69" i="5" l="1"/>
  <c r="U69" i="5" s="1"/>
  <c r="Y71" i="5"/>
  <c r="Z71" i="5" s="1"/>
  <c r="AC71" i="5"/>
  <c r="AD71" i="5" s="1"/>
  <c r="P72" i="5"/>
  <c r="S70" i="5"/>
  <c r="Q72" i="5"/>
  <c r="X72" i="5"/>
  <c r="R71" i="5"/>
  <c r="AB72" i="5"/>
  <c r="R72" i="5"/>
  <c r="T70" i="5" l="1"/>
  <c r="U70" i="5" s="1"/>
  <c r="AC72" i="5"/>
  <c r="AD72" i="5" s="1"/>
  <c r="Y72" i="5"/>
  <c r="Z72" i="5" s="1"/>
  <c r="P73" i="5"/>
  <c r="S72" i="5"/>
  <c r="S71" i="5"/>
  <c r="AB73" i="5"/>
  <c r="X73" i="5"/>
  <c r="Q73" i="5"/>
  <c r="T71" i="5" l="1"/>
  <c r="U71" i="5" s="1"/>
  <c r="AC73" i="5"/>
  <c r="AD73" i="5" s="1"/>
  <c r="Y73" i="5"/>
  <c r="Z73" i="5" s="1"/>
  <c r="T72" i="5"/>
  <c r="U72" i="5" s="1"/>
  <c r="P74" i="5"/>
  <c r="X74" i="5"/>
  <c r="AB74" i="5"/>
  <c r="R73" i="5"/>
  <c r="Q74" i="5"/>
  <c r="Y74" i="5" l="1"/>
  <c r="Z74" i="5" s="1"/>
  <c r="AC74" i="5"/>
  <c r="AD74" i="5" s="1"/>
  <c r="P75" i="5"/>
  <c r="S73" i="5"/>
  <c r="Q75" i="5"/>
  <c r="X75" i="5"/>
  <c r="R74" i="5"/>
  <c r="AB75" i="5"/>
  <c r="T73" i="5" l="1"/>
  <c r="U73" i="5" s="1"/>
  <c r="Y75" i="5"/>
  <c r="Z75" i="5" s="1"/>
  <c r="AC75" i="5"/>
  <c r="AD75" i="5" s="1"/>
  <c r="P76" i="5"/>
  <c r="R75" i="5"/>
  <c r="X76" i="5"/>
  <c r="S74" i="5"/>
  <c r="AB76" i="5"/>
  <c r="Q76" i="5"/>
  <c r="T74" i="5" l="1"/>
  <c r="U74" i="5" s="1"/>
  <c r="AC76" i="5"/>
  <c r="AD76" i="5" s="1"/>
  <c r="Y76" i="5"/>
  <c r="Z76" i="5" s="1"/>
  <c r="P77" i="5"/>
  <c r="R76" i="5"/>
  <c r="AB77" i="5"/>
  <c r="S75" i="5"/>
  <c r="Q77" i="5"/>
  <c r="X77" i="5"/>
  <c r="T75" i="5" l="1"/>
  <c r="U75" i="5" s="1"/>
  <c r="Y77" i="5"/>
  <c r="Z77" i="5" s="1"/>
  <c r="AC77" i="5"/>
  <c r="AD77" i="5" s="1"/>
  <c r="P78" i="5"/>
  <c r="Q78" i="5"/>
  <c r="S76" i="5"/>
  <c r="AB78" i="5"/>
  <c r="X78" i="5"/>
  <c r="R77" i="5"/>
  <c r="R78" i="5"/>
  <c r="T76" i="5" l="1"/>
  <c r="U76" i="5" s="1"/>
  <c r="Y78" i="5"/>
  <c r="Z78" i="5" s="1"/>
  <c r="AC78" i="5"/>
  <c r="AD78" i="5" s="1"/>
  <c r="P79" i="5"/>
  <c r="AB79" i="5"/>
  <c r="S77" i="5"/>
  <c r="S78" i="5"/>
  <c r="X79" i="5"/>
  <c r="Q79" i="5"/>
  <c r="R79" i="5" s="1"/>
  <c r="T77" i="5" l="1"/>
  <c r="U77" i="5" s="1"/>
  <c r="T78" i="5"/>
  <c r="U78" i="5" s="1"/>
  <c r="Y79" i="5"/>
  <c r="Z79" i="5" s="1"/>
  <c r="AC79" i="5"/>
  <c r="AD79" i="5" s="1"/>
  <c r="P80" i="5"/>
  <c r="Q80" i="5"/>
  <c r="X80" i="5"/>
  <c r="S79" i="5"/>
  <c r="AB80" i="5"/>
  <c r="AC80" i="5" l="1"/>
  <c r="AD80" i="5" s="1"/>
  <c r="Y80" i="5"/>
  <c r="Z80" i="5" s="1"/>
  <c r="T79" i="5"/>
  <c r="U79" i="5" s="1"/>
  <c r="P81" i="5"/>
  <c r="X81" i="5"/>
  <c r="R80" i="5"/>
  <c r="AB81" i="5"/>
  <c r="Q81" i="5"/>
  <c r="AC81" i="5" l="1"/>
  <c r="AD81" i="5" s="1"/>
  <c r="Y81" i="5"/>
  <c r="Z81" i="5" s="1"/>
  <c r="P82" i="5"/>
  <c r="R81" i="5"/>
  <c r="S80" i="5"/>
  <c r="AB82" i="5"/>
  <c r="Q82" i="5"/>
  <c r="X82" i="5"/>
  <c r="T80" i="5" l="1"/>
  <c r="U80" i="5" s="1"/>
  <c r="Y82" i="5"/>
  <c r="Z82" i="5" s="1"/>
  <c r="AC82" i="5"/>
  <c r="AD82" i="5" s="1"/>
  <c r="P83" i="5"/>
  <c r="S81" i="5"/>
  <c r="X83" i="5"/>
  <c r="Q83" i="5"/>
  <c r="R83" i="5" s="1"/>
  <c r="R82" i="5"/>
  <c r="AB83" i="5"/>
  <c r="T81" i="5" l="1"/>
  <c r="U81" i="5" s="1"/>
  <c r="Y83" i="5"/>
  <c r="Z83" i="5" s="1"/>
  <c r="AC83" i="5"/>
  <c r="AD83" i="5" s="1"/>
  <c r="P84" i="5"/>
  <c r="S82" i="5"/>
  <c r="S83" i="5"/>
  <c r="AB84" i="5"/>
  <c r="Q84" i="5"/>
  <c r="R84" i="5" s="1"/>
  <c r="X84" i="5"/>
  <c r="T82" i="5" l="1"/>
  <c r="U82" i="5" s="1"/>
  <c r="T83" i="5"/>
  <c r="Y84" i="5"/>
  <c r="Z84" i="5" s="1"/>
  <c r="AC84" i="5"/>
  <c r="AD84" i="5" s="1"/>
  <c r="P85" i="5"/>
  <c r="S84" i="5"/>
  <c r="X85" i="5"/>
  <c r="Q85" i="5"/>
  <c r="AB85" i="5"/>
  <c r="U83" i="5" l="1"/>
  <c r="Y85" i="5"/>
  <c r="Z85" i="5" s="1"/>
  <c r="AC85" i="5"/>
  <c r="AD85" i="5" s="1"/>
  <c r="T84" i="5"/>
  <c r="U84" i="5" s="1"/>
  <c r="P86" i="5"/>
  <c r="R85" i="5"/>
  <c r="AB86" i="5"/>
  <c r="X86" i="5"/>
  <c r="Q86" i="5"/>
  <c r="R86" i="5" s="1"/>
  <c r="Y86" i="5" l="1"/>
  <c r="Z86" i="5" s="1"/>
  <c r="AC86" i="5"/>
  <c r="AD86" i="5" s="1"/>
  <c r="P87" i="5"/>
  <c r="S85" i="5"/>
  <c r="Q87" i="5"/>
  <c r="X87" i="5"/>
  <c r="S86" i="5"/>
  <c r="AB87" i="5"/>
  <c r="T85" i="5" l="1"/>
  <c r="U85" i="5" s="1"/>
  <c r="T86" i="5"/>
  <c r="U86" i="5" s="1"/>
  <c r="Y87" i="5"/>
  <c r="Z87" i="5" s="1"/>
  <c r="AC87" i="5"/>
  <c r="AD87" i="5" s="1"/>
  <c r="P88" i="5"/>
  <c r="R87" i="5"/>
  <c r="X88" i="5"/>
  <c r="AB88" i="5"/>
  <c r="Q88" i="5"/>
  <c r="AC88" i="5" l="1"/>
  <c r="AD88" i="5" s="1"/>
  <c r="Y88" i="5"/>
  <c r="Z88" i="5" s="1"/>
  <c r="P89" i="5"/>
  <c r="R88" i="5"/>
  <c r="S88" i="5" s="1"/>
  <c r="X89" i="5"/>
  <c r="AB89" i="5"/>
  <c r="S87" i="5"/>
  <c r="T87" i="5" s="1"/>
  <c r="U87" i="5" s="1"/>
  <c r="Q89" i="5"/>
  <c r="R89" i="5" s="1"/>
  <c r="T88" i="5" l="1"/>
  <c r="U88" i="5" s="1"/>
  <c r="Y89" i="5"/>
  <c r="Z89" i="5" s="1"/>
  <c r="AC89" i="5"/>
  <c r="AD89" i="5" s="1"/>
  <c r="P90" i="5"/>
  <c r="Q90" i="5"/>
  <c r="R90" i="5"/>
  <c r="AB90" i="5"/>
  <c r="S89" i="5"/>
  <c r="X90" i="5"/>
  <c r="Y90" i="5" l="1"/>
  <c r="Z90" i="5" s="1"/>
  <c r="AC90" i="5"/>
  <c r="AD90" i="5" s="1"/>
  <c r="T89" i="5"/>
  <c r="U89" i="5"/>
  <c r="P91" i="5"/>
  <c r="Q91" i="5"/>
  <c r="R91" i="5"/>
  <c r="AB91" i="5"/>
  <c r="S90" i="5"/>
  <c r="X91" i="5"/>
  <c r="Y91" i="5" l="1"/>
  <c r="Z91" i="5" s="1"/>
  <c r="AC91" i="5"/>
  <c r="AD91" i="5" s="1"/>
  <c r="T90" i="5"/>
  <c r="U90" i="5" s="1"/>
  <c r="P92" i="5"/>
  <c r="X92" i="5"/>
  <c r="S91" i="5"/>
  <c r="AB92" i="5"/>
  <c r="Q92" i="5"/>
  <c r="R92" i="5" s="1"/>
  <c r="Y92" i="5" l="1"/>
  <c r="Z92" i="5" s="1"/>
  <c r="AC92" i="5"/>
  <c r="AD92" i="5" s="1"/>
  <c r="T91" i="5"/>
  <c r="U91" i="5" s="1"/>
  <c r="P93" i="5"/>
  <c r="Q93" i="5"/>
  <c r="R93" i="5" s="1"/>
  <c r="AB93" i="5"/>
  <c r="S92" i="5"/>
  <c r="X93" i="5"/>
  <c r="Y93" i="5" l="1"/>
  <c r="Z93" i="5" s="1"/>
  <c r="AC93" i="5"/>
  <c r="AD93" i="5" s="1"/>
  <c r="T92" i="5"/>
  <c r="U92" i="5" s="1"/>
  <c r="P94" i="5"/>
  <c r="AB94" i="5"/>
  <c r="Q94" i="5"/>
  <c r="R94" i="5" s="1"/>
  <c r="S93" i="5"/>
  <c r="X94" i="5"/>
  <c r="Y94" i="5" l="1"/>
  <c r="Z94" i="5" s="1"/>
  <c r="AC94" i="5"/>
  <c r="AD94" i="5" s="1"/>
  <c r="T93" i="5"/>
  <c r="U93" i="5" s="1"/>
  <c r="P95" i="5"/>
  <c r="S94" i="5"/>
  <c r="X95" i="5"/>
  <c r="AB95" i="5"/>
  <c r="Q95" i="5"/>
  <c r="R95" i="5" s="1"/>
  <c r="T94" i="5" l="1"/>
  <c r="U94" i="5" s="1"/>
  <c r="Y95" i="5"/>
  <c r="Z95" i="5" s="1"/>
  <c r="AC95" i="5"/>
  <c r="AD95" i="5" s="1"/>
  <c r="P96" i="5"/>
  <c r="Q96" i="5"/>
  <c r="S95" i="5"/>
  <c r="X96" i="5"/>
  <c r="AB96" i="5"/>
  <c r="R96" i="5"/>
  <c r="AC96" i="5" l="1"/>
  <c r="AD96" i="5" s="1"/>
  <c r="Y96" i="5"/>
  <c r="Z96" i="5" s="1"/>
  <c r="T95" i="5"/>
  <c r="U95" i="5" s="1"/>
  <c r="P97" i="5"/>
  <c r="Q97" i="5"/>
  <c r="AB97" i="5"/>
  <c r="X97" i="5"/>
  <c r="R97" i="5"/>
  <c r="S96" i="5"/>
  <c r="T96" i="5" l="1"/>
  <c r="U96" i="5" s="1"/>
  <c r="Y97" i="5"/>
  <c r="Z97" i="5" s="1"/>
  <c r="AC97" i="5"/>
  <c r="AD97" i="5" s="1"/>
  <c r="P98" i="5"/>
  <c r="Q98" i="5"/>
  <c r="S97" i="5"/>
  <c r="X98" i="5"/>
  <c r="AB98" i="5"/>
  <c r="R98" i="5"/>
  <c r="AC98" i="5" l="1"/>
  <c r="AD98" i="5" s="1"/>
  <c r="Y98" i="5"/>
  <c r="Z98" i="5" s="1"/>
  <c r="T97" i="5"/>
  <c r="U97" i="5" s="1"/>
  <c r="P99" i="5"/>
  <c r="X99" i="5"/>
  <c r="S98" i="5"/>
  <c r="AB99" i="5"/>
  <c r="Q99" i="5"/>
  <c r="R99" i="5" s="1"/>
  <c r="Y99" i="5" l="1"/>
  <c r="Z99" i="5" s="1"/>
  <c r="AC99" i="5"/>
  <c r="AD99" i="5" s="1"/>
  <c r="T98" i="5"/>
  <c r="U98" i="5" s="1"/>
  <c r="P100" i="5"/>
  <c r="X100" i="5"/>
  <c r="S99" i="5"/>
  <c r="AB100" i="5"/>
  <c r="Q100" i="5"/>
  <c r="R100" i="5" s="1"/>
  <c r="Y100" i="5" l="1"/>
  <c r="Z100" i="5" s="1"/>
  <c r="AC100" i="5"/>
  <c r="AD100" i="5" s="1"/>
  <c r="T99" i="5"/>
  <c r="U99" i="5" s="1"/>
  <c r="P101" i="5"/>
  <c r="Q101" i="5"/>
  <c r="R101" i="5" s="1"/>
  <c r="AB101" i="5"/>
  <c r="S100" i="5"/>
  <c r="X101" i="5"/>
  <c r="Y101" i="5" l="1"/>
  <c r="Z101" i="5" s="1"/>
  <c r="AC101" i="5"/>
  <c r="AD101" i="5" s="1"/>
  <c r="T100" i="5"/>
  <c r="U100" i="5" s="1"/>
  <c r="P102" i="5"/>
  <c r="AB102" i="5"/>
  <c r="X102" i="5"/>
  <c r="S101" i="5"/>
  <c r="Q102" i="5"/>
  <c r="R102" i="5" s="1"/>
  <c r="Y102" i="5" l="1"/>
  <c r="Z102" i="5" s="1"/>
  <c r="AC102" i="5"/>
  <c r="AD102" i="5" s="1"/>
  <c r="T101" i="5"/>
  <c r="U101" i="5" s="1"/>
  <c r="P103" i="5"/>
  <c r="X103" i="5"/>
  <c r="S102" i="5"/>
  <c r="AB103" i="5"/>
  <c r="Q103" i="5"/>
  <c r="R103" i="5" s="1"/>
  <c r="Y103" i="5" l="1"/>
  <c r="Z103" i="5" s="1"/>
  <c r="AC103" i="5"/>
  <c r="AD103" i="5" s="1"/>
  <c r="T102" i="5"/>
  <c r="U102" i="5" s="1"/>
  <c r="P104" i="5"/>
  <c r="X104" i="5"/>
  <c r="S103" i="5"/>
  <c r="AB104" i="5"/>
  <c r="Q104" i="5"/>
  <c r="R104" i="5" s="1"/>
  <c r="T103" i="5" l="1"/>
  <c r="U103" i="5" s="1"/>
  <c r="Y104" i="5"/>
  <c r="Z104" i="5" s="1"/>
  <c r="AC104" i="5"/>
  <c r="AD104" i="5" s="1"/>
  <c r="P105" i="5"/>
  <c r="S104" i="5"/>
  <c r="X105" i="5"/>
  <c r="Q105" i="5"/>
  <c r="AB105" i="5"/>
  <c r="R105" i="5"/>
  <c r="T104" i="5" l="1"/>
  <c r="U104" i="5" s="1"/>
  <c r="Y105" i="5"/>
  <c r="Z105" i="5" s="1"/>
  <c r="AC105" i="5"/>
  <c r="AD105" i="5" s="1"/>
  <c r="P106" i="5"/>
  <c r="X106" i="5"/>
  <c r="S105" i="5"/>
  <c r="AB106" i="5"/>
  <c r="Q106" i="5"/>
  <c r="R106" i="5" s="1"/>
  <c r="Y106" i="5" l="1"/>
  <c r="Z106" i="5" s="1"/>
  <c r="AC106" i="5"/>
  <c r="AD106" i="5" s="1"/>
  <c r="T105" i="5"/>
  <c r="U105" i="5" s="1"/>
  <c r="P107" i="5"/>
  <c r="Q107" i="5"/>
  <c r="AB107" i="5"/>
  <c r="X107" i="5"/>
  <c r="R107" i="5"/>
  <c r="S106" i="5"/>
  <c r="T106" i="5" l="1"/>
  <c r="U106" i="5" s="1"/>
  <c r="Y107" i="5"/>
  <c r="Z107" i="5" s="1"/>
  <c r="AC107" i="5"/>
  <c r="AD107" i="5" s="1"/>
  <c r="P108" i="5"/>
  <c r="Q108" i="5"/>
  <c r="AB108" i="5"/>
  <c r="S107" i="5"/>
  <c r="R108" i="5"/>
  <c r="X108" i="5"/>
  <c r="T107" i="5" l="1"/>
  <c r="U107" i="5" s="1"/>
  <c r="Y108" i="5"/>
  <c r="Z108" i="5" s="1"/>
  <c r="AC108" i="5"/>
  <c r="AD108" i="5" s="1"/>
  <c r="P109" i="5"/>
  <c r="X109" i="5"/>
  <c r="S108" i="5"/>
  <c r="AB109" i="5"/>
  <c r="Q109" i="5"/>
  <c r="R109" i="5" s="1"/>
  <c r="Y109" i="5" l="1"/>
  <c r="Z109" i="5" s="1"/>
  <c r="AC109" i="5"/>
  <c r="AD109" i="5" s="1"/>
  <c r="T108" i="5"/>
  <c r="U108" i="5" s="1"/>
  <c r="P110" i="5"/>
  <c r="X110" i="5"/>
  <c r="S109" i="5"/>
  <c r="Q110" i="5"/>
  <c r="AB110" i="5"/>
  <c r="R110" i="5"/>
  <c r="Y110" i="5" l="1"/>
  <c r="Z110" i="5" s="1"/>
  <c r="AC110" i="5"/>
  <c r="AD110" i="5" s="1"/>
  <c r="T109" i="5"/>
  <c r="U109" i="5" s="1"/>
  <c r="P111" i="5"/>
  <c r="Q111" i="5"/>
  <c r="S110" i="5"/>
  <c r="R111" i="5"/>
  <c r="AB111" i="5"/>
  <c r="X111" i="5"/>
  <c r="AC111" i="5" l="1"/>
  <c r="AD111" i="5" s="1"/>
  <c r="Y111" i="5"/>
  <c r="Z111" i="5" s="1"/>
  <c r="T110" i="5"/>
  <c r="U110" i="5" s="1"/>
  <c r="P112" i="5"/>
  <c r="X112" i="5"/>
  <c r="AB112" i="5"/>
  <c r="Q112" i="5"/>
  <c r="S111" i="5"/>
  <c r="R112" i="5"/>
  <c r="T111" i="5" l="1"/>
  <c r="U111" i="5" s="1"/>
  <c r="Y112" i="5"/>
  <c r="Z112" i="5" s="1"/>
  <c r="AC112" i="5"/>
  <c r="AD112" i="5" s="1"/>
  <c r="P113" i="5"/>
  <c r="S112" i="5"/>
  <c r="X113" i="5"/>
  <c r="AB113" i="5"/>
  <c r="Q113" i="5"/>
  <c r="R113" i="5" s="1"/>
  <c r="Y113" i="5" l="1"/>
  <c r="Z113" i="5" s="1"/>
  <c r="AC113" i="5"/>
  <c r="AD113" i="5" s="1"/>
  <c r="T112" i="5"/>
  <c r="U112" i="5" s="1"/>
  <c r="P114" i="5"/>
  <c r="S113" i="5"/>
  <c r="AB114" i="5"/>
  <c r="Q114" i="5"/>
  <c r="R114" i="5"/>
  <c r="X114" i="5"/>
  <c r="T113" i="5" l="1"/>
  <c r="U113" i="5" s="1"/>
  <c r="AC114" i="5"/>
  <c r="AD114" i="5" s="1"/>
  <c r="Y114" i="5"/>
  <c r="Z114" i="5" s="1"/>
  <c r="P115" i="5"/>
  <c r="S114" i="5"/>
  <c r="X115" i="5"/>
  <c r="Q115" i="5"/>
  <c r="R115" i="5" s="1"/>
  <c r="AB115" i="5"/>
  <c r="Y115" i="5" l="1"/>
  <c r="Z115" i="5" s="1"/>
  <c r="AC115" i="5"/>
  <c r="AD115" i="5" s="1"/>
  <c r="T114" i="5"/>
  <c r="U114" i="5" s="1"/>
  <c r="P116" i="5"/>
  <c r="X116" i="5"/>
  <c r="S115" i="5"/>
  <c r="Q116" i="5"/>
  <c r="R116" i="5" s="1"/>
  <c r="AB116" i="5"/>
  <c r="Y116" i="5" l="1"/>
  <c r="Z116" i="5" s="1"/>
  <c r="AC116" i="5"/>
  <c r="AD116" i="5" s="1"/>
  <c r="T115" i="5"/>
  <c r="U115" i="5" s="1"/>
  <c r="P117" i="5"/>
  <c r="S116" i="5"/>
  <c r="Q117" i="5"/>
  <c r="X117" i="5"/>
  <c r="AB117" i="5"/>
  <c r="R117" i="5"/>
  <c r="T116" i="5" l="1"/>
  <c r="U116" i="5" s="1"/>
  <c r="Y117" i="5"/>
  <c r="Z117" i="5" s="1"/>
  <c r="AC117" i="5"/>
  <c r="AD117" i="5" s="1"/>
  <c r="P118" i="5"/>
  <c r="Q118" i="5"/>
  <c r="S117" i="5"/>
  <c r="R118" i="5"/>
  <c r="AB118" i="5"/>
  <c r="X118" i="5"/>
  <c r="AC118" i="5" l="1"/>
  <c r="AD118" i="5" s="1"/>
  <c r="Y118" i="5"/>
  <c r="Z118" i="5" s="1"/>
  <c r="T117" i="5"/>
  <c r="U117" i="5" s="1"/>
  <c r="P119" i="5"/>
  <c r="Q119" i="5"/>
  <c r="S118" i="5"/>
  <c r="R119" i="5"/>
  <c r="X119" i="5"/>
  <c r="AB119" i="5"/>
  <c r="Y119" i="5" l="1"/>
  <c r="Z119" i="5" s="1"/>
  <c r="AC119" i="5"/>
  <c r="AD119" i="5" s="1"/>
  <c r="T118" i="5"/>
  <c r="U118" i="5" s="1"/>
  <c r="P120" i="5"/>
  <c r="AB120" i="5"/>
  <c r="Q120" i="5"/>
  <c r="R120" i="5" s="1"/>
  <c r="X120" i="5"/>
  <c r="S119" i="5"/>
  <c r="T119" i="5" l="1"/>
  <c r="U119" i="5" s="1"/>
  <c r="Y120" i="5"/>
  <c r="Z120" i="5" s="1"/>
  <c r="AC120" i="5"/>
  <c r="AD120" i="5" s="1"/>
  <c r="P121" i="5"/>
  <c r="S120" i="5"/>
  <c r="X121" i="5"/>
  <c r="Q121" i="5"/>
  <c r="AB121" i="5"/>
  <c r="R121" i="5"/>
  <c r="Y121" i="5" l="1"/>
  <c r="Z121" i="5" s="1"/>
  <c r="AC121" i="5"/>
  <c r="AD121" i="5" s="1"/>
  <c r="T120" i="5"/>
  <c r="U120" i="5" s="1"/>
  <c r="P122" i="5"/>
  <c r="AB122" i="5"/>
  <c r="X122" i="5"/>
  <c r="Q122" i="5"/>
  <c r="R122" i="5"/>
  <c r="S121" i="5"/>
  <c r="T121" i="5" l="1"/>
  <c r="U121" i="5" s="1"/>
  <c r="Y122" i="5"/>
  <c r="Z122" i="5" s="1"/>
  <c r="AC122" i="5"/>
  <c r="AD122" i="5" s="1"/>
  <c r="P123" i="5"/>
  <c r="S122" i="5"/>
  <c r="Q123" i="5"/>
  <c r="AB123" i="5"/>
  <c r="X123" i="5"/>
  <c r="R123" i="5"/>
  <c r="Y123" i="5" l="1"/>
  <c r="Z123" i="5" s="1"/>
  <c r="AC123" i="5"/>
  <c r="AD123" i="5" s="1"/>
  <c r="T122" i="5"/>
  <c r="U122" i="5" s="1"/>
  <c r="P124" i="5"/>
  <c r="AB124" i="5"/>
  <c r="Q124" i="5"/>
  <c r="X124" i="5"/>
  <c r="R124" i="5"/>
  <c r="S123" i="5"/>
  <c r="T123" i="5" l="1"/>
  <c r="U123" i="5" s="1"/>
  <c r="Y124" i="5"/>
  <c r="Z124" i="5" s="1"/>
  <c r="AC124" i="5"/>
  <c r="AD124" i="5" s="1"/>
  <c r="P125" i="5"/>
  <c r="X125" i="5"/>
  <c r="S124" i="5"/>
  <c r="Q125" i="5"/>
  <c r="AB125" i="5"/>
  <c r="R125" i="5"/>
  <c r="Y125" i="5" l="1"/>
  <c r="Z125" i="5" s="1"/>
  <c r="AC125" i="5"/>
  <c r="AD125" i="5" s="1"/>
  <c r="T124" i="5"/>
  <c r="U124" i="5" s="1"/>
  <c r="P126" i="5"/>
  <c r="S125" i="5"/>
  <c r="X126" i="5"/>
  <c r="AB126" i="5"/>
  <c r="Q126" i="5"/>
  <c r="R126" i="5" s="1"/>
  <c r="Y126" i="5" l="1"/>
  <c r="Z126" i="5" s="1"/>
  <c r="AC126" i="5"/>
  <c r="AD126" i="5" s="1"/>
  <c r="T125" i="5"/>
  <c r="U125" i="5" s="1"/>
  <c r="P127" i="5"/>
  <c r="S126" i="5"/>
  <c r="X127" i="5"/>
  <c r="Q127" i="5"/>
  <c r="AB127" i="5"/>
  <c r="R127" i="5"/>
  <c r="T126" i="5" l="1"/>
  <c r="U126" i="5" s="1"/>
  <c r="Y127" i="5"/>
  <c r="Z127" i="5" s="1"/>
  <c r="AC127" i="5"/>
  <c r="AD127" i="5" s="1"/>
  <c r="P128" i="5"/>
  <c r="Q128" i="5"/>
  <c r="R128" i="5" s="1"/>
  <c r="S127" i="5"/>
  <c r="X128" i="5"/>
  <c r="AB128" i="5"/>
  <c r="Y128" i="5" l="1"/>
  <c r="Z128" i="5" s="1"/>
  <c r="AC128" i="5"/>
  <c r="AD128" i="5" s="1"/>
  <c r="T127" i="5"/>
  <c r="U127" i="5" s="1"/>
  <c r="P129" i="5"/>
  <c r="AB129" i="5"/>
  <c r="Q129" i="5"/>
  <c r="X129" i="5"/>
  <c r="R129" i="5"/>
  <c r="S128" i="5"/>
  <c r="T128" i="5" l="1"/>
  <c r="U128" i="5" s="1"/>
  <c r="Y129" i="5"/>
  <c r="Z129" i="5" s="1"/>
  <c r="AC129" i="5"/>
  <c r="AD129" i="5" s="1"/>
  <c r="P130" i="5"/>
  <c r="Q130" i="5"/>
  <c r="S129" i="5"/>
  <c r="R130" i="5"/>
  <c r="AB130" i="5"/>
  <c r="X130" i="5"/>
  <c r="AC130" i="5" l="1"/>
  <c r="AD130" i="5" s="1"/>
  <c r="Y130" i="5"/>
  <c r="Z130" i="5" s="1"/>
  <c r="T129" i="5"/>
  <c r="U129" i="5" s="1"/>
  <c r="P131" i="5"/>
  <c r="S130" i="5"/>
  <c r="AB131" i="5"/>
  <c r="Q131" i="5"/>
  <c r="R131" i="5" s="1"/>
  <c r="X131" i="5"/>
  <c r="T130" i="5" l="1"/>
  <c r="U130" i="5" s="1"/>
  <c r="Y131" i="5"/>
  <c r="Z131" i="5" s="1"/>
  <c r="AC131" i="5"/>
  <c r="AD131" i="5" s="1"/>
  <c r="P132" i="5"/>
  <c r="AB132" i="5"/>
  <c r="S131" i="5"/>
  <c r="X132" i="5"/>
  <c r="Q132" i="5"/>
  <c r="R132" i="5" s="1"/>
  <c r="Y132" i="5" l="1"/>
  <c r="Z132" i="5" s="1"/>
  <c r="AC132" i="5"/>
  <c r="AD132" i="5" s="1"/>
  <c r="T131" i="5"/>
  <c r="U131" i="5" s="1"/>
  <c r="P133" i="5"/>
  <c r="Q133" i="5"/>
  <c r="X133" i="5"/>
  <c r="R133" i="5"/>
  <c r="S132" i="5"/>
  <c r="AB133" i="5"/>
  <c r="Y133" i="5" l="1"/>
  <c r="Z133" i="5" s="1"/>
  <c r="AC133" i="5"/>
  <c r="AD133" i="5" s="1"/>
  <c r="T132" i="5"/>
  <c r="U132" i="5" s="1"/>
  <c r="P134" i="5"/>
  <c r="Q134" i="5"/>
  <c r="R134" i="5" s="1"/>
  <c r="S133" i="5"/>
  <c r="X134" i="5"/>
  <c r="AB134" i="5"/>
  <c r="Y134" i="5" l="1"/>
  <c r="Z134" i="5" s="1"/>
  <c r="AC134" i="5"/>
  <c r="AD134" i="5" s="1"/>
  <c r="T133" i="5"/>
  <c r="U133" i="5" s="1"/>
  <c r="P135" i="5"/>
  <c r="AB135" i="5"/>
  <c r="S134" i="5"/>
  <c r="Q135" i="5"/>
  <c r="R135" i="5" s="1"/>
  <c r="X135" i="5"/>
  <c r="T134" i="5" l="1"/>
  <c r="U134" i="5" s="1"/>
  <c r="Y135" i="5"/>
  <c r="Z135" i="5" s="1"/>
  <c r="AC135" i="5"/>
  <c r="AD135" i="5" s="1"/>
  <c r="P136" i="5"/>
  <c r="X136" i="5"/>
  <c r="Q136" i="5"/>
  <c r="R136" i="5" s="1"/>
  <c r="S135" i="5"/>
  <c r="AB136" i="5"/>
  <c r="Y136" i="5" l="1"/>
  <c r="Z136" i="5" s="1"/>
  <c r="AC136" i="5"/>
  <c r="AD136" i="5" s="1"/>
  <c r="T135" i="5"/>
  <c r="U135" i="5" s="1"/>
  <c r="P137" i="5"/>
  <c r="S136" i="5"/>
  <c r="Q137" i="5"/>
  <c r="R137" i="5" s="1"/>
  <c r="AB137" i="5"/>
  <c r="X137" i="5"/>
  <c r="T136" i="5" l="1"/>
  <c r="U136" i="5" s="1"/>
  <c r="Y137" i="5"/>
  <c r="Z137" i="5" s="1"/>
  <c r="AC137" i="5"/>
  <c r="AD137" i="5" s="1"/>
  <c r="P138" i="5"/>
  <c r="X138" i="5"/>
  <c r="S137" i="5"/>
  <c r="AB138" i="5"/>
  <c r="Q138" i="5"/>
  <c r="R138" i="5" s="1"/>
  <c r="Y138" i="5" l="1"/>
  <c r="Z138" i="5" s="1"/>
  <c r="AC138" i="5"/>
  <c r="AD138" i="5" s="1"/>
  <c r="T137" i="5"/>
  <c r="U137" i="5" s="1"/>
  <c r="P139" i="5"/>
  <c r="AB139" i="5"/>
  <c r="Q139" i="5"/>
  <c r="R139" i="5" s="1"/>
  <c r="S138" i="5"/>
  <c r="X139" i="5"/>
  <c r="Y139" i="5" l="1"/>
  <c r="Z139" i="5" s="1"/>
  <c r="AC139" i="5"/>
  <c r="AD139" i="5" s="1"/>
  <c r="T138" i="5"/>
  <c r="U138" i="5" s="1"/>
  <c r="P140" i="5"/>
  <c r="S139" i="5"/>
  <c r="Q140" i="5"/>
  <c r="R140" i="5" s="1"/>
  <c r="AB140" i="5"/>
  <c r="X140" i="5"/>
  <c r="T139" i="5" l="1"/>
  <c r="U139" i="5" s="1"/>
  <c r="Y140" i="5"/>
  <c r="Z140" i="5" s="1"/>
  <c r="AC140" i="5"/>
  <c r="AD140" i="5" s="1"/>
  <c r="P141" i="5"/>
  <c r="Q141" i="5"/>
  <c r="S140" i="5"/>
  <c r="R141" i="5"/>
  <c r="AB141" i="5"/>
  <c r="X141" i="5"/>
  <c r="AC141" i="5" l="1"/>
  <c r="AD141" i="5" s="1"/>
  <c r="Y141" i="5"/>
  <c r="Z141" i="5" s="1"/>
  <c r="T140" i="5"/>
  <c r="U140" i="5" s="1"/>
  <c r="P142" i="5"/>
  <c r="Q142" i="5"/>
  <c r="S141" i="5"/>
  <c r="R142" i="5"/>
  <c r="AB142" i="5"/>
  <c r="X142" i="5"/>
  <c r="AC142" i="5" l="1"/>
  <c r="AD142" i="5" s="1"/>
  <c r="Y142" i="5"/>
  <c r="Z142" i="5" s="1"/>
  <c r="T141" i="5"/>
  <c r="U141" i="5" s="1"/>
  <c r="P143" i="5"/>
  <c r="Q143" i="5"/>
  <c r="S142" i="5"/>
  <c r="R143" i="5"/>
  <c r="AB143" i="5"/>
  <c r="X143" i="5"/>
  <c r="AC143" i="5" l="1"/>
  <c r="AD143" i="5" s="1"/>
  <c r="Y143" i="5"/>
  <c r="Z143" i="5" s="1"/>
  <c r="T142" i="5"/>
  <c r="U142" i="5" s="1"/>
  <c r="P144" i="5"/>
  <c r="Q144" i="5"/>
  <c r="S143" i="5"/>
  <c r="R144" i="5"/>
  <c r="X144" i="5"/>
  <c r="AB144" i="5"/>
  <c r="Y144" i="5" l="1"/>
  <c r="Z144" i="5" s="1"/>
  <c r="AC144" i="5"/>
  <c r="AD144" i="5" s="1"/>
  <c r="T143" i="5"/>
  <c r="U143" i="5" s="1"/>
  <c r="P145" i="5"/>
  <c r="Q145" i="5"/>
  <c r="S144" i="5"/>
  <c r="X145" i="5"/>
  <c r="R145" i="5"/>
  <c r="AB145" i="5"/>
  <c r="Y145" i="5" l="1"/>
  <c r="Z145" i="5" s="1"/>
  <c r="AC145" i="5"/>
  <c r="AD145" i="5" s="1"/>
  <c r="T144" i="5"/>
  <c r="U144" i="5" s="1"/>
  <c r="P146" i="5"/>
  <c r="X146" i="5"/>
  <c r="S145" i="5"/>
  <c r="Q146" i="5"/>
  <c r="R146" i="5" s="1"/>
  <c r="AB146" i="5"/>
  <c r="Y146" i="5" l="1"/>
  <c r="Z146" i="5" s="1"/>
  <c r="AC146" i="5"/>
  <c r="AD146" i="5" s="1"/>
  <c r="T145" i="5"/>
  <c r="U145" i="5" s="1"/>
  <c r="P147" i="5"/>
  <c r="Q147" i="5"/>
  <c r="X147" i="5"/>
  <c r="S146" i="5"/>
  <c r="R147" i="5"/>
  <c r="AB147" i="5"/>
  <c r="Y147" i="5" l="1"/>
  <c r="Z147" i="5" s="1"/>
  <c r="AC147" i="5"/>
  <c r="AD147" i="5" s="1"/>
  <c r="T146" i="5"/>
  <c r="U146" i="5"/>
  <c r="P148" i="5"/>
  <c r="Q148" i="5"/>
  <c r="X148" i="5"/>
  <c r="S147" i="5"/>
  <c r="AB148" i="5"/>
  <c r="R148" i="5"/>
  <c r="T147" i="5" l="1"/>
  <c r="U147" i="5" s="1"/>
  <c r="Y148" i="5"/>
  <c r="Z148" i="5" s="1"/>
  <c r="AC148" i="5"/>
  <c r="AD148" i="5" s="1"/>
  <c r="P149" i="5"/>
  <c r="S148" i="5"/>
  <c r="AB149" i="5"/>
  <c r="Q149" i="5"/>
  <c r="R149" i="5" s="1"/>
  <c r="X149" i="5"/>
  <c r="AC149" i="5" l="1"/>
  <c r="AD149" i="5" s="1"/>
  <c r="Y149" i="5"/>
  <c r="Z149" i="5" s="1"/>
  <c r="T148" i="5"/>
  <c r="U148" i="5" s="1"/>
  <c r="P150" i="5"/>
  <c r="AB150" i="5"/>
  <c r="X150" i="5"/>
  <c r="S149" i="5"/>
  <c r="Q150" i="5"/>
  <c r="R150" i="5" s="1"/>
  <c r="AC150" i="5" l="1"/>
  <c r="AD150" i="5" s="1"/>
  <c r="Y150" i="5"/>
  <c r="Z150" i="5" s="1"/>
  <c r="T149" i="5"/>
  <c r="U149" i="5" s="1"/>
  <c r="P151" i="5"/>
  <c r="AB151" i="5"/>
  <c r="Q151" i="5"/>
  <c r="R151" i="5" s="1"/>
  <c r="X151" i="5"/>
  <c r="S150" i="5"/>
  <c r="T150" i="5" l="1"/>
  <c r="U150" i="5" s="1"/>
  <c r="Y151" i="5"/>
  <c r="Z151" i="5" s="1"/>
  <c r="AC151" i="5"/>
  <c r="AD151" i="5" s="1"/>
  <c r="P152" i="5"/>
  <c r="Q152" i="5"/>
  <c r="R152" i="5" s="1"/>
  <c r="X152" i="5"/>
  <c r="S151" i="5"/>
  <c r="AB152" i="5"/>
  <c r="Y152" i="5" l="1"/>
  <c r="Z152" i="5" s="1"/>
  <c r="AC152" i="5"/>
  <c r="AD152" i="5" s="1"/>
  <c r="T151" i="5"/>
  <c r="U151" i="5" s="1"/>
  <c r="P153" i="5"/>
  <c r="X153" i="5"/>
  <c r="S152" i="5"/>
  <c r="AB153" i="5"/>
  <c r="Q153" i="5"/>
  <c r="R153" i="5" s="1"/>
  <c r="Y153" i="5" l="1"/>
  <c r="Z153" i="5" s="1"/>
  <c r="AC153" i="5"/>
  <c r="AD153" i="5" s="1"/>
  <c r="T152" i="5"/>
  <c r="U152" i="5" s="1"/>
  <c r="P154" i="5"/>
  <c r="Q154" i="5"/>
  <c r="R154" i="5" s="1"/>
  <c r="AB154" i="5"/>
  <c r="S153" i="5"/>
  <c r="X154" i="5"/>
  <c r="Y154" i="5" l="1"/>
  <c r="Z154" i="5" s="1"/>
  <c r="AC154" i="5"/>
  <c r="AD154" i="5" s="1"/>
  <c r="T153" i="5"/>
  <c r="U153" i="5" s="1"/>
  <c r="P155" i="5"/>
  <c r="S154" i="5"/>
  <c r="Q155" i="5"/>
  <c r="X155" i="5"/>
  <c r="AB155" i="5"/>
  <c r="R155" i="5"/>
  <c r="T154" i="5" l="1"/>
  <c r="U154" i="5" s="1"/>
  <c r="Y155" i="5"/>
  <c r="Z155" i="5" s="1"/>
  <c r="AC155" i="5"/>
  <c r="AD155" i="5" s="1"/>
  <c r="P156" i="5"/>
  <c r="Q156" i="5"/>
  <c r="R156" i="5" s="1"/>
  <c r="AB156" i="5"/>
  <c r="S155" i="5"/>
  <c r="X156" i="5"/>
  <c r="Y156" i="5" l="1"/>
  <c r="Z156" i="5" s="1"/>
  <c r="AC156" i="5"/>
  <c r="AD156" i="5" s="1"/>
  <c r="T155" i="5"/>
  <c r="U155" i="5" s="1"/>
  <c r="P157" i="5"/>
  <c r="Q157" i="5"/>
  <c r="R157" i="5" s="1"/>
  <c r="AB157" i="5"/>
  <c r="S156" i="5"/>
  <c r="X157" i="5"/>
  <c r="Y157" i="5" l="1"/>
  <c r="Z157" i="5" s="1"/>
  <c r="AC157" i="5"/>
  <c r="AD157" i="5" s="1"/>
  <c r="T156" i="5"/>
  <c r="U156" i="5" s="1"/>
  <c r="P158" i="5"/>
  <c r="X158" i="5"/>
  <c r="AB158" i="5"/>
  <c r="S157" i="5"/>
  <c r="Q158" i="5"/>
  <c r="R158" i="5" s="1"/>
  <c r="Y158" i="5" l="1"/>
  <c r="Z158" i="5" s="1"/>
  <c r="AC158" i="5"/>
  <c r="AD158" i="5" s="1"/>
  <c r="T157" i="5"/>
  <c r="U157" i="5" s="1"/>
  <c r="P159" i="5"/>
  <c r="Q159" i="5"/>
  <c r="R159" i="5" s="1"/>
  <c r="X159" i="5"/>
  <c r="S158" i="5"/>
  <c r="AB159" i="5"/>
  <c r="Y159" i="5" l="1"/>
  <c r="Z159" i="5" s="1"/>
  <c r="AC159" i="5"/>
  <c r="AD159" i="5" s="1"/>
  <c r="T158" i="5"/>
  <c r="U158" i="5" s="1"/>
  <c r="P160" i="5"/>
  <c r="S159" i="5"/>
  <c r="Q160" i="5"/>
  <c r="R160" i="5" s="1"/>
  <c r="AB160" i="5"/>
  <c r="X160" i="5"/>
  <c r="T159" i="5" l="1"/>
  <c r="U159" i="5" s="1"/>
  <c r="Y160" i="5"/>
  <c r="Z160" i="5" s="1"/>
  <c r="AC160" i="5"/>
  <c r="AD160" i="5" s="1"/>
  <c r="P161" i="5"/>
  <c r="Q161" i="5"/>
  <c r="R161" i="5" s="1"/>
  <c r="AB161" i="5"/>
  <c r="S160" i="5"/>
  <c r="X161" i="5"/>
  <c r="Y161" i="5" l="1"/>
  <c r="Z161" i="5" s="1"/>
  <c r="AC161" i="5"/>
  <c r="AD161" i="5" s="1"/>
  <c r="T160" i="5"/>
  <c r="U160" i="5" s="1"/>
  <c r="P162" i="5"/>
  <c r="Q162" i="5"/>
  <c r="R162" i="5"/>
  <c r="AB162" i="5"/>
  <c r="S161" i="5"/>
  <c r="X162" i="5"/>
  <c r="Y162" i="5" l="1"/>
  <c r="Z162" i="5" s="1"/>
  <c r="AC162" i="5"/>
  <c r="AD162" i="5" s="1"/>
  <c r="T161" i="5"/>
  <c r="U161" i="5"/>
  <c r="P163" i="5"/>
  <c r="Q163" i="5"/>
  <c r="R163" i="5"/>
  <c r="AB163" i="5"/>
  <c r="S162" i="5"/>
  <c r="X163" i="5"/>
  <c r="Y163" i="5" l="1"/>
  <c r="Z163" i="5" s="1"/>
  <c r="AC163" i="5"/>
  <c r="AD163" i="5" s="1"/>
  <c r="T162" i="5"/>
  <c r="U162" i="5" s="1"/>
  <c r="P164" i="5"/>
  <c r="S163" i="5"/>
  <c r="Q164" i="5"/>
  <c r="X164" i="5"/>
  <c r="AB164" i="5"/>
  <c r="R164" i="5"/>
  <c r="T163" i="5" l="1"/>
  <c r="U163" i="5" s="1"/>
  <c r="Y164" i="5"/>
  <c r="Z164" i="5" s="1"/>
  <c r="AC164" i="5"/>
  <c r="AD164" i="5" s="1"/>
  <c r="P165" i="5"/>
  <c r="S164" i="5"/>
  <c r="X165" i="5"/>
  <c r="AB165" i="5"/>
  <c r="Q165" i="5"/>
  <c r="R165" i="5" s="1"/>
  <c r="T164" i="5" l="1"/>
  <c r="U164" i="5" s="1"/>
  <c r="Y165" i="5"/>
  <c r="Z165" i="5" s="1"/>
  <c r="AC165" i="5"/>
  <c r="AD165" i="5" s="1"/>
  <c r="P166" i="5"/>
  <c r="S165" i="5"/>
  <c r="X166" i="5"/>
  <c r="AB166" i="5"/>
  <c r="Q166" i="5"/>
  <c r="R166" i="5" s="1"/>
  <c r="AC166" i="5" l="1"/>
  <c r="AD166" i="5" s="1"/>
  <c r="Y166" i="5"/>
  <c r="Z166" i="5" s="1"/>
  <c r="T165" i="5"/>
  <c r="U165" i="5" s="1"/>
  <c r="P167" i="5"/>
  <c r="S166" i="5"/>
  <c r="AB167" i="5"/>
  <c r="X167" i="5"/>
  <c r="Q167" i="5"/>
  <c r="R167" i="5" s="1"/>
  <c r="T166" i="5" l="1"/>
  <c r="U166" i="5" s="1"/>
  <c r="Y167" i="5"/>
  <c r="Z167" i="5" s="1"/>
  <c r="AC167" i="5"/>
  <c r="AD167" i="5" s="1"/>
  <c r="P168" i="5"/>
  <c r="Q168" i="5"/>
  <c r="R168" i="5" s="1"/>
  <c r="S167" i="5"/>
  <c r="AB168" i="5"/>
  <c r="X168" i="5"/>
  <c r="Y168" i="5" l="1"/>
  <c r="Z168" i="5" s="1"/>
  <c r="AC168" i="5"/>
  <c r="AD168" i="5" s="1"/>
  <c r="T167" i="5"/>
  <c r="U167" i="5" s="1"/>
  <c r="P169" i="5"/>
  <c r="S168" i="5"/>
  <c r="AB169" i="5"/>
  <c r="X169" i="5"/>
  <c r="Q169" i="5"/>
  <c r="R169" i="5" s="1"/>
  <c r="T168" i="5" l="1"/>
  <c r="U168" i="5" s="1"/>
  <c r="Y169" i="5"/>
  <c r="Z169" i="5" s="1"/>
  <c r="AC169" i="5"/>
  <c r="AD169" i="5" s="1"/>
  <c r="P170" i="5"/>
  <c r="AB170" i="5"/>
  <c r="X170" i="5"/>
  <c r="Q170" i="5"/>
  <c r="R170" i="5" s="1"/>
  <c r="S169" i="5"/>
  <c r="Y170" i="5" l="1"/>
  <c r="Z170" i="5" s="1"/>
  <c r="AC170" i="5"/>
  <c r="AD170" i="5" s="1"/>
  <c r="T169" i="5"/>
  <c r="U169" i="5" s="1"/>
  <c r="P171" i="5"/>
  <c r="X171" i="5"/>
  <c r="AB171" i="5"/>
  <c r="Q171" i="5"/>
  <c r="R171" i="5" s="1"/>
  <c r="S170" i="5"/>
  <c r="AC171" i="5" l="1"/>
  <c r="AD171" i="5" s="1"/>
  <c r="Y171" i="5"/>
  <c r="Z171" i="5" s="1"/>
  <c r="T170" i="5"/>
  <c r="U170" i="5" s="1"/>
  <c r="P172" i="5"/>
  <c r="AB172" i="5"/>
  <c r="X172" i="5"/>
  <c r="Q172" i="5"/>
  <c r="R172" i="5" s="1"/>
  <c r="S171" i="5"/>
  <c r="Y172" i="5" l="1"/>
  <c r="Z172" i="5" s="1"/>
  <c r="AC172" i="5"/>
  <c r="AD172" i="5" s="1"/>
  <c r="T171" i="5"/>
  <c r="U171" i="5" s="1"/>
  <c r="P173" i="5"/>
  <c r="S172" i="5"/>
  <c r="Q173" i="5"/>
  <c r="AB173" i="5"/>
  <c r="X173" i="5"/>
  <c r="R173" i="5"/>
  <c r="T172" i="5" l="1"/>
  <c r="U172" i="5" s="1"/>
  <c r="AC173" i="5"/>
  <c r="AD173" i="5" s="1"/>
  <c r="Y173" i="5"/>
  <c r="Z173" i="5" s="1"/>
  <c r="P174" i="5"/>
  <c r="AB174" i="5"/>
  <c r="S173" i="5"/>
  <c r="Q174" i="5"/>
  <c r="R174" i="5" s="1"/>
  <c r="X174" i="5"/>
  <c r="AC174" i="5" l="1"/>
  <c r="AD174" i="5" s="1"/>
  <c r="Y174" i="5"/>
  <c r="Z174" i="5" s="1"/>
  <c r="T173" i="5"/>
  <c r="U173" i="5" s="1"/>
  <c r="P175" i="5"/>
  <c r="AB175" i="5"/>
  <c r="X175" i="5"/>
  <c r="Q175" i="5"/>
  <c r="R175" i="5" s="1"/>
  <c r="S174" i="5"/>
  <c r="Y175" i="5" l="1"/>
  <c r="Z175" i="5" s="1"/>
  <c r="AC175" i="5"/>
  <c r="AD175" i="5" s="1"/>
  <c r="T174" i="5"/>
  <c r="U174" i="5" s="1"/>
  <c r="P176" i="5"/>
  <c r="X176" i="5"/>
  <c r="AB176" i="5"/>
  <c r="Q176" i="5"/>
  <c r="S175" i="5"/>
  <c r="R176" i="5"/>
  <c r="Y176" i="5" l="1"/>
  <c r="Z176" i="5" s="1"/>
  <c r="AC176" i="5"/>
  <c r="AD176" i="5" s="1"/>
  <c r="T175" i="5"/>
  <c r="U175" i="5" s="1"/>
  <c r="P177" i="5"/>
  <c r="S176" i="5"/>
  <c r="AB177" i="5"/>
  <c r="Q177" i="5"/>
  <c r="R177" i="5" s="1"/>
  <c r="X177" i="5"/>
  <c r="T176" i="5" l="1"/>
  <c r="U176" i="5" s="1"/>
  <c r="Y177" i="5"/>
  <c r="Z177" i="5" s="1"/>
  <c r="AC177" i="5"/>
  <c r="AD177" i="5" s="1"/>
  <c r="P178" i="5"/>
  <c r="S177" i="5"/>
  <c r="Q178" i="5"/>
  <c r="R178" i="5"/>
  <c r="AB178" i="5"/>
  <c r="X178" i="5"/>
  <c r="T177" i="5" l="1"/>
  <c r="U177" i="5" s="1"/>
  <c r="Y178" i="5"/>
  <c r="Z178" i="5" s="1"/>
  <c r="AC178" i="5"/>
  <c r="AD178" i="5" s="1"/>
  <c r="P179" i="5"/>
  <c r="S178" i="5"/>
  <c r="Q179" i="5"/>
  <c r="AB179" i="5"/>
  <c r="R179" i="5"/>
  <c r="X179" i="5"/>
  <c r="T178" i="5" l="1"/>
  <c r="U178" i="5" s="1"/>
  <c r="Y179" i="5"/>
  <c r="Z179" i="5" s="1"/>
  <c r="AC179" i="5"/>
  <c r="AD179" i="5" s="1"/>
  <c r="P180" i="5"/>
  <c r="X180" i="5"/>
  <c r="S179" i="5"/>
  <c r="Q180" i="5"/>
  <c r="R180" i="5" s="1"/>
  <c r="AB180" i="5"/>
  <c r="Y180" i="5" l="1"/>
  <c r="Z180" i="5" s="1"/>
  <c r="AC180" i="5"/>
  <c r="AD180" i="5" s="1"/>
  <c r="T179" i="5"/>
  <c r="U179" i="5" s="1"/>
  <c r="P181" i="5"/>
  <c r="S180" i="5"/>
  <c r="AB181" i="5"/>
  <c r="Q181" i="5"/>
  <c r="R181" i="5" s="1"/>
  <c r="X181" i="5"/>
  <c r="T180" i="5" l="1"/>
  <c r="U180" i="5" s="1"/>
  <c r="Y181" i="5"/>
  <c r="Z181" i="5" s="1"/>
  <c r="AC181" i="5"/>
  <c r="AD181" i="5" s="1"/>
  <c r="P182" i="5"/>
  <c r="Q182" i="5"/>
  <c r="R182" i="5" s="1"/>
  <c r="S181" i="5"/>
  <c r="X182" i="5"/>
  <c r="AB182" i="5"/>
  <c r="Y182" i="5" l="1"/>
  <c r="Z182" i="5" s="1"/>
  <c r="AC182" i="5"/>
  <c r="AD182" i="5" s="1"/>
  <c r="T181" i="5"/>
  <c r="U181" i="5" s="1"/>
  <c r="P183" i="5"/>
  <c r="S182" i="5"/>
  <c r="AB183" i="5"/>
  <c r="Q183" i="5"/>
  <c r="R183" i="5" s="1"/>
  <c r="X183" i="5"/>
  <c r="T182" i="5" l="1"/>
  <c r="U182" i="5" s="1"/>
  <c r="AC183" i="5"/>
  <c r="AD183" i="5" s="1"/>
  <c r="Y183" i="5"/>
  <c r="Z183" i="5" s="1"/>
  <c r="P184" i="5"/>
  <c r="S183" i="5"/>
  <c r="Q184" i="5"/>
  <c r="R184" i="5" s="1"/>
  <c r="AB184" i="5"/>
  <c r="X184" i="5"/>
  <c r="Y184" i="5" l="1"/>
  <c r="Z184" i="5" s="1"/>
  <c r="AC184" i="5"/>
  <c r="AD184" i="5" s="1"/>
  <c r="T183" i="5"/>
  <c r="U183" i="5" s="1"/>
  <c r="P185" i="5"/>
  <c r="AB185" i="5"/>
  <c r="Q185" i="5"/>
  <c r="X185" i="5"/>
  <c r="R185" i="5"/>
  <c r="S184" i="5"/>
  <c r="T184" i="5" l="1"/>
  <c r="U184" i="5" s="1"/>
  <c r="Y185" i="5"/>
  <c r="Z185" i="5" s="1"/>
  <c r="AC185" i="5"/>
  <c r="AD185" i="5" s="1"/>
  <c r="P186" i="5"/>
  <c r="S185" i="5"/>
  <c r="X186" i="5"/>
  <c r="AB186" i="5"/>
  <c r="Q186" i="5"/>
  <c r="R186" i="5" s="1"/>
  <c r="Y186" i="5" l="1"/>
  <c r="Z186" i="5" s="1"/>
  <c r="AC186" i="5"/>
  <c r="AD186" i="5" s="1"/>
  <c r="T185" i="5"/>
  <c r="U185" i="5" s="1"/>
  <c r="P187" i="5"/>
  <c r="S186" i="5"/>
  <c r="X187" i="5"/>
  <c r="AB187" i="5"/>
  <c r="Q187" i="5"/>
  <c r="R187" i="5" s="1"/>
  <c r="T186" i="5" l="1"/>
  <c r="U186" i="5" s="1"/>
  <c r="Y187" i="5"/>
  <c r="Z187" i="5" s="1"/>
  <c r="AC187" i="5"/>
  <c r="AD187" i="5" s="1"/>
  <c r="P188" i="5"/>
  <c r="S187" i="5"/>
  <c r="AB188" i="5"/>
  <c r="X188" i="5"/>
  <c r="Q188" i="5"/>
  <c r="R188" i="5"/>
  <c r="Y188" i="5" l="1"/>
  <c r="Z188" i="5" s="1"/>
  <c r="AC188" i="5"/>
  <c r="AD188" i="5" s="1"/>
  <c r="T187" i="5"/>
  <c r="U187" i="5" s="1"/>
  <c r="P189" i="5"/>
  <c r="Q189" i="5"/>
  <c r="X189" i="5"/>
  <c r="R189" i="5"/>
  <c r="S188" i="5"/>
  <c r="AB189" i="5"/>
  <c r="T188" i="5" l="1"/>
  <c r="U188" i="5" s="1"/>
  <c r="AC189" i="5"/>
  <c r="AD189" i="5" s="1"/>
  <c r="Y189" i="5"/>
  <c r="Z189" i="5" s="1"/>
  <c r="P190" i="5"/>
  <c r="AB190" i="5"/>
  <c r="X190" i="5"/>
  <c r="S189" i="5"/>
  <c r="Q190" i="5"/>
  <c r="R190" i="5" s="1"/>
  <c r="Y190" i="5" l="1"/>
  <c r="Z190" i="5" s="1"/>
  <c r="AC190" i="5"/>
  <c r="AD190" i="5" s="1"/>
  <c r="T189" i="5"/>
  <c r="U189" i="5" s="1"/>
  <c r="P191" i="5"/>
  <c r="X191" i="5"/>
  <c r="S190" i="5"/>
  <c r="AB191" i="5"/>
  <c r="Q191" i="5"/>
  <c r="R191" i="5" s="1"/>
  <c r="T190" i="5" l="1"/>
  <c r="U190" i="5" s="1"/>
  <c r="Y191" i="5"/>
  <c r="Z191" i="5" s="1"/>
  <c r="AC191" i="5"/>
  <c r="AD191" i="5" s="1"/>
  <c r="P192" i="5"/>
  <c r="X192" i="5"/>
  <c r="Q192" i="5"/>
  <c r="R192" i="5" s="1"/>
  <c r="S191" i="5"/>
  <c r="AB192" i="5"/>
  <c r="AC192" i="5" l="1"/>
  <c r="AD192" i="5" s="1"/>
  <c r="Y192" i="5"/>
  <c r="Z192" i="5" s="1"/>
  <c r="T191" i="5"/>
  <c r="U191" i="5" s="1"/>
  <c r="P193" i="5"/>
  <c r="X193" i="5"/>
  <c r="S192" i="5"/>
  <c r="Q193" i="5"/>
  <c r="R193" i="5" s="1"/>
  <c r="AB193" i="5"/>
  <c r="T192" i="5" l="1"/>
  <c r="U192" i="5" s="1"/>
  <c r="Y193" i="5"/>
  <c r="Z193" i="5" s="1"/>
  <c r="AC193" i="5"/>
  <c r="AD193" i="5" s="1"/>
  <c r="P194" i="5"/>
  <c r="Q194" i="5"/>
  <c r="R194" i="5" s="1"/>
  <c r="S193" i="5"/>
  <c r="AB194" i="5"/>
  <c r="X194" i="5"/>
  <c r="Y194" i="5" l="1"/>
  <c r="Z194" i="5" s="1"/>
  <c r="AC194" i="5"/>
  <c r="AD194" i="5" s="1"/>
  <c r="T193" i="5"/>
  <c r="U193" i="5" s="1"/>
  <c r="P195" i="5"/>
  <c r="Q195" i="5"/>
  <c r="R195" i="5" s="1"/>
  <c r="X195" i="5"/>
  <c r="S194" i="5"/>
  <c r="AB195" i="5"/>
  <c r="AC195" i="5" l="1"/>
  <c r="AD195" i="5" s="1"/>
  <c r="Y195" i="5"/>
  <c r="Z195" i="5" s="1"/>
  <c r="T194" i="5"/>
  <c r="U194" i="5" s="1"/>
  <c r="P196" i="5"/>
  <c r="S195" i="5"/>
  <c r="X196" i="5"/>
  <c r="Q196" i="5"/>
  <c r="AB196" i="5"/>
  <c r="R196" i="5"/>
  <c r="T195" i="5" l="1"/>
  <c r="U195" i="5" s="1"/>
  <c r="Y196" i="5"/>
  <c r="Z196" i="5" s="1"/>
  <c r="AC196" i="5"/>
  <c r="AD196" i="5" s="1"/>
  <c r="P197" i="5"/>
  <c r="S196" i="5"/>
  <c r="AB197" i="5"/>
  <c r="Q197" i="5"/>
  <c r="R197" i="5" s="1"/>
  <c r="X197" i="5"/>
  <c r="Y197" i="5" l="1"/>
  <c r="Z197" i="5" s="1"/>
  <c r="AC197" i="5"/>
  <c r="AD197" i="5" s="1"/>
  <c r="T196" i="5"/>
  <c r="U196" i="5" s="1"/>
  <c r="P198" i="5"/>
  <c r="Q198" i="5"/>
  <c r="R198" i="5"/>
  <c r="X198" i="5"/>
  <c r="S197" i="5"/>
  <c r="AB198" i="5"/>
  <c r="AC198" i="5" l="1"/>
  <c r="AD198" i="5" s="1"/>
  <c r="Y198" i="5"/>
  <c r="Z198" i="5" s="1"/>
  <c r="T197" i="5"/>
  <c r="U197" i="5" s="1"/>
  <c r="P199" i="5"/>
  <c r="AB199" i="5"/>
  <c r="Q199" i="5"/>
  <c r="X199" i="5"/>
  <c r="R199" i="5"/>
  <c r="S198" i="5"/>
  <c r="T198" i="5" l="1"/>
  <c r="U198" i="5" s="1"/>
  <c r="Y199" i="5"/>
  <c r="Z199" i="5" s="1"/>
  <c r="AC199" i="5"/>
  <c r="AD199" i="5" s="1"/>
  <c r="P200" i="5"/>
  <c r="Q200" i="5"/>
  <c r="R200" i="5" s="1"/>
  <c r="S199" i="5"/>
  <c r="X200" i="5"/>
  <c r="AB200" i="5"/>
  <c r="Y200" i="5" l="1"/>
  <c r="Z200" i="5" s="1"/>
  <c r="AC200" i="5"/>
  <c r="AD200" i="5" s="1"/>
  <c r="T199" i="5"/>
  <c r="U199" i="5" s="1"/>
  <c r="P201" i="5"/>
  <c r="AB201" i="5"/>
  <c r="S200" i="5"/>
  <c r="Q201" i="5"/>
  <c r="R201" i="5" s="1"/>
  <c r="X201" i="5"/>
  <c r="AC201" i="5" l="1"/>
  <c r="AD201" i="5" s="1"/>
  <c r="Y201" i="5"/>
  <c r="Z201" i="5" s="1"/>
  <c r="T200" i="5"/>
  <c r="U200" i="5" s="1"/>
  <c r="P202" i="5"/>
  <c r="Q202" i="5"/>
  <c r="S201" i="5"/>
  <c r="AB202" i="5"/>
  <c r="R202" i="5"/>
  <c r="X202" i="5"/>
  <c r="AC202" i="5" l="1"/>
  <c r="AD202" i="5" s="1"/>
  <c r="Y202" i="5"/>
  <c r="Z202" i="5" s="1"/>
  <c r="T201" i="5"/>
  <c r="U201" i="5" s="1"/>
  <c r="P203" i="5"/>
  <c r="S202" i="5"/>
  <c r="X203" i="5"/>
  <c r="Q203" i="5"/>
  <c r="R203" i="5" s="1"/>
  <c r="AB203" i="5"/>
  <c r="T202" i="5" l="1"/>
  <c r="U202" i="5" s="1"/>
  <c r="AC203" i="5"/>
  <c r="AD203" i="5" s="1"/>
  <c r="Y203" i="5"/>
  <c r="Z203" i="5" s="1"/>
  <c r="P204" i="5"/>
  <c r="X204" i="5"/>
  <c r="S203" i="5"/>
  <c r="Q204" i="5"/>
  <c r="R204" i="5" s="1"/>
  <c r="AB204" i="5"/>
  <c r="Y204" i="5" l="1"/>
  <c r="Z204" i="5" s="1"/>
  <c r="AC204" i="5"/>
  <c r="AD204" i="5" s="1"/>
  <c r="T203" i="5"/>
  <c r="U203" i="5" s="1"/>
  <c r="P205" i="5"/>
  <c r="X205" i="5"/>
  <c r="S204" i="5"/>
  <c r="Q205" i="5"/>
  <c r="R205" i="5" s="1"/>
  <c r="AB205" i="5"/>
  <c r="Y205" i="5" l="1"/>
  <c r="Z205" i="5" s="1"/>
  <c r="AC205" i="5"/>
  <c r="AD205" i="5" s="1"/>
  <c r="T204" i="5"/>
  <c r="U204" i="5" s="1"/>
  <c r="P206" i="5"/>
  <c r="AB206" i="5"/>
  <c r="S205" i="5"/>
  <c r="Q206" i="5"/>
  <c r="R206" i="5" s="1"/>
  <c r="X206" i="5"/>
  <c r="AC206" i="5" l="1"/>
  <c r="AD206" i="5" s="1"/>
  <c r="Y206" i="5"/>
  <c r="Z206" i="5" s="1"/>
  <c r="T205" i="5"/>
  <c r="U205" i="5" s="1"/>
  <c r="P207" i="5"/>
  <c r="Q207" i="5"/>
  <c r="AB207" i="5"/>
  <c r="R207" i="5"/>
  <c r="S206" i="5"/>
  <c r="X207" i="5"/>
  <c r="T206" i="5" l="1"/>
  <c r="U206" i="5" s="1"/>
  <c r="Y207" i="5"/>
  <c r="Z207" i="5" s="1"/>
  <c r="AC207" i="5"/>
  <c r="AD207" i="5" s="1"/>
  <c r="P208" i="5"/>
  <c r="Q208" i="5"/>
  <c r="S207" i="5"/>
  <c r="X208" i="5"/>
  <c r="R208" i="5"/>
  <c r="AB208" i="5"/>
  <c r="Y208" i="5" l="1"/>
  <c r="Z208" i="5" s="1"/>
  <c r="AC208" i="5"/>
  <c r="AD208" i="5" s="1"/>
  <c r="T207" i="5"/>
  <c r="U207" i="5" s="1"/>
  <c r="P209" i="5"/>
  <c r="S208" i="5"/>
  <c r="X209" i="5"/>
  <c r="AB209" i="5"/>
  <c r="Q209" i="5"/>
  <c r="R209" i="5" s="1"/>
  <c r="T208" i="5" l="1"/>
  <c r="U208" i="5" s="1"/>
  <c r="Y209" i="5"/>
  <c r="Z209" i="5" s="1"/>
  <c r="AC209" i="5"/>
  <c r="AD209" i="5" s="1"/>
  <c r="P210" i="5"/>
  <c r="X210" i="5"/>
  <c r="S209" i="5"/>
  <c r="AB210" i="5"/>
  <c r="Q210" i="5"/>
  <c r="R210" i="5" s="1"/>
  <c r="Y210" i="5" l="1"/>
  <c r="Z210" i="5" s="1"/>
  <c r="AC210" i="5"/>
  <c r="AD210" i="5" s="1"/>
  <c r="T209" i="5"/>
  <c r="U209" i="5" s="1"/>
  <c r="P211" i="5"/>
  <c r="AB211" i="5"/>
  <c r="S210" i="5"/>
  <c r="X211" i="5"/>
  <c r="Q211" i="5"/>
  <c r="R211" i="5" s="1"/>
  <c r="AC211" i="5" l="1"/>
  <c r="AD211" i="5" s="1"/>
  <c r="Y211" i="5"/>
  <c r="Z211" i="5" s="1"/>
  <c r="T210" i="5"/>
  <c r="U210" i="5" s="1"/>
  <c r="P212" i="5"/>
  <c r="S211" i="5"/>
  <c r="AB212" i="5"/>
  <c r="X212" i="5"/>
  <c r="Q212" i="5"/>
  <c r="R212" i="5" s="1"/>
  <c r="T211" i="5" l="1"/>
  <c r="U211" i="5" s="1"/>
  <c r="AC212" i="5"/>
  <c r="AD212" i="5" s="1"/>
  <c r="Y212" i="5"/>
  <c r="Z212" i="5" s="1"/>
  <c r="P213" i="5"/>
  <c r="S212" i="5"/>
  <c r="AB213" i="5"/>
  <c r="Q213" i="5"/>
  <c r="R213" i="5" s="1"/>
  <c r="X213" i="5"/>
  <c r="AC213" i="5" l="1"/>
  <c r="AD213" i="5" s="1"/>
  <c r="Y213" i="5"/>
  <c r="Z213" i="5" s="1"/>
  <c r="T212" i="5"/>
  <c r="U212" i="5" s="1"/>
  <c r="P214" i="5"/>
  <c r="Q214" i="5"/>
  <c r="R214" i="5" s="1"/>
  <c r="X214" i="5"/>
  <c r="S213" i="5"/>
  <c r="AB214" i="5"/>
  <c r="Y214" i="5" l="1"/>
  <c r="Z214" i="5" s="1"/>
  <c r="AC214" i="5"/>
  <c r="AD214" i="5" s="1"/>
  <c r="T213" i="5"/>
  <c r="U213" i="5" s="1"/>
  <c r="P215" i="5"/>
  <c r="S214" i="5"/>
  <c r="Q215" i="5"/>
  <c r="R215" i="5" s="1"/>
  <c r="X215" i="5"/>
  <c r="AB215" i="5"/>
  <c r="AC215" i="5" l="1"/>
  <c r="AD215" i="5" s="1"/>
  <c r="Y215" i="5"/>
  <c r="Z215" i="5" s="1"/>
  <c r="T214" i="5"/>
  <c r="U214" i="5" s="1"/>
  <c r="P216" i="5"/>
  <c r="Q216" i="5"/>
  <c r="R216" i="5" s="1"/>
  <c r="X216" i="5"/>
  <c r="S215" i="5"/>
  <c r="AB216" i="5"/>
  <c r="Y216" i="5" l="1"/>
  <c r="Z216" i="5" s="1"/>
  <c r="AC216" i="5"/>
  <c r="AD216" i="5" s="1"/>
  <c r="T215" i="5"/>
  <c r="U215" i="5" s="1"/>
  <c r="P217" i="5"/>
  <c r="S216" i="5"/>
  <c r="Q217" i="5"/>
  <c r="R217" i="5" s="1"/>
  <c r="X217" i="5"/>
  <c r="AB217" i="5"/>
  <c r="Y217" i="5" l="1"/>
  <c r="Z217" i="5" s="1"/>
  <c r="AC217" i="5"/>
  <c r="AD217" i="5" s="1"/>
  <c r="T216" i="5"/>
  <c r="U216" i="5" s="1"/>
  <c r="P218" i="5"/>
  <c r="S217" i="5"/>
  <c r="X218" i="5"/>
  <c r="AB218" i="5"/>
  <c r="Q218" i="5"/>
  <c r="R218" i="5" s="1"/>
  <c r="T217" i="5" l="1"/>
  <c r="U217" i="5" s="1"/>
  <c r="Y218" i="5"/>
  <c r="Z218" i="5" s="1"/>
  <c r="AC218" i="5"/>
  <c r="AD218" i="5" s="1"/>
  <c r="P219" i="5"/>
  <c r="S218" i="5"/>
  <c r="X219" i="5"/>
  <c r="AB219" i="5"/>
  <c r="Q219" i="5"/>
  <c r="R219" i="5" s="1"/>
  <c r="T218" i="5" l="1"/>
  <c r="U218" i="5" s="1"/>
  <c r="Y219" i="5"/>
  <c r="Z219" i="5" s="1"/>
  <c r="AC219" i="5"/>
  <c r="AD219" i="5" s="1"/>
  <c r="P220" i="5"/>
  <c r="X220" i="5"/>
  <c r="S219" i="5"/>
  <c r="Q220" i="5"/>
  <c r="AB220" i="5"/>
  <c r="R220" i="5"/>
  <c r="Y220" i="5" l="1"/>
  <c r="Z220" i="5" s="1"/>
  <c r="AC220" i="5"/>
  <c r="AD220" i="5" s="1"/>
  <c r="T219" i="5"/>
  <c r="U219" i="5" s="1"/>
  <c r="P221" i="5"/>
  <c r="X221" i="5"/>
  <c r="S220" i="5"/>
  <c r="AB221" i="5"/>
  <c r="Q221" i="5"/>
  <c r="R221" i="5" s="1"/>
  <c r="T220" i="5" l="1"/>
  <c r="U220" i="5" s="1"/>
  <c r="Y221" i="5"/>
  <c r="Z221" i="5" s="1"/>
  <c r="AC221" i="5"/>
  <c r="AD221" i="5" s="1"/>
  <c r="P222" i="5"/>
  <c r="AB222" i="5"/>
  <c r="S221" i="5"/>
  <c r="X222" i="5"/>
  <c r="Q222" i="5"/>
  <c r="R222" i="5" s="1"/>
  <c r="AC222" i="5" l="1"/>
  <c r="AD222" i="5" s="1"/>
  <c r="Y222" i="5"/>
  <c r="Z222" i="5" s="1"/>
  <c r="T221" i="5"/>
  <c r="U221" i="5" s="1"/>
  <c r="P223" i="5"/>
  <c r="S222" i="5"/>
  <c r="AB223" i="5"/>
  <c r="X223" i="5"/>
  <c r="Q223" i="5"/>
  <c r="R223" i="5" s="1"/>
  <c r="T222" i="5" l="1"/>
  <c r="U222" i="5" s="1"/>
  <c r="Y223" i="5"/>
  <c r="Z223" i="5" s="1"/>
  <c r="AC223" i="5"/>
  <c r="AD223" i="5" s="1"/>
  <c r="P224" i="5"/>
  <c r="Q224" i="5"/>
  <c r="X224" i="5"/>
  <c r="AB224" i="5"/>
  <c r="R224" i="5"/>
  <c r="S223" i="5"/>
  <c r="Y224" i="5" l="1"/>
  <c r="Z224" i="5" s="1"/>
  <c r="AC224" i="5"/>
  <c r="AD224" i="5" s="1"/>
  <c r="T223" i="5"/>
  <c r="U223" i="5" s="1"/>
  <c r="P225" i="5"/>
  <c r="Q225" i="5"/>
  <c r="X225" i="5"/>
  <c r="AB225" i="5"/>
  <c r="R225" i="5"/>
  <c r="S224" i="5"/>
  <c r="T224" i="5" l="1"/>
  <c r="U224" i="5" s="1"/>
  <c r="AC225" i="5"/>
  <c r="AD225" i="5" s="1"/>
  <c r="Y225" i="5"/>
  <c r="Z225" i="5" s="1"/>
  <c r="P226" i="5"/>
  <c r="AB226" i="5"/>
  <c r="S225" i="5"/>
  <c r="X226" i="5"/>
  <c r="Q226" i="5"/>
  <c r="R226" i="5" s="1"/>
  <c r="AC226" i="5" l="1"/>
  <c r="AD226" i="5" s="1"/>
  <c r="Y226" i="5"/>
  <c r="Z226" i="5" s="1"/>
  <c r="T225" i="5"/>
  <c r="U225" i="5" s="1"/>
  <c r="P227" i="5"/>
  <c r="AB227" i="5"/>
  <c r="S226" i="5"/>
  <c r="Q227" i="5"/>
  <c r="X227" i="5"/>
  <c r="R227" i="5"/>
  <c r="AC227" i="5" l="1"/>
  <c r="AD227" i="5" s="1"/>
  <c r="Y227" i="5"/>
  <c r="Z227" i="5" s="1"/>
  <c r="T226" i="5"/>
  <c r="U226" i="5" s="1"/>
  <c r="P228" i="5"/>
  <c r="Q228" i="5"/>
  <c r="R228" i="5" s="1"/>
  <c r="X228" i="5"/>
  <c r="S227" i="5"/>
  <c r="AB228" i="5"/>
  <c r="AC228" i="5" l="1"/>
  <c r="AD228" i="5" s="1"/>
  <c r="Y228" i="5"/>
  <c r="Z228" i="5" s="1"/>
  <c r="T227" i="5"/>
  <c r="U227" i="5" s="1"/>
  <c r="P229" i="5"/>
  <c r="Q229" i="5"/>
  <c r="R229" i="5"/>
  <c r="AB229" i="5"/>
  <c r="X229" i="5"/>
  <c r="S228" i="5"/>
  <c r="AC229" i="5" l="1"/>
  <c r="AD229" i="5" s="1"/>
  <c r="Y229" i="5"/>
  <c r="Z229" i="5" s="1"/>
  <c r="T228" i="5"/>
  <c r="U228" i="5" s="1"/>
  <c r="P230" i="5"/>
  <c r="Q230" i="5"/>
  <c r="R230" i="5"/>
  <c r="S229" i="5"/>
  <c r="X230" i="5"/>
  <c r="AB230" i="5"/>
  <c r="AC230" i="5" l="1"/>
  <c r="AD230" i="5" s="1"/>
  <c r="Y230" i="5"/>
  <c r="Z230" i="5" s="1"/>
  <c r="T229" i="5"/>
  <c r="U229" i="5" s="1"/>
  <c r="P231" i="5"/>
  <c r="X231" i="5"/>
  <c r="AB231" i="5"/>
  <c r="S230" i="5"/>
  <c r="Q231" i="5"/>
  <c r="R231" i="5" s="1"/>
  <c r="AC231" i="5" l="1"/>
  <c r="AD231" i="5" s="1"/>
  <c r="Y231" i="5"/>
  <c r="Z231" i="5" s="1"/>
  <c r="T230" i="5"/>
  <c r="U230" i="5" s="1"/>
  <c r="P232" i="5"/>
  <c r="AB232" i="5"/>
  <c r="X232" i="5"/>
  <c r="Q232" i="5"/>
  <c r="S231" i="5"/>
  <c r="R232" i="5"/>
  <c r="AC232" i="5" l="1"/>
  <c r="AD232" i="5" s="1"/>
  <c r="Y232" i="5"/>
  <c r="Z232" i="5" s="1"/>
  <c r="T231" i="5"/>
  <c r="U231" i="5" s="1"/>
  <c r="P233" i="5"/>
  <c r="X233" i="5"/>
  <c r="Q233" i="5"/>
  <c r="R233" i="5" s="1"/>
  <c r="S232" i="5"/>
  <c r="AB233" i="5"/>
  <c r="AC233" i="5" l="1"/>
  <c r="AD233" i="5" s="1"/>
  <c r="Y233" i="5"/>
  <c r="Z233" i="5" s="1"/>
  <c r="T232" i="5"/>
  <c r="U232" i="5" s="1"/>
  <c r="P234" i="5"/>
  <c r="X234" i="5"/>
  <c r="S233" i="5"/>
  <c r="Q234" i="5"/>
  <c r="R234" i="5" s="1"/>
  <c r="AB234" i="5"/>
  <c r="Y234" i="5" l="1"/>
  <c r="Z234" i="5" s="1"/>
  <c r="AC234" i="5"/>
  <c r="AD234" i="5" s="1"/>
  <c r="T233" i="5"/>
  <c r="U233" i="5" s="1"/>
  <c r="P235" i="5"/>
  <c r="X235" i="5"/>
  <c r="S234" i="5"/>
  <c r="Q235" i="5"/>
  <c r="R235" i="5" s="1"/>
  <c r="AB235" i="5"/>
  <c r="Y235" i="5" l="1"/>
  <c r="Z235" i="5" s="1"/>
  <c r="AC235" i="5"/>
  <c r="AD235" i="5" s="1"/>
  <c r="T234" i="5"/>
  <c r="U234" i="5" s="1"/>
  <c r="P236" i="5"/>
  <c r="S235" i="5"/>
  <c r="Q236" i="5"/>
  <c r="R236" i="5" s="1"/>
  <c r="AB236" i="5"/>
  <c r="X236" i="5"/>
  <c r="T235" i="5" l="1"/>
  <c r="U235" i="5" s="1"/>
  <c r="Y236" i="5"/>
  <c r="Z236" i="5" s="1"/>
  <c r="AC236" i="5"/>
  <c r="AD236" i="5" s="1"/>
  <c r="P237" i="5"/>
  <c r="Q237" i="5"/>
  <c r="R237" i="5" s="1"/>
  <c r="AB237" i="5"/>
  <c r="S236" i="5"/>
  <c r="X237" i="5"/>
  <c r="AC237" i="5" l="1"/>
  <c r="AD237" i="5" s="1"/>
  <c r="Y237" i="5"/>
  <c r="Z237" i="5" s="1"/>
  <c r="T236" i="5"/>
  <c r="U236" i="5" s="1"/>
  <c r="P238" i="5"/>
  <c r="S237" i="5"/>
  <c r="Q238" i="5"/>
  <c r="R238" i="5" s="1"/>
  <c r="X238" i="5"/>
  <c r="AB238" i="5"/>
  <c r="Y238" i="5" l="1"/>
  <c r="Z238" i="5" s="1"/>
  <c r="AC238" i="5"/>
  <c r="AD238" i="5" s="1"/>
  <c r="T237" i="5"/>
  <c r="U237" i="5" s="1"/>
  <c r="P239" i="5"/>
  <c r="S238" i="5"/>
  <c r="X239" i="5"/>
  <c r="AB239" i="5"/>
  <c r="Q239" i="5"/>
  <c r="R239" i="5" s="1"/>
  <c r="Y239" i="5" l="1"/>
  <c r="Z239" i="5" s="1"/>
  <c r="AC239" i="5"/>
  <c r="AD239" i="5" s="1"/>
  <c r="T238" i="5"/>
  <c r="U238" i="5" s="1"/>
  <c r="P240" i="5"/>
  <c r="S239" i="5"/>
  <c r="X240" i="5"/>
  <c r="AB240" i="5"/>
  <c r="Q240" i="5"/>
  <c r="R240" i="5" s="1"/>
  <c r="Y240" i="5" l="1"/>
  <c r="Z240" i="5" s="1"/>
  <c r="AC240" i="5"/>
  <c r="AD240" i="5" s="1"/>
  <c r="T239" i="5"/>
  <c r="U239" i="5" s="1"/>
  <c r="P241" i="5"/>
  <c r="S240" i="5"/>
  <c r="Q241" i="5"/>
  <c r="X241" i="5"/>
  <c r="R241" i="5"/>
  <c r="AB241" i="5"/>
  <c r="Y241" i="5" l="1"/>
  <c r="Z241" i="5" s="1"/>
  <c r="AC241" i="5"/>
  <c r="AD241" i="5" s="1"/>
  <c r="T240" i="5"/>
  <c r="U240" i="5" s="1"/>
  <c r="P242" i="5"/>
  <c r="S241" i="5"/>
  <c r="X242" i="5"/>
  <c r="AB242" i="5"/>
  <c r="Q242" i="5"/>
  <c r="R242" i="5" s="1"/>
  <c r="Y242" i="5" l="1"/>
  <c r="Z242" i="5" s="1"/>
  <c r="AC242" i="5"/>
  <c r="AD242" i="5" s="1"/>
  <c r="T241" i="5"/>
  <c r="U241" i="5" s="1"/>
  <c r="P243" i="5"/>
  <c r="Q243" i="5"/>
  <c r="AB243" i="5"/>
  <c r="S242" i="5"/>
  <c r="X243" i="5"/>
  <c r="R243" i="5"/>
  <c r="Y243" i="5" l="1"/>
  <c r="Z243" i="5" s="1"/>
  <c r="AC243" i="5"/>
  <c r="AD243" i="5" s="1"/>
  <c r="T242" i="5"/>
  <c r="U242" i="5" s="1"/>
  <c r="P244" i="5"/>
  <c r="S243" i="5"/>
  <c r="Q244" i="5"/>
  <c r="AB244" i="5"/>
  <c r="X244" i="5"/>
  <c r="R244" i="5"/>
  <c r="Y244" i="5" l="1"/>
  <c r="Z244" i="5" s="1"/>
  <c r="AC244" i="5"/>
  <c r="AD244" i="5" s="1"/>
  <c r="T243" i="5"/>
  <c r="U243" i="5" s="1"/>
  <c r="P245" i="5"/>
  <c r="AB245" i="5"/>
  <c r="S244" i="5"/>
  <c r="Q245" i="5"/>
  <c r="R245" i="5" s="1"/>
  <c r="X245" i="5"/>
  <c r="AC245" i="5" l="1"/>
  <c r="AD245" i="5" s="1"/>
  <c r="Y245" i="5"/>
  <c r="Z245" i="5" s="1"/>
  <c r="T244" i="5"/>
  <c r="U244" i="5" s="1"/>
  <c r="P246" i="5"/>
  <c r="S245" i="5"/>
  <c r="X246" i="5"/>
  <c r="AB246" i="5"/>
  <c r="Q246" i="5"/>
  <c r="R246" i="5" s="1"/>
  <c r="Y246" i="5" l="1"/>
  <c r="Z246" i="5" s="1"/>
  <c r="AC246" i="5"/>
  <c r="AD246" i="5" s="1"/>
  <c r="T245" i="5"/>
  <c r="U245" i="5" s="1"/>
  <c r="P247" i="5"/>
  <c r="S246" i="5"/>
  <c r="AB247" i="5"/>
  <c r="X247" i="5"/>
  <c r="Q247" i="5"/>
  <c r="R247" i="5" s="1"/>
  <c r="AC247" i="5" l="1"/>
  <c r="AD247" i="5" s="1"/>
  <c r="Y247" i="5"/>
  <c r="Z247" i="5" s="1"/>
  <c r="T246" i="5"/>
  <c r="U246" i="5" s="1"/>
  <c r="P248" i="5"/>
  <c r="Q248" i="5"/>
  <c r="R248" i="5" s="1"/>
  <c r="S247" i="5"/>
  <c r="X248" i="5"/>
  <c r="AB248" i="5"/>
  <c r="Y248" i="5" l="1"/>
  <c r="Z248" i="5" s="1"/>
  <c r="AC248" i="5"/>
  <c r="AD248" i="5" s="1"/>
  <c r="T247" i="5"/>
  <c r="U247" i="5" s="1"/>
  <c r="P249" i="5"/>
  <c r="Q249" i="5"/>
  <c r="R249" i="5" s="1"/>
  <c r="X249" i="5"/>
  <c r="S248" i="5"/>
  <c r="AB249" i="5"/>
  <c r="Y249" i="5" l="1"/>
  <c r="Z249" i="5" s="1"/>
  <c r="AC249" i="5"/>
  <c r="AD249" i="5" s="1"/>
  <c r="T248" i="5"/>
  <c r="U248" i="5" s="1"/>
  <c r="P250" i="5"/>
  <c r="Q250" i="5"/>
  <c r="R250" i="5" s="1"/>
  <c r="X250" i="5"/>
  <c r="S249" i="5"/>
  <c r="AB250" i="5"/>
  <c r="Y250" i="5" l="1"/>
  <c r="Z250" i="5" s="1"/>
  <c r="AC250" i="5"/>
  <c r="AD250" i="5" s="1"/>
  <c r="T249" i="5"/>
  <c r="U249" i="5" s="1"/>
  <c r="P251" i="5"/>
  <c r="S250" i="5"/>
  <c r="AB251" i="5"/>
  <c r="X251" i="5"/>
  <c r="Q251" i="5"/>
  <c r="R251" i="5" s="1"/>
  <c r="T250" i="5" l="1"/>
  <c r="U250" i="5" s="1"/>
  <c r="AC251" i="5"/>
  <c r="AD251" i="5" s="1"/>
  <c r="Y251" i="5"/>
  <c r="Z251" i="5" s="1"/>
  <c r="P252" i="5"/>
  <c r="X252" i="5"/>
  <c r="AB252" i="5"/>
  <c r="S251" i="5"/>
  <c r="Q252" i="5"/>
  <c r="R252" i="5" s="1"/>
  <c r="Y252" i="5" l="1"/>
  <c r="Z252" i="5" s="1"/>
  <c r="AC252" i="5"/>
  <c r="AD252" i="5" s="1"/>
  <c r="T251" i="5"/>
  <c r="U251" i="5" s="1"/>
  <c r="P253" i="5"/>
  <c r="X253" i="5"/>
  <c r="AB253" i="5"/>
  <c r="S252" i="5"/>
  <c r="Q253" i="5"/>
  <c r="R253" i="5" s="1"/>
  <c r="Y253" i="5" l="1"/>
  <c r="Z253" i="5" s="1"/>
  <c r="AC253" i="5"/>
  <c r="AD253" i="5" s="1"/>
  <c r="T252" i="5"/>
  <c r="U252" i="5" s="1"/>
  <c r="P254" i="5"/>
  <c r="S253" i="5"/>
  <c r="Q254" i="5"/>
  <c r="R254" i="5"/>
  <c r="X254" i="5"/>
  <c r="AB254" i="5"/>
  <c r="T253" i="5" l="1"/>
  <c r="U253" i="5" s="1"/>
  <c r="Y254" i="5"/>
  <c r="Z254" i="5" s="1"/>
  <c r="AC254" i="5"/>
  <c r="AD254" i="5" s="1"/>
  <c r="S254" i="5"/>
  <c r="T254" i="5" l="1"/>
  <c r="U254" i="5" s="1"/>
</calcChain>
</file>

<file path=xl/comments1.xml><?xml version="1.0" encoding="utf-8"?>
<comments xmlns="http://schemas.openxmlformats.org/spreadsheetml/2006/main">
  <authors>
    <author>Edwin</author>
  </authors>
  <commentList>
    <comment ref="Q3" authorId="0">
      <text>
        <r>
          <rPr>
            <b/>
            <sz val="9"/>
            <color indexed="81"/>
            <rFont val="Tahoma"/>
            <family val="2"/>
          </rPr>
          <t>Edwin:</t>
        </r>
        <r>
          <rPr>
            <sz val="9"/>
            <color indexed="81"/>
            <rFont val="Tahoma"/>
            <family val="2"/>
          </rPr>
          <t xml:space="preserve">
Verfiy params, time to maturity in years
Verify the rest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Edwin:</t>
        </r>
        <r>
          <rPr>
            <sz val="9"/>
            <color indexed="81"/>
            <rFont val="Tahoma"/>
            <family val="2"/>
          </rPr>
          <t xml:space="preserve">
Time to Maturity in Years
verify starting volatility
What is the initialVariance?</t>
        </r>
      </text>
    </comment>
  </commentList>
</comments>
</file>

<file path=xl/sharedStrings.xml><?xml version="1.0" encoding="utf-8"?>
<sst xmlns="http://schemas.openxmlformats.org/spreadsheetml/2006/main" count="58" uniqueCount="49">
  <si>
    <t>Inputs</t>
  </si>
  <si>
    <t>ν</t>
  </si>
  <si>
    <t>current Variance V</t>
  </si>
  <si>
    <t>ν bar</t>
  </si>
  <si>
    <t>Theta</t>
  </si>
  <si>
    <t>SQRT(250)</t>
  </si>
  <si>
    <t>ν0</t>
  </si>
  <si>
    <t>η eta</t>
  </si>
  <si>
    <t>eta</t>
  </si>
  <si>
    <t>ρ</t>
  </si>
  <si>
    <t>λ</t>
  </si>
  <si>
    <t>Kappa</t>
  </si>
  <si>
    <t>r</t>
  </si>
  <si>
    <t>δ</t>
  </si>
  <si>
    <t>S0</t>
  </si>
  <si>
    <t>K</t>
  </si>
  <si>
    <t>Simulation-1</t>
  </si>
  <si>
    <t>Cholesky Decomposition</t>
  </si>
  <si>
    <t>Milstein Schem</t>
  </si>
  <si>
    <t>Heston</t>
  </si>
  <si>
    <t>ImpliedVol</t>
  </si>
  <si>
    <t>Realised Vol</t>
  </si>
  <si>
    <t>T0 Implied Vol</t>
  </si>
  <si>
    <t>Time</t>
  </si>
  <si>
    <t>Uniform S</t>
  </si>
  <si>
    <r>
      <t xml:space="preserve">Uniform </t>
    </r>
    <r>
      <rPr>
        <b/>
        <sz val="11"/>
        <color theme="1"/>
        <rFont val="Calibri"/>
        <family val="2"/>
      </rPr>
      <t>σ</t>
    </r>
  </si>
  <si>
    <t>Std.S</t>
  </si>
  <si>
    <r>
      <t>Std.</t>
    </r>
    <r>
      <rPr>
        <b/>
        <sz val="11"/>
        <color theme="1"/>
        <rFont val="Calibri"/>
        <family val="2"/>
      </rPr>
      <t>σ</t>
    </r>
  </si>
  <si>
    <t>W1</t>
  </si>
  <si>
    <t>W2</t>
  </si>
  <si>
    <t>Variance</t>
  </si>
  <si>
    <t>Returns</t>
  </si>
  <si>
    <t>StockPrice</t>
  </si>
  <si>
    <t>CallPrice
ClosedForm</t>
  </si>
  <si>
    <t>IV(BS)</t>
  </si>
  <si>
    <t>Delta(BS)</t>
  </si>
  <si>
    <t>Short
Stock in $</t>
  </si>
  <si>
    <t>P&amp;L</t>
  </si>
  <si>
    <t>Realised
Variance</t>
  </si>
  <si>
    <t>Realised
Vol</t>
  </si>
  <si>
    <t>Delta(BS) in
RealVol</t>
  </si>
  <si>
    <t>Short Stock in $</t>
  </si>
  <si>
    <t>InitialVol</t>
  </si>
  <si>
    <t>PnL</t>
  </si>
  <si>
    <t>Correlation Matrix</t>
  </si>
  <si>
    <t>S</t>
  </si>
  <si>
    <t>σ</t>
  </si>
  <si>
    <t>Cholesky Decom</t>
  </si>
  <si>
    <t>Correlation 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</si>
</sst>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"/>
    <numFmt numFmtId="165" formatCode="0.00000"/>
    <numFmt numFmtId="166" formatCode="0.000000000000000"/>
    <numFmt numFmtId="167" formatCode="0.000000000000000000"/>
    <numFmt numFmtId="168" formatCode="0.00000000000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2"/>
      <color theme="1"/>
      <name val="Calibri"/>
      <family val="2"/>
    </font>
    <font>
      <b/>
      <i/>
      <sz val="12"/>
      <color theme="1"/>
      <name val="Calibri"/>
      <family val="2"/>
    </font>
    <font>
      <sz val="10"/>
      <name val="Arial"/>
      <family val="2"/>
    </font>
    <font>
      <b/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9" fontId="5" fillId="0" borderId="0" applyFont="0" applyFill="0" applyBorder="0" applyAlignment="0" applyProtection="0"/>
  </cellStyleXfs>
  <cellXfs count="2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1" xfId="0" applyFont="1" applyBorder="1"/>
    <xf numFmtId="0" fontId="0" fillId="0" borderId="1" xfId="0" applyFont="1" applyBorder="1"/>
    <xf numFmtId="0" fontId="4" fillId="0" borderId="1" xfId="0" applyFont="1" applyBorder="1"/>
    <xf numFmtId="0" fontId="3" fillId="0" borderId="2" xfId="0" applyFont="1" applyFill="1" applyBorder="1"/>
    <xf numFmtId="0" fontId="0" fillId="0" borderId="2" xfId="0" applyFont="1" applyFill="1" applyBorder="1"/>
    <xf numFmtId="0" fontId="0" fillId="0" borderId="0" xfId="0" applyBorder="1"/>
    <xf numFmtId="0" fontId="1" fillId="2" borderId="1" xfId="0" applyFont="1" applyFill="1" applyBorder="1" applyAlignment="1">
      <alignment horizontal="center"/>
    </xf>
    <xf numFmtId="0" fontId="1" fillId="0" borderId="0" xfId="0" applyFont="1" applyFill="1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 wrapText="1"/>
    </xf>
    <xf numFmtId="0" fontId="6" fillId="2" borderId="1" xfId="0" applyFont="1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3" xfId="0" applyFill="1" applyBorder="1"/>
    <xf numFmtId="0" fontId="0" fillId="0" borderId="3" xfId="0" applyFill="1" applyBorder="1" applyAlignment="1">
      <alignment horizontal="center"/>
    </xf>
    <xf numFmtId="164" fontId="0" fillId="0" borderId="1" xfId="0" applyNumberFormat="1" applyBorder="1"/>
    <xf numFmtId="0" fontId="0" fillId="0" borderId="1" xfId="0" applyBorder="1"/>
    <xf numFmtId="165" fontId="0" fillId="0" borderId="1" xfId="0" applyNumberFormat="1" applyBorder="1"/>
    <xf numFmtId="165" fontId="0" fillId="0" borderId="0" xfId="0" applyNumberFormat="1"/>
    <xf numFmtId="164" fontId="0" fillId="0" borderId="0" xfId="0" applyNumberFormat="1"/>
    <xf numFmtId="0" fontId="0" fillId="2" borderId="1" xfId="0" applyFill="1" applyBorder="1"/>
    <xf numFmtId="166" fontId="0" fillId="0" borderId="1" xfId="0" applyNumberFormat="1" applyBorder="1"/>
    <xf numFmtId="167" fontId="0" fillId="0" borderId="1" xfId="0" applyNumberFormat="1" applyBorder="1"/>
    <xf numFmtId="168" fontId="0" fillId="0" borderId="1" xfId="0" applyNumberFormat="1" applyBorder="1"/>
    <xf numFmtId="0" fontId="1" fillId="2" borderId="1" xfId="0" applyFont="1" applyFill="1" applyBorder="1" applyAlignment="1">
      <alignment horizontal="center"/>
    </xf>
  </cellXfs>
  <cellStyles count="3">
    <cellStyle name="Normal" xfId="0" builtinId="0"/>
    <cellStyle name="Normal 2" xfId="1"/>
    <cellStyle name="Percent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tx>
            <c:v>IV</c:v>
          </c:tx>
          <c:marker>
            <c:symbol val="none"/>
          </c:marker>
          <c:val>
            <c:numRef>
              <c:f>Simulation!$U$5:$U$254</c:f>
              <c:numCache>
                <c:formatCode>General</c:formatCode>
                <c:ptCount val="250"/>
                <c:pt idx="0">
                  <c:v>-22.113442894996339</c:v>
                </c:pt>
                <c:pt idx="1">
                  <c:v>-28.116958904682349</c:v>
                </c:pt>
                <c:pt idx="2">
                  <c:v>-43.31785659149358</c:v>
                </c:pt>
                <c:pt idx="3">
                  <c:v>-59.550181238938094</c:v>
                </c:pt>
                <c:pt idx="4">
                  <c:v>-64.938877143729002</c:v>
                </c:pt>
                <c:pt idx="5">
                  <c:v>-64.326955829712148</c:v>
                </c:pt>
                <c:pt idx="6">
                  <c:v>-62.525090900761377</c:v>
                </c:pt>
                <c:pt idx="7">
                  <c:v>-60.987560784776058</c:v>
                </c:pt>
                <c:pt idx="8">
                  <c:v>-59.085254256029813</c:v>
                </c:pt>
                <c:pt idx="9">
                  <c:v>-55.548138496121567</c:v>
                </c:pt>
                <c:pt idx="10">
                  <c:v>-51.07657895625514</c:v>
                </c:pt>
                <c:pt idx="11">
                  <c:v>-47.718678573466818</c:v>
                </c:pt>
                <c:pt idx="12">
                  <c:v>-46.629185655847138</c:v>
                </c:pt>
                <c:pt idx="13">
                  <c:v>-45.009563652353137</c:v>
                </c:pt>
                <c:pt idx="14">
                  <c:v>-41.890915337310737</c:v>
                </c:pt>
                <c:pt idx="15">
                  <c:v>-38.398335694904119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RealVol</c:v>
          </c:tx>
          <c:marker>
            <c:symbol val="none"/>
          </c:marker>
          <c:val>
            <c:numRef>
              <c:f>Simulation!$Z$6:$Z$254</c:f>
              <c:numCache>
                <c:formatCode>0.0000</c:formatCode>
                <c:ptCount val="249"/>
                <c:pt idx="0">
                  <c:v>-26.028753199958992</c:v>
                </c:pt>
                <c:pt idx="1">
                  <c:v>-29.371335949562674</c:v>
                </c:pt>
                <c:pt idx="2">
                  <c:v>-33.923241740915344</c:v>
                </c:pt>
                <c:pt idx="3">
                  <c:v>-68.880105067855126</c:v>
                </c:pt>
                <c:pt idx="4">
                  <c:v>-66.342630600764011</c:v>
                </c:pt>
                <c:pt idx="5">
                  <c:v>-58.709939163869308</c:v>
                </c:pt>
                <c:pt idx="6">
                  <c:v>-57.477907602599863</c:v>
                </c:pt>
                <c:pt idx="7">
                  <c:v>-61.091583498758531</c:v>
                </c:pt>
                <c:pt idx="8">
                  <c:v>-38.903209043825001</c:v>
                </c:pt>
                <c:pt idx="9">
                  <c:v>-53.438076041088564</c:v>
                </c:pt>
                <c:pt idx="10">
                  <c:v>-43.625037977942888</c:v>
                </c:pt>
                <c:pt idx="11">
                  <c:v>-31.583245185106215</c:v>
                </c:pt>
                <c:pt idx="12">
                  <c:v>-48.252953171138856</c:v>
                </c:pt>
                <c:pt idx="13">
                  <c:v>-41.750619036248928</c:v>
                </c:pt>
                <c:pt idx="14">
                  <c:v>-41.743745003901154</c:v>
                </c:pt>
                <c:pt idx="15">
                  <c:v>-37.531979278955333</c:v>
                </c:pt>
                <c:pt idx="16">
                  <c:v>-33.059835840196151</c:v>
                </c:pt>
                <c:pt idx="17">
                  <c:v>-27.196090567451428</c:v>
                </c:pt>
                <c:pt idx="18">
                  <c:v>-20.249570718229336</c:v>
                </c:pt>
                <c:pt idx="19">
                  <c:v>-13.706882045963354</c:v>
                </c:pt>
                <c:pt idx="20">
                  <c:v>-8.5923880786492184</c:v>
                </c:pt>
                <c:pt idx="21">
                  <c:v>-0.72325614365825031</c:v>
                </c:pt>
                <c:pt idx="22">
                  <c:v>5.6260004106805406</c:v>
                </c:pt>
                <c:pt idx="23">
                  <c:v>12.378995328687015</c:v>
                </c:pt>
                <c:pt idx="24">
                  <c:v>19.32765000800541</c:v>
                </c:pt>
                <c:pt idx="25">
                  <c:v>25.280036185961524</c:v>
                </c:pt>
                <c:pt idx="26">
                  <c:v>34.220334038048222</c:v>
                </c:pt>
                <c:pt idx="27">
                  <c:v>44.516839081576094</c:v>
                </c:pt>
                <c:pt idx="28">
                  <c:v>59.054709440587956</c:v>
                </c:pt>
                <c:pt idx="29">
                  <c:v>76.533389346561421</c:v>
                </c:pt>
                <c:pt idx="30">
                  <c:v>94.52246038598193</c:v>
                </c:pt>
                <c:pt idx="31">
                  <c:v>115.96181794835454</c:v>
                </c:pt>
                <c:pt idx="32">
                  <c:v>142.10358399937087</c:v>
                </c:pt>
                <c:pt idx="33">
                  <c:v>169.83586529219039</c:v>
                </c:pt>
                <c:pt idx="34">
                  <c:v>198.3452442203222</c:v>
                </c:pt>
                <c:pt idx="35">
                  <c:v>229.56529654321102</c:v>
                </c:pt>
                <c:pt idx="36">
                  <c:v>262.01780620296756</c:v>
                </c:pt>
                <c:pt idx="37">
                  <c:v>295.57369169798068</c:v>
                </c:pt>
                <c:pt idx="38">
                  <c:v>332.1457836177612</c:v>
                </c:pt>
                <c:pt idx="39">
                  <c:v>370.51253879923786</c:v>
                </c:pt>
                <c:pt idx="40">
                  <c:v>407.14383979061972</c:v>
                </c:pt>
                <c:pt idx="41">
                  <c:v>439.19776101839113</c:v>
                </c:pt>
                <c:pt idx="42">
                  <c:v>469.69619021651249</c:v>
                </c:pt>
                <c:pt idx="43">
                  <c:v>496.18642341069028</c:v>
                </c:pt>
                <c:pt idx="44">
                  <c:v>529.464134369254</c:v>
                </c:pt>
                <c:pt idx="45">
                  <c:v>556.26680852776974</c:v>
                </c:pt>
                <c:pt idx="46">
                  <c:v>575.21848930482031</c:v>
                </c:pt>
                <c:pt idx="47">
                  <c:v>589.34604100280603</c:v>
                </c:pt>
                <c:pt idx="48">
                  <c:v>602.4445505430707</c:v>
                </c:pt>
                <c:pt idx="49">
                  <c:v>609.98313267376545</c:v>
                </c:pt>
                <c:pt idx="50">
                  <c:v>610.67181502135793</c:v>
                </c:pt>
                <c:pt idx="51">
                  <c:v>619.52724799529631</c:v>
                </c:pt>
                <c:pt idx="52">
                  <c:v>624.3511478336751</c:v>
                </c:pt>
                <c:pt idx="53">
                  <c:v>631.55068874420942</c:v>
                </c:pt>
                <c:pt idx="54">
                  <c:v>642.38972853035523</c:v>
                </c:pt>
                <c:pt idx="55">
                  <c:v>648.13011411490106</c:v>
                </c:pt>
                <c:pt idx="56">
                  <c:v>649.4504486824942</c:v>
                </c:pt>
                <c:pt idx="57">
                  <c:v>648.26210386564946</c:v>
                </c:pt>
                <c:pt idx="58">
                  <c:v>645.73035649023325</c:v>
                </c:pt>
                <c:pt idx="59">
                  <c:v>656.59422386155666</c:v>
                </c:pt>
                <c:pt idx="60">
                  <c:v>675.42879852817941</c:v>
                </c:pt>
                <c:pt idx="61">
                  <c:v>689.04110934168045</c:v>
                </c:pt>
                <c:pt idx="62">
                  <c:v>712.87309520877136</c:v>
                </c:pt>
                <c:pt idx="63">
                  <c:v>743.56065957310466</c:v>
                </c:pt>
                <c:pt idx="64">
                  <c:v>768.38553694997131</c:v>
                </c:pt>
                <c:pt idx="65">
                  <c:v>807.45371768913537</c:v>
                </c:pt>
                <c:pt idx="66">
                  <c:v>850.579956967812</c:v>
                </c:pt>
                <c:pt idx="67">
                  <c:v>903.68053097379516</c:v>
                </c:pt>
                <c:pt idx="68">
                  <c:v>968.49713292766194</c:v>
                </c:pt>
                <c:pt idx="69">
                  <c:v>1045.0941707765683</c:v>
                </c:pt>
                <c:pt idx="70">
                  <c:v>1135.2661545059013</c:v>
                </c:pt>
                <c:pt idx="71">
                  <c:v>1219.9252193308278</c:v>
                </c:pt>
                <c:pt idx="72">
                  <c:v>1305.7759094705805</c:v>
                </c:pt>
                <c:pt idx="73">
                  <c:v>1399.4776326040494</c:v>
                </c:pt>
                <c:pt idx="74">
                  <c:v>1491.5972533678928</c:v>
                </c:pt>
                <c:pt idx="75">
                  <c:v>1582.7205752459968</c:v>
                </c:pt>
                <c:pt idx="76">
                  <c:v>1663.2864632503097</c:v>
                </c:pt>
                <c:pt idx="77">
                  <c:v>1724.5770890197975</c:v>
                </c:pt>
                <c:pt idx="78">
                  <c:v>1815.1844520498321</c:v>
                </c:pt>
                <c:pt idx="79">
                  <c:v>1926.8551821369226</c:v>
                </c:pt>
                <c:pt idx="80">
                  <c:v>2037.5396108905122</c:v>
                </c:pt>
                <c:pt idx="81">
                  <c:v>2109.1800071883035</c:v>
                </c:pt>
                <c:pt idx="82">
                  <c:v>2196.0342687360976</c:v>
                </c:pt>
                <c:pt idx="83">
                  <c:v>-7.4987769103218902</c:v>
                </c:pt>
                <c:pt idx="84">
                  <c:v>-7.4987769942416218</c:v>
                </c:pt>
                <c:pt idx="85">
                  <c:v>-7.4987770837622554</c:v>
                </c:pt>
                <c:pt idx="86">
                  <c:v>-7.498777152299521</c:v>
                </c:pt>
                <c:pt idx="87">
                  <c:v>-7.498777211471702</c:v>
                </c:pt>
                <c:pt idx="88">
                  <c:v>-7.4987772731548041</c:v>
                </c:pt>
                <c:pt idx="89">
                  <c:v>-7.4987773206648853</c:v>
                </c:pt>
                <c:pt idx="90">
                  <c:v>-7.4987773649530611</c:v>
                </c:pt>
                <c:pt idx="91">
                  <c:v>-7.4987774037815678</c:v>
                </c:pt>
                <c:pt idx="92">
                  <c:v>-7.4987774491026231</c:v>
                </c:pt>
                <c:pt idx="93">
                  <c:v>-7.4987774901034925</c:v>
                </c:pt>
                <c:pt idx="94">
                  <c:v>-7.4987775263873564</c:v>
                </c:pt>
                <c:pt idx="95">
                  <c:v>-7.4987775608999536</c:v>
                </c:pt>
                <c:pt idx="96">
                  <c:v>-7.4987775950898756</c:v>
                </c:pt>
                <c:pt idx="97">
                  <c:v>-7.4987776257984189</c:v>
                </c:pt>
                <c:pt idx="98">
                  <c:v>-7.4987776563665367</c:v>
                </c:pt>
                <c:pt idx="99">
                  <c:v>-7.4987776819647509</c:v>
                </c:pt>
                <c:pt idx="100">
                  <c:v>-7.4987777050008502</c:v>
                </c:pt>
                <c:pt idx="101">
                  <c:v>-7.4987777267376412</c:v>
                </c:pt>
                <c:pt idx="102">
                  <c:v>-7.4987777463632792</c:v>
                </c:pt>
                <c:pt idx="103">
                  <c:v>-7.4987777651437799</c:v>
                </c:pt>
                <c:pt idx="104">
                  <c:v>-7.498777780710788</c:v>
                </c:pt>
                <c:pt idx="105">
                  <c:v>-7.4987777952244894</c:v>
                </c:pt>
                <c:pt idx="106">
                  <c:v>-7.4987778087324228</c:v>
                </c:pt>
                <c:pt idx="107">
                  <c:v>-7.4987778203958015</c:v>
                </c:pt>
                <c:pt idx="108">
                  <c:v>-7.4987778306165822</c:v>
                </c:pt>
                <c:pt idx="109">
                  <c:v>-7.4987778385045472</c:v>
                </c:pt>
                <c:pt idx="110">
                  <c:v>-7.4987778449646116</c:v>
                </c:pt>
                <c:pt idx="111">
                  <c:v>-7.4987778509133411</c:v>
                </c:pt>
                <c:pt idx="112">
                  <c:v>-7.4987778557938505</c:v>
                </c:pt>
                <c:pt idx="113">
                  <c:v>-7.4987778599268546</c:v>
                </c:pt>
                <c:pt idx="114">
                  <c:v>-7.4987778633665343</c:v>
                </c:pt>
                <c:pt idx="115">
                  <c:v>-7.4987778660614701</c:v>
                </c:pt>
                <c:pt idx="116">
                  <c:v>-7.4987778681247299</c:v>
                </c:pt>
                <c:pt idx="117">
                  <c:v>-7.4987778696551484</c:v>
                </c:pt>
                <c:pt idx="118">
                  <c:v>-7.4987778707641048</c:v>
                </c:pt>
                <c:pt idx="119">
                  <c:v>-7.4987778717096223</c:v>
                </c:pt>
                <c:pt idx="120">
                  <c:v>-7.4987778724931502</c:v>
                </c:pt>
                <c:pt idx="121">
                  <c:v>-7.4987778730938048</c:v>
                </c:pt>
                <c:pt idx="122">
                  <c:v>-7.4987778734942783</c:v>
                </c:pt>
                <c:pt idx="123">
                  <c:v>-7.4987778737767572</c:v>
                </c:pt>
                <c:pt idx="124">
                  <c:v>-7.4987778739655573</c:v>
                </c:pt>
                <c:pt idx="125">
                  <c:v>-7.4987778740865645</c:v>
                </c:pt>
                <c:pt idx="126">
                  <c:v>-7.498777874170881</c:v>
                </c:pt>
                <c:pt idx="127">
                  <c:v>-7.4987778742032472</c:v>
                </c:pt>
                <c:pt idx="128">
                  <c:v>-7.4987778742111084</c:v>
                </c:pt>
                <c:pt idx="129">
                  <c:v>-7.4987778742018705</c:v>
                </c:pt>
                <c:pt idx="130">
                  <c:v>-7.4987778741842179</c:v>
                </c:pt>
                <c:pt idx="131">
                  <c:v>-7.4987778741413971</c:v>
                </c:pt>
                <c:pt idx="132">
                  <c:v>-7.498777874072176</c:v>
                </c:pt>
                <c:pt idx="133">
                  <c:v>-7.4987778740047482</c:v>
                </c:pt>
                <c:pt idx="134">
                  <c:v>-7.4987778739459099</c:v>
                </c:pt>
                <c:pt idx="135">
                  <c:v>-7.4987778738767759</c:v>
                </c:pt>
                <c:pt idx="136">
                  <c:v>-7.4987778738109956</c:v>
                </c:pt>
                <c:pt idx="137">
                  <c:v>-7.4987778737490025</c:v>
                </c:pt>
                <c:pt idx="138">
                  <c:v>-7.4987778736801918</c:v>
                </c:pt>
                <c:pt idx="139">
                  <c:v>-7.4987778736049968</c:v>
                </c:pt>
                <c:pt idx="140">
                  <c:v>-7.4987778735380095</c:v>
                </c:pt>
                <c:pt idx="141">
                  <c:v>-7.4987778734814077</c:v>
                </c:pt>
                <c:pt idx="142">
                  <c:v>-7.4987778734310062</c:v>
                </c:pt>
                <c:pt idx="143">
                  <c:v>-7.4987778733791091</c:v>
                </c:pt>
                <c:pt idx="144">
                  <c:v>-7.4987778733189403</c:v>
                </c:pt>
                <c:pt idx="145">
                  <c:v>-7.4987778732625001</c:v>
                </c:pt>
                <c:pt idx="146">
                  <c:v>-7.4987778732076613</c:v>
                </c:pt>
                <c:pt idx="147">
                  <c:v>-7.4987778731714663</c:v>
                </c:pt>
                <c:pt idx="148">
                  <c:v>-7.4987778731602956</c:v>
                </c:pt>
                <c:pt idx="149">
                  <c:v>-7.4987778731217105</c:v>
                </c:pt>
                <c:pt idx="150">
                  <c:v>-7.4987778731050767</c:v>
                </c:pt>
                <c:pt idx="151">
                  <c:v>-7.4987778730735091</c:v>
                </c:pt>
                <c:pt idx="152">
                  <c:v>-7.4987778730102619</c:v>
                </c:pt>
                <c:pt idx="153">
                  <c:v>-7.4987778729137249</c:v>
                </c:pt>
                <c:pt idx="154">
                  <c:v>-7.4987778727747774</c:v>
                </c:pt>
                <c:pt idx="155">
                  <c:v>-7.4987778726766123</c:v>
                </c:pt>
                <c:pt idx="156">
                  <c:v>-7.4987778725693888</c:v>
                </c:pt>
                <c:pt idx="157">
                  <c:v>-7.4987778724721093</c:v>
                </c:pt>
                <c:pt idx="158">
                  <c:v>-7.4987778723867047</c:v>
                </c:pt>
                <c:pt idx="159">
                  <c:v>-7.4987778722825542</c:v>
                </c:pt>
                <c:pt idx="160">
                  <c:v>-7.4987778721863299</c:v>
                </c:pt>
                <c:pt idx="161">
                  <c:v>-7.4987778721089224</c:v>
                </c:pt>
                <c:pt idx="162">
                  <c:v>-7.4987778720399936</c:v>
                </c:pt>
                <c:pt idx="163">
                  <c:v>-7.4987778719439255</c:v>
                </c:pt>
                <c:pt idx="164">
                  <c:v>-7.4987778718867135</c:v>
                </c:pt>
                <c:pt idx="165">
                  <c:v>-7.4987778718247844</c:v>
                </c:pt>
                <c:pt idx="166">
                  <c:v>-7.4987778717473992</c:v>
                </c:pt>
                <c:pt idx="167">
                  <c:v>-7.498777871689092</c:v>
                </c:pt>
                <c:pt idx="168">
                  <c:v>-7.4987778716113684</c:v>
                </c:pt>
                <c:pt idx="169">
                  <c:v>-7.4987778715573521</c:v>
                </c:pt>
                <c:pt idx="170">
                  <c:v>-7.4987778714683593</c:v>
                </c:pt>
                <c:pt idx="171">
                  <c:v>-7.4987778713733206</c:v>
                </c:pt>
                <c:pt idx="172">
                  <c:v>-7.4987778712213684</c:v>
                </c:pt>
                <c:pt idx="173">
                  <c:v>-7.4987778710945108</c:v>
                </c:pt>
                <c:pt idx="174">
                  <c:v>-7.4987778709908559</c:v>
                </c:pt>
                <c:pt idx="175">
                  <c:v>-7.4987778709205495</c:v>
                </c:pt>
                <c:pt idx="176">
                  <c:v>-7.4987778708471415</c:v>
                </c:pt>
                <c:pt idx="177">
                  <c:v>-7.4987778707727859</c:v>
                </c:pt>
                <c:pt idx="178">
                  <c:v>-7.4987778706972037</c:v>
                </c:pt>
                <c:pt idx="179">
                  <c:v>-7.4987778706090946</c:v>
                </c:pt>
                <c:pt idx="180">
                  <c:v>-7.498777870512475</c:v>
                </c:pt>
                <c:pt idx="181">
                  <c:v>-7.4987778704193584</c:v>
                </c:pt>
                <c:pt idx="182">
                  <c:v>-7.4987778703104357</c:v>
                </c:pt>
                <c:pt idx="183">
                  <c:v>-7.4987778702066796</c:v>
                </c:pt>
                <c:pt idx="184">
                  <c:v>-7.4987778701149255</c:v>
                </c:pt>
                <c:pt idx="185">
                  <c:v>-7.498777870030735</c:v>
                </c:pt>
                <c:pt idx="186">
                  <c:v>-7.4987778699716729</c:v>
                </c:pt>
                <c:pt idx="187">
                  <c:v>-7.498777869921005</c:v>
                </c:pt>
                <c:pt idx="188">
                  <c:v>-7.4987778698707706</c:v>
                </c:pt>
                <c:pt idx="189">
                  <c:v>-7.4987778698194871</c:v>
                </c:pt>
                <c:pt idx="190">
                  <c:v>-7.4987778697809402</c:v>
                </c:pt>
                <c:pt idx="191">
                  <c:v>-7.4987778697510983</c:v>
                </c:pt>
                <c:pt idx="192">
                  <c:v>-7.4987778697138587</c:v>
                </c:pt>
                <c:pt idx="193">
                  <c:v>-7.498777869656152</c:v>
                </c:pt>
                <c:pt idx="194">
                  <c:v>-7.4987778695858651</c:v>
                </c:pt>
                <c:pt idx="195">
                  <c:v>-7.4987778695050977</c:v>
                </c:pt>
                <c:pt idx="196">
                  <c:v>-7.4987778694195182</c:v>
                </c:pt>
                <c:pt idx="197">
                  <c:v>-7.4987778693709783</c:v>
                </c:pt>
                <c:pt idx="198">
                  <c:v>-7.4987778693210387</c:v>
                </c:pt>
                <c:pt idx="199">
                  <c:v>-7.4987778692966334</c:v>
                </c:pt>
                <c:pt idx="200">
                  <c:v>-7.4987778692634199</c:v>
                </c:pt>
                <c:pt idx="201">
                  <c:v>-7.4987778692236216</c:v>
                </c:pt>
                <c:pt idx="202">
                  <c:v>-7.4987778692202198</c:v>
                </c:pt>
                <c:pt idx="203">
                  <c:v>-7.4987778692006293</c:v>
                </c:pt>
                <c:pt idx="204">
                  <c:v>-7.4987778691778697</c:v>
                </c:pt>
                <c:pt idx="205">
                  <c:v>-7.4987778691485074</c:v>
                </c:pt>
                <c:pt idx="206">
                  <c:v>-7.4987778691085261</c:v>
                </c:pt>
                <c:pt idx="207">
                  <c:v>-7.4987778690731339</c:v>
                </c:pt>
                <c:pt idx="208">
                  <c:v>-7.4987778690574514</c:v>
                </c:pt>
                <c:pt idx="209">
                  <c:v>-7.4987778690275775</c:v>
                </c:pt>
                <c:pt idx="210">
                  <c:v>-7.4987778690106808</c:v>
                </c:pt>
                <c:pt idx="211">
                  <c:v>-7.4987778689816862</c:v>
                </c:pt>
                <c:pt idx="212">
                  <c:v>-7.4987778689508042</c:v>
                </c:pt>
                <c:pt idx="213">
                  <c:v>-7.4987778689289017</c:v>
                </c:pt>
                <c:pt idx="214">
                  <c:v>-7.498777868883808</c:v>
                </c:pt>
                <c:pt idx="215">
                  <c:v>-7.4987778688308193</c:v>
                </c:pt>
                <c:pt idx="216">
                  <c:v>-7.4987778687710804</c:v>
                </c:pt>
                <c:pt idx="217">
                  <c:v>-7.4987778687189861</c:v>
                </c:pt>
                <c:pt idx="218">
                  <c:v>-7.4987778686926143</c:v>
                </c:pt>
                <c:pt idx="219">
                  <c:v>-7.4987778686614339</c:v>
                </c:pt>
                <c:pt idx="220">
                  <c:v>-7.4987778686259512</c:v>
                </c:pt>
                <c:pt idx="221">
                  <c:v>-7.4987778685899542</c:v>
                </c:pt>
                <c:pt idx="222">
                  <c:v>-7.4987778685452744</c:v>
                </c:pt>
                <c:pt idx="223">
                  <c:v>-7.4987778685044182</c:v>
                </c:pt>
                <c:pt idx="224">
                  <c:v>-7.4987778684579007</c:v>
                </c:pt>
                <c:pt idx="225">
                  <c:v>-7.4987778684178945</c:v>
                </c:pt>
                <c:pt idx="226">
                  <c:v>-7.4987778683746384</c:v>
                </c:pt>
                <c:pt idx="227">
                  <c:v>-7.4987778683351873</c:v>
                </c:pt>
                <c:pt idx="228">
                  <c:v>-7.4987778682980872</c:v>
                </c:pt>
                <c:pt idx="229">
                  <c:v>-7.4987778682364423</c:v>
                </c:pt>
                <c:pt idx="230">
                  <c:v>-7.4987778681777648</c:v>
                </c:pt>
                <c:pt idx="231">
                  <c:v>-7.4987778681351731</c:v>
                </c:pt>
                <c:pt idx="232">
                  <c:v>-7.4987778680881867</c:v>
                </c:pt>
                <c:pt idx="233">
                  <c:v>-7.4987778680320583</c:v>
                </c:pt>
                <c:pt idx="234">
                  <c:v>-7.4987778679827644</c:v>
                </c:pt>
                <c:pt idx="235">
                  <c:v>-7.4987778679386112</c:v>
                </c:pt>
                <c:pt idx="236">
                  <c:v>-7.4987778678705794</c:v>
                </c:pt>
                <c:pt idx="237">
                  <c:v>-7.4987778678097214</c:v>
                </c:pt>
                <c:pt idx="238">
                  <c:v>-7.4987778677437884</c:v>
                </c:pt>
                <c:pt idx="239">
                  <c:v>-7.4987778677028603</c:v>
                </c:pt>
                <c:pt idx="240">
                  <c:v>-7.4987778676688848</c:v>
                </c:pt>
                <c:pt idx="241">
                  <c:v>-7.4987778676442778</c:v>
                </c:pt>
                <c:pt idx="242">
                  <c:v>-7.4987778676368126</c:v>
                </c:pt>
                <c:pt idx="243">
                  <c:v>-7.498777867643855</c:v>
                </c:pt>
                <c:pt idx="244">
                  <c:v>-7.4987778676530752</c:v>
                </c:pt>
                <c:pt idx="245">
                  <c:v>-7.4987778676568047</c:v>
                </c:pt>
                <c:pt idx="246">
                  <c:v>-7.4987778676528976</c:v>
                </c:pt>
                <c:pt idx="247">
                  <c:v>-7.4987778676538452</c:v>
                </c:pt>
                <c:pt idx="248">
                  <c:v>-7.498777867666254</c:v>
                </c:pt>
              </c:numCache>
            </c:numRef>
          </c:val>
          <c:smooth val="0"/>
        </c:ser>
        <c:ser>
          <c:idx val="2"/>
          <c:order val="2"/>
          <c:tx>
            <c:v>InitialVol</c:v>
          </c:tx>
          <c:marker>
            <c:symbol val="none"/>
          </c:marker>
          <c:val>
            <c:numRef>
              <c:f>Simulation!$AD$5:$AD$254</c:f>
              <c:numCache>
                <c:formatCode>General</c:formatCode>
                <c:ptCount val="250"/>
                <c:pt idx="0">
                  <c:v>-22.113442894996339</c:v>
                </c:pt>
                <c:pt idx="1">
                  <c:v>-28.123174355025601</c:v>
                </c:pt>
                <c:pt idx="2">
                  <c:v>-43.379088485934361</c:v>
                </c:pt>
                <c:pt idx="3">
                  <c:v>-59.669076068467142</c:v>
                </c:pt>
                <c:pt idx="4">
                  <c:v>-65.001919078440096</c:v>
                </c:pt>
                <c:pt idx="5">
                  <c:v>-64.337069151112672</c:v>
                </c:pt>
                <c:pt idx="6">
                  <c:v>-62.520647497259034</c:v>
                </c:pt>
                <c:pt idx="7">
                  <c:v>-60.979628907669763</c:v>
                </c:pt>
                <c:pt idx="8">
                  <c:v>-59.076179313539456</c:v>
                </c:pt>
                <c:pt idx="9">
                  <c:v>-55.538824378341971</c:v>
                </c:pt>
                <c:pt idx="10">
                  <c:v>-51.067257972904031</c:v>
                </c:pt>
                <c:pt idx="11">
                  <c:v>-47.709357552287322</c:v>
                </c:pt>
                <c:pt idx="12">
                  <c:v>-46.619864634281825</c:v>
                </c:pt>
                <c:pt idx="13">
                  <c:v>-45.000242630698366</c:v>
                </c:pt>
                <c:pt idx="14">
                  <c:v>-41.881594315646538</c:v>
                </c:pt>
                <c:pt idx="15">
                  <c:v>-38.389014673239821</c:v>
                </c:pt>
                <c:pt idx="16">
                  <c:v>-34.17724898895974</c:v>
                </c:pt>
                <c:pt idx="17">
                  <c:v>-29.705105508104658</c:v>
                </c:pt>
                <c:pt idx="18">
                  <c:v>-23.844786173792009</c:v>
                </c:pt>
                <c:pt idx="19">
                  <c:v>-16.894672668945212</c:v>
                </c:pt>
                <c:pt idx="20">
                  <c:v>-10.351983997475379</c:v>
                </c:pt>
                <c:pt idx="21">
                  <c:v>-5.2436645086326408</c:v>
                </c:pt>
                <c:pt idx="22">
                  <c:v>2.5210887040025582</c:v>
                </c:pt>
                <c:pt idx="23">
                  <c:v>8.9851246588562717</c:v>
                </c:pt>
                <c:pt idx="24">
                  <c:v>15.738224150540852</c:v>
                </c:pt>
                <c:pt idx="25">
                  <c:v>22.686878829859246</c:v>
                </c:pt>
                <c:pt idx="26">
                  <c:v>28.639265007815361</c:v>
                </c:pt>
                <c:pt idx="27">
                  <c:v>37.579039673834977</c:v>
                </c:pt>
                <c:pt idx="28">
                  <c:v>47.87609242717965</c:v>
                </c:pt>
                <c:pt idx="29">
                  <c:v>62.412599111704814</c:v>
                </c:pt>
                <c:pt idx="30">
                  <c:v>79.892738055397018</c:v>
                </c:pt>
                <c:pt idx="31">
                  <c:v>97.881809094817527</c:v>
                </c:pt>
                <c:pt idx="32">
                  <c:v>119.32116665719013</c:v>
                </c:pt>
                <c:pt idx="33">
                  <c:v>145.46293270820647</c:v>
                </c:pt>
                <c:pt idx="34">
                  <c:v>173.19521400102599</c:v>
                </c:pt>
                <c:pt idx="35">
                  <c:v>201.7045929291578</c:v>
                </c:pt>
                <c:pt idx="36">
                  <c:v>232.92464525204662</c:v>
                </c:pt>
                <c:pt idx="37">
                  <c:v>265.37715491180313</c:v>
                </c:pt>
                <c:pt idx="38">
                  <c:v>298.93304040681625</c:v>
                </c:pt>
                <c:pt idx="39">
                  <c:v>335.50513232659677</c:v>
                </c:pt>
                <c:pt idx="40">
                  <c:v>373.87188750807343</c:v>
                </c:pt>
                <c:pt idx="41">
                  <c:v>410.50318849945529</c:v>
                </c:pt>
                <c:pt idx="42">
                  <c:v>442.5571097272267</c:v>
                </c:pt>
                <c:pt idx="43">
                  <c:v>473.05553892534806</c:v>
                </c:pt>
                <c:pt idx="44">
                  <c:v>499.54577211952585</c:v>
                </c:pt>
                <c:pt idx="45">
                  <c:v>532.82348307808957</c:v>
                </c:pt>
                <c:pt idx="46">
                  <c:v>559.62615723660531</c:v>
                </c:pt>
                <c:pt idx="47">
                  <c:v>578.57783801365588</c:v>
                </c:pt>
                <c:pt idx="48">
                  <c:v>592.7053897116416</c:v>
                </c:pt>
                <c:pt idx="49">
                  <c:v>605.80389925190627</c:v>
                </c:pt>
                <c:pt idx="50">
                  <c:v>613.34248138260102</c:v>
                </c:pt>
                <c:pt idx="51">
                  <c:v>614.0311637301935</c:v>
                </c:pt>
                <c:pt idx="52">
                  <c:v>622.88659670413188</c:v>
                </c:pt>
                <c:pt idx="53">
                  <c:v>627.71049654251067</c:v>
                </c:pt>
                <c:pt idx="54">
                  <c:v>634.91003745304499</c:v>
                </c:pt>
                <c:pt idx="55">
                  <c:v>645.7490772391908</c:v>
                </c:pt>
                <c:pt idx="56">
                  <c:v>651.48946282373663</c:v>
                </c:pt>
                <c:pt idx="57">
                  <c:v>652.80979739132977</c:v>
                </c:pt>
                <c:pt idx="58">
                  <c:v>651.62145257448503</c:v>
                </c:pt>
                <c:pt idx="59">
                  <c:v>649.08970519906882</c:v>
                </c:pt>
                <c:pt idx="60">
                  <c:v>659.95357257039223</c:v>
                </c:pt>
                <c:pt idx="61">
                  <c:v>678.78814723701498</c:v>
                </c:pt>
                <c:pt idx="62">
                  <c:v>692.40045805051602</c:v>
                </c:pt>
                <c:pt idx="63">
                  <c:v>716.23244391760693</c:v>
                </c:pt>
                <c:pt idx="64">
                  <c:v>746.92000828194023</c:v>
                </c:pt>
                <c:pt idx="65">
                  <c:v>771.74488565880688</c:v>
                </c:pt>
                <c:pt idx="66">
                  <c:v>810.81306639797094</c:v>
                </c:pt>
                <c:pt idx="67">
                  <c:v>853.93930567664756</c:v>
                </c:pt>
                <c:pt idx="68">
                  <c:v>907.03987968263073</c:v>
                </c:pt>
                <c:pt idx="69">
                  <c:v>971.85648163649751</c:v>
                </c:pt>
                <c:pt idx="70">
                  <c:v>1048.4535194854038</c:v>
                </c:pt>
                <c:pt idx="71">
                  <c:v>1138.6255032147369</c:v>
                </c:pt>
                <c:pt idx="72">
                  <c:v>1223.2845680396633</c:v>
                </c:pt>
                <c:pt idx="73">
                  <c:v>1309.135258179416</c:v>
                </c:pt>
                <c:pt idx="74">
                  <c:v>1402.836981312885</c:v>
                </c:pt>
                <c:pt idx="75">
                  <c:v>1494.9566020767284</c:v>
                </c:pt>
                <c:pt idx="76">
                  <c:v>1586.0799239548323</c:v>
                </c:pt>
                <c:pt idx="77">
                  <c:v>1666.6458119591452</c:v>
                </c:pt>
                <c:pt idx="78">
                  <c:v>1727.9364377286331</c:v>
                </c:pt>
                <c:pt idx="79">
                  <c:v>1818.5438007586677</c:v>
                </c:pt>
                <c:pt idx="80">
                  <c:v>1930.2145308457582</c:v>
                </c:pt>
                <c:pt idx="81">
                  <c:v>2040.8989595993478</c:v>
                </c:pt>
                <c:pt idx="82">
                  <c:v>2112.5393558971391</c:v>
                </c:pt>
                <c:pt idx="83">
                  <c:v>2199.3936174449332</c:v>
                </c:pt>
                <c:pt idx="84">
                  <c:v>-2.5925421597672655</c:v>
                </c:pt>
                <c:pt idx="85">
                  <c:v>-2.5925422436869976</c:v>
                </c:pt>
                <c:pt idx="86">
                  <c:v>-2.5925423332076316</c:v>
                </c:pt>
                <c:pt idx="87">
                  <c:v>-2.5925424017448973</c:v>
                </c:pt>
                <c:pt idx="88">
                  <c:v>-2.5925424609170782</c:v>
                </c:pt>
                <c:pt idx="89">
                  <c:v>-2.5925425226001808</c:v>
                </c:pt>
                <c:pt idx="90">
                  <c:v>-2.5925425701102616</c:v>
                </c:pt>
                <c:pt idx="91">
                  <c:v>-2.5925426143984374</c:v>
                </c:pt>
                <c:pt idx="92">
                  <c:v>-2.592542653226944</c:v>
                </c:pt>
                <c:pt idx="93">
                  <c:v>-2.5925426985479993</c:v>
                </c:pt>
                <c:pt idx="94">
                  <c:v>-2.5925427395488683</c:v>
                </c:pt>
                <c:pt idx="95">
                  <c:v>-2.5925427758327322</c:v>
                </c:pt>
                <c:pt idx="96">
                  <c:v>-2.5925428103453294</c:v>
                </c:pt>
                <c:pt idx="97">
                  <c:v>-2.5925428445352519</c:v>
                </c:pt>
                <c:pt idx="98">
                  <c:v>-2.5925428752437947</c:v>
                </c:pt>
                <c:pt idx="99">
                  <c:v>-2.592542905811912</c:v>
                </c:pt>
                <c:pt idx="100">
                  <c:v>-2.5925429314101267</c:v>
                </c:pt>
                <c:pt idx="101">
                  <c:v>-2.592542954446226</c:v>
                </c:pt>
                <c:pt idx="102">
                  <c:v>-2.5925429761830165</c:v>
                </c:pt>
                <c:pt idx="103">
                  <c:v>-2.5925429958086541</c:v>
                </c:pt>
                <c:pt idx="104">
                  <c:v>-2.5925430145891548</c:v>
                </c:pt>
                <c:pt idx="105">
                  <c:v>-2.5925430301561629</c:v>
                </c:pt>
                <c:pt idx="106">
                  <c:v>-2.5925430446698638</c:v>
                </c:pt>
                <c:pt idx="107">
                  <c:v>-2.5925430581777968</c:v>
                </c:pt>
                <c:pt idx="108">
                  <c:v>-2.5925430698411751</c:v>
                </c:pt>
                <c:pt idx="109">
                  <c:v>-2.5925430800619558</c:v>
                </c:pt>
                <c:pt idx="110">
                  <c:v>-2.5925430879499212</c:v>
                </c:pt>
                <c:pt idx="111">
                  <c:v>-2.5925430944099856</c:v>
                </c:pt>
                <c:pt idx="112">
                  <c:v>-2.5925431003587147</c:v>
                </c:pt>
                <c:pt idx="113">
                  <c:v>-2.5925431052392245</c:v>
                </c:pt>
                <c:pt idx="114">
                  <c:v>-2.5925431093722286</c:v>
                </c:pt>
                <c:pt idx="115">
                  <c:v>-2.5925431128119087</c:v>
                </c:pt>
                <c:pt idx="116">
                  <c:v>-2.5925431155068446</c:v>
                </c:pt>
                <c:pt idx="117">
                  <c:v>-2.5925431175701044</c:v>
                </c:pt>
                <c:pt idx="118">
                  <c:v>-2.5925431191005224</c:v>
                </c:pt>
                <c:pt idx="119">
                  <c:v>-2.5925431202094789</c:v>
                </c:pt>
                <c:pt idx="120">
                  <c:v>-2.5925431211549963</c:v>
                </c:pt>
                <c:pt idx="121">
                  <c:v>-2.5925431219385242</c:v>
                </c:pt>
                <c:pt idx="122">
                  <c:v>-2.5925431225391788</c:v>
                </c:pt>
                <c:pt idx="123">
                  <c:v>-2.5925431229396523</c:v>
                </c:pt>
                <c:pt idx="124">
                  <c:v>-2.5925431232221312</c:v>
                </c:pt>
                <c:pt idx="125">
                  <c:v>-2.5925431234109313</c:v>
                </c:pt>
                <c:pt idx="126">
                  <c:v>-2.5925431235319389</c:v>
                </c:pt>
                <c:pt idx="127">
                  <c:v>-2.5925431236162551</c:v>
                </c:pt>
                <c:pt idx="128">
                  <c:v>-2.5925431236486207</c:v>
                </c:pt>
                <c:pt idx="129">
                  <c:v>-2.592543123656482</c:v>
                </c:pt>
                <c:pt idx="130">
                  <c:v>-2.592543123647244</c:v>
                </c:pt>
                <c:pt idx="131">
                  <c:v>-2.5925431236295915</c:v>
                </c:pt>
                <c:pt idx="132">
                  <c:v>-2.5925431235867706</c:v>
                </c:pt>
                <c:pt idx="133">
                  <c:v>-2.5925431235175496</c:v>
                </c:pt>
                <c:pt idx="134">
                  <c:v>-2.5925431234501213</c:v>
                </c:pt>
                <c:pt idx="135">
                  <c:v>-2.5925431233912835</c:v>
                </c:pt>
                <c:pt idx="136">
                  <c:v>-2.5925431233221494</c:v>
                </c:pt>
                <c:pt idx="137">
                  <c:v>-2.5925431232563696</c:v>
                </c:pt>
                <c:pt idx="138">
                  <c:v>-2.592543123194377</c:v>
                </c:pt>
                <c:pt idx="139">
                  <c:v>-2.5925431231255658</c:v>
                </c:pt>
                <c:pt idx="140">
                  <c:v>-2.5925431230503708</c:v>
                </c:pt>
                <c:pt idx="141">
                  <c:v>-2.5925431229833831</c:v>
                </c:pt>
                <c:pt idx="142">
                  <c:v>-2.5925431229267817</c:v>
                </c:pt>
                <c:pt idx="143">
                  <c:v>-2.5925431228763802</c:v>
                </c:pt>
                <c:pt idx="144">
                  <c:v>-2.5925431228244835</c:v>
                </c:pt>
                <c:pt idx="145">
                  <c:v>-2.5925431227643148</c:v>
                </c:pt>
                <c:pt idx="146">
                  <c:v>-2.5925431227078741</c:v>
                </c:pt>
                <c:pt idx="147">
                  <c:v>-2.5925431226530353</c:v>
                </c:pt>
                <c:pt idx="148">
                  <c:v>-2.5925431226168407</c:v>
                </c:pt>
                <c:pt idx="149">
                  <c:v>-2.5925431226056705</c:v>
                </c:pt>
                <c:pt idx="150">
                  <c:v>-2.5925431225670854</c:v>
                </c:pt>
                <c:pt idx="151">
                  <c:v>-2.5925431225504516</c:v>
                </c:pt>
                <c:pt idx="152">
                  <c:v>-2.5925431225188844</c:v>
                </c:pt>
                <c:pt idx="153">
                  <c:v>-2.5925431224556377</c:v>
                </c:pt>
                <c:pt idx="154">
                  <c:v>-2.5925431223591007</c:v>
                </c:pt>
                <c:pt idx="155">
                  <c:v>-2.5925431222201532</c:v>
                </c:pt>
                <c:pt idx="156">
                  <c:v>-2.5925431221219877</c:v>
                </c:pt>
                <c:pt idx="157">
                  <c:v>-2.5925431220147646</c:v>
                </c:pt>
                <c:pt idx="158">
                  <c:v>-2.592543121917485</c:v>
                </c:pt>
                <c:pt idx="159">
                  <c:v>-2.5925431218320809</c:v>
                </c:pt>
                <c:pt idx="160">
                  <c:v>-2.5925431217279304</c:v>
                </c:pt>
                <c:pt idx="161">
                  <c:v>-2.5925431216317061</c:v>
                </c:pt>
                <c:pt idx="162">
                  <c:v>-2.5925431215542987</c:v>
                </c:pt>
                <c:pt idx="163">
                  <c:v>-2.5925431214853698</c:v>
                </c:pt>
                <c:pt idx="164">
                  <c:v>-2.5925431213893018</c:v>
                </c:pt>
                <c:pt idx="165">
                  <c:v>-2.5925431213320898</c:v>
                </c:pt>
                <c:pt idx="166">
                  <c:v>-2.5925431212701606</c:v>
                </c:pt>
                <c:pt idx="167">
                  <c:v>-2.5925431211927754</c:v>
                </c:pt>
                <c:pt idx="168">
                  <c:v>-2.5925431211344683</c:v>
                </c:pt>
                <c:pt idx="169">
                  <c:v>-2.5925431210567451</c:v>
                </c:pt>
                <c:pt idx="170">
                  <c:v>-2.5925431210027288</c:v>
                </c:pt>
                <c:pt idx="171">
                  <c:v>-2.5925431209137364</c:v>
                </c:pt>
                <c:pt idx="172">
                  <c:v>-2.5925431208186978</c:v>
                </c:pt>
                <c:pt idx="173">
                  <c:v>-2.5925431206667455</c:v>
                </c:pt>
                <c:pt idx="174">
                  <c:v>-2.5925431205398874</c:v>
                </c:pt>
                <c:pt idx="175">
                  <c:v>-2.592543120436233</c:v>
                </c:pt>
                <c:pt idx="176">
                  <c:v>-2.5925431203659266</c:v>
                </c:pt>
                <c:pt idx="177">
                  <c:v>-2.5925431202925182</c:v>
                </c:pt>
                <c:pt idx="178">
                  <c:v>-2.5925431202181621</c:v>
                </c:pt>
                <c:pt idx="179">
                  <c:v>-2.5925431201425795</c:v>
                </c:pt>
                <c:pt idx="180">
                  <c:v>-2.5925431200544704</c:v>
                </c:pt>
                <c:pt idx="181">
                  <c:v>-2.5925431199578508</c:v>
                </c:pt>
                <c:pt idx="182">
                  <c:v>-2.5925431198647342</c:v>
                </c:pt>
                <c:pt idx="183">
                  <c:v>-2.592543119755812</c:v>
                </c:pt>
                <c:pt idx="184">
                  <c:v>-2.5925431196520563</c:v>
                </c:pt>
                <c:pt idx="185">
                  <c:v>-2.5925431195603026</c:v>
                </c:pt>
                <c:pt idx="186">
                  <c:v>-2.5925431194761126</c:v>
                </c:pt>
                <c:pt idx="187">
                  <c:v>-2.5925431194170505</c:v>
                </c:pt>
                <c:pt idx="188">
                  <c:v>-2.5925431193663826</c:v>
                </c:pt>
                <c:pt idx="189">
                  <c:v>-2.5925431193161481</c:v>
                </c:pt>
                <c:pt idx="190">
                  <c:v>-2.5925431192648647</c:v>
                </c:pt>
                <c:pt idx="191">
                  <c:v>-2.5925431192263173</c:v>
                </c:pt>
                <c:pt idx="192">
                  <c:v>-2.5925431191964754</c:v>
                </c:pt>
                <c:pt idx="193">
                  <c:v>-2.5925431191592363</c:v>
                </c:pt>
                <c:pt idx="194">
                  <c:v>-2.59254311910153</c:v>
                </c:pt>
                <c:pt idx="195">
                  <c:v>-2.5925431190312431</c:v>
                </c:pt>
                <c:pt idx="196">
                  <c:v>-2.5925431189504762</c:v>
                </c:pt>
                <c:pt idx="197">
                  <c:v>-2.5925431188648971</c:v>
                </c:pt>
                <c:pt idx="198">
                  <c:v>-2.5925431188163572</c:v>
                </c:pt>
                <c:pt idx="199">
                  <c:v>-2.5925431187664172</c:v>
                </c:pt>
                <c:pt idx="200">
                  <c:v>-2.5925431187420123</c:v>
                </c:pt>
                <c:pt idx="201">
                  <c:v>-2.5925431187087988</c:v>
                </c:pt>
                <c:pt idx="202">
                  <c:v>-2.5925431186690004</c:v>
                </c:pt>
                <c:pt idx="203">
                  <c:v>-2.5925431186655983</c:v>
                </c:pt>
                <c:pt idx="204">
                  <c:v>-2.5925431186460077</c:v>
                </c:pt>
                <c:pt idx="205">
                  <c:v>-2.5925431186232482</c:v>
                </c:pt>
                <c:pt idx="206">
                  <c:v>-2.5925431185938859</c:v>
                </c:pt>
                <c:pt idx="207">
                  <c:v>-2.5925431185539045</c:v>
                </c:pt>
                <c:pt idx="208">
                  <c:v>-2.5925431185185124</c:v>
                </c:pt>
                <c:pt idx="209">
                  <c:v>-2.5925431185028298</c:v>
                </c:pt>
                <c:pt idx="210">
                  <c:v>-2.5925431184729559</c:v>
                </c:pt>
                <c:pt idx="211">
                  <c:v>-2.5925431184560592</c:v>
                </c:pt>
                <c:pt idx="212">
                  <c:v>-2.5925431184270651</c:v>
                </c:pt>
                <c:pt idx="213">
                  <c:v>-2.5925431183961836</c:v>
                </c:pt>
                <c:pt idx="214">
                  <c:v>-2.5925431183742811</c:v>
                </c:pt>
                <c:pt idx="215">
                  <c:v>-2.5925431183291874</c:v>
                </c:pt>
                <c:pt idx="216">
                  <c:v>-2.5925431182761982</c:v>
                </c:pt>
                <c:pt idx="217">
                  <c:v>-2.5925431182164593</c:v>
                </c:pt>
                <c:pt idx="218">
                  <c:v>-2.5925431181643654</c:v>
                </c:pt>
                <c:pt idx="219">
                  <c:v>-2.5925431181379937</c:v>
                </c:pt>
                <c:pt idx="220">
                  <c:v>-2.5925431181068128</c:v>
                </c:pt>
                <c:pt idx="221">
                  <c:v>-2.5925431180713305</c:v>
                </c:pt>
                <c:pt idx="222">
                  <c:v>-2.592543118035334</c:v>
                </c:pt>
                <c:pt idx="223">
                  <c:v>-2.5925431179906542</c:v>
                </c:pt>
                <c:pt idx="224">
                  <c:v>-2.5925431179497975</c:v>
                </c:pt>
                <c:pt idx="225">
                  <c:v>-2.5925431179032801</c:v>
                </c:pt>
                <c:pt idx="226">
                  <c:v>-2.5925431178632738</c:v>
                </c:pt>
                <c:pt idx="227">
                  <c:v>-2.5925431178200182</c:v>
                </c:pt>
                <c:pt idx="228">
                  <c:v>-2.5925431177805671</c:v>
                </c:pt>
                <c:pt idx="229">
                  <c:v>-2.592543117743467</c:v>
                </c:pt>
                <c:pt idx="230">
                  <c:v>-2.5925431176818226</c:v>
                </c:pt>
                <c:pt idx="231">
                  <c:v>-2.592543117623145</c:v>
                </c:pt>
                <c:pt idx="232">
                  <c:v>-2.5925431175805529</c:v>
                </c:pt>
                <c:pt idx="233">
                  <c:v>-2.5925431175335669</c:v>
                </c:pt>
                <c:pt idx="234">
                  <c:v>-2.5925431174774385</c:v>
                </c:pt>
                <c:pt idx="235">
                  <c:v>-2.5925431174281441</c:v>
                </c:pt>
                <c:pt idx="236">
                  <c:v>-2.592543117383991</c:v>
                </c:pt>
                <c:pt idx="237">
                  <c:v>-2.5925431173159592</c:v>
                </c:pt>
                <c:pt idx="238">
                  <c:v>-2.5925431172551012</c:v>
                </c:pt>
                <c:pt idx="239">
                  <c:v>-2.5925431171891677</c:v>
                </c:pt>
                <c:pt idx="240">
                  <c:v>-2.5925431171482392</c:v>
                </c:pt>
                <c:pt idx="241">
                  <c:v>-2.5925431171142632</c:v>
                </c:pt>
                <c:pt idx="242">
                  <c:v>-2.5925431170896562</c:v>
                </c:pt>
                <c:pt idx="243">
                  <c:v>-2.5925431170821907</c:v>
                </c:pt>
                <c:pt idx="244">
                  <c:v>-2.5925431170892326</c:v>
                </c:pt>
                <c:pt idx="245">
                  <c:v>-2.5925431170984528</c:v>
                </c:pt>
                <c:pt idx="246">
                  <c:v>-2.5925431171021822</c:v>
                </c:pt>
                <c:pt idx="247">
                  <c:v>-2.5925431170982747</c:v>
                </c:pt>
                <c:pt idx="248">
                  <c:v>-2.5925431170992224</c:v>
                </c:pt>
                <c:pt idx="249">
                  <c:v>-2.5925431171116311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403456"/>
        <c:axId val="211794688"/>
      </c:lineChart>
      <c:catAx>
        <c:axId val="216403456"/>
        <c:scaling>
          <c:orientation val="minMax"/>
        </c:scaling>
        <c:delete val="0"/>
        <c:axPos val="b"/>
        <c:majorTickMark val="out"/>
        <c:minorTickMark val="none"/>
        <c:tickLblPos val="nextTo"/>
        <c:crossAx val="211794688"/>
        <c:crosses val="autoZero"/>
        <c:auto val="1"/>
        <c:lblAlgn val="ctr"/>
        <c:lblOffset val="100"/>
        <c:noMultiLvlLbl val="0"/>
      </c:catAx>
      <c:valAx>
        <c:axId val="211794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403456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142875</xdr:colOff>
      <xdr:row>0</xdr:row>
      <xdr:rowOff>171450</xdr:rowOff>
    </xdr:from>
    <xdr:to>
      <xdr:col>15</xdr:col>
      <xdr:colOff>104775</xdr:colOff>
      <xdr:row>26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2"/>
  <sheetViews>
    <sheetView workbookViewId="0">
      <selection activeCell="H4" sqref="H4"/>
    </sheetView>
  </sheetViews>
  <sheetFormatPr defaultRowHeight="15" x14ac:dyDescent="0.25"/>
  <cols>
    <col min="3" max="3" width="7.7109375" bestFit="1" customWidth="1"/>
    <col min="4" max="4" width="9.28515625" customWidth="1"/>
  </cols>
  <sheetData>
    <row r="2" spans="2:8" ht="18.75" x14ac:dyDescent="0.3">
      <c r="B2" s="1" t="s">
        <v>0</v>
      </c>
      <c r="H2" s="2"/>
    </row>
    <row r="3" spans="2:8" ht="15.75" x14ac:dyDescent="0.25">
      <c r="B3" s="3" t="s">
        <v>1</v>
      </c>
      <c r="C3" s="4">
        <v>1.7399999999999999E-2</v>
      </c>
      <c r="D3" t="s">
        <v>2</v>
      </c>
    </row>
    <row r="4" spans="2:8" ht="15.75" x14ac:dyDescent="0.25">
      <c r="B4" s="3" t="s">
        <v>3</v>
      </c>
      <c r="C4" s="4">
        <v>3.5400000000000001E-2</v>
      </c>
      <c r="D4" t="s">
        <v>4</v>
      </c>
      <c r="G4" t="s">
        <v>5</v>
      </c>
      <c r="H4">
        <f>SQRT(250)</f>
        <v>15.811388300841896</v>
      </c>
    </row>
    <row r="5" spans="2:8" ht="15.75" x14ac:dyDescent="0.25">
      <c r="B5" s="3" t="s">
        <v>6</v>
      </c>
      <c r="C5" s="4">
        <f>C4</f>
        <v>3.5400000000000001E-2</v>
      </c>
    </row>
    <row r="6" spans="2:8" ht="15.75" x14ac:dyDescent="0.25">
      <c r="B6" s="3" t="s">
        <v>7</v>
      </c>
      <c r="C6" s="4">
        <v>0.38769999999999999</v>
      </c>
      <c r="D6" t="s">
        <v>8</v>
      </c>
    </row>
    <row r="7" spans="2:8" ht="15.75" x14ac:dyDescent="0.25">
      <c r="B7" s="5" t="s">
        <v>9</v>
      </c>
      <c r="C7" s="4">
        <v>-0.71650000000000003</v>
      </c>
    </row>
    <row r="8" spans="2:8" ht="15.75" x14ac:dyDescent="0.25">
      <c r="B8" s="3" t="s">
        <v>10</v>
      </c>
      <c r="C8" s="4">
        <v>1.3252999999999999</v>
      </c>
      <c r="D8" t="s">
        <v>11</v>
      </c>
    </row>
    <row r="9" spans="2:8" ht="15.75" x14ac:dyDescent="0.25">
      <c r="B9" s="3" t="s">
        <v>12</v>
      </c>
      <c r="C9" s="4">
        <v>0</v>
      </c>
    </row>
    <row r="10" spans="2:8" ht="15.75" x14ac:dyDescent="0.25">
      <c r="B10" s="3" t="s">
        <v>13</v>
      </c>
      <c r="C10" s="4">
        <v>0</v>
      </c>
    </row>
    <row r="11" spans="2:8" ht="15.75" x14ac:dyDescent="0.25">
      <c r="B11" s="3" t="s">
        <v>14</v>
      </c>
      <c r="C11" s="4">
        <v>100</v>
      </c>
    </row>
    <row r="12" spans="2:8" ht="15.75" x14ac:dyDescent="0.25">
      <c r="B12" s="6" t="s">
        <v>15</v>
      </c>
      <c r="C12" s="7">
        <v>100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254"/>
  <sheetViews>
    <sheetView tabSelected="1" workbookViewId="0">
      <pane ySplit="3" topLeftCell="A4" activePane="bottomLeft" state="frozen"/>
      <selection pane="bottomLeft" activeCell="R5" sqref="R5"/>
    </sheetView>
  </sheetViews>
  <sheetFormatPr defaultRowHeight="15" x14ac:dyDescent="0.25"/>
  <cols>
    <col min="1" max="1" width="17.5703125" bestFit="1" customWidth="1"/>
    <col min="8" max="8" width="20.85546875" bestFit="1" customWidth="1"/>
    <col min="9" max="9" width="22" bestFit="1" customWidth="1"/>
    <col min="10" max="11" width="18.5703125" bestFit="1" customWidth="1"/>
    <col min="14" max="14" width="13.5703125" customWidth="1"/>
    <col min="15" max="15" width="9.42578125" customWidth="1"/>
    <col min="17" max="17" width="12.5703125" customWidth="1"/>
    <col min="22" max="22" width="12" customWidth="1"/>
  </cols>
  <sheetData>
    <row r="1" spans="1:30" x14ac:dyDescent="0.25">
      <c r="A1" s="8"/>
      <c r="B1" s="8"/>
      <c r="C1" s="8"/>
      <c r="G1" s="27" t="s">
        <v>16</v>
      </c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</row>
    <row r="2" spans="1:30" x14ac:dyDescent="0.25">
      <c r="A2" s="8"/>
      <c r="B2" s="8"/>
      <c r="C2" s="8"/>
      <c r="G2" s="27" t="s">
        <v>17</v>
      </c>
      <c r="H2" s="27"/>
      <c r="I2" s="27"/>
      <c r="J2" s="27"/>
      <c r="K2" s="27"/>
      <c r="L2" s="27"/>
      <c r="M2" s="27"/>
      <c r="N2" s="27" t="s">
        <v>18</v>
      </c>
      <c r="O2" s="27"/>
      <c r="P2" s="27"/>
      <c r="Q2" s="9" t="s">
        <v>19</v>
      </c>
      <c r="R2" s="27" t="s">
        <v>20</v>
      </c>
      <c r="S2" s="27"/>
      <c r="T2" s="27"/>
      <c r="U2" s="27"/>
      <c r="V2" s="27" t="s">
        <v>21</v>
      </c>
      <c r="W2" s="27"/>
      <c r="X2" s="27"/>
      <c r="Y2" s="27"/>
      <c r="Z2" s="27"/>
      <c r="AA2" s="27" t="s">
        <v>22</v>
      </c>
      <c r="AB2" s="27"/>
      <c r="AC2" s="27"/>
      <c r="AD2" s="27"/>
    </row>
    <row r="3" spans="1:30" ht="45" x14ac:dyDescent="0.25">
      <c r="A3" s="10"/>
      <c r="G3" s="11" t="s">
        <v>23</v>
      </c>
      <c r="H3" s="11" t="s">
        <v>24</v>
      </c>
      <c r="I3" s="11" t="s">
        <v>25</v>
      </c>
      <c r="J3" s="11" t="s">
        <v>26</v>
      </c>
      <c r="K3" s="11" t="s">
        <v>27</v>
      </c>
      <c r="L3" s="9" t="s">
        <v>28</v>
      </c>
      <c r="M3" s="9" t="s">
        <v>29</v>
      </c>
      <c r="N3" s="9" t="s">
        <v>30</v>
      </c>
      <c r="O3" s="11" t="s">
        <v>31</v>
      </c>
      <c r="P3" s="9" t="s">
        <v>32</v>
      </c>
      <c r="Q3" s="12" t="s">
        <v>33</v>
      </c>
      <c r="R3" s="9" t="s">
        <v>34</v>
      </c>
      <c r="S3" s="9" t="s">
        <v>35</v>
      </c>
      <c r="T3" s="12" t="s">
        <v>36</v>
      </c>
      <c r="U3" s="9" t="s">
        <v>37</v>
      </c>
      <c r="V3" s="12" t="s">
        <v>38</v>
      </c>
      <c r="W3" s="12" t="s">
        <v>39</v>
      </c>
      <c r="X3" s="12" t="s">
        <v>40</v>
      </c>
      <c r="Y3" s="12" t="s">
        <v>41</v>
      </c>
      <c r="Z3" s="12" t="s">
        <v>37</v>
      </c>
      <c r="AA3" s="12" t="s">
        <v>42</v>
      </c>
      <c r="AB3" s="12" t="s">
        <v>35</v>
      </c>
      <c r="AC3" s="12" t="s">
        <v>41</v>
      </c>
      <c r="AD3" s="12" t="s">
        <v>43</v>
      </c>
    </row>
    <row r="4" spans="1:30" x14ac:dyDescent="0.25">
      <c r="A4" s="11" t="s">
        <v>44</v>
      </c>
      <c r="B4" s="11" t="s">
        <v>45</v>
      </c>
      <c r="C4" s="13" t="s">
        <v>46</v>
      </c>
      <c r="G4" s="14"/>
      <c r="H4" s="14"/>
      <c r="I4" s="14"/>
      <c r="J4" s="14"/>
      <c r="K4" s="14"/>
      <c r="L4" s="15"/>
      <c r="M4" s="15"/>
      <c r="N4" s="15"/>
      <c r="O4" s="16"/>
      <c r="P4" s="17"/>
      <c r="Q4" s="14"/>
      <c r="R4" s="14"/>
      <c r="S4" s="14"/>
      <c r="T4" s="14"/>
      <c r="U4" s="14"/>
    </row>
    <row r="5" spans="1:30" x14ac:dyDescent="0.25">
      <c r="A5" s="11" t="s">
        <v>45</v>
      </c>
      <c r="B5" s="18">
        <v>1</v>
      </c>
      <c r="C5" s="18">
        <f>[0]!Rho</f>
        <v>-0.71650000000000003</v>
      </c>
      <c r="G5" s="19">
        <v>250</v>
      </c>
      <c r="H5" s="25">
        <f ca="1">RAND()</f>
        <v>0.73271948689282629</v>
      </c>
      <c r="I5" s="26">
        <f ca="1">RAND()</f>
        <v>0.14617616586671589</v>
      </c>
      <c r="J5" s="24">
        <f ca="1">SQRT(-2*LN(H5))*COS(2*PI()*I5)</f>
        <v>0.47875693192602869</v>
      </c>
      <c r="K5" s="24">
        <f ca="1">SQRT(-2*LN(H5))*SIN(2*PI()*I5)</f>
        <v>0.62671882408513147</v>
      </c>
      <c r="L5" s="19">
        <f t="array" aca="1" ref="L5:M5" ca="1">MMULT(J5:K5,TRANSPOSE($B$10:$C$11))</f>
        <v>0.47875693192602869</v>
      </c>
      <c r="M5" s="19">
        <f ca="1"/>
        <v>9.4161619854685075E-2</v>
      </c>
      <c r="N5" s="20">
        <f>Variance_T0</f>
        <v>3.5400000000000001E-2</v>
      </c>
      <c r="O5" s="20">
        <v>0</v>
      </c>
      <c r="P5" s="19">
        <v>100</v>
      </c>
      <c r="Q5" s="19">
        <f>HCTrans(P5,Strike,RiskFreeRate,Dividend,Variance_T0*AnnualVarConvtr,(Simulation!G5)/250,0.5,Variance_Avg*AnnualVarConvtr,Lambda,SQRT(Simulation!N5),Rho,1,"Call")</f>
        <v>28.818569228825197</v>
      </c>
      <c r="R5" s="19">
        <f>BSvol(1,P5,Strike,Q5,Dividend,RiskFreeRate,G5/250)</f>
        <v>0.73884103340948371</v>
      </c>
      <c r="S5" s="19">
        <f>BSdelta(1,P5,Strike,R5/AnnualVarConvtr,Dividend,RiskFreeRate,G5/250)</f>
        <v>0.50932012123821535</v>
      </c>
      <c r="T5" s="19">
        <f>(S5)*P5</f>
        <v>50.932012123821536</v>
      </c>
      <c r="U5" s="19">
        <f>Q5-T5</f>
        <v>-22.113442894996339</v>
      </c>
      <c r="V5" s="21">
        <f>(O5-O4)^2</f>
        <v>0</v>
      </c>
      <c r="W5">
        <f>SQRT(V5)</f>
        <v>0</v>
      </c>
      <c r="X5">
        <v>0</v>
      </c>
      <c r="AA5">
        <f>$R$5</f>
        <v>0.73884103340948371</v>
      </c>
      <c r="AB5">
        <f t="shared" ref="AB5" si="0">BSdelta(1,P5,Strike,AA5/AnnualVarConvtr,Dividend,RiskFreeRate,G5/250)</f>
        <v>0.50932012123821535</v>
      </c>
      <c r="AC5">
        <f>AB5*P5</f>
        <v>50.932012123821536</v>
      </c>
      <c r="AD5">
        <f>Q5-AC5</f>
        <v>-22.113442894996339</v>
      </c>
    </row>
    <row r="6" spans="1:30" x14ac:dyDescent="0.25">
      <c r="A6" s="13" t="s">
        <v>46</v>
      </c>
      <c r="B6" s="18">
        <f>Rho</f>
        <v>-0.71650000000000003</v>
      </c>
      <c r="C6" s="18">
        <v>1</v>
      </c>
      <c r="G6" s="19">
        <v>249</v>
      </c>
      <c r="H6" s="19">
        <f t="shared" ref="H6:I30" ca="1" si="1">RAND()</f>
        <v>0.67847033625684372</v>
      </c>
      <c r="I6" s="19">
        <f t="shared" ca="1" si="1"/>
        <v>0.87833117097934454</v>
      </c>
      <c r="J6" s="19">
        <f t="shared" ref="J6:J69" ca="1" si="2">SQRT(-2*LN(H6))*COS(2*PI()*I6)</f>
        <v>0.63572648430208367</v>
      </c>
      <c r="K6" s="19">
        <f t="shared" ref="K6:K69" ca="1" si="3">SQRT(-2*LN(H6))*SIN(2*PI()*I6)</f>
        <v>-0.60965636031025805</v>
      </c>
      <c r="L6" s="19">
        <f t="array" aca="1" ref="L6:M6" ca="1">MMULT(J6:K6,TRANSPOSE($B$10:$C$11))</f>
        <v>0.63572648430208367</v>
      </c>
      <c r="M6" s="19">
        <f ca="1"/>
        <v>-0.88078643310637095</v>
      </c>
      <c r="N6" s="20">
        <f t="shared" ref="N6:N69" ca="1" si="4">GetVariance(N5,Variance_Avg,Lambda,Eta,M6,"Daily")</f>
        <v>3.1302818685673924E-2</v>
      </c>
      <c r="O6" s="20">
        <f t="shared" ref="O6:O69" ca="1" si="5">GetStockReturns(O5,RiskFreeRate,N5,L6,"Daily")</f>
        <v>7.5648780465108079E-3</v>
      </c>
      <c r="P6" s="19">
        <f ca="1">P5*EXP(O6)</f>
        <v>100.75935640261289</v>
      </c>
      <c r="Q6" s="19">
        <f ca="1">HCTrans(P6,Strike,RiskFreeRate,Dividend,Variance_T0*AnnualVarConvtr,(Simulation!G6)/250,0.5,Variance_Avg*AnnualVarConvtr,Lambda,SQRT(Simulation!N6),Rho,1,"Call")</f>
        <v>29.285063973266816</v>
      </c>
      <c r="R6" s="19">
        <f t="shared" ref="R6:R69" ca="1" si="6">BSvol(1,P6,Strike,Q6,Dividend,RiskFreeRate,G6/250)</f>
        <v>0.73967890314983442</v>
      </c>
      <c r="S6" s="19">
        <f t="shared" ref="S6:S69" ca="1" si="7">BSdelta(1,P6,Strike,R6/AnnualVarConvtr,Dividend,RiskFreeRate,G6/250)</f>
        <v>0.57353262700566832</v>
      </c>
      <c r="T6" s="19">
        <f ca="1">(S6-S5)*P6</f>
        <v>6.470010754127629</v>
      </c>
      <c r="U6" s="19">
        <f ca="1">(Q6-Q5)+U5-T6</f>
        <v>-28.116958904682349</v>
      </c>
      <c r="V6" s="21">
        <f ca="1">(O6-O5)^2</f>
        <v>5.7227379858581181E-5</v>
      </c>
      <c r="W6">
        <f ca="1">SQRT(V6)</f>
        <v>7.5648780465108079E-3</v>
      </c>
      <c r="X6" s="22">
        <f t="shared" ref="X6" ca="1" si="8">BSdelta(1,P6,Strike,W6*AnnualVarConvtr,Dividend,RiskFreeRate,G6/250)</f>
        <v>0.54896953640914092</v>
      </c>
      <c r="Y6" s="22">
        <f ca="1">X6*P6</f>
        <v>55.313817173225807</v>
      </c>
      <c r="Z6" s="22">
        <f ca="1">Q6-Y6</f>
        <v>-26.028753199958992</v>
      </c>
      <c r="AA6">
        <f t="shared" ref="AA6:AA69" si="9">$R$5</f>
        <v>0.73884103340948371</v>
      </c>
      <c r="AB6">
        <f t="shared" ref="AB6" ca="1" si="10">BSdelta(1,P6,Strike,AA6/AnnualVarConvtr,Dividend,RiskFreeRate,G6/250)</f>
        <v>0.57359431309185582</v>
      </c>
      <c r="AC6">
        <f ca="1">(AB6-AB5)*P6</f>
        <v>6.4762262044708789</v>
      </c>
      <c r="AD6">
        <f ca="1">(Q6-Q5)+AD5-AC6</f>
        <v>-28.123174355025601</v>
      </c>
    </row>
    <row r="7" spans="1:30" x14ac:dyDescent="0.25">
      <c r="G7" s="19">
        <v>248</v>
      </c>
      <c r="H7" s="19">
        <f t="shared" ca="1" si="1"/>
        <v>0.34621839390743703</v>
      </c>
      <c r="I7" s="19">
        <f t="shared" ca="1" si="1"/>
        <v>0.89774991685056871</v>
      </c>
      <c r="J7" s="19">
        <f t="shared" ca="1" si="2"/>
        <v>1.1661066552171107</v>
      </c>
      <c r="K7" s="19">
        <f t="shared" ca="1" si="3"/>
        <v>-0.87267765080801996</v>
      </c>
      <c r="L7" s="19">
        <f t="array" aca="1" ref="L7:M7" ca="1">MMULT(J7:K7,TRANSPOSE($B$10:$C$11))</f>
        <v>1.1661066552171107</v>
      </c>
      <c r="M7" s="19">
        <f ca="1"/>
        <v>-1.4442840825650225</v>
      </c>
      <c r="N7" s="20">
        <f t="shared" ca="1" si="4"/>
        <v>2.522206229143286E-2</v>
      </c>
      <c r="O7" s="20">
        <f t="shared" ca="1" si="5"/>
        <v>2.0613360096635842E-2</v>
      </c>
      <c r="P7" s="19">
        <f t="shared" ref="P7:P70" ca="1" si="11">P6*EXP(O7)</f>
        <v>102.85790000950738</v>
      </c>
      <c r="Q7" s="19">
        <f ca="1">HCTrans(P7,Strike,RiskFreeRate,Dividend,Variance_T0*AnnualVarConvtr,(Simulation!G7)/250,0.5,Variance_Avg*AnnualVarConvtr,Lambda,SQRT(Simulation!N7),Rho,1,"Call")</f>
        <v>30.655007385271489</v>
      </c>
      <c r="R7" s="19">
        <f t="shared" ca="1" si="6"/>
        <v>0.74115973609200336</v>
      </c>
      <c r="S7" s="19">
        <f t="shared" ca="1" si="7"/>
        <v>0.73463684065658119</v>
      </c>
      <c r="T7" s="19">
        <f t="shared" ref="T7:T70" ca="1" si="12">(S7-S6)*P7</f>
        <v>16.570841098815908</v>
      </c>
      <c r="U7" s="19">
        <f t="shared" ref="U7:U70" ca="1" si="13">(Q7-Q6)+U6-T7</f>
        <v>-43.31785659149358</v>
      </c>
      <c r="V7" s="21">
        <f t="shared" ref="V7:V70" ca="1" si="14">(O7-O6)^2</f>
        <v>1.7026288381243523E-4</v>
      </c>
      <c r="W7">
        <f t="shared" ref="W7:W70" ca="1" si="15">SQRT(V7)</f>
        <v>1.3048482050125034E-2</v>
      </c>
      <c r="X7" s="22">
        <f t="shared" ref="X7" ca="1" si="16">BSdelta(1,P7,Strike,W7*AnnualVarConvtr,Dividend,RiskFreeRate,G7/250)</f>
        <v>0.59478542572024651</v>
      </c>
      <c r="Y7" s="22">
        <f ca="1">(X7-X6)*P7</f>
        <v>4.7125261616083556</v>
      </c>
      <c r="Z7" s="22">
        <f ca="1">(Q7-Q6)+Z6-Y7</f>
        <v>-29.371335949562674</v>
      </c>
      <c r="AA7">
        <f t="shared" si="9"/>
        <v>0.73884103340948371</v>
      </c>
      <c r="AB7">
        <f t="shared" ref="AB7" ca="1" si="17">BSdelta(1,P7,Strike,AA7/AnnualVarConvtr,Dividend,RiskFreeRate,G7/250)</f>
        <v>0.73523340490081435</v>
      </c>
      <c r="AC7">
        <f t="shared" ref="AC7:AC70" ca="1" si="18">(AB7-AB6)*P7</f>
        <v>16.625857542913437</v>
      </c>
      <c r="AD7">
        <f t="shared" ref="AD7:AD70" ca="1" si="19">(Q7-Q6)+AD6-AC7</f>
        <v>-43.379088485934361</v>
      </c>
    </row>
    <row r="8" spans="1:30" x14ac:dyDescent="0.25">
      <c r="G8" s="19">
        <v>247</v>
      </c>
      <c r="H8" s="19">
        <f t="shared" ca="1" si="1"/>
        <v>0.28421395967475505</v>
      </c>
      <c r="I8" s="19">
        <f t="shared" ca="1" si="1"/>
        <v>0.89294085173928417</v>
      </c>
      <c r="J8" s="19">
        <f t="shared" ca="1" si="2"/>
        <v>1.2406673629195084</v>
      </c>
      <c r="K8" s="19">
        <f t="shared" ca="1" si="3"/>
        <v>-0.98833212294780104</v>
      </c>
      <c r="L8" s="19">
        <f t="array" aca="1" ref="L8:M8" ca="1">MMULT(J8:K8,TRANSPOSE($B$10:$C$11))</f>
        <v>1.2406673629195084</v>
      </c>
      <c r="M8" s="19">
        <f ca="1"/>
        <v>-1.5783858964538953</v>
      </c>
      <c r="N8" s="20">
        <f t="shared" ca="1" si="4"/>
        <v>1.9353657303269673E-2</v>
      </c>
      <c r="O8" s="20">
        <f t="shared" ca="1" si="5"/>
        <v>3.3075012995023599E-2</v>
      </c>
      <c r="P8" s="19">
        <f t="shared" ca="1" si="11"/>
        <v>106.31681286349669</v>
      </c>
      <c r="Q8" s="19">
        <f ca="1">HCTrans(P8,Strike,RiskFreeRate,Dividend,Variance_T0*AnnualVarConvtr,(Simulation!G8)/250,0.5,Variance_Avg*AnnualVarConvtr,Lambda,SQRT(Simulation!N8),Rho,1,"Call")</f>
        <v>32.967045004592663</v>
      </c>
      <c r="R8" s="19">
        <f t="shared" ca="1" si="6"/>
        <v>0.74285075683278634</v>
      </c>
      <c r="S8" s="19">
        <f t="shared" ca="1" si="7"/>
        <v>0.90906233148252746</v>
      </c>
      <c r="T8" s="19">
        <f t="shared" ca="1" si="12"/>
        <v>18.544362266765688</v>
      </c>
      <c r="U8" s="19">
        <f t="shared" ca="1" si="13"/>
        <v>-59.550181238938094</v>
      </c>
      <c r="V8" s="21">
        <f t="shared" ca="1" si="14"/>
        <v>1.5529279295989598E-4</v>
      </c>
      <c r="W8">
        <f t="shared" ca="1" si="15"/>
        <v>1.2461652898387757E-2</v>
      </c>
      <c r="X8" s="22">
        <f t="shared" ref="X8" ca="1" si="20">BSdelta(1,P8,Strike,W8*AnnualVarConvtr,Dividend,RiskFreeRate,G8/250)</f>
        <v>0.65934664821933198</v>
      </c>
      <c r="Y8" s="22">
        <f t="shared" ref="Y8:Y71" ca="1" si="21">(X8-X7)*P8</f>
        <v>6.8639434106738424</v>
      </c>
      <c r="Z8" s="22">
        <f t="shared" ref="Z8:Z71" ca="1" si="22">(Q8-Q7)+Z7-Y8</f>
        <v>-33.923241740915344</v>
      </c>
      <c r="AA8">
        <f t="shared" si="9"/>
        <v>0.73884103340948371</v>
      </c>
      <c r="AB8">
        <f t="shared" ref="AB8" ca="1" si="23">BSdelta(1,P8,Strike,AA8/AnnualVarConvtr,Dividend,RiskFreeRate,G8/250)</f>
        <v>0.91020126464786721</v>
      </c>
      <c r="AC8">
        <f t="shared" ca="1" si="18"/>
        <v>18.602025201853955</v>
      </c>
      <c r="AD8">
        <f t="shared" ca="1" si="19"/>
        <v>-59.669076068467142</v>
      </c>
    </row>
    <row r="9" spans="1:30" x14ac:dyDescent="0.25">
      <c r="A9" s="11" t="s">
        <v>47</v>
      </c>
      <c r="B9" s="23" t="s">
        <v>45</v>
      </c>
      <c r="C9" s="13" t="s">
        <v>46</v>
      </c>
      <c r="G9" s="19">
        <v>246</v>
      </c>
      <c r="H9" s="19">
        <f t="shared" ca="1" si="1"/>
        <v>0.8378554462406802</v>
      </c>
      <c r="I9" s="19">
        <f t="shared" ca="1" si="1"/>
        <v>0.79440999281659053</v>
      </c>
      <c r="J9" s="19">
        <f t="shared" ca="1" si="2"/>
        <v>0.16383281757602025</v>
      </c>
      <c r="K9" s="19">
        <f t="shared" ca="1" si="3"/>
        <v>-0.57182006932541407</v>
      </c>
      <c r="L9" s="19">
        <f t="array" aca="1" ref="L9:M9" ca="1">MMULT(J9:K9,TRANSPOSE($B$10:$C$11))</f>
        <v>0.16383281757602025</v>
      </c>
      <c r="M9" s="19">
        <f ca="1"/>
        <v>-0.51628051272204922</v>
      </c>
      <c r="N9" s="20">
        <f t="shared" ca="1" si="4"/>
        <v>1.7567339052725967E-2</v>
      </c>
      <c r="O9" s="20">
        <f t="shared" ca="1" si="5"/>
        <v>3.4516505601737836E-2</v>
      </c>
      <c r="P9" s="19">
        <f t="shared" ca="1" si="11"/>
        <v>110.05056508129671</v>
      </c>
      <c r="Q9" s="19">
        <f ca="1">HCTrans(P9,Strike,RiskFreeRate,Dividend,Variance_T0*AnnualVarConvtr,(Simulation!G9)/250,0.5,Variance_Avg*AnnualVarConvtr,Lambda,SQRT(Simulation!N9),Rho,1,"Call")</f>
        <v>35.498084632054244</v>
      </c>
      <c r="R9" s="19">
        <f t="shared" ca="1" si="6"/>
        <v>0.74387915583390063</v>
      </c>
      <c r="S9" s="19">
        <f t="shared" ca="1" si="7"/>
        <v>0.98102684639803028</v>
      </c>
      <c r="T9" s="19">
        <f t="shared" ca="1" si="12"/>
        <v>7.9197355322524912</v>
      </c>
      <c r="U9" s="19">
        <f t="shared" ca="1" si="13"/>
        <v>-64.938877143729002</v>
      </c>
      <c r="V9" s="21">
        <f t="shared" ca="1" si="14"/>
        <v>2.0779009352118058E-6</v>
      </c>
      <c r="W9">
        <f t="shared" ca="1" si="15"/>
        <v>1.441492606714237E-3</v>
      </c>
      <c r="X9" s="22">
        <f t="shared" ref="X9" ca="1" si="24">BSdelta(1,P9,Strike,W9*AnnualVarConvtr,Dividend,RiskFreeRate,G9/250)</f>
        <v>0.99998917855716574</v>
      </c>
      <c r="Y9" s="22">
        <f t="shared" ca="1" si="21"/>
        <v>37.487902954401363</v>
      </c>
      <c r="Z9" s="22">
        <f t="shared" ca="1" si="22"/>
        <v>-68.880105067855126</v>
      </c>
      <c r="AA9">
        <f t="shared" si="9"/>
        <v>0.73884103340948371</v>
      </c>
      <c r="AB9">
        <f t="shared" ref="AB9" ca="1" si="25">BSdelta(1,P9,Strike,AA9/AnnualVarConvtr,Dividend,RiskFreeRate,G9/250)</f>
        <v>0.98165825927234107</v>
      </c>
      <c r="AC9">
        <f t="shared" ca="1" si="18"/>
        <v>7.8638826374345294</v>
      </c>
      <c r="AD9">
        <f t="shared" ca="1" si="19"/>
        <v>-65.001919078440096</v>
      </c>
    </row>
    <row r="10" spans="1:30" x14ac:dyDescent="0.25">
      <c r="A10" s="11" t="s">
        <v>45</v>
      </c>
      <c r="B10" s="19">
        <f t="array" ref="B10:C11">cholesky(B5:C6)</f>
        <v>1</v>
      </c>
      <c r="C10" s="19">
        <v>0</v>
      </c>
      <c r="G10" s="19">
        <v>245</v>
      </c>
      <c r="H10" s="19">
        <f t="shared" ca="1" si="1"/>
        <v>0.31809301756931752</v>
      </c>
      <c r="I10" s="19">
        <f t="shared" ca="1" si="1"/>
        <v>0.28302978287950176</v>
      </c>
      <c r="J10" s="19">
        <f t="shared" ca="1" si="2"/>
        <v>-0.31185978102604889</v>
      </c>
      <c r="K10" s="19">
        <f t="shared" ca="1" si="3"/>
        <v>1.4810693227419744</v>
      </c>
      <c r="L10" s="19">
        <f t="array" aca="1" ref="L10:M10" ca="1">MMULT(J10:K10,TRANSPOSE($B$10:$C$11))</f>
        <v>-0.31185978102604889</v>
      </c>
      <c r="M10" s="19">
        <f ca="1"/>
        <v>1.2566223740251814</v>
      </c>
      <c r="N10" s="20">
        <f t="shared" ca="1" si="4"/>
        <v>2.1832898507128991E-2</v>
      </c>
      <c r="O10" s="20">
        <f t="shared" ca="1" si="5"/>
        <v>3.1902284253029996E-2</v>
      </c>
      <c r="P10" s="19">
        <f t="shared" ca="1" si="11"/>
        <v>113.61803210183194</v>
      </c>
      <c r="Q10" s="19">
        <f ca="1">HCTrans(P10,Strike,RiskFreeRate,Dividend,Variance_T0*AnnualVarConvtr,(Simulation!G10)/250,0.5,Variance_Avg*AnnualVarConvtr,Lambda,SQRT(Simulation!N10),Rho,1,"Call")</f>
        <v>37.940998594161869</v>
      </c>
      <c r="R10" s="19">
        <f t="shared" ca="1" si="6"/>
        <v>0.74412120440457241</v>
      </c>
      <c r="S10" s="19">
        <f t="shared" ca="1" si="7"/>
        <v>0.99714218138684363</v>
      </c>
      <c r="T10" s="19">
        <f t="shared" ca="1" si="12"/>
        <v>1.8309926480907703</v>
      </c>
      <c r="U10" s="19">
        <f t="shared" ca="1" si="13"/>
        <v>-64.326955829712148</v>
      </c>
      <c r="V10" s="21">
        <f t="shared" ca="1" si="14"/>
        <v>6.8341532600398393E-6</v>
      </c>
      <c r="W10">
        <f t="shared" ca="1" si="15"/>
        <v>2.6142213487078403E-3</v>
      </c>
      <c r="X10" s="22">
        <f t="shared" ref="X10" ca="1" si="26">BSdelta(1,P10,Strike,W10*AnnualVarConvtr,Dividend,RiskFreeRate,G10/250)</f>
        <v>0.99915691185412392</v>
      </c>
      <c r="Y10" s="22">
        <f t="shared" ca="1" si="21"/>
        <v>-9.4560504983491042E-2</v>
      </c>
      <c r="Z10" s="22">
        <f t="shared" ca="1" si="22"/>
        <v>-66.342630600764011</v>
      </c>
      <c r="AA10">
        <f t="shared" si="9"/>
        <v>0.73884103340948371</v>
      </c>
      <c r="AB10">
        <f t="shared" ref="AB10" ca="1" si="27">BSdelta(1,P10,Strike,AA10/AnnualVarConvtr,Dividend,RiskFreeRate,G10/250)</f>
        <v>0.9973077473147548</v>
      </c>
      <c r="AC10">
        <f t="shared" ca="1" si="18"/>
        <v>1.7780640347801981</v>
      </c>
      <c r="AD10">
        <f t="shared" ca="1" si="19"/>
        <v>-64.337069151112672</v>
      </c>
    </row>
    <row r="11" spans="1:30" x14ac:dyDescent="0.25">
      <c r="A11" s="13" t="s">
        <v>46</v>
      </c>
      <c r="B11" s="19">
        <v>-0.71650000000000003</v>
      </c>
      <c r="C11" s="19">
        <v>0.69758709133698849</v>
      </c>
      <c r="G11" s="19">
        <v>244</v>
      </c>
      <c r="H11" s="19">
        <f t="shared" ca="1" si="1"/>
        <v>0.5449409051733719</v>
      </c>
      <c r="I11" s="19">
        <f t="shared" ca="1" si="1"/>
        <v>0.64922097754694397</v>
      </c>
      <c r="J11" s="19">
        <f t="shared" ca="1" si="2"/>
        <v>-0.65202878408548515</v>
      </c>
      <c r="K11" s="19">
        <f t="shared" ca="1" si="3"/>
        <v>-0.88826477295285577</v>
      </c>
      <c r="L11" s="19">
        <f t="array" aca="1" ref="L11:M11" ca="1">MMULT(J11:K11,TRANSPOSE($B$10:$C$11))</f>
        <v>-0.65202878408548515</v>
      </c>
      <c r="M11" s="19">
        <f ca="1"/>
        <v>-0.15246341550404302</v>
      </c>
      <c r="N11" s="20">
        <f t="shared" ca="1" si="4"/>
        <v>2.1205611442036761E-2</v>
      </c>
      <c r="O11" s="20">
        <f t="shared" ca="1" si="5"/>
        <v>2.5808985641983324E-2</v>
      </c>
      <c r="P11" s="19">
        <f t="shared" ca="1" si="11"/>
        <v>116.58856661378745</v>
      </c>
      <c r="Q11" s="19">
        <f ca="1">HCTrans(P11,Strike,RiskFreeRate,Dividend,Variance_T0*AnnualVarConvtr,(Simulation!G11)/250,0.5,Variance_Avg*AnnualVarConvtr,Lambda,SQRT(Simulation!N11),Rho,1,"Call")</f>
        <v>40.023814182931346</v>
      </c>
      <c r="R11" s="19">
        <f t="shared" ca="1" si="6"/>
        <v>0.74481780112596363</v>
      </c>
      <c r="S11" s="19">
        <f t="shared" ca="1" si="7"/>
        <v>0.99955194306398465</v>
      </c>
      <c r="T11" s="19">
        <f t="shared" ca="1" si="12"/>
        <v>0.28095065981870798</v>
      </c>
      <c r="U11" s="19">
        <f t="shared" ca="1" si="13"/>
        <v>-62.525090900761377</v>
      </c>
      <c r="V11" s="21">
        <f t="shared" ca="1" si="14"/>
        <v>3.7128287963383303E-5</v>
      </c>
      <c r="W11">
        <f t="shared" ca="1" si="15"/>
        <v>6.0932986110466721E-3</v>
      </c>
      <c r="X11" s="22">
        <f t="shared" ref="X11" ca="1" si="28">BSdelta(1,P11,Strike,W11*AnnualVarConvtr,Dividend,RiskFreeRate,G11/250)</f>
        <v>0.95155468112673358</v>
      </c>
      <c r="Y11" s="22">
        <f t="shared" ca="1" si="21"/>
        <v>-5.5498758481252279</v>
      </c>
      <c r="Z11" s="22">
        <f t="shared" ca="1" si="22"/>
        <v>-58.709939163869308</v>
      </c>
      <c r="AA11">
        <f t="shared" si="9"/>
        <v>0.73884103340948371</v>
      </c>
      <c r="AB11">
        <f t="shared" ref="AB11" ca="1" si="29">BSdelta(1,P11,Strike,AA11/AnnualVarConvtr,Dividend,RiskFreeRate,G11/250)</f>
        <v>0.9995926534822549</v>
      </c>
      <c r="AC11">
        <f t="shared" ca="1" si="18"/>
        <v>0.26639393491583924</v>
      </c>
      <c r="AD11">
        <f t="shared" ca="1" si="19"/>
        <v>-62.520647497259034</v>
      </c>
    </row>
    <row r="12" spans="1:30" x14ac:dyDescent="0.25">
      <c r="G12" s="19">
        <v>243</v>
      </c>
      <c r="H12" s="19">
        <f t="shared" ca="1" si="1"/>
        <v>0.49878108721531134</v>
      </c>
      <c r="I12" s="19">
        <f t="shared" ca="1" si="1"/>
        <v>0.64309895320458677</v>
      </c>
      <c r="J12" s="19">
        <f t="shared" ca="1" si="2"/>
        <v>-0.73399260118458787</v>
      </c>
      <c r="K12" s="19">
        <f t="shared" ca="1" si="3"/>
        <v>-0.92327180523114794</v>
      </c>
      <c r="L12" s="19">
        <f t="array" aca="1" ref="L12:M12" ca="1">MMULT(J12:K12,TRANSPOSE($B$10:$C$11))</f>
        <v>-0.73399260118458787</v>
      </c>
      <c r="M12" s="19">
        <f ca="1"/>
        <v>-0.11815679437588977</v>
      </c>
      <c r="N12" s="20">
        <f t="shared" ca="1" si="4"/>
        <v>2.0710745584445068E-2</v>
      </c>
      <c r="O12" s="20">
        <f t="shared" ca="1" si="5"/>
        <v>1.9048979702546699E-2</v>
      </c>
      <c r="P12" s="19">
        <f t="shared" ca="1" si="11"/>
        <v>118.8307476835195</v>
      </c>
      <c r="Q12" s="19">
        <f ca="1">HCTrans(P12,Strike,RiskFreeRate,Dividend,Variance_T0*AnnualVarConvtr,(Simulation!G12)/250,0.5,Variance_Avg*AnnualVarConvtr,Lambda,SQRT(Simulation!N12),Rho,1,"Call")</f>
        <v>41.60346154477314</v>
      </c>
      <c r="R12" s="19">
        <f t="shared" ca="1" si="6"/>
        <v>0.74533012193456383</v>
      </c>
      <c r="S12" s="19">
        <f t="shared" ca="1" si="7"/>
        <v>0.99990637360218715</v>
      </c>
      <c r="T12" s="19">
        <f t="shared" ca="1" si="12"/>
        <v>4.2117245856475208E-2</v>
      </c>
      <c r="U12" s="19">
        <f t="shared" ca="1" si="13"/>
        <v>-60.987560784776058</v>
      </c>
      <c r="V12" s="21">
        <f t="shared" ca="1" si="14"/>
        <v>4.5697680301218448E-5</v>
      </c>
      <c r="W12">
        <f t="shared" ca="1" si="15"/>
        <v>6.7600059394366252E-3</v>
      </c>
      <c r="X12" s="22">
        <f t="shared" ref="X12" ca="1" si="30">BSdelta(1,P12,Strike,W12*AnnualVarConvtr,Dividend,RiskFreeRate,G12/250)</f>
        <v>0.95447998293075953</v>
      </c>
      <c r="Y12" s="22">
        <f t="shared" ca="1" si="21"/>
        <v>0.34761580057235186</v>
      </c>
      <c r="Z12" s="22">
        <f t="shared" ca="1" si="22"/>
        <v>-57.477907602599863</v>
      </c>
      <c r="AA12">
        <f t="shared" si="9"/>
        <v>0.73884103340948371</v>
      </c>
      <c r="AB12">
        <f t="shared" ref="AB12" ca="1" si="31">BSdelta(1,P12,Strike,AA12/AnnualVarConvtr,Dividend,RiskFreeRate,G12/250)</f>
        <v>0.99991772736258933</v>
      </c>
      <c r="AC12">
        <f t="shared" ca="1" si="18"/>
        <v>3.8628772252522731E-2</v>
      </c>
      <c r="AD12">
        <f t="shared" ca="1" si="19"/>
        <v>-60.979628907669763</v>
      </c>
    </row>
    <row r="13" spans="1:30" x14ac:dyDescent="0.25">
      <c r="G13" s="19">
        <v>242</v>
      </c>
      <c r="H13" s="19">
        <f t="shared" ca="1" si="1"/>
        <v>0.50997385349984248</v>
      </c>
      <c r="I13" s="19">
        <f t="shared" ca="1" si="1"/>
        <v>0.20101540359027814</v>
      </c>
      <c r="J13" s="19">
        <f t="shared" ca="1" si="2"/>
        <v>0.351569490279876</v>
      </c>
      <c r="K13" s="19">
        <f t="shared" ca="1" si="3"/>
        <v>1.1059794473474978</v>
      </c>
      <c r="L13" s="19">
        <f t="array" aca="1" ref="L13:M13" ca="1">MMULT(J13:K13,TRANSPOSE($B$10:$C$11))</f>
        <v>0.351569490279876</v>
      </c>
      <c r="M13" s="19">
        <f ca="1"/>
        <v>0.51961744596809978</v>
      </c>
      <c r="N13" s="20">
        <f t="shared" ca="1" si="4"/>
        <v>2.2512501130027104E-2</v>
      </c>
      <c r="O13" s="20">
        <f t="shared" ca="1" si="5"/>
        <v>2.2248899120649188E-2</v>
      </c>
      <c r="P13" s="19">
        <f t="shared" ca="1" si="11"/>
        <v>121.50423175656383</v>
      </c>
      <c r="Q13" s="19">
        <f ca="1">HCTrans(P13,Strike,RiskFreeRate,Dividend,Variance_T0*AnnualVarConvtr,(Simulation!G13)/250,0.5,Variance_Avg*AnnualVarConvtr,Lambda,SQRT(Simulation!N13),Rho,1,"Call")</f>
        <v>43.515663694540606</v>
      </c>
      <c r="R13" s="19">
        <f t="shared" ca="1" si="6"/>
        <v>0.74575528251521761</v>
      </c>
      <c r="S13" s="19">
        <f t="shared" ca="1" si="7"/>
        <v>0.99998781620610444</v>
      </c>
      <c r="T13" s="19">
        <f t="shared" ca="1" si="12"/>
        <v>9.8956210212247028E-3</v>
      </c>
      <c r="U13" s="19">
        <f t="shared" ca="1" si="13"/>
        <v>-59.085254256029813</v>
      </c>
      <c r="V13" s="21">
        <f t="shared" ca="1" si="14"/>
        <v>1.0239484282349372E-5</v>
      </c>
      <c r="W13">
        <f t="shared" ca="1" si="15"/>
        <v>3.1999194181024891E-3</v>
      </c>
      <c r="X13" s="22">
        <f t="shared" ref="X13" ca="1" si="32">BSdelta(1,P13,Strike,W13*AnnualVarConvtr,Dividend,RiskFreeRate,G13/250)</f>
        <v>0.99995887667824102</v>
      </c>
      <c r="Y13" s="22">
        <f t="shared" ca="1" si="21"/>
        <v>5.5258780459261319</v>
      </c>
      <c r="Z13" s="22">
        <f t="shared" ca="1" si="22"/>
        <v>-61.091583498758531</v>
      </c>
      <c r="AA13">
        <f t="shared" si="9"/>
        <v>0.73884103340948371</v>
      </c>
      <c r="AB13">
        <f t="shared" ref="AB13" ca="1" si="33">BSdelta(1,P13,Strike,AA13/AnnualVarConvtr,Dividend,RiskFreeRate,G13/250)</f>
        <v>0.99998976234861925</v>
      </c>
      <c r="AC13">
        <f t="shared" ca="1" si="18"/>
        <v>8.752555637160599E-3</v>
      </c>
      <c r="AD13">
        <f t="shared" ca="1" si="19"/>
        <v>-59.076179313539456</v>
      </c>
    </row>
    <row r="14" spans="1:30" x14ac:dyDescent="0.25">
      <c r="A14" s="1" t="s">
        <v>48</v>
      </c>
      <c r="B14">
        <f ca="1">CORREL(L5:L254,M5:M254)</f>
        <v>-0.65315262982500422</v>
      </c>
      <c r="G14" s="19">
        <v>241</v>
      </c>
      <c r="H14" s="19">
        <f t="shared" ca="1" si="1"/>
        <v>2.777379619335496E-2</v>
      </c>
      <c r="I14" s="19">
        <f t="shared" ca="1" si="1"/>
        <v>0.13870609344249196</v>
      </c>
      <c r="J14" s="19">
        <f t="shared" ca="1" si="2"/>
        <v>1.7232162881212336</v>
      </c>
      <c r="K14" s="19">
        <f t="shared" ca="1" si="3"/>
        <v>2.0488655875610311</v>
      </c>
      <c r="L14" s="19">
        <f t="array" aca="1" ref="L14:M14" ca="1">MMULT(J14:K14,TRANSPOSE($B$10:$C$11))</f>
        <v>1.7232162881212336</v>
      </c>
      <c r="M14" s="19">
        <f ca="1"/>
        <v>0.19457771532828549</v>
      </c>
      <c r="N14" s="20">
        <f t="shared" ca="1" si="4"/>
        <v>2.3152064315581134E-2</v>
      </c>
      <c r="O14" s="20">
        <f t="shared" ca="1" si="5"/>
        <v>3.8601305088863697E-2</v>
      </c>
      <c r="P14" s="19">
        <f t="shared" ca="1" si="11"/>
        <v>126.28615413365512</v>
      </c>
      <c r="Q14" s="19">
        <f ca="1">HCTrans(P14,Strike,RiskFreeRate,Dividend,Variance_T0*AnnualVarConvtr,(Simulation!G14)/250,0.5,Variance_Avg*AnnualVarConvtr,Lambda,SQRT(Simulation!N14),Rho,1,"Call")</f>
        <v>47.054291133028883</v>
      </c>
      <c r="R14" s="19">
        <f t="shared" ca="1" si="6"/>
        <v>0.74669423900537413</v>
      </c>
      <c r="S14" s="19">
        <f t="shared" ca="1" si="7"/>
        <v>0.9999997864699105</v>
      </c>
      <c r="T14" s="19">
        <f t="shared" ca="1" si="12"/>
        <v>1.5116785800326526E-3</v>
      </c>
      <c r="U14" s="19">
        <f t="shared" ca="1" si="13"/>
        <v>-55.548138496121567</v>
      </c>
      <c r="V14" s="21">
        <f t="shared" ca="1" si="14"/>
        <v>2.6740118094929749E-4</v>
      </c>
      <c r="W14">
        <f t="shared" ca="1" si="15"/>
        <v>1.6352405968214509E-2</v>
      </c>
      <c r="X14" s="22">
        <f t="shared" ref="X14" ca="1" si="34">BSdelta(1,P14,Strike,W14*AnnualVarConvtr,Dividend,RiskFreeRate,G14/250)</f>
        <v>0.85228039882462558</v>
      </c>
      <c r="Y14" s="22">
        <f t="shared" ca="1" si="21"/>
        <v>-18.649747016445254</v>
      </c>
      <c r="Z14" s="22">
        <f t="shared" ca="1" si="22"/>
        <v>-38.903209043825001</v>
      </c>
      <c r="AA14">
        <f t="shared" si="9"/>
        <v>0.73884103340948371</v>
      </c>
      <c r="AB14">
        <f t="shared" ref="AB14" ca="1" si="35">BSdelta(1,P14,Strike,AA14/AnnualVarConvtr,Dividend,RiskFreeRate,G14/250)</f>
        <v>0.99999983869704812</v>
      </c>
      <c r="AC14">
        <f t="shared" ca="1" si="18"/>
        <v>1.2725032907922919E-3</v>
      </c>
      <c r="AD14">
        <f t="shared" ca="1" si="19"/>
        <v>-55.538824378341971</v>
      </c>
    </row>
    <row r="15" spans="1:30" x14ac:dyDescent="0.25">
      <c r="G15" s="19">
        <v>240</v>
      </c>
      <c r="H15" s="19">
        <f t="shared" ca="1" si="1"/>
        <v>0.71772064780035605</v>
      </c>
      <c r="I15" s="19">
        <f t="shared" ca="1" si="1"/>
        <v>7.8317035900321574E-2</v>
      </c>
      <c r="J15" s="19">
        <f t="shared" ca="1" si="2"/>
        <v>0.71782831624567378</v>
      </c>
      <c r="K15" s="19">
        <f t="shared" ca="1" si="3"/>
        <v>0.38480153262464872</v>
      </c>
      <c r="L15" s="19">
        <f t="array" aca="1" ref="L15:M15" ca="1">MMULT(J15:K15,TRANSPOSE($B$10:$C$11))</f>
        <v>0.71782831624567378</v>
      </c>
      <c r="M15" s="19">
        <f ca="1"/>
        <v>-0.24589140670438125</v>
      </c>
      <c r="N15" s="20">
        <f t="shared" ca="1" si="4"/>
        <v>2.2158358853607008E-2</v>
      </c>
      <c r="O15" s="20">
        <f t="shared" ca="1" si="5"/>
        <v>4.5509195541379402E-2</v>
      </c>
      <c r="P15" s="19">
        <f t="shared" ca="1" si="11"/>
        <v>132.16611681081699</v>
      </c>
      <c r="Q15" s="19">
        <f ca="1">HCTrans(P15,Strike,RiskFreeRate,Dividend,Variance_T0*AnnualVarConvtr,(Simulation!G15)/250,0.5,Variance_Avg*AnnualVarConvtr,Lambda,SQRT(Simulation!N15),Rho,1,"Call")</f>
        <v>51.52587879315027</v>
      </c>
      <c r="R15" s="19">
        <f t="shared" ca="1" si="6"/>
        <v>0.74786565418684703</v>
      </c>
      <c r="S15" s="19">
        <f t="shared" ca="1" si="7"/>
        <v>0.99999999923438931</v>
      </c>
      <c r="T15" s="19">
        <f t="shared" ca="1" si="12"/>
        <v>2.8120254959994355E-5</v>
      </c>
      <c r="U15" s="19">
        <f t="shared" ca="1" si="13"/>
        <v>-51.07657895625514</v>
      </c>
      <c r="V15" s="21">
        <f t="shared" ca="1" si="14"/>
        <v>4.7718950503957639E-5</v>
      </c>
      <c r="W15">
        <f t="shared" ca="1" si="15"/>
        <v>6.9078904525157053E-3</v>
      </c>
      <c r="X15" s="22">
        <f t="shared" ref="X15" ca="1" si="36">BSdelta(1,P15,Strike,W15*AnnualVarConvtr,Dividend,RiskFreeRate,G15/250)</f>
        <v>0.9960877158285053</v>
      </c>
      <c r="Y15" s="22">
        <f t="shared" ca="1" si="21"/>
        <v>19.006454657384953</v>
      </c>
      <c r="Z15" s="22">
        <f t="shared" ca="1" si="22"/>
        <v>-53.438076041088564</v>
      </c>
      <c r="AA15">
        <f t="shared" si="9"/>
        <v>0.73884103340948371</v>
      </c>
      <c r="AB15">
        <f t="shared" ref="AB15" ca="1" si="37">BSdelta(1,P15,Strike,AA15/AnnualVarConvtr,Dividend,RiskFreeRate,G15/250)</f>
        <v>0.99999999951499419</v>
      </c>
      <c r="AC15">
        <f t="shared" ca="1" si="18"/>
        <v>2.1254683445700028E-5</v>
      </c>
      <c r="AD15">
        <f t="shared" ca="1" si="19"/>
        <v>-51.067257972904031</v>
      </c>
    </row>
    <row r="16" spans="1:30" x14ac:dyDescent="0.25">
      <c r="B16">
        <f t="array" ref="B16:C17">TRANSPOSE(B10:C11)</f>
        <v>1</v>
      </c>
      <c r="C16">
        <v>-0.71650000000000003</v>
      </c>
      <c r="G16" s="19">
        <v>239</v>
      </c>
      <c r="H16" s="19">
        <f t="shared" ca="1" si="1"/>
        <v>0.20959849885936077</v>
      </c>
      <c r="I16" s="19">
        <f t="shared" ca="1" si="1"/>
        <v>0.60510143321945631</v>
      </c>
      <c r="J16" s="19">
        <f t="shared" ca="1" si="2"/>
        <v>-1.3961465796978445</v>
      </c>
      <c r="K16" s="19">
        <f t="shared" ca="1" si="3"/>
        <v>-1.0843881708045626</v>
      </c>
      <c r="L16" s="19">
        <f t="array" aca="1" ref="L16:M16" ca="1">MMULT(J16:K16,TRANSPOSE($B$10:$C$11))</f>
        <v>-1.3961465796978445</v>
      </c>
      <c r="M16" s="19">
        <f ca="1"/>
        <v>0.24388383440171324</v>
      </c>
      <c r="N16" s="20">
        <f t="shared" ca="1" si="4"/>
        <v>2.2977364103036624E-2</v>
      </c>
      <c r="O16" s="20">
        <f t="shared" ca="1" si="5"/>
        <v>3.2365127211742672E-2</v>
      </c>
      <c r="P16" s="19">
        <f t="shared" ca="1" si="11"/>
        <v>136.51366497047627</v>
      </c>
      <c r="Q16" s="19">
        <f ca="1">HCTrans(P16,Strike,RiskFreeRate,Dividend,Variance_T0*AnnualVarConvtr,(Simulation!G16)/250,0.5,Variance_Avg*AnnualVarConvtr,Lambda,SQRT(Simulation!N16),Rho,1,"Call")</f>
        <v>54.883779279418462</v>
      </c>
      <c r="R16" s="19">
        <f t="shared" ca="1" si="6"/>
        <v>0.7486779698656022</v>
      </c>
      <c r="S16" s="19">
        <f t="shared" ca="1" si="7"/>
        <v>0.99999999999240774</v>
      </c>
      <c r="T16" s="19">
        <f t="shared" ca="1" si="12"/>
        <v>1.0347987342193201E-7</v>
      </c>
      <c r="U16" s="19">
        <f t="shared" ca="1" si="13"/>
        <v>-47.718678573466818</v>
      </c>
      <c r="V16" s="21">
        <f t="shared" ca="1" si="14"/>
        <v>1.7276653225415929E-4</v>
      </c>
      <c r="W16">
        <f t="shared" ca="1" si="15"/>
        <v>1.3144068329636729E-2</v>
      </c>
      <c r="X16" s="22">
        <f t="shared" ref="X16" ca="1" si="38">BSdelta(1,P16,Strike,W16*AnnualVarConvtr,Dividend,RiskFreeRate,G16/250)</f>
        <v>0.94880206440105641</v>
      </c>
      <c r="Y16" s="22">
        <f t="shared" ca="1" si="21"/>
        <v>-6.4551375768774815</v>
      </c>
      <c r="Z16" s="22">
        <f t="shared" ca="1" si="22"/>
        <v>-43.625037977942888</v>
      </c>
      <c r="AA16">
        <f t="shared" si="9"/>
        <v>0.73884103340948371</v>
      </c>
      <c r="AB16">
        <f t="shared" ref="AB16" ca="1" si="39">BSdelta(1,P16,Strike,AA16/AnnualVarConvtr,Dividend,RiskFreeRate,G16/250)</f>
        <v>0.99999999999590927</v>
      </c>
      <c r="AC16">
        <f t="shared" ca="1" si="18"/>
        <v>6.5651480865600814E-8</v>
      </c>
      <c r="AD16">
        <f t="shared" ca="1" si="19"/>
        <v>-47.709357552287322</v>
      </c>
    </row>
    <row r="17" spans="2:30" x14ac:dyDescent="0.25">
      <c r="B17">
        <v>0</v>
      </c>
      <c r="C17">
        <v>0.69758709133698849</v>
      </c>
      <c r="G17" s="19">
        <v>238</v>
      </c>
      <c r="H17" s="19">
        <f t="shared" ca="1" si="1"/>
        <v>6.825485389958319E-2</v>
      </c>
      <c r="I17" s="19">
        <f t="shared" ca="1" si="1"/>
        <v>0.47062484571532526</v>
      </c>
      <c r="J17" s="19">
        <f t="shared" ca="1" si="2"/>
        <v>-2.2777577971710645</v>
      </c>
      <c r="K17" s="19">
        <f t="shared" ca="1" si="3"/>
        <v>0.42524448673987642</v>
      </c>
      <c r="L17" s="19">
        <f t="array" aca="1" ref="L17:M17" ca="1">MMULT(J17:K17,TRANSPOSE($B$10:$C$11))</f>
        <v>-2.2777577971710645</v>
      </c>
      <c r="M17" s="19">
        <f ca="1"/>
        <v>1.9286585262850287</v>
      </c>
      <c r="N17" s="20">
        <f t="shared" ca="1" si="4"/>
        <v>3.06205728817706E-2</v>
      </c>
      <c r="O17" s="20">
        <f t="shared" ca="1" si="5"/>
        <v>1.0528395379520359E-2</v>
      </c>
      <c r="P17" s="19">
        <f t="shared" ca="1" si="11"/>
        <v>137.95852750546658</v>
      </c>
      <c r="Q17" s="19">
        <f ca="1">HCTrans(P17,Strike,RiskFreeRate,Dividend,Variance_T0*AnnualVarConvtr,(Simulation!G17)/250,0.5,Variance_Avg*AnnualVarConvtr,Lambda,SQRT(Simulation!N17),Rho,1,"Call")</f>
        <v>55.97327219788923</v>
      </c>
      <c r="R17" s="19">
        <f t="shared" ca="1" si="6"/>
        <v>0.74899714717341959</v>
      </c>
      <c r="S17" s="19">
        <f t="shared" ca="1" si="7"/>
        <v>0.99999999999857692</v>
      </c>
      <c r="T17" s="19">
        <f t="shared" ca="1" si="12"/>
        <v>8.5109047563938906E-10</v>
      </c>
      <c r="U17" s="19">
        <f t="shared" ca="1" si="13"/>
        <v>-46.629185655847138</v>
      </c>
      <c r="V17" s="21">
        <f t="shared" ca="1" si="14"/>
        <v>4.7684285711239126E-4</v>
      </c>
      <c r="W17">
        <f t="shared" ca="1" si="15"/>
        <v>2.1836731832222313E-2</v>
      </c>
      <c r="X17" s="22">
        <f t="shared" ref="X17" ca="1" si="40">BSdelta(1,P17,Strike,W17*AnnualVarConvtr,Dividend,RiskFreeRate,G17/250)</f>
        <v>0.8694137143483065</v>
      </c>
      <c r="Y17" s="22">
        <f t="shared" ca="1" si="21"/>
        <v>-10.952299874365908</v>
      </c>
      <c r="Z17" s="22">
        <f t="shared" ca="1" si="22"/>
        <v>-31.583245185106215</v>
      </c>
      <c r="AA17">
        <f t="shared" si="9"/>
        <v>0.73884103340948371</v>
      </c>
      <c r="AB17">
        <f t="shared" ref="AB17" ca="1" si="41">BSdelta(1,P17,Strike,AA17/AnnualVarConvtr,Dividend,RiskFreeRate,G17/250)</f>
        <v>0.9999999999992818</v>
      </c>
      <c r="AC17">
        <f t="shared" ca="1" si="18"/>
        <v>4.6526851149959006E-10</v>
      </c>
      <c r="AD17">
        <f t="shared" ca="1" si="19"/>
        <v>-46.619864634281825</v>
      </c>
    </row>
    <row r="18" spans="2:30" x14ac:dyDescent="0.25">
      <c r="G18" s="19">
        <v>237</v>
      </c>
      <c r="H18" s="19">
        <f t="shared" ca="1" si="1"/>
        <v>0.90787107672804612</v>
      </c>
      <c r="I18" s="19">
        <f t="shared" ca="1" si="1"/>
        <v>5.6486473743487697E-2</v>
      </c>
      <c r="J18" s="19">
        <f t="shared" ca="1" si="2"/>
        <v>0.41226384732444082</v>
      </c>
      <c r="K18" s="19">
        <f t="shared" ca="1" si="3"/>
        <v>0.15278845858742554</v>
      </c>
      <c r="L18" s="19">
        <f t="array" aca="1" ref="L18:M18" ca="1">MMULT(J18:K18,TRANSPOSE($B$10:$C$11))</f>
        <v>0.41226384732444082</v>
      </c>
      <c r="M18" s="19">
        <f ca="1"/>
        <v>-0.18880379019209773</v>
      </c>
      <c r="N18" s="20">
        <f t="shared" ca="1" si="4"/>
        <v>2.9690847970378274E-2</v>
      </c>
      <c r="O18" s="20">
        <f t="shared" ca="1" si="5"/>
        <v>1.509099020248619E-2</v>
      </c>
      <c r="P18" s="19">
        <f t="shared" ca="1" si="11"/>
        <v>140.05624681244262</v>
      </c>
      <c r="Q18" s="19">
        <f ca="1">HCTrans(P18,Strike,RiskFreeRate,Dividend,Variance_T0*AnnualVarConvtr,(Simulation!G18)/250,0.5,Variance_Avg*AnnualVarConvtr,Lambda,SQRT(Simulation!N18),Rho,1,"Call")</f>
        <v>57.5928942015655</v>
      </c>
      <c r="R18" s="19">
        <f t="shared" ca="1" si="6"/>
        <v>0.74945376502148731</v>
      </c>
      <c r="S18" s="19">
        <f t="shared" ca="1" si="7"/>
        <v>0.99999999999987832</v>
      </c>
      <c r="T18" s="19">
        <f t="shared" ca="1" si="12"/>
        <v>1.8226967991979453E-10</v>
      </c>
      <c r="U18" s="19">
        <f t="shared" ca="1" si="13"/>
        <v>-45.009563652353137</v>
      </c>
      <c r="V18" s="21">
        <f t="shared" ca="1" si="14"/>
        <v>2.0817271518554599E-5</v>
      </c>
      <c r="W18">
        <f t="shared" ca="1" si="15"/>
        <v>4.5625948229658306E-3</v>
      </c>
      <c r="X18" s="22">
        <f t="shared" ref="X18" ca="1" si="42">BSdelta(1,P18,Strike,W18*AnnualVarConvtr,Dividend,RiskFreeRate,G18/250)</f>
        <v>0.99999932124523561</v>
      </c>
      <c r="Y18" s="22">
        <f t="shared" ca="1" si="21"/>
        <v>18.289329989708914</v>
      </c>
      <c r="Z18" s="22">
        <f t="shared" ca="1" si="22"/>
        <v>-48.252953171138856</v>
      </c>
      <c r="AA18">
        <f t="shared" si="9"/>
        <v>0.73884103340948371</v>
      </c>
      <c r="AB18">
        <f t="shared" ref="AB18" ca="1" si="43">BSdelta(1,P18,Strike,AA18/AnnualVarConvtr,Dividend,RiskFreeRate,G18/250)</f>
        <v>0.99999999999994449</v>
      </c>
      <c r="AC18">
        <f t="shared" ca="1" si="18"/>
        <v>9.2814171595397843E-11</v>
      </c>
      <c r="AD18">
        <f t="shared" ca="1" si="19"/>
        <v>-45.000242630698366</v>
      </c>
    </row>
    <row r="19" spans="2:30" x14ac:dyDescent="0.25">
      <c r="G19" s="19">
        <v>236</v>
      </c>
      <c r="H19" s="19">
        <f t="shared" ca="1" si="1"/>
        <v>2.5030271699674533E-2</v>
      </c>
      <c r="I19" s="19">
        <f t="shared" ca="1" si="1"/>
        <v>0.1802708423419821</v>
      </c>
      <c r="J19" s="19">
        <f t="shared" ca="1" si="2"/>
        <v>1.1521299183368068</v>
      </c>
      <c r="K19" s="19">
        <f t="shared" ca="1" si="3"/>
        <v>2.4592550271466167</v>
      </c>
      <c r="L19" s="19">
        <f t="array" aca="1" ref="L19:M19" ca="1">MMULT(J19:K19,TRANSPOSE($B$10:$C$11))</f>
        <v>1.1521299183368068</v>
      </c>
      <c r="M19" s="19">
        <f ca="1"/>
        <v>0.89004347475475298</v>
      </c>
      <c r="N19" s="20">
        <f t="shared" ca="1" si="4"/>
        <v>3.3450398836067687E-2</v>
      </c>
      <c r="O19" s="20">
        <f t="shared" ca="1" si="5"/>
        <v>2.7646742831845809E-2</v>
      </c>
      <c r="P19" s="19">
        <f t="shared" ca="1" si="11"/>
        <v>143.98236800970778</v>
      </c>
      <c r="Q19" s="19">
        <f ca="1">HCTrans(P19,Strike,RiskFreeRate,Dividend,Variance_T0*AnnualVarConvtr,(Simulation!G19)/250,0.5,Variance_Avg*AnnualVarConvtr,Lambda,SQRT(Simulation!N19),Rho,1,"Call")</f>
        <v>60.711542516625258</v>
      </c>
      <c r="R19" s="19">
        <f t="shared" ca="1" si="6"/>
        <v>0.7503501168896537</v>
      </c>
      <c r="S19" s="19">
        <f t="shared" ca="1" si="7"/>
        <v>0.99999999999999889</v>
      </c>
      <c r="T19" s="19">
        <f t="shared" ca="1" si="12"/>
        <v>1.7359985855341114E-11</v>
      </c>
      <c r="U19" s="19">
        <f t="shared" ca="1" si="13"/>
        <v>-41.890915337310737</v>
      </c>
      <c r="V19" s="21">
        <f t="shared" ca="1" si="14"/>
        <v>1.57646924089671E-4</v>
      </c>
      <c r="W19">
        <f t="shared" ca="1" si="15"/>
        <v>1.255575262935962E-2</v>
      </c>
      <c r="X19" s="22">
        <f t="shared" ref="X19" ca="1" si="44">BSdelta(1,P19,Strike,W19*AnnualVarConvtr,Dividend,RiskFreeRate,G19/250)</f>
        <v>0.97649862552392319</v>
      </c>
      <c r="Y19" s="22">
        <f t="shared" ca="1" si="21"/>
        <v>-3.3836858198301694</v>
      </c>
      <c r="Z19" s="22">
        <f t="shared" ca="1" si="22"/>
        <v>-41.750619036248928</v>
      </c>
      <c r="AA19">
        <f t="shared" si="9"/>
        <v>0.73884103340948371</v>
      </c>
      <c r="AB19">
        <f t="shared" ref="AB19" ca="1" si="45">BSdelta(1,P19,Strike,AA19/AnnualVarConvtr,Dividend,RiskFreeRate,G19/250)</f>
        <v>0.99999999999999956</v>
      </c>
      <c r="AC19">
        <f t="shared" ca="1" si="18"/>
        <v>7.9286859891797356E-12</v>
      </c>
      <c r="AD19">
        <f t="shared" ca="1" si="19"/>
        <v>-41.881594315646538</v>
      </c>
    </row>
    <row r="20" spans="2:30" x14ac:dyDescent="0.25">
      <c r="G20" s="19">
        <v>235</v>
      </c>
      <c r="H20" s="19">
        <f t="shared" ca="1" si="1"/>
        <v>0.87337443687086103</v>
      </c>
      <c r="I20" s="19">
        <f t="shared" ca="1" si="1"/>
        <v>0.80472850337826518</v>
      </c>
      <c r="J20" s="19">
        <f t="shared" ca="1" si="2"/>
        <v>0.1754325825375577</v>
      </c>
      <c r="K20" s="19">
        <f t="shared" ca="1" si="3"/>
        <v>-0.48990327897540581</v>
      </c>
      <c r="L20" s="19">
        <f t="array" aca="1" ref="L20:M20" ca="1">MMULT(J20:K20,TRANSPOSE($B$10:$C$11))</f>
        <v>0.1754325825375577</v>
      </c>
      <c r="M20" s="19">
        <f ca="1"/>
        <v>-0.46744764880506662</v>
      </c>
      <c r="N20" s="20">
        <f t="shared" ca="1" si="4"/>
        <v>3.1246937962644834E-2</v>
      </c>
      <c r="O20" s="20">
        <f t="shared" ca="1" si="5"/>
        <v>2.9676017819907256E-2</v>
      </c>
      <c r="P20" s="19">
        <f t="shared" ca="1" si="11"/>
        <v>148.31922335467129</v>
      </c>
      <c r="Q20" s="19">
        <f ca="1">HCTrans(P20,Strike,RiskFreeRate,Dividend,Variance_T0*AnnualVarConvtr,(Simulation!G20)/250,0.5,Variance_Avg*AnnualVarConvtr,Lambda,SQRT(Simulation!N20),Rho,1,"Call")</f>
        <v>64.204122159032039</v>
      </c>
      <c r="R20" s="19">
        <f t="shared" ca="1" si="6"/>
        <v>0.75119632354959676</v>
      </c>
      <c r="S20" s="19">
        <f t="shared" ca="1" si="7"/>
        <v>1</v>
      </c>
      <c r="T20" s="19">
        <f t="shared" ca="1" si="12"/>
        <v>1.6466741676287732E-13</v>
      </c>
      <c r="U20" s="19">
        <f t="shared" ca="1" si="13"/>
        <v>-38.398335694904119</v>
      </c>
      <c r="V20" s="21">
        <f t="shared" ca="1" si="14"/>
        <v>4.1179569771717828E-6</v>
      </c>
      <c r="W20">
        <f t="shared" ca="1" si="15"/>
        <v>2.0292749880614462E-3</v>
      </c>
      <c r="X20" s="22">
        <f t="shared" ref="X20" ca="1" si="46">BSdelta(1,P20,Strike,W20*AnnualVarConvtr,Dividend,RiskFreeRate,G20/250)</f>
        <v>1</v>
      </c>
      <c r="Y20" s="22">
        <f t="shared" ca="1" si="21"/>
        <v>3.4857056100590071</v>
      </c>
      <c r="Z20" s="22">
        <f t="shared" ca="1" si="22"/>
        <v>-41.743745003901154</v>
      </c>
      <c r="AA20">
        <f t="shared" si="9"/>
        <v>0.73884103340948371</v>
      </c>
      <c r="AB20">
        <f t="shared" ref="AB20" ca="1" si="47">BSdelta(1,P20,Strike,AA20/AnnualVarConvtr,Dividend,RiskFreeRate,G20/250)</f>
        <v>1</v>
      </c>
      <c r="AC20">
        <f t="shared" ca="1" si="18"/>
        <v>6.5866966705150929E-14</v>
      </c>
      <c r="AD20">
        <f t="shared" ca="1" si="19"/>
        <v>-38.389014673239821</v>
      </c>
    </row>
    <row r="21" spans="2:30" x14ac:dyDescent="0.25">
      <c r="G21" s="19">
        <v>234</v>
      </c>
      <c r="H21" s="19">
        <f t="shared" ca="1" si="1"/>
        <v>5.5612036516098917E-2</v>
      </c>
      <c r="I21" s="19">
        <f t="shared" ca="1" si="1"/>
        <v>0.77698645685494416</v>
      </c>
      <c r="J21" s="19">
        <f t="shared" ca="1" si="2"/>
        <v>0.40565625356730217</v>
      </c>
      <c r="K21" s="19">
        <f t="shared" ca="1" si="3"/>
        <v>-2.3694206545158987</v>
      </c>
      <c r="L21" s="19">
        <f t="array" aca="1" ref="L21:M21" ca="1">MMULT(J21:K21,TRANSPOSE($B$10:$C$11))</f>
        <v>0.40565625356730217</v>
      </c>
      <c r="M21" s="19">
        <f ca="1"/>
        <v>-1.9435299682185012</v>
      </c>
      <c r="N21" s="20">
        <f t="shared" ca="1" si="4"/>
        <v>2.3262368235140218E-2</v>
      </c>
      <c r="O21" s="20">
        <f t="shared" ca="1" si="5"/>
        <v>3.4211170407043273E-2</v>
      </c>
      <c r="P21" s="19">
        <f t="shared" ca="1" si="11"/>
        <v>153.48119262868536</v>
      </c>
      <c r="Q21" s="19">
        <f ca="1">HCTrans(P21,Strike,RiskFreeRate,Dividend,Variance_T0*AnnualVarConvtr,(Simulation!G21)/250,0.5,Variance_Avg*AnnualVarConvtr,Lambda,SQRT(Simulation!N21),Rho,1,"Call")</f>
        <v>68.41588784331212</v>
      </c>
      <c r="R21" s="19" t="e">
        <f t="shared" ca="1" si="6"/>
        <v>#VALUE!</v>
      </c>
      <c r="S21" s="19" t="e">
        <f t="shared" ca="1" si="7"/>
        <v>#VALUE!</v>
      </c>
      <c r="T21" s="19" t="e">
        <f t="shared" ca="1" si="12"/>
        <v>#VALUE!</v>
      </c>
      <c r="U21" s="19" t="e">
        <f t="shared" ca="1" si="13"/>
        <v>#VALUE!</v>
      </c>
      <c r="V21" s="21">
        <f t="shared" ca="1" si="14"/>
        <v>2.0567608988606513E-5</v>
      </c>
      <c r="W21">
        <f t="shared" ca="1" si="15"/>
        <v>4.5351525871360175E-3</v>
      </c>
      <c r="X21" s="22">
        <f t="shared" ref="X21" ca="1" si="48">BSdelta(1,P21,Strike,W21*AnnualVarConvtr,Dividend,RiskFreeRate,G21/250)</f>
        <v>0.99999999973504416</v>
      </c>
      <c r="Y21" s="22">
        <f t="shared" ca="1" si="21"/>
        <v>-4.0665737557375334E-8</v>
      </c>
      <c r="Z21" s="22">
        <f t="shared" ca="1" si="22"/>
        <v>-37.531979278955333</v>
      </c>
      <c r="AA21">
        <f t="shared" si="9"/>
        <v>0.73884103340948371</v>
      </c>
      <c r="AB21">
        <f t="shared" ref="AB21" ca="1" si="49">BSdelta(1,P21,Strike,AA21/AnnualVarConvtr,Dividend,RiskFreeRate,G21/250)</f>
        <v>1</v>
      </c>
      <c r="AC21">
        <f t="shared" ca="1" si="18"/>
        <v>0</v>
      </c>
      <c r="AD21">
        <f t="shared" ca="1" si="19"/>
        <v>-34.17724898895974</v>
      </c>
    </row>
    <row r="22" spans="2:30" x14ac:dyDescent="0.25">
      <c r="G22" s="19">
        <v>233</v>
      </c>
      <c r="H22" s="19">
        <f t="shared" ca="1" si="1"/>
        <v>0.40670162736131588</v>
      </c>
      <c r="I22" s="19">
        <f t="shared" ca="1" si="1"/>
        <v>0.75434591970207987</v>
      </c>
      <c r="J22" s="19">
        <f t="shared" ca="1" si="2"/>
        <v>3.6623979360181441E-2</v>
      </c>
      <c r="K22" s="19">
        <f t="shared" ca="1" si="3"/>
        <v>-1.3408988080871014</v>
      </c>
      <c r="L22" s="19">
        <f t="array" aca="1" ref="L22:M22" ca="1">MMULT(J22:K22,TRANSPOSE($B$10:$C$11))</f>
        <v>3.6623979360181441E-2</v>
      </c>
      <c r="M22" s="19">
        <f ca="1"/>
        <v>-0.96163478052228579</v>
      </c>
      <c r="N22" s="20">
        <f t="shared" ca="1" si="4"/>
        <v>1.9719041996078341E-2</v>
      </c>
      <c r="O22" s="20">
        <f t="shared" ca="1" si="5"/>
        <v>3.4564453203409437E-2</v>
      </c>
      <c r="P22" s="19">
        <f t="shared" ca="1" si="11"/>
        <v>158.8789337337692</v>
      </c>
      <c r="Q22" s="19">
        <f ca="1">HCTrans(P22,Strike,RiskFreeRate,Dividend,Variance_T0*AnnualVarConvtr,(Simulation!G22)/250,0.5,Variance_Avg*AnnualVarConvtr,Lambda,SQRT(Simulation!N22),Rho,1,"Call")</f>
        <v>72.888031324167201</v>
      </c>
      <c r="R22" s="19" t="e">
        <f t="shared" ca="1" si="6"/>
        <v>#VALUE!</v>
      </c>
      <c r="S22" s="19" t="e">
        <f t="shared" ca="1" si="7"/>
        <v>#VALUE!</v>
      </c>
      <c r="T22" s="19" t="e">
        <f t="shared" ca="1" si="12"/>
        <v>#VALUE!</v>
      </c>
      <c r="U22" s="19" t="e">
        <f t="shared" ca="1" si="13"/>
        <v>#VALUE!</v>
      </c>
      <c r="V22" s="21">
        <f t="shared" ca="1" si="14"/>
        <v>1.2480873420829642E-7</v>
      </c>
      <c r="W22">
        <f t="shared" ca="1" si="15"/>
        <v>3.5328279636616389E-4</v>
      </c>
      <c r="X22" s="22">
        <f t="shared" ref="X22" ca="1" si="50">BSdelta(1,P22,Strike,W22*AnnualVarConvtr,Dividend,RiskFreeRate,G22/250)</f>
        <v>1</v>
      </c>
      <c r="Y22" s="22">
        <f t="shared" ca="1" si="21"/>
        <v>4.2095900559255551E-8</v>
      </c>
      <c r="Z22" s="22">
        <f t="shared" ca="1" si="22"/>
        <v>-33.059835840196151</v>
      </c>
      <c r="AA22">
        <f t="shared" si="9"/>
        <v>0.73884103340948371</v>
      </c>
      <c r="AB22">
        <f t="shared" ref="AB22" ca="1" si="51">BSdelta(1,P22,Strike,AA22/AnnualVarConvtr,Dividend,RiskFreeRate,G22/250)</f>
        <v>1</v>
      </c>
      <c r="AC22">
        <f t="shared" ca="1" si="18"/>
        <v>0</v>
      </c>
      <c r="AD22">
        <f t="shared" ca="1" si="19"/>
        <v>-29.705105508104658</v>
      </c>
    </row>
    <row r="23" spans="2:30" x14ac:dyDescent="0.25">
      <c r="G23" s="19">
        <v>232</v>
      </c>
      <c r="H23" s="19">
        <f t="shared" ca="1" si="1"/>
        <v>0.64727447814052452</v>
      </c>
      <c r="I23" s="19">
        <f t="shared" ca="1" si="1"/>
        <v>0.9809502502550117</v>
      </c>
      <c r="J23" s="19">
        <f t="shared" ca="1" si="2"/>
        <v>0.92604833685838039</v>
      </c>
      <c r="K23" s="19">
        <f t="shared" ca="1" si="3"/>
        <v>-0.11137397619439636</v>
      </c>
      <c r="L23" s="19">
        <f t="array" aca="1" ref="L23:M23" ca="1">MMULT(J23:K23,TRANSPOSE($B$10:$C$11))</f>
        <v>0.92604833685838039</v>
      </c>
      <c r="M23" s="19">
        <f ca="1"/>
        <v>-0.74120668146311353</v>
      </c>
      <c r="N23" s="20">
        <f t="shared" ca="1" si="4"/>
        <v>1.7182276954400978E-2</v>
      </c>
      <c r="O23" s="20">
        <f t="shared" ca="1" si="5"/>
        <v>4.2788897390493352E-2</v>
      </c>
      <c r="P23" s="19">
        <f t="shared" ca="1" si="11"/>
        <v>165.82472988974806</v>
      </c>
      <c r="Q23" s="19">
        <f ca="1">HCTrans(P23,Strike,RiskFreeRate,Dividend,Variance_T0*AnnualVarConvtr,(Simulation!G23)/250,0.5,Variance_Avg*AnnualVarConvtr,Lambda,SQRT(Simulation!N23),Rho,1,"Call")</f>
        <v>78.74835065847985</v>
      </c>
      <c r="R23" s="19" t="e">
        <f t="shared" ca="1" si="6"/>
        <v>#VALUE!</v>
      </c>
      <c r="S23" s="19" t="e">
        <f t="shared" ca="1" si="7"/>
        <v>#VALUE!</v>
      </c>
      <c r="T23" s="19" t="e">
        <f t="shared" ca="1" si="12"/>
        <v>#VALUE!</v>
      </c>
      <c r="U23" s="19" t="e">
        <f t="shared" ca="1" si="13"/>
        <v>#VALUE!</v>
      </c>
      <c r="V23" s="21">
        <f t="shared" ca="1" si="14"/>
        <v>6.7641482186458403E-5</v>
      </c>
      <c r="W23">
        <f t="shared" ca="1" si="15"/>
        <v>8.2244441870839152E-3</v>
      </c>
      <c r="X23" s="22">
        <f t="shared" ref="X23" ca="1" si="52">BSdelta(1,P23,Strike,W23*AnnualVarConvtr,Dividend,RiskFreeRate,G23/250)</f>
        <v>0.99997934000293953</v>
      </c>
      <c r="Y23" s="22">
        <f t="shared" ca="1" si="21"/>
        <v>-3.4259384320751234E-3</v>
      </c>
      <c r="Z23" s="22">
        <f t="shared" ca="1" si="22"/>
        <v>-27.196090567451428</v>
      </c>
      <c r="AA23">
        <f t="shared" si="9"/>
        <v>0.73884103340948371</v>
      </c>
      <c r="AB23">
        <f t="shared" ref="AB23" ca="1" si="53">BSdelta(1,P23,Strike,AA23/AnnualVarConvtr,Dividend,RiskFreeRate,G23/250)</f>
        <v>1</v>
      </c>
      <c r="AC23">
        <f t="shared" ca="1" si="18"/>
        <v>0</v>
      </c>
      <c r="AD23">
        <f t="shared" ca="1" si="19"/>
        <v>-23.844786173792009</v>
      </c>
    </row>
    <row r="24" spans="2:30" x14ac:dyDescent="0.25">
      <c r="G24" s="19">
        <v>231</v>
      </c>
      <c r="H24" s="19">
        <f t="shared" ca="1" si="1"/>
        <v>0.11764208831439349</v>
      </c>
      <c r="I24" s="19">
        <f t="shared" ca="1" si="1"/>
        <v>0.79713507278787843</v>
      </c>
      <c r="J24" s="19">
        <f t="shared" ca="1" si="2"/>
        <v>0.60379515442625842</v>
      </c>
      <c r="K24" s="19">
        <f t="shared" ca="1" si="3"/>
        <v>-1.9787996965140964</v>
      </c>
      <c r="L24" s="19">
        <f t="array" aca="1" ref="L24:M24" ca="1">MMULT(J24:K24,TRANSPOSE($B$10:$C$11))</f>
        <v>0.60379515442625842</v>
      </c>
      <c r="M24" s="19">
        <f ca="1"/>
        <v>-1.8130043527761983</v>
      </c>
      <c r="N24" s="20">
        <f t="shared" ca="1" si="4"/>
        <v>1.1795344261463694E-2</v>
      </c>
      <c r="O24" s="20">
        <f t="shared" ca="1" si="5"/>
        <v>4.779454158744955E-2</v>
      </c>
      <c r="P24" s="19">
        <f t="shared" ca="1" si="11"/>
        <v>173.94269886505987</v>
      </c>
      <c r="Q24" s="19">
        <f ca="1">HCTrans(P24,Strike,RiskFreeRate,Dividend,Variance_T0*AnnualVarConvtr,(Simulation!G24)/250,0.5,Variance_Avg*AnnualVarConvtr,Lambda,SQRT(Simulation!N24),Rho,1,"Call")</f>
        <v>85.698464163326648</v>
      </c>
      <c r="R24" s="19" t="e">
        <f t="shared" ca="1" si="6"/>
        <v>#VALUE!</v>
      </c>
      <c r="S24" s="19" t="e">
        <f t="shared" ca="1" si="7"/>
        <v>#VALUE!</v>
      </c>
      <c r="T24" s="19" t="e">
        <f t="shared" ca="1" si="12"/>
        <v>#VALUE!</v>
      </c>
      <c r="U24" s="19" t="e">
        <f t="shared" ca="1" si="13"/>
        <v>#VALUE!</v>
      </c>
      <c r="V24" s="21">
        <f t="shared" ca="1" si="14"/>
        <v>2.5056473826521261E-5</v>
      </c>
      <c r="W24">
        <f t="shared" ca="1" si="15"/>
        <v>5.0056441969561979E-3</v>
      </c>
      <c r="X24" s="22">
        <f t="shared" ref="X24" ca="1" si="54">BSdelta(1,P24,Strike,W24*AnnualVarConvtr,Dividend,RiskFreeRate,G24/250)</f>
        <v>0.99999999999987044</v>
      </c>
      <c r="Y24" s="22">
        <f t="shared" ca="1" si="21"/>
        <v>3.5936556247054947E-3</v>
      </c>
      <c r="Z24" s="22">
        <f t="shared" ca="1" si="22"/>
        <v>-20.249570718229336</v>
      </c>
      <c r="AA24">
        <f t="shared" si="9"/>
        <v>0.73884103340948371</v>
      </c>
      <c r="AB24">
        <f t="shared" ref="AB24" ca="1" si="55">BSdelta(1,P24,Strike,AA24/AnnualVarConvtr,Dividend,RiskFreeRate,G24/250)</f>
        <v>1</v>
      </c>
      <c r="AC24">
        <f t="shared" ca="1" si="18"/>
        <v>0</v>
      </c>
      <c r="AD24">
        <f t="shared" ca="1" si="19"/>
        <v>-16.894672668945212</v>
      </c>
    </row>
    <row r="25" spans="2:30" x14ac:dyDescent="0.25">
      <c r="G25" s="19">
        <v>230</v>
      </c>
      <c r="H25" s="19">
        <f t="shared" ca="1" si="1"/>
        <v>0.20411880021484574</v>
      </c>
      <c r="I25" s="19">
        <f t="shared" ca="1" si="1"/>
        <v>0.32845033626255726</v>
      </c>
      <c r="J25" s="19">
        <f t="shared" ca="1" si="2"/>
        <v>-0.84358255116583369</v>
      </c>
      <c r="K25" s="19">
        <f t="shared" ca="1" si="3"/>
        <v>1.5705014105884363</v>
      </c>
      <c r="L25" s="19">
        <f t="array" aca="1" ref="L25:M25" ca="1">MMULT(J25:K25,TRANSPOSE($B$10:$C$11))</f>
        <v>-0.84358255116583369</v>
      </c>
      <c r="M25" s="19">
        <f ca="1"/>
        <v>1.6999884088633448</v>
      </c>
      <c r="N25" s="20">
        <f t="shared" ca="1" si="4"/>
        <v>1.6731732431697729E-2</v>
      </c>
      <c r="O25" s="20">
        <f t="shared" ca="1" si="5"/>
        <v>4.2000082588317042E-2</v>
      </c>
      <c r="P25" s="19">
        <f t="shared" ca="1" si="11"/>
        <v>181.40389524721937</v>
      </c>
      <c r="Q25" s="19">
        <f ca="1">HCTrans(P25,Strike,RiskFreeRate,Dividend,Variance_T0*AnnualVarConvtr,(Simulation!G25)/250,0.5,Variance_Avg*AnnualVarConvtr,Lambda,SQRT(Simulation!N25),Rho,1,"Call")</f>
        <v>92.24115283479648</v>
      </c>
      <c r="R25" s="19" t="e">
        <f t="shared" ca="1" si="6"/>
        <v>#VALUE!</v>
      </c>
      <c r="S25" s="19" t="e">
        <f t="shared" ca="1" si="7"/>
        <v>#VALUE!</v>
      </c>
      <c r="T25" s="19" t="e">
        <f t="shared" ca="1" si="12"/>
        <v>#VALUE!</v>
      </c>
      <c r="U25" s="19" t="e">
        <f t="shared" ca="1" si="13"/>
        <v>#VALUE!</v>
      </c>
      <c r="V25" s="21">
        <f t="shared" ca="1" si="14"/>
        <v>3.357575509262771E-5</v>
      </c>
      <c r="W25">
        <f t="shared" ca="1" si="15"/>
        <v>5.7944589991325082E-3</v>
      </c>
      <c r="X25" s="22">
        <f t="shared" ref="X25" ca="1" si="56">BSdelta(1,P25,Strike,W25*AnnualVarConvtr,Dividend,RiskFreeRate,G25/250)</f>
        <v>0.99999999999548161</v>
      </c>
      <c r="Y25" s="22">
        <f t="shared" ca="1" si="21"/>
        <v>-7.9614952219951059E-10</v>
      </c>
      <c r="Z25" s="22">
        <f t="shared" ca="1" si="22"/>
        <v>-13.706882045963354</v>
      </c>
      <c r="AA25">
        <f t="shared" si="9"/>
        <v>0.73884103340948371</v>
      </c>
      <c r="AB25">
        <f t="shared" ref="AB25" ca="1" si="57">BSdelta(1,P25,Strike,AA25/AnnualVarConvtr,Dividend,RiskFreeRate,G25/250)</f>
        <v>1</v>
      </c>
      <c r="AC25">
        <f t="shared" ca="1" si="18"/>
        <v>0</v>
      </c>
      <c r="AD25">
        <f t="shared" ca="1" si="19"/>
        <v>-10.351983997475379</v>
      </c>
    </row>
    <row r="26" spans="2:30" x14ac:dyDescent="0.25">
      <c r="G26" s="19">
        <v>229</v>
      </c>
      <c r="H26" s="19">
        <f t="shared" ca="1" si="1"/>
        <v>0.36989144472330193</v>
      </c>
      <c r="I26" s="19">
        <f t="shared" ca="1" si="1"/>
        <v>0.56477197283596647</v>
      </c>
      <c r="J26" s="19">
        <f t="shared" ca="1" si="2"/>
        <v>-1.2951578071264598</v>
      </c>
      <c r="K26" s="19">
        <f t="shared" ca="1" si="3"/>
        <v>-0.55826308556328896</v>
      </c>
      <c r="L26" s="19">
        <f t="array" aca="1" ref="L26:M26" ca="1">MMULT(J26:K26,TRANSPOSE($B$10:$C$11))</f>
        <v>-1.2951578071264598</v>
      </c>
      <c r="M26" s="19">
        <f ca="1"/>
        <v>0.53854344674720145</v>
      </c>
      <c r="N26" s="20">
        <f t="shared" ca="1" si="4"/>
        <v>1.8432094573384787E-2</v>
      </c>
      <c r="O26" s="20">
        <f t="shared" ca="1" si="5"/>
        <v>3.1404541526290151E-2</v>
      </c>
      <c r="P26" s="19">
        <f t="shared" ca="1" si="11"/>
        <v>187.19119959443344</v>
      </c>
      <c r="Q26" s="19">
        <f ca="1">HCTrans(P26,Strike,RiskFreeRate,Dividend,Variance_T0*AnnualVarConvtr,(Simulation!G26)/250,0.5,Variance_Avg*AnnualVarConvtr,Lambda,SQRT(Simulation!N26),Rho,1,"Call")</f>
        <v>97.349472323639219</v>
      </c>
      <c r="R26" s="19" t="e">
        <f t="shared" ca="1" si="6"/>
        <v>#VALUE!</v>
      </c>
      <c r="S26" s="19" t="e">
        <f t="shared" ca="1" si="7"/>
        <v>#VALUE!</v>
      </c>
      <c r="T26" s="19" t="e">
        <f t="shared" ca="1" si="12"/>
        <v>#VALUE!</v>
      </c>
      <c r="U26" s="19" t="e">
        <f t="shared" ca="1" si="13"/>
        <v>#VALUE!</v>
      </c>
      <c r="V26" s="21">
        <f t="shared" ca="1" si="14"/>
        <v>1.1226549039709793E-4</v>
      </c>
      <c r="W26">
        <f t="shared" ca="1" si="15"/>
        <v>1.0595541062026891E-2</v>
      </c>
      <c r="X26" s="22">
        <f t="shared" ref="X26" ca="1" si="58">BSdelta(1,P26,Strike,W26*AnnualVarConvtr,Dividend,RiskFreeRate,G26/250)</f>
        <v>0.99996701511967134</v>
      </c>
      <c r="Y26" s="22">
        <f t="shared" ca="1" si="21"/>
        <v>-6.1744784713980982E-3</v>
      </c>
      <c r="Z26" s="22">
        <f t="shared" ca="1" si="22"/>
        <v>-8.5923880786492184</v>
      </c>
      <c r="AA26">
        <f t="shared" si="9"/>
        <v>0.73884103340948371</v>
      </c>
      <c r="AB26">
        <f t="shared" ref="AB26" ca="1" si="59">BSdelta(1,P26,Strike,AA26/AnnualVarConvtr,Dividend,RiskFreeRate,G26/250)</f>
        <v>1</v>
      </c>
      <c r="AC26">
        <f t="shared" ca="1" si="18"/>
        <v>0</v>
      </c>
      <c r="AD26">
        <f t="shared" ca="1" si="19"/>
        <v>-5.2436645086326408</v>
      </c>
    </row>
    <row r="27" spans="2:30" x14ac:dyDescent="0.25">
      <c r="G27" s="19">
        <v>228</v>
      </c>
      <c r="H27" s="19">
        <f t="shared" ca="1" si="1"/>
        <v>0.25260907164455282</v>
      </c>
      <c r="I27" s="19">
        <f t="shared" ca="1" si="1"/>
        <v>0.98117870504004634</v>
      </c>
      <c r="J27" s="19">
        <f t="shared" ca="1" si="2"/>
        <v>1.6472763716233187</v>
      </c>
      <c r="K27" s="19">
        <f t="shared" ca="1" si="3"/>
        <v>-0.19571629658363091</v>
      </c>
      <c r="L27" s="19">
        <f t="array" aca="1" ref="L27:M27" ca="1">MMULT(J27:K27,TRANSPOSE($B$10:$C$11))</f>
        <v>1.6472763716233187</v>
      </c>
      <c r="M27" s="19">
        <f ca="1"/>
        <v>-1.3168026823291303</v>
      </c>
      <c r="N27" s="20">
        <f t="shared" ca="1" si="4"/>
        <v>1.4248739172796837E-2</v>
      </c>
      <c r="O27" s="20">
        <f t="shared" ca="1" si="5"/>
        <v>4.554891808065252E-2</v>
      </c>
      <c r="P27" s="19">
        <f t="shared" ca="1" si="11"/>
        <v>195.91472152818721</v>
      </c>
      <c r="Q27" s="19">
        <f ca="1">HCTrans(P27,Strike,RiskFreeRate,Dividend,Variance_T0*AnnualVarConvtr,(Simulation!G27)/250,0.5,Variance_Avg*AnnualVarConvtr,Lambda,SQRT(Simulation!N27),Rho,1,"Call")</f>
        <v>105.11422553627442</v>
      </c>
      <c r="R27" s="19" t="e">
        <f t="shared" ca="1" si="6"/>
        <v>#VALUE!</v>
      </c>
      <c r="S27" s="19" t="e">
        <f t="shared" ca="1" si="7"/>
        <v>#VALUE!</v>
      </c>
      <c r="T27" s="19" t="e">
        <f t="shared" ca="1" si="12"/>
        <v>#VALUE!</v>
      </c>
      <c r="U27" s="19" t="e">
        <f t="shared" ca="1" si="13"/>
        <v>#VALUE!</v>
      </c>
      <c r="V27" s="21">
        <f t="shared" ca="1" si="14"/>
        <v>2.0006338811159587E-4</v>
      </c>
      <c r="W27">
        <f t="shared" ca="1" si="15"/>
        <v>1.4144376554362369E-2</v>
      </c>
      <c r="X27" s="22">
        <f t="shared" ref="X27" ca="1" si="60">BSdelta(1,P27,Strike,W27*AnnualVarConvtr,Dividend,RiskFreeRate,G27/250)</f>
        <v>0.99943423880995053</v>
      </c>
      <c r="Y27" s="22">
        <f t="shared" ca="1" si="21"/>
        <v>-0.10437872235576912</v>
      </c>
      <c r="Z27" s="22">
        <f t="shared" ca="1" si="22"/>
        <v>-0.72325614365825031</v>
      </c>
      <c r="AA27">
        <f t="shared" si="9"/>
        <v>0.73884103340948371</v>
      </c>
      <c r="AB27">
        <f t="shared" ref="AB27" ca="1" si="61">BSdelta(1,P27,Strike,AA27/AnnualVarConvtr,Dividend,RiskFreeRate,G27/250)</f>
        <v>1</v>
      </c>
      <c r="AC27">
        <f t="shared" ca="1" si="18"/>
        <v>0</v>
      </c>
      <c r="AD27">
        <f t="shared" ca="1" si="19"/>
        <v>2.5210887040025582</v>
      </c>
    </row>
    <row r="28" spans="2:30" x14ac:dyDescent="0.25">
      <c r="G28" s="19">
        <v>227</v>
      </c>
      <c r="H28" s="19">
        <f t="shared" ca="1" si="1"/>
        <v>0.43384179504251374</v>
      </c>
      <c r="I28" s="19">
        <f t="shared" ca="1" si="1"/>
        <v>0.50313388105226953</v>
      </c>
      <c r="J28" s="19">
        <f t="shared" ca="1" si="2"/>
        <v>-1.2920925666841243</v>
      </c>
      <c r="K28" s="19">
        <f t="shared" ca="1" si="3"/>
        <v>-2.5445567381300799E-2</v>
      </c>
      <c r="L28" s="19">
        <f t="array" aca="1" ref="L28:M28" ca="1">MMULT(J28:K28,TRANSPOSE($B$10:$C$11))</f>
        <v>-1.2920925666841243</v>
      </c>
      <c r="M28" s="19">
        <f ca="1"/>
        <v>0.90803382469223415</v>
      </c>
      <c r="N28" s="20">
        <f t="shared" ca="1" si="4"/>
        <v>1.6992252144496674E-2</v>
      </c>
      <c r="O28" s="20">
        <f t="shared" ca="1" si="5"/>
        <v>3.5794264697267993E-2</v>
      </c>
      <c r="P28" s="19">
        <f t="shared" ca="1" si="11"/>
        <v>203.05436173761615</v>
      </c>
      <c r="Q28" s="19">
        <f ca="1">HCTrans(P28,Strike,RiskFreeRate,Dividend,Variance_T0*AnnualVarConvtr,(Simulation!G28)/250,0.5,Variance_Avg*AnnualVarConvtr,Lambda,SQRT(Simulation!N28),Rho,1,"Call")</f>
        <v>111.57826149112813</v>
      </c>
      <c r="R28" s="19" t="e">
        <f t="shared" ca="1" si="6"/>
        <v>#VALUE!</v>
      </c>
      <c r="S28" s="19" t="e">
        <f t="shared" ca="1" si="7"/>
        <v>#VALUE!</v>
      </c>
      <c r="T28" s="19" t="e">
        <f t="shared" ca="1" si="12"/>
        <v>#VALUE!</v>
      </c>
      <c r="U28" s="19" t="e">
        <f t="shared" ca="1" si="13"/>
        <v>#VALUE!</v>
      </c>
      <c r="V28" s="21">
        <f t="shared" ca="1" si="14"/>
        <v>9.515326262997521E-5</v>
      </c>
      <c r="W28">
        <f t="shared" ca="1" si="15"/>
        <v>9.7546533833845275E-3</v>
      </c>
      <c r="X28" s="22">
        <f t="shared" ref="X28" ca="1" si="62">BSdelta(1,P28,Strike,W28*AnnualVarConvtr,Dividend,RiskFreeRate,G28/250)</f>
        <v>0.99999950320285846</v>
      </c>
      <c r="Y28" s="22">
        <f t="shared" ca="1" si="21"/>
        <v>0.11477940051492246</v>
      </c>
      <c r="Z28" s="22">
        <f t="shared" ca="1" si="22"/>
        <v>5.6260004106805406</v>
      </c>
      <c r="AA28">
        <f t="shared" si="9"/>
        <v>0.73884103340948371</v>
      </c>
      <c r="AB28">
        <f t="shared" ref="AB28" ca="1" si="63">BSdelta(1,P28,Strike,AA28/AnnualVarConvtr,Dividend,RiskFreeRate,G28/250)</f>
        <v>1</v>
      </c>
      <c r="AC28">
        <f t="shared" ca="1" si="18"/>
        <v>0</v>
      </c>
      <c r="AD28">
        <f t="shared" ca="1" si="19"/>
        <v>8.9851246588562717</v>
      </c>
    </row>
    <row r="29" spans="2:30" x14ac:dyDescent="0.25">
      <c r="G29" s="19">
        <v>226</v>
      </c>
      <c r="H29" s="19">
        <f t="shared" ca="1" si="1"/>
        <v>0.50092368388275965</v>
      </c>
      <c r="I29" s="19">
        <f t="shared" ca="1" si="1"/>
        <v>0.75324076064833023</v>
      </c>
      <c r="J29" s="19">
        <f t="shared" ca="1" si="2"/>
        <v>2.3941180779422155E-2</v>
      </c>
      <c r="K29" s="19">
        <f t="shared" ca="1" si="3"/>
        <v>-1.1755976582241578</v>
      </c>
      <c r="L29" s="19">
        <f t="array" aca="1" ref="L29:M29" ca="1">MMULT(J29:K29,TRANSPOSE($B$10:$C$11))</f>
        <v>2.3941180779422155E-2</v>
      </c>
      <c r="M29" s="19">
        <f ca="1"/>
        <v>-0.83723560701162136</v>
      </c>
      <c r="N29" s="20">
        <f t="shared" ca="1" si="4"/>
        <v>1.4368807551668998E-2</v>
      </c>
      <c r="O29" s="20">
        <f t="shared" ca="1" si="5"/>
        <v>3.5991643737837559E-2</v>
      </c>
      <c r="P29" s="19">
        <f t="shared" ca="1" si="11"/>
        <v>210.49573228591046</v>
      </c>
      <c r="Q29" s="19">
        <f ca="1">HCTrans(P29,Strike,RiskFreeRate,Dividend,Variance_T0*AnnualVarConvtr,(Simulation!G29)/250,0.5,Variance_Avg*AnnualVarConvtr,Lambda,SQRT(Simulation!N29),Rho,1,"Call")</f>
        <v>118.33136098281271</v>
      </c>
      <c r="R29" s="19" t="e">
        <f t="shared" ca="1" si="6"/>
        <v>#VALUE!</v>
      </c>
      <c r="S29" s="19" t="e">
        <f t="shared" ca="1" si="7"/>
        <v>#VALUE!</v>
      </c>
      <c r="T29" s="19" t="e">
        <f t="shared" ca="1" si="12"/>
        <v>#VALUE!</v>
      </c>
      <c r="U29" s="19" t="e">
        <f t="shared" ca="1" si="13"/>
        <v>#VALUE!</v>
      </c>
      <c r="V29" s="21">
        <f t="shared" ca="1" si="14"/>
        <v>3.8958485656162407E-8</v>
      </c>
      <c r="W29">
        <f t="shared" ca="1" si="15"/>
        <v>1.9737904056956607E-4</v>
      </c>
      <c r="X29" s="22">
        <f t="shared" ref="X29" ca="1" si="64">BSdelta(1,P29,Strike,W29*AnnualVarConvtr,Dividend,RiskFreeRate,G29/250)</f>
        <v>1</v>
      </c>
      <c r="Y29" s="22">
        <f t="shared" ca="1" si="21"/>
        <v>1.045736781051554E-4</v>
      </c>
      <c r="Z29" s="22">
        <f t="shared" ca="1" si="22"/>
        <v>12.378995328687015</v>
      </c>
      <c r="AA29">
        <f t="shared" si="9"/>
        <v>0.73884103340948371</v>
      </c>
      <c r="AB29">
        <f t="shared" ref="AB29" ca="1" si="65">BSdelta(1,P29,Strike,AA29/AnnualVarConvtr,Dividend,RiskFreeRate,G29/250)</f>
        <v>1</v>
      </c>
      <c r="AC29">
        <f t="shared" ca="1" si="18"/>
        <v>0</v>
      </c>
      <c r="AD29">
        <f t="shared" ca="1" si="19"/>
        <v>15.738224150540852</v>
      </c>
    </row>
    <row r="30" spans="2:30" x14ac:dyDescent="0.25">
      <c r="G30" s="19">
        <v>225</v>
      </c>
      <c r="H30" s="19">
        <f t="shared" ca="1" si="1"/>
        <v>0.99277863607949357</v>
      </c>
      <c r="I30" s="19">
        <f t="shared" ca="1" si="1"/>
        <v>0.61816235032469213</v>
      </c>
      <c r="J30" s="19">
        <f t="shared" ca="1" si="2"/>
        <v>-8.8710433824908411E-2</v>
      </c>
      <c r="K30" s="19">
        <f t="shared" ca="1" si="3"/>
        <v>-8.1397710592416114E-2</v>
      </c>
      <c r="L30" s="19">
        <f t="array" aca="1" ref="L30:M30" ca="1">MMULT(J30:K30,TRANSPOSE($B$10:$C$11))</f>
        <v>-8.8710433824908411E-2</v>
      </c>
      <c r="M30" s="19">
        <f ca="1"/>
        <v>6.7790336618933425E-3</v>
      </c>
      <c r="N30" s="20">
        <f t="shared" ca="1" si="4"/>
        <v>1.4349918984568201E-2</v>
      </c>
      <c r="O30" s="20">
        <f t="shared" ca="1" si="5"/>
        <v>3.5319108471412924E-2</v>
      </c>
      <c r="P30" s="19">
        <f t="shared" ca="1" si="11"/>
        <v>218.06310365565153</v>
      </c>
      <c r="Q30" s="19">
        <f ca="1">HCTrans(P30,Strike,RiskFreeRate,Dividend,Variance_T0*AnnualVarConvtr,(Simulation!G30)/250,0.5,Variance_Avg*AnnualVarConvtr,Lambda,SQRT(Simulation!N30),Rho,1,"Call")</f>
        <v>125.28001566213111</v>
      </c>
      <c r="R30" s="19" t="e">
        <f t="shared" ca="1" si="6"/>
        <v>#VALUE!</v>
      </c>
      <c r="S30" s="19" t="e">
        <f t="shared" ca="1" si="7"/>
        <v>#VALUE!</v>
      </c>
      <c r="T30" s="19" t="e">
        <f t="shared" ca="1" si="12"/>
        <v>#VALUE!</v>
      </c>
      <c r="U30" s="19" t="e">
        <f t="shared" ca="1" si="13"/>
        <v>#VALUE!</v>
      </c>
      <c r="V30" s="21">
        <f t="shared" ca="1" si="14"/>
        <v>4.5230368458485377E-7</v>
      </c>
      <c r="W30">
        <f t="shared" ca="1" si="15"/>
        <v>6.7253526642463424E-4</v>
      </c>
      <c r="X30" s="22">
        <f t="shared" ref="X30" ca="1" si="66">BSdelta(1,P30,Strike,W30*AnnualVarConvtr,Dividend,RiskFreeRate,G30/250)</f>
        <v>1</v>
      </c>
      <c r="Y30" s="22">
        <f t="shared" ca="1" si="21"/>
        <v>0</v>
      </c>
      <c r="Z30" s="22">
        <f t="shared" ca="1" si="22"/>
        <v>19.32765000800541</v>
      </c>
      <c r="AA30">
        <f t="shared" si="9"/>
        <v>0.73884103340948371</v>
      </c>
      <c r="AB30">
        <f t="shared" ref="AB30" ca="1" si="67">BSdelta(1,P30,Strike,AA30/AnnualVarConvtr,Dividend,RiskFreeRate,G30/250)</f>
        <v>1</v>
      </c>
      <c r="AC30">
        <f t="shared" ca="1" si="18"/>
        <v>0</v>
      </c>
      <c r="AD30">
        <f t="shared" ca="1" si="19"/>
        <v>22.686878829859246</v>
      </c>
    </row>
    <row r="31" spans="2:30" x14ac:dyDescent="0.25">
      <c r="G31" s="19">
        <v>224</v>
      </c>
      <c r="H31" s="19">
        <f t="shared" ref="H31:I94" ca="1" si="68">RAND()</f>
        <v>0.65757414090236366</v>
      </c>
      <c r="I31" s="19">
        <f t="shared" ca="1" si="68"/>
        <v>0.57213826716743121</v>
      </c>
      <c r="J31" s="19">
        <f t="shared" ca="1" si="2"/>
        <v>-0.82318286597843326</v>
      </c>
      <c r="K31" s="19">
        <f t="shared" ca="1" si="3"/>
        <v>-0.40095571834912386</v>
      </c>
      <c r="L31" s="19">
        <f t="array" aca="1" ref="L31:M31" ca="1">MMULT(J31:K31,TRANSPOSE($B$10:$C$11))</f>
        <v>-0.82318286597843326</v>
      </c>
      <c r="M31" s="19">
        <f ca="1"/>
        <v>0.31010899015544935</v>
      </c>
      <c r="N31" s="20">
        <f t="shared" ca="1" si="4"/>
        <v>1.5236541242467141E-2</v>
      </c>
      <c r="O31" s="20">
        <f t="shared" ca="1" si="5"/>
        <v>2.9082463205223365E-2</v>
      </c>
      <c r="P31" s="19">
        <f t="shared" ca="1" si="11"/>
        <v>224.49803411487437</v>
      </c>
      <c r="Q31" s="19">
        <f ca="1">HCTrans(P31,Strike,RiskFreeRate,Dividend,Variance_T0*AnnualVarConvtr,(Simulation!G31)/250,0.5,Variance_Avg*AnnualVarConvtr,Lambda,SQRT(Simulation!N31),Rho,1,"Call")</f>
        <v>131.23240184008722</v>
      </c>
      <c r="R31" s="19" t="e">
        <f t="shared" ca="1" si="6"/>
        <v>#VALUE!</v>
      </c>
      <c r="S31" s="19" t="e">
        <f t="shared" ca="1" si="7"/>
        <v>#VALUE!</v>
      </c>
      <c r="T31" s="19" t="e">
        <f t="shared" ca="1" si="12"/>
        <v>#VALUE!</v>
      </c>
      <c r="U31" s="19" t="e">
        <f t="shared" ca="1" si="13"/>
        <v>#VALUE!</v>
      </c>
      <c r="V31" s="21">
        <f t="shared" ca="1" si="14"/>
        <v>3.8895744176284634E-5</v>
      </c>
      <c r="W31">
        <f t="shared" ca="1" si="15"/>
        <v>6.236645266189559E-3</v>
      </c>
      <c r="X31" s="22">
        <f t="shared" ref="X31" ca="1" si="69">BSdelta(1,P31,Strike,W31*AnnualVarConvtr,Dividend,RiskFreeRate,G31/250)</f>
        <v>1</v>
      </c>
      <c r="Y31" s="22">
        <f t="shared" ca="1" si="21"/>
        <v>0</v>
      </c>
      <c r="Z31" s="22">
        <f t="shared" ca="1" si="22"/>
        <v>25.280036185961524</v>
      </c>
      <c r="AA31">
        <f t="shared" si="9"/>
        <v>0.73884103340948371</v>
      </c>
      <c r="AB31">
        <f t="shared" ref="AB31" ca="1" si="70">BSdelta(1,P31,Strike,AA31/AnnualVarConvtr,Dividend,RiskFreeRate,G31/250)</f>
        <v>1</v>
      </c>
      <c r="AC31">
        <f t="shared" ca="1" si="18"/>
        <v>0</v>
      </c>
      <c r="AD31">
        <f t="shared" ca="1" si="19"/>
        <v>28.639265007815361</v>
      </c>
    </row>
    <row r="32" spans="2:30" x14ac:dyDescent="0.25">
      <c r="G32" s="19">
        <v>223</v>
      </c>
      <c r="H32" s="19">
        <f t="shared" ca="1" si="68"/>
        <v>2.2318908576420049E-2</v>
      </c>
      <c r="I32" s="19">
        <f t="shared" ca="1" si="68"/>
        <v>0.14982067947714894</v>
      </c>
      <c r="J32" s="19">
        <f t="shared" ca="1" si="2"/>
        <v>1.6234195460600258</v>
      </c>
      <c r="K32" s="19">
        <f t="shared" ca="1" si="3"/>
        <v>2.2291592721497757</v>
      </c>
      <c r="L32" s="19">
        <f t="array" aca="1" ref="L32:M32" ca="1">MMULT(J32:K32,TRANSPOSE($B$10:$C$11))</f>
        <v>1.6234195460600258</v>
      </c>
      <c r="M32" s="19">
        <f ca="1"/>
        <v>0.39185262803383192</v>
      </c>
      <c r="N32" s="20">
        <f t="shared" ca="1" si="4"/>
        <v>1.6402219850224435E-2</v>
      </c>
      <c r="O32" s="20">
        <f t="shared" ca="1" si="5"/>
        <v>4.1756178944331021E-2</v>
      </c>
      <c r="P32" s="19">
        <f t="shared" ca="1" si="11"/>
        <v>234.07068194986357</v>
      </c>
      <c r="Q32" s="19">
        <f ca="1">HCTrans(P32,Strike,RiskFreeRate,Dividend,Variance_T0*AnnualVarConvtr,(Simulation!G32)/250,0.5,Variance_Avg*AnnualVarConvtr,Lambda,SQRT(Simulation!N32),Rho,1,"Call")</f>
        <v>140.17217650610684</v>
      </c>
      <c r="R32" s="19" t="e">
        <f t="shared" ca="1" si="6"/>
        <v>#VALUE!</v>
      </c>
      <c r="S32" s="19" t="e">
        <f t="shared" ca="1" si="7"/>
        <v>#VALUE!</v>
      </c>
      <c r="T32" s="19" t="e">
        <f t="shared" ca="1" si="12"/>
        <v>#VALUE!</v>
      </c>
      <c r="U32" s="19" t="e">
        <f t="shared" ca="1" si="13"/>
        <v>#VALUE!</v>
      </c>
      <c r="V32" s="21">
        <f t="shared" ca="1" si="14"/>
        <v>1.6062307063570511E-4</v>
      </c>
      <c r="W32">
        <f t="shared" ca="1" si="15"/>
        <v>1.2673715739107656E-2</v>
      </c>
      <c r="X32" s="22">
        <f t="shared" ref="X32" ca="1" si="71">BSdelta(1,P32,Strike,W32*AnnualVarConvtr,Dividend,RiskFreeRate,G32/250)</f>
        <v>0.99999776483725888</v>
      </c>
      <c r="Y32" s="22">
        <f t="shared" ca="1" si="21"/>
        <v>-5.2318606708182201E-4</v>
      </c>
      <c r="Z32" s="22">
        <f t="shared" ca="1" si="22"/>
        <v>34.220334038048222</v>
      </c>
      <c r="AA32">
        <f t="shared" si="9"/>
        <v>0.73884103340948371</v>
      </c>
      <c r="AB32">
        <f t="shared" ref="AB32" ca="1" si="72">BSdelta(1,P32,Strike,AA32/AnnualVarConvtr,Dividend,RiskFreeRate,G32/250)</f>
        <v>1</v>
      </c>
      <c r="AC32">
        <f t="shared" ca="1" si="18"/>
        <v>0</v>
      </c>
      <c r="AD32">
        <f t="shared" ca="1" si="19"/>
        <v>37.579039673834977</v>
      </c>
    </row>
    <row r="33" spans="7:30" x14ac:dyDescent="0.25">
      <c r="G33" s="19">
        <v>222</v>
      </c>
      <c r="H33" s="19">
        <f t="shared" ca="1" si="68"/>
        <v>0.73802749436151638</v>
      </c>
      <c r="I33" s="19">
        <f t="shared" ca="1" si="68"/>
        <v>0.86091418211491444</v>
      </c>
      <c r="J33" s="19">
        <f t="shared" ca="1" si="2"/>
        <v>0.50028412109013687</v>
      </c>
      <c r="K33" s="19">
        <f t="shared" ca="1" si="3"/>
        <v>-0.59771581698287202</v>
      </c>
      <c r="L33" s="19">
        <f t="array" aca="1" ref="L33:M33" ca="1">MMULT(J33:K33,TRANSPOSE($B$10:$C$11))</f>
        <v>0.50028412109013687</v>
      </c>
      <c r="M33" s="19">
        <f ca="1"/>
        <v>-0.77541241097627656</v>
      </c>
      <c r="N33" s="20">
        <f t="shared" ca="1" si="4"/>
        <v>1.4007935343281002E-2</v>
      </c>
      <c r="O33" s="20">
        <f t="shared" ca="1" si="5"/>
        <v>4.5808445718967875E-2</v>
      </c>
      <c r="P33" s="19">
        <f t="shared" ca="1" si="11"/>
        <v>245.04247799328354</v>
      </c>
      <c r="Q33" s="19">
        <f ca="1">HCTrans(P33,Strike,RiskFreeRate,Dividend,Variance_T0*AnnualVarConvtr,(Simulation!G33)/250,0.5,Variance_Avg*AnnualVarConvtr,Lambda,SQRT(Simulation!N33),Rho,1,"Call")</f>
        <v>150.46922925945151</v>
      </c>
      <c r="R33" s="19" t="e">
        <f t="shared" ca="1" si="6"/>
        <v>#VALUE!</v>
      </c>
      <c r="S33" s="19" t="e">
        <f t="shared" ca="1" si="7"/>
        <v>#VALUE!</v>
      </c>
      <c r="T33" s="19" t="e">
        <f t="shared" ca="1" si="12"/>
        <v>#VALUE!</v>
      </c>
      <c r="U33" s="19" t="e">
        <f t="shared" ca="1" si="13"/>
        <v>#VALUE!</v>
      </c>
      <c r="V33" s="21">
        <f t="shared" ca="1" si="14"/>
        <v>1.6420866012825767E-5</v>
      </c>
      <c r="W33">
        <f t="shared" ca="1" si="15"/>
        <v>4.0522667746368535E-3</v>
      </c>
      <c r="X33" s="22">
        <f t="shared" ref="X33" ca="1" si="73">BSdelta(1,P33,Strike,W33*AnnualVarConvtr,Dividend,RiskFreeRate,G33/250)</f>
        <v>1</v>
      </c>
      <c r="Y33" s="22">
        <f t="shared" ca="1" si="21"/>
        <v>5.4770981680119229E-4</v>
      </c>
      <c r="Z33" s="22">
        <f t="shared" ca="1" si="22"/>
        <v>44.516839081576094</v>
      </c>
      <c r="AA33">
        <f t="shared" si="9"/>
        <v>0.73884103340948371</v>
      </c>
      <c r="AB33">
        <f t="shared" ref="AB33" ca="1" si="74">BSdelta(1,P33,Strike,AA33/AnnualVarConvtr,Dividend,RiskFreeRate,G33/250)</f>
        <v>1</v>
      </c>
      <c r="AC33">
        <f t="shared" ca="1" si="18"/>
        <v>0</v>
      </c>
      <c r="AD33">
        <f t="shared" ca="1" si="19"/>
        <v>47.87609242717965</v>
      </c>
    </row>
    <row r="34" spans="7:30" x14ac:dyDescent="0.25">
      <c r="G34" s="19">
        <v>221</v>
      </c>
      <c r="H34" s="19">
        <f t="shared" ca="1" si="68"/>
        <v>0.12729486135816592</v>
      </c>
      <c r="I34" s="19">
        <f t="shared" ca="1" si="68"/>
        <v>0.97339560009857029</v>
      </c>
      <c r="J34" s="19">
        <f t="shared" ca="1" si="2"/>
        <v>2.0020923909969373</v>
      </c>
      <c r="K34" s="19">
        <f t="shared" ca="1" si="3"/>
        <v>-0.3378229405550926</v>
      </c>
      <c r="L34" s="19">
        <f t="array" aca="1" ref="L34:M34" ca="1">MMULT(J34:K34,TRANSPOSE($B$10:$C$11))</f>
        <v>2.0020923909969373</v>
      </c>
      <c r="M34" s="19">
        <f ca="1"/>
        <v>-1.670160120638041</v>
      </c>
      <c r="N34" s="20">
        <f t="shared" ca="1" si="4"/>
        <v>9.5433340844945976E-3</v>
      </c>
      <c r="O34" s="20">
        <f t="shared" ca="1" si="5"/>
        <v>6.0794978741980067E-2</v>
      </c>
      <c r="P34" s="19">
        <f t="shared" ca="1" si="11"/>
        <v>260.4019903719381</v>
      </c>
      <c r="Q34" s="19">
        <f ca="1">HCTrans(P34,Strike,RiskFreeRate,Dividend,Variance_T0*AnnualVarConvtr,(Simulation!G34)/250,0.5,Variance_Avg*AnnualVarConvtr,Lambda,SQRT(Simulation!N34),Rho,1,"Call")</f>
        <v>165.00573594397667</v>
      </c>
      <c r="R34" s="19" t="e">
        <f t="shared" ca="1" si="6"/>
        <v>#VALUE!</v>
      </c>
      <c r="S34" s="19" t="e">
        <f t="shared" ca="1" si="7"/>
        <v>#VALUE!</v>
      </c>
      <c r="T34" s="19" t="e">
        <f t="shared" ca="1" si="12"/>
        <v>#VALUE!</v>
      </c>
      <c r="U34" s="19" t="e">
        <f t="shared" ca="1" si="13"/>
        <v>#VALUE!</v>
      </c>
      <c r="V34" s="21">
        <f t="shared" ca="1" si="14"/>
        <v>2.2459617204983497E-4</v>
      </c>
      <c r="W34">
        <f t="shared" ca="1" si="15"/>
        <v>1.4986533023012193E-2</v>
      </c>
      <c r="X34" s="22">
        <f t="shared" ref="X34" ca="1" si="75">BSdelta(1,P34,Strike,W34*AnnualVarConvtr,Dividend,RiskFreeRate,G34/250)</f>
        <v>0.9999947631948406</v>
      </c>
      <c r="Y34" s="22">
        <f t="shared" ca="1" si="21"/>
        <v>-1.3636744866986196E-3</v>
      </c>
      <c r="Z34" s="22">
        <f t="shared" ca="1" si="22"/>
        <v>59.054709440587956</v>
      </c>
      <c r="AA34">
        <f t="shared" si="9"/>
        <v>0.73884103340948371</v>
      </c>
      <c r="AB34">
        <f t="shared" ref="AB34" ca="1" si="76">BSdelta(1,P34,Strike,AA34/AnnualVarConvtr,Dividend,RiskFreeRate,G34/250)</f>
        <v>1</v>
      </c>
      <c r="AC34">
        <f t="shared" ca="1" si="18"/>
        <v>0</v>
      </c>
      <c r="AD34">
        <f t="shared" ca="1" si="19"/>
        <v>62.412599111704814</v>
      </c>
    </row>
    <row r="35" spans="7:30" x14ac:dyDescent="0.25">
      <c r="G35" s="19">
        <v>220</v>
      </c>
      <c r="H35" s="19">
        <f t="shared" ca="1" si="68"/>
        <v>6.5528807288674717E-2</v>
      </c>
      <c r="I35" s="19">
        <f t="shared" ca="1" si="68"/>
        <v>0.17187980003975889</v>
      </c>
      <c r="J35" s="19">
        <f t="shared" ca="1" si="2"/>
        <v>1.1004782596352325</v>
      </c>
      <c r="K35" s="19">
        <f t="shared" ca="1" si="3"/>
        <v>2.0589993818009531</v>
      </c>
      <c r="L35" s="19">
        <f t="array" aca="1" ref="L35:M35" ca="1">MMULT(J35:K35,TRANSPOSE($B$10:$C$11))</f>
        <v>1.1004782596352325</v>
      </c>
      <c r="M35" s="19">
        <f ca="1"/>
        <v>0.64783871678654026</v>
      </c>
      <c r="N35" s="20">
        <f t="shared" ca="1" si="4"/>
        <v>1.1145004104552511E-2</v>
      </c>
      <c r="O35" s="20">
        <f t="shared" ca="1" si="5"/>
        <v>6.7594236832789367E-2</v>
      </c>
      <c r="P35" s="19">
        <f t="shared" ca="1" si="11"/>
        <v>278.61218325206698</v>
      </c>
      <c r="Q35" s="19">
        <f ca="1">HCTrans(P35,Strike,RiskFreeRate,Dividend,Variance_T0*AnnualVarConvtr,(Simulation!G35)/250,0.5,Variance_Avg*AnnualVarConvtr,Lambda,SQRT(Simulation!N35),Rho,1,"Call")</f>
        <v>182.48587488766887</v>
      </c>
      <c r="R35" s="19" t="e">
        <f t="shared" ca="1" si="6"/>
        <v>#VALUE!</v>
      </c>
      <c r="S35" s="19" t="e">
        <f t="shared" ca="1" si="7"/>
        <v>#VALUE!</v>
      </c>
      <c r="T35" s="19" t="e">
        <f t="shared" ca="1" si="12"/>
        <v>#VALUE!</v>
      </c>
      <c r="U35" s="19" t="e">
        <f t="shared" ca="1" si="13"/>
        <v>#VALUE!</v>
      </c>
      <c r="V35" s="21">
        <f t="shared" ca="1" si="14"/>
        <v>4.6229910585435729E-5</v>
      </c>
      <c r="W35">
        <f t="shared" ca="1" si="15"/>
        <v>6.7992580908093E-3</v>
      </c>
      <c r="X35" s="22">
        <f t="shared" ref="X35" ca="1" si="77">BSdelta(1,P35,Strike,W35*AnnualVarConvtr,Dividend,RiskFreeRate,G35/250)</f>
        <v>1</v>
      </c>
      <c r="Y35" s="22">
        <f t="shared" ca="1" si="21"/>
        <v>1.4590377187270055E-3</v>
      </c>
      <c r="Z35" s="22">
        <f t="shared" ca="1" si="22"/>
        <v>76.533389346561421</v>
      </c>
      <c r="AA35">
        <f t="shared" si="9"/>
        <v>0.73884103340948371</v>
      </c>
      <c r="AB35">
        <f t="shared" ref="AB35" ca="1" si="78">BSdelta(1,P35,Strike,AA35/AnnualVarConvtr,Dividend,RiskFreeRate,G35/250)</f>
        <v>1</v>
      </c>
      <c r="AC35">
        <f t="shared" ca="1" si="18"/>
        <v>0</v>
      </c>
      <c r="AD35">
        <f t="shared" ca="1" si="19"/>
        <v>79.892738055397018</v>
      </c>
    </row>
    <row r="36" spans="7:30" x14ac:dyDescent="0.25">
      <c r="G36" s="19">
        <v>219</v>
      </c>
      <c r="H36" s="19">
        <f t="shared" ca="1" si="68"/>
        <v>0.8963656649782934</v>
      </c>
      <c r="I36" s="19">
        <f t="shared" ca="1" si="68"/>
        <v>0.55571386351307206</v>
      </c>
      <c r="J36" s="19">
        <f t="shared" ca="1" si="2"/>
        <v>-0.43940559358141507</v>
      </c>
      <c r="K36" s="19">
        <f t="shared" ca="1" si="3"/>
        <v>-0.16042570361822758</v>
      </c>
      <c r="L36" s="19">
        <f t="array" aca="1" ref="L36:M36" ca="1">MMULT(J36:K36,TRANSPOSE($B$10:$C$11))</f>
        <v>-0.43940559358141507</v>
      </c>
      <c r="M36" s="19">
        <f ca="1"/>
        <v>0.20292320783835471</v>
      </c>
      <c r="N36" s="20">
        <f t="shared" ca="1" si="4"/>
        <v>1.1654751075746813E-2</v>
      </c>
      <c r="O36" s="20">
        <f t="shared" ca="1" si="5"/>
        <v>6.466040177959019E-2</v>
      </c>
      <c r="P36" s="19">
        <f t="shared" ca="1" si="11"/>
        <v>297.22255227018343</v>
      </c>
      <c r="Q36" s="19">
        <f ca="1">HCTrans(P36,Strike,RiskFreeRate,Dividend,Variance_T0*AnnualVarConvtr,(Simulation!G36)/250,0.5,Variance_Avg*AnnualVarConvtr,Lambda,SQRT(Simulation!N36),Rho,1,"Call")</f>
        <v>200.47494592708938</v>
      </c>
      <c r="R36" s="19" t="e">
        <f t="shared" ca="1" si="6"/>
        <v>#VALUE!</v>
      </c>
      <c r="S36" s="19" t="e">
        <f t="shared" ca="1" si="7"/>
        <v>#VALUE!</v>
      </c>
      <c r="T36" s="19" t="e">
        <f t="shared" ca="1" si="12"/>
        <v>#VALUE!</v>
      </c>
      <c r="U36" s="19" t="e">
        <f t="shared" ca="1" si="13"/>
        <v>#VALUE!</v>
      </c>
      <c r="V36" s="21">
        <f t="shared" ca="1" si="14"/>
        <v>8.6073881193802176E-6</v>
      </c>
      <c r="W36">
        <f t="shared" ca="1" si="15"/>
        <v>2.9338350531991769E-3</v>
      </c>
      <c r="X36" s="22">
        <f t="shared" ref="X36" ca="1" si="79">BSdelta(1,P36,Strike,W36*AnnualVarConvtr,Dividend,RiskFreeRate,G36/250)</f>
        <v>1</v>
      </c>
      <c r="Y36" s="22">
        <f t="shared" ca="1" si="21"/>
        <v>0</v>
      </c>
      <c r="Z36" s="22">
        <f t="shared" ca="1" si="22"/>
        <v>94.52246038598193</v>
      </c>
      <c r="AA36">
        <f t="shared" si="9"/>
        <v>0.73884103340948371</v>
      </c>
      <c r="AB36">
        <f t="shared" ref="AB36" ca="1" si="80">BSdelta(1,P36,Strike,AA36/AnnualVarConvtr,Dividend,RiskFreeRate,G36/250)</f>
        <v>1</v>
      </c>
      <c r="AC36">
        <f t="shared" ca="1" si="18"/>
        <v>0</v>
      </c>
      <c r="AD36">
        <f t="shared" ca="1" si="19"/>
        <v>97.881809094817527</v>
      </c>
    </row>
    <row r="37" spans="7:30" x14ac:dyDescent="0.25">
      <c r="G37" s="19">
        <v>218</v>
      </c>
      <c r="H37" s="19">
        <f t="shared" ca="1" si="68"/>
        <v>0.56448980241685476</v>
      </c>
      <c r="I37" s="19">
        <f t="shared" ca="1" si="68"/>
        <v>5.3005081641807394E-2</v>
      </c>
      <c r="J37" s="19">
        <f t="shared" ca="1" si="2"/>
        <v>1.0106611892893236</v>
      </c>
      <c r="K37" s="19">
        <f t="shared" ca="1" si="3"/>
        <v>0.34961390302451184</v>
      </c>
      <c r="L37" s="19">
        <f t="array" aca="1" ref="L37:M37" ca="1">MMULT(J37:K37,TRANSPOSE($B$10:$C$11))</f>
        <v>1.0106611892893236</v>
      </c>
      <c r="M37" s="19">
        <f ca="1"/>
        <v>-0.48025259642395912</v>
      </c>
      <c r="N37" s="20">
        <f t="shared" ca="1" si="4"/>
        <v>1.0393689287919328E-2</v>
      </c>
      <c r="O37" s="20">
        <f t="shared" ca="1" si="5"/>
        <v>7.1561005457699917E-2</v>
      </c>
      <c r="P37" s="19">
        <f t="shared" ca="1" si="11"/>
        <v>319.27161490807305</v>
      </c>
      <c r="Q37" s="19">
        <f ca="1">HCTrans(P37,Strike,RiskFreeRate,Dividend,Variance_T0*AnnualVarConvtr,(Simulation!G37)/250,0.5,Variance_Avg*AnnualVarConvtr,Lambda,SQRT(Simulation!N37),Rho,1,"Call")</f>
        <v>221.91430348946199</v>
      </c>
      <c r="R37" s="19" t="e">
        <f t="shared" ca="1" si="6"/>
        <v>#VALUE!</v>
      </c>
      <c r="S37" s="19" t="e">
        <f t="shared" ca="1" si="7"/>
        <v>#VALUE!</v>
      </c>
      <c r="T37" s="19" t="e">
        <f t="shared" ca="1" si="12"/>
        <v>#VALUE!</v>
      </c>
      <c r="U37" s="19" t="e">
        <f t="shared" ca="1" si="13"/>
        <v>#VALUE!</v>
      </c>
      <c r="V37" s="21">
        <f t="shared" ca="1" si="14"/>
        <v>4.7618331122341484E-5</v>
      </c>
      <c r="W37">
        <f t="shared" ca="1" si="15"/>
        <v>6.9006036781097263E-3</v>
      </c>
      <c r="X37" s="22">
        <f t="shared" ref="X37" ca="1" si="81">BSdelta(1,P37,Strike,W37*AnnualVarConvtr,Dividend,RiskFreeRate,G37/250)</f>
        <v>1</v>
      </c>
      <c r="Y37" s="22">
        <f t="shared" ca="1" si="21"/>
        <v>0</v>
      </c>
      <c r="Z37" s="22">
        <f t="shared" ca="1" si="22"/>
        <v>115.96181794835454</v>
      </c>
      <c r="AA37">
        <f t="shared" si="9"/>
        <v>0.73884103340948371</v>
      </c>
      <c r="AB37">
        <f t="shared" ref="AB37" ca="1" si="82">BSdelta(1,P37,Strike,AA37/AnnualVarConvtr,Dividend,RiskFreeRate,G37/250)</f>
        <v>1</v>
      </c>
      <c r="AC37">
        <f t="shared" ca="1" si="18"/>
        <v>0</v>
      </c>
      <c r="AD37">
        <f t="shared" ca="1" si="19"/>
        <v>119.32116665719013</v>
      </c>
    </row>
    <row r="38" spans="7:30" x14ac:dyDescent="0.25">
      <c r="G38" s="19">
        <v>217</v>
      </c>
      <c r="H38" s="19">
        <f t="shared" ca="1" si="68"/>
        <v>0.39160514973885396</v>
      </c>
      <c r="I38" s="19">
        <f t="shared" ca="1" si="68"/>
        <v>3.0692536218658306E-3</v>
      </c>
      <c r="J38" s="19">
        <f t="shared" ca="1" si="2"/>
        <v>1.3690526689164335</v>
      </c>
      <c r="K38" s="19">
        <f t="shared" ca="1" si="3"/>
        <v>2.6405028719742946E-2</v>
      </c>
      <c r="L38" s="19">
        <f t="array" aca="1" ref="L38:M38" ca="1">MMULT(J38:K38,TRANSPOSE($B$10:$C$11))</f>
        <v>1.3690526689164335</v>
      </c>
      <c r="M38" s="19">
        <f ca="1"/>
        <v>-0.96250643009734949</v>
      </c>
      <c r="N38" s="20">
        <f t="shared" ca="1" si="4"/>
        <v>8.1090891522147424E-3</v>
      </c>
      <c r="O38" s="20">
        <f t="shared" ca="1" si="5"/>
        <v>8.0388450385026441E-2</v>
      </c>
      <c r="P38" s="19">
        <f t="shared" ca="1" si="11"/>
        <v>345.99718814554979</v>
      </c>
      <c r="Q38" s="19">
        <f ca="1">HCTrans(P38,Strike,RiskFreeRate,Dividend,Variance_T0*AnnualVarConvtr,(Simulation!G38)/250,0.5,Variance_Avg*AnnualVarConvtr,Lambda,SQRT(Simulation!N38),Rho,1,"Call")</f>
        <v>248.05606954047832</v>
      </c>
      <c r="R38" s="19" t="e">
        <f t="shared" ca="1" si="6"/>
        <v>#VALUE!</v>
      </c>
      <c r="S38" s="19" t="e">
        <f t="shared" ca="1" si="7"/>
        <v>#VALUE!</v>
      </c>
      <c r="T38" s="19" t="e">
        <f t="shared" ca="1" si="12"/>
        <v>#VALUE!</v>
      </c>
      <c r="U38" s="19" t="e">
        <f t="shared" ca="1" si="13"/>
        <v>#VALUE!</v>
      </c>
      <c r="V38" s="21">
        <f t="shared" ca="1" si="14"/>
        <v>7.7923783944982802E-5</v>
      </c>
      <c r="W38">
        <f t="shared" ca="1" si="15"/>
        <v>8.8274449273265249E-3</v>
      </c>
      <c r="X38" s="22">
        <f t="shared" ref="X38" ca="1" si="83">BSdelta(1,P38,Strike,W38*AnnualVarConvtr,Dividend,RiskFreeRate,G38/250)</f>
        <v>1</v>
      </c>
      <c r="Y38" s="22">
        <f t="shared" ca="1" si="21"/>
        <v>0</v>
      </c>
      <c r="Z38" s="22">
        <f t="shared" ca="1" si="22"/>
        <v>142.10358399937087</v>
      </c>
      <c r="AA38">
        <f t="shared" si="9"/>
        <v>0.73884103340948371</v>
      </c>
      <c r="AB38">
        <f t="shared" ref="AB38" ca="1" si="84">BSdelta(1,P38,Strike,AA38/AnnualVarConvtr,Dividend,RiskFreeRate,G38/250)</f>
        <v>1</v>
      </c>
      <c r="AC38">
        <f t="shared" ca="1" si="18"/>
        <v>0</v>
      </c>
      <c r="AD38">
        <f t="shared" ca="1" si="19"/>
        <v>145.46293270820647</v>
      </c>
    </row>
    <row r="39" spans="7:30" x14ac:dyDescent="0.25">
      <c r="G39" s="19">
        <v>216</v>
      </c>
      <c r="H39" s="19">
        <f t="shared" ca="1" si="68"/>
        <v>0.92771601565763917</v>
      </c>
      <c r="I39" s="19">
        <f t="shared" ca="1" si="68"/>
        <v>0.45599933980769825</v>
      </c>
      <c r="J39" s="19">
        <f t="shared" ca="1" si="2"/>
        <v>-0.37266482039596466</v>
      </c>
      <c r="K39" s="19">
        <f t="shared" ca="1" si="3"/>
        <v>0.10573624221433639</v>
      </c>
      <c r="L39" s="19">
        <f t="array" aca="1" ref="L39:M39" ca="1">MMULT(J39:K39,TRANSPOSE($B$10:$C$11))</f>
        <v>-0.37266482039596466</v>
      </c>
      <c r="M39" s="19">
        <f ca="1"/>
        <v>0.34077458146891093</v>
      </c>
      <c r="N39" s="20">
        <f t="shared" ca="1" si="4"/>
        <v>8.8733600777001244E-3</v>
      </c>
      <c r="O39" s="20">
        <f t="shared" ca="1" si="5"/>
        <v>7.8266015230102834E-2</v>
      </c>
      <c r="P39" s="19">
        <f t="shared" ca="1" si="11"/>
        <v>374.16492027010321</v>
      </c>
      <c r="Q39" s="19">
        <f ca="1">HCTrans(P39,Strike,RiskFreeRate,Dividend,Variance_T0*AnnualVarConvtr,(Simulation!G39)/250,0.5,Variance_Avg*AnnualVarConvtr,Lambda,SQRT(Simulation!N39),Rho,1,"Call")</f>
        <v>275.78835083329784</v>
      </c>
      <c r="R39" s="19" t="e">
        <f t="shared" ca="1" si="6"/>
        <v>#VALUE!</v>
      </c>
      <c r="S39" s="19" t="e">
        <f t="shared" ca="1" si="7"/>
        <v>#VALUE!</v>
      </c>
      <c r="T39" s="19" t="e">
        <f t="shared" ca="1" si="12"/>
        <v>#VALUE!</v>
      </c>
      <c r="U39" s="19" t="e">
        <f t="shared" ca="1" si="13"/>
        <v>#VALUE!</v>
      </c>
      <c r="V39" s="21">
        <f t="shared" ca="1" si="14"/>
        <v>4.5047309868555979E-6</v>
      </c>
      <c r="W39">
        <f t="shared" ca="1" si="15"/>
        <v>2.1224351549236076E-3</v>
      </c>
      <c r="X39" s="22">
        <f t="shared" ref="X39" ca="1" si="85">BSdelta(1,P39,Strike,W39*AnnualVarConvtr,Dividend,RiskFreeRate,G39/250)</f>
        <v>1</v>
      </c>
      <c r="Y39" s="22">
        <f t="shared" ca="1" si="21"/>
        <v>0</v>
      </c>
      <c r="Z39" s="22">
        <f t="shared" ca="1" si="22"/>
        <v>169.83586529219039</v>
      </c>
      <c r="AA39">
        <f t="shared" si="9"/>
        <v>0.73884103340948371</v>
      </c>
      <c r="AB39">
        <f t="shared" ref="AB39" ca="1" si="86">BSdelta(1,P39,Strike,AA39/AnnualVarConvtr,Dividend,RiskFreeRate,G39/250)</f>
        <v>1</v>
      </c>
      <c r="AC39">
        <f t="shared" ca="1" si="18"/>
        <v>0</v>
      </c>
      <c r="AD39">
        <f t="shared" ca="1" si="19"/>
        <v>173.19521400102599</v>
      </c>
    </row>
    <row r="40" spans="7:30" x14ac:dyDescent="0.25">
      <c r="G40" s="19">
        <v>215</v>
      </c>
      <c r="H40" s="19">
        <f t="shared" ca="1" si="68"/>
        <v>0.63265840822342045</v>
      </c>
      <c r="I40" s="19">
        <f t="shared" ca="1" si="68"/>
        <v>0.37495516850579425</v>
      </c>
      <c r="J40" s="19">
        <f t="shared" ca="1" si="2"/>
        <v>-0.67643678025198739</v>
      </c>
      <c r="K40" s="19">
        <f t="shared" ca="1" si="3"/>
        <v>0.67681797126608712</v>
      </c>
      <c r="L40" s="19">
        <f t="array" aca="1" ref="L40:M40" ca="1">MMULT(J40:K40,TRANSPOSE($B$10:$C$11))</f>
        <v>-0.67643678025198739</v>
      </c>
      <c r="M40" s="19">
        <f ca="1"/>
        <v>0.95680643299066015</v>
      </c>
      <c r="N40" s="20">
        <f t="shared" ca="1" si="4"/>
        <v>1.121128703193058E-2</v>
      </c>
      <c r="O40" s="20">
        <f t="shared" ca="1" si="5"/>
        <v>7.4236050344139007E-2</v>
      </c>
      <c r="P40" s="19">
        <f t="shared" ca="1" si="11"/>
        <v>402.99844922081769</v>
      </c>
      <c r="Q40" s="19">
        <f ca="1">HCTrans(P40,Strike,RiskFreeRate,Dividend,Variance_T0*AnnualVarConvtr,(Simulation!G40)/250,0.5,Variance_Avg*AnnualVarConvtr,Lambda,SQRT(Simulation!N40),Rho,1,"Call")</f>
        <v>304.29772976142965</v>
      </c>
      <c r="R40" s="19" t="e">
        <f t="shared" ca="1" si="6"/>
        <v>#VALUE!</v>
      </c>
      <c r="S40" s="19" t="e">
        <f t="shared" ca="1" si="7"/>
        <v>#VALUE!</v>
      </c>
      <c r="T40" s="19" t="e">
        <f t="shared" ca="1" si="12"/>
        <v>#VALUE!</v>
      </c>
      <c r="U40" s="19" t="e">
        <f t="shared" ca="1" si="13"/>
        <v>#VALUE!</v>
      </c>
      <c r="V40" s="21">
        <f t="shared" ca="1" si="14"/>
        <v>1.6240616982101443E-5</v>
      </c>
      <c r="W40">
        <f t="shared" ca="1" si="15"/>
        <v>4.0299648859638271E-3</v>
      </c>
      <c r="X40" s="22">
        <f t="shared" ref="X40" ca="1" si="87">BSdelta(1,P40,Strike,W40*AnnualVarConvtr,Dividend,RiskFreeRate,G40/250)</f>
        <v>1</v>
      </c>
      <c r="Y40" s="22">
        <f t="shared" ca="1" si="21"/>
        <v>0</v>
      </c>
      <c r="Z40" s="22">
        <f t="shared" ca="1" si="22"/>
        <v>198.3452442203222</v>
      </c>
      <c r="AA40">
        <f t="shared" si="9"/>
        <v>0.73884103340948371</v>
      </c>
      <c r="AB40">
        <f t="shared" ref="AB40" ca="1" si="88">BSdelta(1,P40,Strike,AA40/AnnualVarConvtr,Dividend,RiskFreeRate,G40/250)</f>
        <v>1</v>
      </c>
      <c r="AC40">
        <f t="shared" ca="1" si="18"/>
        <v>0</v>
      </c>
      <c r="AD40">
        <f t="shared" ca="1" si="19"/>
        <v>201.7045929291578</v>
      </c>
    </row>
    <row r="41" spans="7:30" x14ac:dyDescent="0.25">
      <c r="G41" s="19">
        <v>214</v>
      </c>
      <c r="H41" s="19">
        <f t="shared" ca="1" si="68"/>
        <v>0.69053343815970547</v>
      </c>
      <c r="I41" s="19">
        <f t="shared" ca="1" si="68"/>
        <v>0.77990255876146364</v>
      </c>
      <c r="J41" s="19">
        <f t="shared" ca="1" si="2"/>
        <v>0.16073727620077344</v>
      </c>
      <c r="K41" s="19">
        <f t="shared" ca="1" si="3"/>
        <v>-0.84542610004110785</v>
      </c>
      <c r="L41" s="19">
        <f t="array" aca="1" ref="L41:M41" ca="1">MMULT(J41:K41,TRANSPOSE($B$10:$C$11))</f>
        <v>0.16073727620077344</v>
      </c>
      <c r="M41" s="19">
        <f ca="1"/>
        <v>-0.70492659246590439</v>
      </c>
      <c r="N41" s="20">
        <f t="shared" ca="1" si="4"/>
        <v>9.433702597715303E-3</v>
      </c>
      <c r="O41" s="20">
        <f t="shared" ca="1" si="5"/>
        <v>7.531245194770704E-2</v>
      </c>
      <c r="P41" s="19">
        <f t="shared" ca="1" si="11"/>
        <v>434.52138709179025</v>
      </c>
      <c r="Q41" s="19">
        <f ca="1">HCTrans(P41,Strike,RiskFreeRate,Dividend,Variance_T0*AnnualVarConvtr,(Simulation!G41)/250,0.5,Variance_Avg*AnnualVarConvtr,Lambda,SQRT(Simulation!N41),Rho,1,"Call")</f>
        <v>335.51778208431847</v>
      </c>
      <c r="R41" s="19" t="e">
        <f t="shared" ca="1" si="6"/>
        <v>#VALUE!</v>
      </c>
      <c r="S41" s="19" t="e">
        <f t="shared" ca="1" si="7"/>
        <v>#VALUE!</v>
      </c>
      <c r="T41" s="19" t="e">
        <f t="shared" ca="1" si="12"/>
        <v>#VALUE!</v>
      </c>
      <c r="U41" s="19" t="e">
        <f t="shared" ca="1" si="13"/>
        <v>#VALUE!</v>
      </c>
      <c r="V41" s="21">
        <f t="shared" ca="1" si="14"/>
        <v>1.158640412163834E-6</v>
      </c>
      <c r="W41">
        <f t="shared" ca="1" si="15"/>
        <v>1.0764016035680335E-3</v>
      </c>
      <c r="X41" s="22">
        <f t="shared" ref="X41" ca="1" si="89">BSdelta(1,P41,Strike,W41*AnnualVarConvtr,Dividend,RiskFreeRate,G41/250)</f>
        <v>1</v>
      </c>
      <c r="Y41" s="22">
        <f t="shared" ca="1" si="21"/>
        <v>0</v>
      </c>
      <c r="Z41" s="22">
        <f t="shared" ca="1" si="22"/>
        <v>229.56529654321102</v>
      </c>
      <c r="AA41">
        <f t="shared" si="9"/>
        <v>0.73884103340948371</v>
      </c>
      <c r="AB41">
        <f t="shared" ref="AB41" ca="1" si="90">BSdelta(1,P41,Strike,AA41/AnnualVarConvtr,Dividend,RiskFreeRate,G41/250)</f>
        <v>1</v>
      </c>
      <c r="AC41">
        <f t="shared" ca="1" si="18"/>
        <v>0</v>
      </c>
      <c r="AD41">
        <f t="shared" ca="1" si="19"/>
        <v>232.92464525204662</v>
      </c>
    </row>
    <row r="42" spans="7:30" x14ac:dyDescent="0.25">
      <c r="G42" s="19">
        <v>213</v>
      </c>
      <c r="H42" s="19">
        <f t="shared" ca="1" si="68"/>
        <v>0.66495695262892285</v>
      </c>
      <c r="I42" s="19">
        <f t="shared" ca="1" si="68"/>
        <v>0.66587379551440395</v>
      </c>
      <c r="J42" s="19">
        <f t="shared" ca="1" si="2"/>
        <v>-0.4555736281401207</v>
      </c>
      <c r="K42" s="19">
        <f t="shared" ca="1" si="3"/>
        <v>-0.78007603216867027</v>
      </c>
      <c r="L42" s="19">
        <f t="array" aca="1" ref="L42:M42" ca="1">MMULT(J42:K42,TRANSPOSE($B$10:$C$11))</f>
        <v>-0.4555736281401207</v>
      </c>
      <c r="M42" s="19">
        <f ca="1"/>
        <v>-0.21775246573984519</v>
      </c>
      <c r="N42" s="20">
        <f t="shared" ca="1" si="4"/>
        <v>8.9095740618338869E-3</v>
      </c>
      <c r="O42" s="20">
        <f t="shared" ca="1" si="5"/>
        <v>7.2513923911495512E-2</v>
      </c>
      <c r="P42" s="19">
        <f t="shared" ca="1" si="11"/>
        <v>467.200774710357</v>
      </c>
      <c r="Q42" s="19">
        <f ca="1">HCTrans(P42,Strike,RiskFreeRate,Dividend,Variance_T0*AnnualVarConvtr,(Simulation!G42)/250,0.5,Variance_Avg*AnnualVarConvtr,Lambda,SQRT(Simulation!N42),Rho,1,"Call")</f>
        <v>367.97029174407498</v>
      </c>
      <c r="R42" s="19" t="e">
        <f t="shared" ca="1" si="6"/>
        <v>#VALUE!</v>
      </c>
      <c r="S42" s="19" t="e">
        <f t="shared" ca="1" si="7"/>
        <v>#VALUE!</v>
      </c>
      <c r="T42" s="19" t="e">
        <f t="shared" ca="1" si="12"/>
        <v>#VALUE!</v>
      </c>
      <c r="U42" s="19" t="e">
        <f t="shared" ca="1" si="13"/>
        <v>#VALUE!</v>
      </c>
      <c r="V42" s="21">
        <f t="shared" ca="1" si="14"/>
        <v>7.8317591694619529E-6</v>
      </c>
      <c r="W42">
        <f t="shared" ca="1" si="15"/>
        <v>2.7985280362115283E-3</v>
      </c>
      <c r="X42" s="22">
        <f t="shared" ref="X42" ca="1" si="91">BSdelta(1,P42,Strike,W42*AnnualVarConvtr,Dividend,RiskFreeRate,G42/250)</f>
        <v>1</v>
      </c>
      <c r="Y42" s="22">
        <f t="shared" ca="1" si="21"/>
        <v>0</v>
      </c>
      <c r="Z42" s="22">
        <f t="shared" ca="1" si="22"/>
        <v>262.01780620296756</v>
      </c>
      <c r="AA42">
        <f t="shared" si="9"/>
        <v>0.73884103340948371</v>
      </c>
      <c r="AB42">
        <f t="shared" ref="AB42" ca="1" si="92">BSdelta(1,P42,Strike,AA42/AnnualVarConvtr,Dividend,RiskFreeRate,G42/250)</f>
        <v>1</v>
      </c>
      <c r="AC42">
        <f t="shared" ca="1" si="18"/>
        <v>0</v>
      </c>
      <c r="AD42">
        <f t="shared" ca="1" si="19"/>
        <v>265.37715491180313</v>
      </c>
    </row>
    <row r="43" spans="7:30" x14ac:dyDescent="0.25">
      <c r="G43" s="19">
        <v>212</v>
      </c>
      <c r="H43" s="19">
        <f t="shared" ca="1" si="68"/>
        <v>0.25520754304231363</v>
      </c>
      <c r="I43" s="19">
        <f t="shared" ca="1" si="68"/>
        <v>0.70447310244638361</v>
      </c>
      <c r="J43" s="19">
        <f t="shared" ca="1" si="2"/>
        <v>-0.46633503196140108</v>
      </c>
      <c r="K43" s="19">
        <f t="shared" ca="1" si="3"/>
        <v>-1.585524512302005</v>
      </c>
      <c r="L43" s="19">
        <f t="array" aca="1" ref="L43:M43" ca="1">MMULT(J43:K43,TRANSPOSE($B$10:$C$11))</f>
        <v>-0.46633503196140108</v>
      </c>
      <c r="M43" s="19">
        <f ca="1"/>
        <v>-0.77191238237990889</v>
      </c>
      <c r="N43" s="20">
        <f t="shared" ca="1" si="4"/>
        <v>7.2026774005214556E-3</v>
      </c>
      <c r="O43" s="20">
        <f t="shared" ca="1" si="5"/>
        <v>6.973000546610128E-2</v>
      </c>
      <c r="P43" s="19">
        <f t="shared" ca="1" si="11"/>
        <v>500.94138346960796</v>
      </c>
      <c r="Q43" s="19">
        <f ca="1">HCTrans(P43,Strike,RiskFreeRate,Dividend,Variance_T0*AnnualVarConvtr,(Simulation!G43)/250,0.5,Variance_Avg*AnnualVarConvtr,Lambda,SQRT(Simulation!N43),Rho,1,"Call")</f>
        <v>401.5261772390881</v>
      </c>
      <c r="R43" s="19" t="e">
        <f t="shared" ca="1" si="6"/>
        <v>#VALUE!</v>
      </c>
      <c r="S43" s="19" t="e">
        <f t="shared" ca="1" si="7"/>
        <v>#VALUE!</v>
      </c>
      <c r="T43" s="19" t="e">
        <f t="shared" ca="1" si="12"/>
        <v>#VALUE!</v>
      </c>
      <c r="U43" s="19" t="e">
        <f t="shared" ca="1" si="13"/>
        <v>#VALUE!</v>
      </c>
      <c r="V43" s="21">
        <f t="shared" ca="1" si="14"/>
        <v>7.7502019106062362E-6</v>
      </c>
      <c r="W43">
        <f t="shared" ca="1" si="15"/>
        <v>2.7839184453942317E-3</v>
      </c>
      <c r="X43" s="22">
        <f t="shared" ref="X43" ca="1" si="93">BSdelta(1,P43,Strike,W43*AnnualVarConvtr,Dividend,RiskFreeRate,G43/250)</f>
        <v>1</v>
      </c>
      <c r="Y43" s="22">
        <f t="shared" ca="1" si="21"/>
        <v>0</v>
      </c>
      <c r="Z43" s="22">
        <f t="shared" ca="1" si="22"/>
        <v>295.57369169798068</v>
      </c>
      <c r="AA43">
        <f t="shared" si="9"/>
        <v>0.73884103340948371</v>
      </c>
      <c r="AB43">
        <f t="shared" ref="AB43" ca="1" si="94">BSdelta(1,P43,Strike,AA43/AnnualVarConvtr,Dividend,RiskFreeRate,G43/250)</f>
        <v>1</v>
      </c>
      <c r="AC43">
        <f t="shared" ca="1" si="18"/>
        <v>0</v>
      </c>
      <c r="AD43">
        <f t="shared" ca="1" si="19"/>
        <v>298.93304040681625</v>
      </c>
    </row>
    <row r="44" spans="7:30" x14ac:dyDescent="0.25">
      <c r="G44" s="19">
        <v>211</v>
      </c>
      <c r="H44" s="19">
        <f t="shared" ca="1" si="68"/>
        <v>0.97137096478924323</v>
      </c>
      <c r="I44" s="19">
        <f t="shared" ca="1" si="68"/>
        <v>0.11100082154635293</v>
      </c>
      <c r="J44" s="19">
        <f t="shared" ca="1" si="2"/>
        <v>0.18474417732238305</v>
      </c>
      <c r="K44" s="19">
        <f t="shared" ca="1" si="3"/>
        <v>0.15480073679805817</v>
      </c>
      <c r="L44" s="19">
        <f t="array" aca="1" ref="L44:M44" ca="1">MMULT(J44:K44,TRANSPOSE($B$10:$C$11))</f>
        <v>0.18474417732238305</v>
      </c>
      <c r="M44" s="19">
        <f ca="1"/>
        <v>-2.4382207331707331E-2</v>
      </c>
      <c r="N44" s="20">
        <f t="shared" ca="1" si="4"/>
        <v>7.1511956609099986E-3</v>
      </c>
      <c r="O44" s="20">
        <f t="shared" ca="1" si="5"/>
        <v>7.0721631081690009E-2</v>
      </c>
      <c r="P44" s="19">
        <f t="shared" ca="1" si="11"/>
        <v>537.65157823218942</v>
      </c>
      <c r="Q44" s="19">
        <f ca="1">HCTrans(P44,Strike,RiskFreeRate,Dividend,Variance_T0*AnnualVarConvtr,(Simulation!G44)/250,0.5,Variance_Avg*AnnualVarConvtr,Lambda,SQRT(Simulation!N44),Rho,1,"Call")</f>
        <v>438.09826915886862</v>
      </c>
      <c r="R44" s="19" t="e">
        <f t="shared" ca="1" si="6"/>
        <v>#VALUE!</v>
      </c>
      <c r="S44" s="19" t="e">
        <f t="shared" ca="1" si="7"/>
        <v>#VALUE!</v>
      </c>
      <c r="T44" s="19" t="e">
        <f t="shared" ca="1" si="12"/>
        <v>#VALUE!</v>
      </c>
      <c r="U44" s="19" t="e">
        <f t="shared" ca="1" si="13"/>
        <v>#VALUE!</v>
      </c>
      <c r="V44" s="21">
        <f t="shared" ca="1" si="14"/>
        <v>9.8332136149172534E-7</v>
      </c>
      <c r="W44">
        <f t="shared" ca="1" si="15"/>
        <v>9.9162561558872875E-4</v>
      </c>
      <c r="X44" s="22">
        <f t="shared" ref="X44" ca="1" si="95">BSdelta(1,P44,Strike,W44*AnnualVarConvtr,Dividend,RiskFreeRate,G44/250)</f>
        <v>1</v>
      </c>
      <c r="Y44" s="22">
        <f t="shared" ca="1" si="21"/>
        <v>0</v>
      </c>
      <c r="Z44" s="22">
        <f t="shared" ca="1" si="22"/>
        <v>332.1457836177612</v>
      </c>
      <c r="AA44">
        <f t="shared" si="9"/>
        <v>0.73884103340948371</v>
      </c>
      <c r="AB44">
        <f t="shared" ref="AB44" ca="1" si="96">BSdelta(1,P44,Strike,AA44/AnnualVarConvtr,Dividend,RiskFreeRate,G44/250)</f>
        <v>1</v>
      </c>
      <c r="AC44">
        <f t="shared" ca="1" si="18"/>
        <v>0</v>
      </c>
      <c r="AD44">
        <f t="shared" ca="1" si="19"/>
        <v>335.50513232659677</v>
      </c>
    </row>
    <row r="45" spans="7:30" x14ac:dyDescent="0.25">
      <c r="G45" s="19">
        <v>210</v>
      </c>
      <c r="H45" s="19">
        <f t="shared" ca="1" si="68"/>
        <v>0.55762302633406013</v>
      </c>
      <c r="I45" s="19">
        <f t="shared" ca="1" si="68"/>
        <v>0.29541295203846041</v>
      </c>
      <c r="J45" s="19">
        <f t="shared" ca="1" si="2"/>
        <v>-0.30422755582450028</v>
      </c>
      <c r="K45" s="19">
        <f t="shared" ca="1" si="3"/>
        <v>1.0371064767832379</v>
      </c>
      <c r="L45" s="19">
        <f t="array" aca="1" ref="L45:M45" ca="1">MMULT(J45:K45,TRANSPOSE($B$10:$C$11))</f>
        <v>-0.30422755582450028</v>
      </c>
      <c r="M45" s="19">
        <f ca="1"/>
        <v>0.94145113429422533</v>
      </c>
      <c r="N45" s="20">
        <f t="shared" ca="1" si="4"/>
        <v>9.2360111377817571E-3</v>
      </c>
      <c r="O45" s="20">
        <f t="shared" ca="1" si="5"/>
        <v>6.9094517484421442E-2</v>
      </c>
      <c r="P45" s="19">
        <f t="shared" ca="1" si="11"/>
        <v>576.11381907935117</v>
      </c>
      <c r="Q45" s="19">
        <f ca="1">HCTrans(P45,Strike,RiskFreeRate,Dividend,Variance_T0*AnnualVarConvtr,(Simulation!G45)/250,0.5,Variance_Avg*AnnualVarConvtr,Lambda,SQRT(Simulation!N45),Rho,1,"Call")</f>
        <v>476.46502434034528</v>
      </c>
      <c r="R45" s="19" t="e">
        <f t="shared" ca="1" si="6"/>
        <v>#VALUE!</v>
      </c>
      <c r="S45" s="19" t="e">
        <f t="shared" ca="1" si="7"/>
        <v>#VALUE!</v>
      </c>
      <c r="T45" s="19" t="e">
        <f t="shared" ca="1" si="12"/>
        <v>#VALUE!</v>
      </c>
      <c r="U45" s="19" t="e">
        <f t="shared" ca="1" si="13"/>
        <v>#VALUE!</v>
      </c>
      <c r="V45" s="21">
        <f t="shared" ca="1" si="14"/>
        <v>2.6474986584162579E-6</v>
      </c>
      <c r="W45">
        <f t="shared" ca="1" si="15"/>
        <v>1.6271135972685674E-3</v>
      </c>
      <c r="X45" s="22">
        <f t="shared" ref="X45" ca="1" si="97">BSdelta(1,P45,Strike,W45*AnnualVarConvtr,Dividend,RiskFreeRate,G45/250)</f>
        <v>1</v>
      </c>
      <c r="Y45" s="22">
        <f t="shared" ca="1" si="21"/>
        <v>0</v>
      </c>
      <c r="Z45" s="22">
        <f t="shared" ca="1" si="22"/>
        <v>370.51253879923786</v>
      </c>
      <c r="AA45">
        <f t="shared" si="9"/>
        <v>0.73884103340948371</v>
      </c>
      <c r="AB45">
        <f t="shared" ref="AB45" ca="1" si="98">BSdelta(1,P45,Strike,AA45/AnnualVarConvtr,Dividend,RiskFreeRate,G45/250)</f>
        <v>1</v>
      </c>
      <c r="AC45">
        <f t="shared" ca="1" si="18"/>
        <v>0</v>
      </c>
      <c r="AD45">
        <f t="shared" ca="1" si="19"/>
        <v>373.87188750807343</v>
      </c>
    </row>
    <row r="46" spans="7:30" x14ac:dyDescent="0.25">
      <c r="G46" s="19">
        <v>209</v>
      </c>
      <c r="H46" s="19">
        <f t="shared" ca="1" si="68"/>
        <v>0.48199185264996536</v>
      </c>
      <c r="I46" s="19">
        <f t="shared" ca="1" si="68"/>
        <v>0.50639029285029535</v>
      </c>
      <c r="J46" s="19">
        <f t="shared" ca="1" si="2"/>
        <v>-1.2071885680791123</v>
      </c>
      <c r="K46" s="19">
        <f t="shared" ca="1" si="3"/>
        <v>-4.8496367694670847E-2</v>
      </c>
      <c r="L46" s="19">
        <f t="array" aca="1" ref="L46:M46" ca="1">MMULT(J46:K46,TRANSPOSE($B$10:$C$11))</f>
        <v>-1.2071885680791123</v>
      </c>
      <c r="M46" s="19">
        <f ca="1"/>
        <v>0.83112016894814955</v>
      </c>
      <c r="N46" s="20">
        <f t="shared" ca="1" si="4"/>
        <v>1.1286766800959334E-2</v>
      </c>
      <c r="O46" s="20">
        <f t="shared" ca="1" si="5"/>
        <v>6.1757030671724535E-2</v>
      </c>
      <c r="P46" s="19">
        <f t="shared" ca="1" si="11"/>
        <v>612.81449656136215</v>
      </c>
      <c r="Q46" s="19">
        <f ca="1">HCTrans(P46,Strike,RiskFreeRate,Dividend,Variance_T0*AnnualVarConvtr,(Simulation!G46)/250,0.5,Variance_Avg*AnnualVarConvtr,Lambda,SQRT(Simulation!N46),Rho,1,"Call")</f>
        <v>513.09632533172714</v>
      </c>
      <c r="R46" s="19" t="e">
        <f t="shared" ca="1" si="6"/>
        <v>#VALUE!</v>
      </c>
      <c r="S46" s="19" t="e">
        <f t="shared" ca="1" si="7"/>
        <v>#VALUE!</v>
      </c>
      <c r="T46" s="19" t="e">
        <f t="shared" ca="1" si="12"/>
        <v>#VALUE!</v>
      </c>
      <c r="U46" s="19" t="e">
        <f t="shared" ca="1" si="13"/>
        <v>#VALUE!</v>
      </c>
      <c r="V46" s="21">
        <f t="shared" ca="1" si="14"/>
        <v>5.3838712726501016E-5</v>
      </c>
      <c r="W46">
        <f t="shared" ca="1" si="15"/>
        <v>7.337486812696907E-3</v>
      </c>
      <c r="X46" s="22">
        <f t="shared" ref="X46" ca="1" si="99">BSdelta(1,P46,Strike,W46*AnnualVarConvtr,Dividend,RiskFreeRate,G46/250)</f>
        <v>1</v>
      </c>
      <c r="Y46" s="22">
        <f t="shared" ca="1" si="21"/>
        <v>0</v>
      </c>
      <c r="Z46" s="22">
        <f t="shared" ca="1" si="22"/>
        <v>407.14383979061972</v>
      </c>
      <c r="AA46">
        <f t="shared" si="9"/>
        <v>0.73884103340948371</v>
      </c>
      <c r="AB46">
        <f t="shared" ref="AB46" ca="1" si="100">BSdelta(1,P46,Strike,AA46/AnnualVarConvtr,Dividend,RiskFreeRate,G46/250)</f>
        <v>1</v>
      </c>
      <c r="AC46">
        <f t="shared" ca="1" si="18"/>
        <v>0</v>
      </c>
      <c r="AD46">
        <f t="shared" ca="1" si="19"/>
        <v>410.50318849945529</v>
      </c>
    </row>
    <row r="47" spans="7:30" x14ac:dyDescent="0.25">
      <c r="G47" s="19">
        <v>208</v>
      </c>
      <c r="H47" s="19">
        <f t="shared" ca="1" si="68"/>
        <v>0.23141134151708509</v>
      </c>
      <c r="I47" s="19">
        <f t="shared" ca="1" si="68"/>
        <v>0.44085008701835482</v>
      </c>
      <c r="J47" s="19">
        <f t="shared" ca="1" si="2"/>
        <v>-1.5940790779956699</v>
      </c>
      <c r="K47" s="19">
        <f t="shared" ca="1" si="3"/>
        <v>0.62131215884711577</v>
      </c>
      <c r="L47" s="19">
        <f t="array" aca="1" ref="L47:M47" ca="1">MMULT(J47:K47,TRANSPOSE($B$10:$C$11))</f>
        <v>-1.5940790779956699</v>
      </c>
      <c r="M47" s="19">
        <f ca="1"/>
        <v>1.5755770010863621</v>
      </c>
      <c r="N47" s="20">
        <f t="shared" ca="1" si="4"/>
        <v>1.574182875110507E-2</v>
      </c>
      <c r="O47" s="20">
        <f t="shared" ca="1" si="5"/>
        <v>5.1046163501731003E-2</v>
      </c>
      <c r="P47" s="19">
        <f t="shared" ca="1" si="11"/>
        <v>644.90849461458845</v>
      </c>
      <c r="Q47" s="19">
        <f ca="1">HCTrans(P47,Strike,RiskFreeRate,Dividend,Variance_T0*AnnualVarConvtr,(Simulation!G47)/250,0.5,Variance_Avg*AnnualVarConvtr,Lambda,SQRT(Simulation!N47),Rho,1,"Call")</f>
        <v>545.15024655949856</v>
      </c>
      <c r="R47" s="19" t="e">
        <f t="shared" ca="1" si="6"/>
        <v>#VALUE!</v>
      </c>
      <c r="S47" s="19" t="e">
        <f t="shared" ca="1" si="7"/>
        <v>#VALUE!</v>
      </c>
      <c r="T47" s="19" t="e">
        <f t="shared" ca="1" si="12"/>
        <v>#VALUE!</v>
      </c>
      <c r="U47" s="19" t="e">
        <f t="shared" ca="1" si="13"/>
        <v>#VALUE!</v>
      </c>
      <c r="V47" s="21">
        <f t="shared" ca="1" si="14"/>
        <v>1.1472267553324526E-4</v>
      </c>
      <c r="W47">
        <f t="shared" ca="1" si="15"/>
        <v>1.0710867169993532E-2</v>
      </c>
      <c r="X47" s="22">
        <f t="shared" ref="X47" ca="1" si="101">BSdelta(1,P47,Strike,W47*AnnualVarConvtr,Dividend,RiskFreeRate,G47/250)</f>
        <v>1</v>
      </c>
      <c r="Y47" s="22">
        <f t="shared" ca="1" si="21"/>
        <v>0</v>
      </c>
      <c r="Z47" s="22">
        <f t="shared" ca="1" si="22"/>
        <v>439.19776101839113</v>
      </c>
      <c r="AA47">
        <f t="shared" si="9"/>
        <v>0.73884103340948371</v>
      </c>
      <c r="AB47">
        <f t="shared" ref="AB47" ca="1" si="102">BSdelta(1,P47,Strike,AA47/AnnualVarConvtr,Dividend,RiskFreeRate,G47/250)</f>
        <v>1</v>
      </c>
      <c r="AC47">
        <f t="shared" ca="1" si="18"/>
        <v>0</v>
      </c>
      <c r="AD47">
        <f t="shared" ca="1" si="19"/>
        <v>442.5571097272267</v>
      </c>
    </row>
    <row r="48" spans="7:30" x14ac:dyDescent="0.25">
      <c r="G48" s="19">
        <v>207</v>
      </c>
      <c r="H48" s="19">
        <f t="shared" ca="1" si="68"/>
        <v>0.70853993069660226</v>
      </c>
      <c r="I48" s="19">
        <f t="shared" ca="1" si="68"/>
        <v>0.62092272935331883</v>
      </c>
      <c r="J48" s="19">
        <f t="shared" ca="1" si="2"/>
        <v>-0.60182606686506479</v>
      </c>
      <c r="K48" s="19">
        <f t="shared" ca="1" si="3"/>
        <v>-0.57175441331626431</v>
      </c>
      <c r="L48" s="19">
        <f t="array" aca="1" ref="L48:M48" ca="1">MMULT(J48:K48,TRANSPOSE($B$10:$C$11))</f>
        <v>-0.60182606686506479</v>
      </c>
      <c r="M48" s="19">
        <f ca="1"/>
        <v>3.2359878764439798E-2</v>
      </c>
      <c r="N48" s="20">
        <f t="shared" ca="1" si="4"/>
        <v>1.5795441116367596E-2</v>
      </c>
      <c r="O48" s="20">
        <f t="shared" ca="1" si="5"/>
        <v>4.6270556482682128E-2</v>
      </c>
      <c r="P48" s="19">
        <f t="shared" ca="1" si="11"/>
        <v>675.44990475064185</v>
      </c>
      <c r="Q48" s="19">
        <f ca="1">HCTrans(P48,Strike,RiskFreeRate,Dividend,Variance_T0*AnnualVarConvtr,(Simulation!G48)/250,0.5,Variance_Avg*AnnualVarConvtr,Lambda,SQRT(Simulation!N48),Rho,1,"Call")</f>
        <v>575.64867575761991</v>
      </c>
      <c r="R48" s="19" t="e">
        <f t="shared" ca="1" si="6"/>
        <v>#VALUE!</v>
      </c>
      <c r="S48" s="19" t="e">
        <f t="shared" ca="1" si="7"/>
        <v>#VALUE!</v>
      </c>
      <c r="T48" s="19" t="e">
        <f t="shared" ca="1" si="12"/>
        <v>#VALUE!</v>
      </c>
      <c r="U48" s="19" t="e">
        <f t="shared" ca="1" si="13"/>
        <v>#VALUE!</v>
      </c>
      <c r="V48" s="21">
        <f t="shared" ca="1" si="14"/>
        <v>2.2806422400388879E-5</v>
      </c>
      <c r="W48">
        <f t="shared" ca="1" si="15"/>
        <v>4.7756070190488747E-3</v>
      </c>
      <c r="X48" s="22">
        <f t="shared" ref="X48" ca="1" si="103">BSdelta(1,P48,Strike,W48*AnnualVarConvtr,Dividend,RiskFreeRate,G48/250)</f>
        <v>1</v>
      </c>
      <c r="Y48" s="22">
        <f t="shared" ca="1" si="21"/>
        <v>0</v>
      </c>
      <c r="Z48" s="22">
        <f t="shared" ca="1" si="22"/>
        <v>469.69619021651249</v>
      </c>
      <c r="AA48">
        <f t="shared" si="9"/>
        <v>0.73884103340948371</v>
      </c>
      <c r="AB48">
        <f t="shared" ref="AB48" ca="1" si="104">BSdelta(1,P48,Strike,AA48/AnnualVarConvtr,Dividend,RiskFreeRate,G48/250)</f>
        <v>1</v>
      </c>
      <c r="AC48">
        <f t="shared" ca="1" si="18"/>
        <v>0</v>
      </c>
      <c r="AD48">
        <f t="shared" ca="1" si="19"/>
        <v>473.05553892534806</v>
      </c>
    </row>
    <row r="49" spans="7:30" x14ac:dyDescent="0.25">
      <c r="G49" s="19">
        <v>206</v>
      </c>
      <c r="H49" s="19">
        <f t="shared" ca="1" si="68"/>
        <v>0.59462606990453692</v>
      </c>
      <c r="I49" s="19">
        <f t="shared" ca="1" si="68"/>
        <v>0.54645364934994689</v>
      </c>
      <c r="J49" s="19">
        <f t="shared" ca="1" si="2"/>
        <v>-0.97650511192530676</v>
      </c>
      <c r="K49" s="19">
        <f t="shared" ca="1" si="3"/>
        <v>-0.29339873254766685</v>
      </c>
      <c r="L49" s="19">
        <f t="array" aca="1" ref="L49:M49" ca="1">MMULT(J49:K49,TRANSPOSE($B$10:$C$11))</f>
        <v>-0.97650511192530676</v>
      </c>
      <c r="M49" s="19">
        <f ca="1"/>
        <v>0.49499474425459639</v>
      </c>
      <c r="N49" s="20">
        <f t="shared" ca="1" si="4"/>
        <v>1.7311316687503613E-2</v>
      </c>
      <c r="O49" s="20">
        <f t="shared" ca="1" si="5"/>
        <v>3.8508614428820212E-2</v>
      </c>
      <c r="P49" s="19">
        <f t="shared" ca="1" si="11"/>
        <v>701.96785250748906</v>
      </c>
      <c r="Q49" s="19">
        <f ca="1">HCTrans(P49,Strike,RiskFreeRate,Dividend,Variance_T0*AnnualVarConvtr,(Simulation!G49)/250,0.5,Variance_Avg*AnnualVarConvtr,Lambda,SQRT(Simulation!N49),Rho,1,"Call")</f>
        <v>602.1389089517977</v>
      </c>
      <c r="R49" s="19" t="e">
        <f t="shared" ca="1" si="6"/>
        <v>#VALUE!</v>
      </c>
      <c r="S49" s="19" t="e">
        <f t="shared" ca="1" si="7"/>
        <v>#VALUE!</v>
      </c>
      <c r="T49" s="19" t="e">
        <f t="shared" ca="1" si="12"/>
        <v>#VALUE!</v>
      </c>
      <c r="U49" s="19" t="e">
        <f t="shared" ca="1" si="13"/>
        <v>#VALUE!</v>
      </c>
      <c r="V49" s="21">
        <f t="shared" ca="1" si="14"/>
        <v>6.0247744447510135E-5</v>
      </c>
      <c r="W49">
        <f t="shared" ca="1" si="15"/>
        <v>7.7619420538619158E-3</v>
      </c>
      <c r="X49" s="22">
        <f t="shared" ref="X49" ca="1" si="105">BSdelta(1,P49,Strike,W49*AnnualVarConvtr,Dividend,RiskFreeRate,G49/250)</f>
        <v>1</v>
      </c>
      <c r="Y49" s="22">
        <f t="shared" ca="1" si="21"/>
        <v>0</v>
      </c>
      <c r="Z49" s="22">
        <f t="shared" ca="1" si="22"/>
        <v>496.18642341069028</v>
      </c>
      <c r="AA49">
        <f t="shared" si="9"/>
        <v>0.73884103340948371</v>
      </c>
      <c r="AB49">
        <f t="shared" ref="AB49" ca="1" si="106">BSdelta(1,P49,Strike,AA49/AnnualVarConvtr,Dividend,RiskFreeRate,G49/250)</f>
        <v>1</v>
      </c>
      <c r="AC49">
        <f t="shared" ca="1" si="18"/>
        <v>0</v>
      </c>
      <c r="AD49">
        <f t="shared" ca="1" si="19"/>
        <v>499.54577211952585</v>
      </c>
    </row>
    <row r="50" spans="7:30" x14ac:dyDescent="0.25">
      <c r="G50" s="19">
        <v>205</v>
      </c>
      <c r="H50" s="19">
        <f t="shared" ca="1" si="68"/>
        <v>0.45614419874077983</v>
      </c>
      <c r="I50" s="19">
        <f t="shared" ca="1" si="68"/>
        <v>0.88595297640893844</v>
      </c>
      <c r="J50" s="19">
        <f t="shared" ca="1" si="2"/>
        <v>0.94479883597237113</v>
      </c>
      <c r="K50" s="19">
        <f t="shared" ca="1" si="3"/>
        <v>-0.82295063511772593</v>
      </c>
      <c r="L50" s="19">
        <f t="array" aca="1" ref="L50:M50" ca="1">MMULT(J50:K50,TRANSPOSE($B$10:$C$11))</f>
        <v>0.94479883597237113</v>
      </c>
      <c r="M50" s="19">
        <f ca="1"/>
        <v>-1.2510281058399055</v>
      </c>
      <c r="N50" s="20">
        <f t="shared" ca="1" si="4"/>
        <v>1.3456082224576798E-2</v>
      </c>
      <c r="O50" s="20">
        <f t="shared" ca="1" si="5"/>
        <v>4.6370638982986462E-2</v>
      </c>
      <c r="P50" s="19">
        <f t="shared" ca="1" si="11"/>
        <v>735.28505048028887</v>
      </c>
      <c r="Q50" s="19">
        <f ca="1">HCTrans(P50,Strike,RiskFreeRate,Dividend,Variance_T0*AnnualVarConvtr,(Simulation!G50)/250,0.5,Variance_Avg*AnnualVarConvtr,Lambda,SQRT(Simulation!N50),Rho,1,"Call")</f>
        <v>635.41661991036142</v>
      </c>
      <c r="R50" s="19" t="e">
        <f t="shared" ca="1" si="6"/>
        <v>#VALUE!</v>
      </c>
      <c r="S50" s="19" t="e">
        <f t="shared" ca="1" si="7"/>
        <v>#VALUE!</v>
      </c>
      <c r="T50" s="19" t="e">
        <f t="shared" ca="1" si="12"/>
        <v>#VALUE!</v>
      </c>
      <c r="U50" s="19" t="e">
        <f t="shared" ca="1" si="13"/>
        <v>#VALUE!</v>
      </c>
      <c r="V50" s="21">
        <f t="shared" ca="1" si="14"/>
        <v>6.1811430090313022E-5</v>
      </c>
      <c r="W50">
        <f t="shared" ca="1" si="15"/>
        <v>7.8620245541662498E-3</v>
      </c>
      <c r="X50" s="22">
        <f t="shared" ref="X50" ca="1" si="107">BSdelta(1,P50,Strike,W50*AnnualVarConvtr,Dividend,RiskFreeRate,G50/250)</f>
        <v>1</v>
      </c>
      <c r="Y50" s="22">
        <f t="shared" ca="1" si="21"/>
        <v>0</v>
      </c>
      <c r="Z50" s="22">
        <f t="shared" ca="1" si="22"/>
        <v>529.464134369254</v>
      </c>
      <c r="AA50">
        <f t="shared" si="9"/>
        <v>0.73884103340948371</v>
      </c>
      <c r="AB50">
        <f t="shared" ref="AB50" ca="1" si="108">BSdelta(1,P50,Strike,AA50/AnnualVarConvtr,Dividend,RiskFreeRate,G50/250)</f>
        <v>1</v>
      </c>
      <c r="AC50">
        <f t="shared" ca="1" si="18"/>
        <v>0</v>
      </c>
      <c r="AD50">
        <f t="shared" ca="1" si="19"/>
        <v>532.82348307808957</v>
      </c>
    </row>
    <row r="51" spans="7:30" x14ac:dyDescent="0.25">
      <c r="G51" s="19">
        <v>204</v>
      </c>
      <c r="H51" s="19">
        <f t="shared" ca="1" si="68"/>
        <v>0.20086351954687165</v>
      </c>
      <c r="I51" s="19">
        <f t="shared" ca="1" si="68"/>
        <v>0.60188446626854353</v>
      </c>
      <c r="J51" s="19">
        <f t="shared" ca="1" si="2"/>
        <v>-1.4369605817583198</v>
      </c>
      <c r="K51" s="19">
        <f t="shared" ca="1" si="3"/>
        <v>-1.0702352563981115</v>
      </c>
      <c r="L51" s="19">
        <f t="array" aca="1" ref="L51:M51" ca="1">MMULT(J51:K51,TRANSPOSE($B$10:$C$11))</f>
        <v>-1.4369605817583198</v>
      </c>
      <c r="M51" s="19">
        <f ca="1"/>
        <v>0.28299995727278138</v>
      </c>
      <c r="N51" s="20">
        <f t="shared" ca="1" si="4"/>
        <v>1.4239093087074738E-2</v>
      </c>
      <c r="O51" s="20">
        <f t="shared" ca="1" si="5"/>
        <v>3.5828368209930156E-2</v>
      </c>
      <c r="P51" s="19">
        <f t="shared" ca="1" si="11"/>
        <v>762.10673344936845</v>
      </c>
      <c r="Q51" s="19">
        <f ca="1">HCTrans(P51,Strike,RiskFreeRate,Dividend,Variance_T0*AnnualVarConvtr,(Simulation!G51)/250,0.5,Variance_Avg*AnnualVarConvtr,Lambda,SQRT(Simulation!N51),Rho,1,"Call")</f>
        <v>662.21929406887716</v>
      </c>
      <c r="R51" s="19" t="e">
        <f t="shared" ca="1" si="6"/>
        <v>#VALUE!</v>
      </c>
      <c r="S51" s="19" t="e">
        <f t="shared" ca="1" si="7"/>
        <v>#VALUE!</v>
      </c>
      <c r="T51" s="19" t="e">
        <f t="shared" ca="1" si="12"/>
        <v>#VALUE!</v>
      </c>
      <c r="U51" s="19" t="e">
        <f t="shared" ca="1" si="13"/>
        <v>#VALUE!</v>
      </c>
      <c r="V51" s="21">
        <f t="shared" ca="1" si="14"/>
        <v>1.111394730524372E-4</v>
      </c>
      <c r="W51">
        <f t="shared" ca="1" si="15"/>
        <v>1.0542270773056306E-2</v>
      </c>
      <c r="X51" s="22">
        <f t="shared" ref="X51" ca="1" si="109">BSdelta(1,P51,Strike,W51*AnnualVarConvtr,Dividend,RiskFreeRate,G51/250)</f>
        <v>1</v>
      </c>
      <c r="Y51" s="22">
        <f t="shared" ca="1" si="21"/>
        <v>0</v>
      </c>
      <c r="Z51" s="22">
        <f t="shared" ca="1" si="22"/>
        <v>556.26680852776974</v>
      </c>
      <c r="AA51">
        <f t="shared" si="9"/>
        <v>0.73884103340948371</v>
      </c>
      <c r="AB51">
        <f t="shared" ref="AB51" ca="1" si="110">BSdelta(1,P51,Strike,AA51/AnnualVarConvtr,Dividend,RiskFreeRate,G51/250)</f>
        <v>1</v>
      </c>
      <c r="AC51">
        <f t="shared" ca="1" si="18"/>
        <v>0</v>
      </c>
      <c r="AD51">
        <f t="shared" ca="1" si="19"/>
        <v>559.62615723660531</v>
      </c>
    </row>
    <row r="52" spans="7:30" x14ac:dyDescent="0.25">
      <c r="G52" s="19">
        <v>203</v>
      </c>
      <c r="H52" s="19">
        <f t="shared" ca="1" si="68"/>
        <v>0.26447506549138988</v>
      </c>
      <c r="I52" s="19">
        <f t="shared" ca="1" si="68"/>
        <v>0.56643401605683141</v>
      </c>
      <c r="J52" s="19">
        <f t="shared" ca="1" si="2"/>
        <v>-1.4909203146031476</v>
      </c>
      <c r="K52" s="19">
        <f t="shared" ca="1" si="3"/>
        <v>-0.66119075951385042</v>
      </c>
      <c r="L52" s="19">
        <f t="array" aca="1" ref="L52:M52" ca="1">MMULT(J52:K52,TRANSPOSE($B$10:$C$11))</f>
        <v>-1.4909203146031476</v>
      </c>
      <c r="M52" s="19">
        <f ca="1"/>
        <v>0.60700626666499402</v>
      </c>
      <c r="N52" s="20">
        <f t="shared" ca="1" si="4"/>
        <v>1.6032413419605523E-2</v>
      </c>
      <c r="O52" s="20">
        <f t="shared" ca="1" si="5"/>
        <v>2.4576475236775502E-2</v>
      </c>
      <c r="P52" s="19">
        <f t="shared" ca="1" si="11"/>
        <v>781.06868526783273</v>
      </c>
      <c r="Q52" s="19">
        <f ca="1">HCTrans(P52,Strike,RiskFreeRate,Dividend,Variance_T0*AnnualVarConvtr,(Simulation!G52)/250,0.5,Variance_Avg*AnnualVarConvtr,Lambda,SQRT(Simulation!N52),Rho,1,"Call")</f>
        <v>681.17097484592773</v>
      </c>
      <c r="R52" s="19" t="e">
        <f t="shared" ca="1" si="6"/>
        <v>#VALUE!</v>
      </c>
      <c r="S52" s="19" t="e">
        <f t="shared" ca="1" si="7"/>
        <v>#VALUE!</v>
      </c>
      <c r="T52" s="19" t="e">
        <f t="shared" ca="1" si="12"/>
        <v>#VALUE!</v>
      </c>
      <c r="U52" s="19" t="e">
        <f t="shared" ca="1" si="13"/>
        <v>#VALUE!</v>
      </c>
      <c r="V52" s="21">
        <f t="shared" ca="1" si="14"/>
        <v>1.2660509547932707E-4</v>
      </c>
      <c r="W52">
        <f t="shared" ca="1" si="15"/>
        <v>1.1251892973154654E-2</v>
      </c>
      <c r="X52" s="22">
        <f t="shared" ref="X52" ca="1" si="111">BSdelta(1,P52,Strike,W52*AnnualVarConvtr,Dividend,RiskFreeRate,G52/250)</f>
        <v>1</v>
      </c>
      <c r="Y52" s="22">
        <f t="shared" ca="1" si="21"/>
        <v>0</v>
      </c>
      <c r="Z52" s="22">
        <f t="shared" ca="1" si="22"/>
        <v>575.21848930482031</v>
      </c>
      <c r="AA52">
        <f t="shared" si="9"/>
        <v>0.73884103340948371</v>
      </c>
      <c r="AB52">
        <f t="shared" ref="AB52" ca="1" si="112">BSdelta(1,P52,Strike,AA52/AnnualVarConvtr,Dividend,RiskFreeRate,G52/250)</f>
        <v>1</v>
      </c>
      <c r="AC52">
        <f t="shared" ca="1" si="18"/>
        <v>0</v>
      </c>
      <c r="AD52">
        <f t="shared" ca="1" si="19"/>
        <v>578.57783801365588</v>
      </c>
    </row>
    <row r="53" spans="7:30" x14ac:dyDescent="0.25">
      <c r="G53" s="19">
        <v>202</v>
      </c>
      <c r="H53" s="19">
        <f t="shared" ca="1" si="68"/>
        <v>0.65879374933129087</v>
      </c>
      <c r="I53" s="19">
        <f t="shared" ca="1" si="68"/>
        <v>0.43121867507218981</v>
      </c>
      <c r="J53" s="19">
        <f t="shared" ca="1" si="2"/>
        <v>-0.82961652030256294</v>
      </c>
      <c r="K53" s="19">
        <f t="shared" ca="1" si="3"/>
        <v>0.38265646030140349</v>
      </c>
      <c r="L53" s="19">
        <f t="array" aca="1" ref="L53:M53" ca="1">MMULT(J53:K53,TRANSPOSE($B$10:$C$11))</f>
        <v>-0.82961652030256294</v>
      </c>
      <c r="M53" s="19">
        <f ca="1"/>
        <v>0.86135644391975019</v>
      </c>
      <c r="N53" s="20">
        <f t="shared" ca="1" si="4"/>
        <v>1.8770582650646489E-2</v>
      </c>
      <c r="O53" s="20">
        <f t="shared" ca="1" si="5"/>
        <v>1.7932823798579446E-2</v>
      </c>
      <c r="P53" s="19">
        <f t="shared" ca="1" si="11"/>
        <v>795.2017969268087</v>
      </c>
      <c r="Q53" s="19">
        <f ca="1">HCTrans(P53,Strike,RiskFreeRate,Dividend,Variance_T0*AnnualVarConvtr,(Simulation!G53)/250,0.5,Variance_Avg*AnnualVarConvtr,Lambda,SQRT(Simulation!N53),Rho,1,"Call")</f>
        <v>695.29852654391345</v>
      </c>
      <c r="R53" s="19" t="e">
        <f t="shared" ca="1" si="6"/>
        <v>#VALUE!</v>
      </c>
      <c r="S53" s="19" t="e">
        <f t="shared" ca="1" si="7"/>
        <v>#VALUE!</v>
      </c>
      <c r="T53" s="19" t="e">
        <f t="shared" ca="1" si="12"/>
        <v>#VALUE!</v>
      </c>
      <c r="U53" s="19" t="e">
        <f t="shared" ca="1" si="13"/>
        <v>#VALUE!</v>
      </c>
      <c r="V53" s="21">
        <f t="shared" ca="1" si="14"/>
        <v>4.4138104432244526E-5</v>
      </c>
      <c r="W53">
        <f t="shared" ca="1" si="15"/>
        <v>6.6436514381960562E-3</v>
      </c>
      <c r="X53" s="22">
        <f t="shared" ref="X53" ca="1" si="113">BSdelta(1,P53,Strike,W53*AnnualVarConvtr,Dividend,RiskFreeRate,G53/250)</f>
        <v>1</v>
      </c>
      <c r="Y53" s="22">
        <f t="shared" ca="1" si="21"/>
        <v>0</v>
      </c>
      <c r="Z53" s="22">
        <f t="shared" ca="1" si="22"/>
        <v>589.34604100280603</v>
      </c>
      <c r="AA53">
        <f t="shared" si="9"/>
        <v>0.73884103340948371</v>
      </c>
      <c r="AB53">
        <f t="shared" ref="AB53" ca="1" si="114">BSdelta(1,P53,Strike,AA53/AnnualVarConvtr,Dividend,RiskFreeRate,G53/250)</f>
        <v>1</v>
      </c>
      <c r="AC53">
        <f t="shared" ca="1" si="18"/>
        <v>0</v>
      </c>
      <c r="AD53">
        <f t="shared" ca="1" si="19"/>
        <v>592.7053897116416</v>
      </c>
    </row>
    <row r="54" spans="7:30" x14ac:dyDescent="0.25">
      <c r="G54" s="19">
        <v>201</v>
      </c>
      <c r="H54" s="19">
        <f t="shared" ca="1" si="68"/>
        <v>0.98300063909104463</v>
      </c>
      <c r="I54" s="19">
        <f t="shared" ca="1" si="68"/>
        <v>0.47526602525457817</v>
      </c>
      <c r="J54" s="19">
        <f t="shared" ca="1" si="2"/>
        <v>-0.18294665130236484</v>
      </c>
      <c r="K54" s="19">
        <f t="shared" ca="1" si="3"/>
        <v>2.866252188218809E-2</v>
      </c>
      <c r="L54" s="19">
        <f t="array" aca="1" ref="L54:M54" ca="1">MMULT(J54:K54,TRANSPOSE($B$10:$C$11))</f>
        <v>-0.18294665130236484</v>
      </c>
      <c r="M54" s="19">
        <f ca="1"/>
        <v>0.1510758809283228</v>
      </c>
      <c r="N54" s="20">
        <f t="shared" ca="1" si="4"/>
        <v>1.9219385689390026E-2</v>
      </c>
      <c r="O54" s="20">
        <f t="shared" ca="1" si="5"/>
        <v>1.6347589950235875E-2</v>
      </c>
      <c r="P54" s="19">
        <f t="shared" ca="1" si="11"/>
        <v>808.30826755054591</v>
      </c>
      <c r="Q54" s="19">
        <f ca="1">HCTrans(P54,Strike,RiskFreeRate,Dividend,Variance_T0*AnnualVarConvtr,(Simulation!G54)/250,0.5,Variance_Avg*AnnualVarConvtr,Lambda,SQRT(Simulation!N54),Rho,1,"Call")</f>
        <v>708.39703608417813</v>
      </c>
      <c r="R54" s="19" t="e">
        <f t="shared" ca="1" si="6"/>
        <v>#VALUE!</v>
      </c>
      <c r="S54" s="19" t="e">
        <f t="shared" ca="1" si="7"/>
        <v>#VALUE!</v>
      </c>
      <c r="T54" s="19" t="e">
        <f t="shared" ca="1" si="12"/>
        <v>#VALUE!</v>
      </c>
      <c r="U54" s="19" t="e">
        <f t="shared" ca="1" si="13"/>
        <v>#VALUE!</v>
      </c>
      <c r="V54" s="21">
        <f t="shared" ca="1" si="14"/>
        <v>2.5129663539341674E-6</v>
      </c>
      <c r="W54">
        <f t="shared" ca="1" si="15"/>
        <v>1.5852338483435709E-3</v>
      </c>
      <c r="X54" s="22">
        <f t="shared" ref="X54" ca="1" si="115">BSdelta(1,P54,Strike,W54*AnnualVarConvtr,Dividend,RiskFreeRate,G54/250)</f>
        <v>1</v>
      </c>
      <c r="Y54" s="22">
        <f t="shared" ca="1" si="21"/>
        <v>0</v>
      </c>
      <c r="Z54" s="22">
        <f t="shared" ca="1" si="22"/>
        <v>602.4445505430707</v>
      </c>
      <c r="AA54">
        <f t="shared" si="9"/>
        <v>0.73884103340948371</v>
      </c>
      <c r="AB54">
        <f t="shared" ref="AB54" ca="1" si="116">BSdelta(1,P54,Strike,AA54/AnnualVarConvtr,Dividend,RiskFreeRate,G54/250)</f>
        <v>1</v>
      </c>
      <c r="AC54">
        <f t="shared" ca="1" si="18"/>
        <v>0</v>
      </c>
      <c r="AD54">
        <f t="shared" ca="1" si="19"/>
        <v>605.80389925190627</v>
      </c>
    </row>
    <row r="55" spans="7:30" x14ac:dyDescent="0.25">
      <c r="G55" s="19">
        <v>200</v>
      </c>
      <c r="H55" s="19">
        <f t="shared" ca="1" si="68"/>
        <v>0.26352548135066101</v>
      </c>
      <c r="I55" s="19">
        <f t="shared" ca="1" si="68"/>
        <v>0.33213506301098095</v>
      </c>
      <c r="J55" s="19">
        <f t="shared" ca="1" si="2"/>
        <v>-0.80590814394711896</v>
      </c>
      <c r="K55" s="19">
        <f t="shared" ca="1" si="3"/>
        <v>1.4204655884730053</v>
      </c>
      <c r="L55" s="19">
        <f t="array" aca="1" ref="L55:M55" ca="1">MMULT(J55:K55,TRANSPOSE($B$10:$C$11))</f>
        <v>-0.80590814394711896</v>
      </c>
      <c r="M55" s="19">
        <f ca="1"/>
        <v>1.5683316433452781</v>
      </c>
      <c r="N55" s="20">
        <f t="shared" ca="1" si="4"/>
        <v>2.4855870428360207E-2</v>
      </c>
      <c r="O55" s="20">
        <f t="shared" ca="1" si="5"/>
        <v>9.281400269277474E-3</v>
      </c>
      <c r="P55" s="19">
        <f t="shared" ca="1" si="11"/>
        <v>815.84542369729422</v>
      </c>
      <c r="Q55" s="19">
        <f ca="1">HCTrans(P55,Strike,RiskFreeRate,Dividend,Variance_T0*AnnualVarConvtr,(Simulation!G55)/250,0.5,Variance_Avg*AnnualVarConvtr,Lambda,SQRT(Simulation!N55),Rho,1,"Call")</f>
        <v>715.93561821487287</v>
      </c>
      <c r="R55" s="19" t="e">
        <f t="shared" ca="1" si="6"/>
        <v>#VALUE!</v>
      </c>
      <c r="S55" s="19" t="e">
        <f t="shared" ca="1" si="7"/>
        <v>#VALUE!</v>
      </c>
      <c r="T55" s="19" t="e">
        <f t="shared" ca="1" si="12"/>
        <v>#VALUE!</v>
      </c>
      <c r="U55" s="19" t="e">
        <f t="shared" ca="1" si="13"/>
        <v>#VALUE!</v>
      </c>
      <c r="V55" s="21">
        <f t="shared" ca="1" si="14"/>
        <v>4.9931036607282994E-5</v>
      </c>
      <c r="W55">
        <f t="shared" ca="1" si="15"/>
        <v>7.0661896809584013E-3</v>
      </c>
      <c r="X55" s="22">
        <f t="shared" ref="X55" ca="1" si="117">BSdelta(1,P55,Strike,W55*AnnualVarConvtr,Dividend,RiskFreeRate,G55/250)</f>
        <v>1</v>
      </c>
      <c r="Y55" s="22">
        <f t="shared" ca="1" si="21"/>
        <v>0</v>
      </c>
      <c r="Z55" s="22">
        <f t="shared" ca="1" si="22"/>
        <v>609.98313267376545</v>
      </c>
      <c r="AA55">
        <f t="shared" si="9"/>
        <v>0.73884103340948371</v>
      </c>
      <c r="AB55">
        <f t="shared" ref="AB55" ca="1" si="118">BSdelta(1,P55,Strike,AA55/AnnualVarConvtr,Dividend,RiskFreeRate,G55/250)</f>
        <v>1</v>
      </c>
      <c r="AC55">
        <f t="shared" ca="1" si="18"/>
        <v>0</v>
      </c>
      <c r="AD55">
        <f t="shared" ca="1" si="19"/>
        <v>613.34248138260102</v>
      </c>
    </row>
    <row r="56" spans="7:30" x14ac:dyDescent="0.25">
      <c r="G56" s="19">
        <v>199</v>
      </c>
      <c r="H56" s="19">
        <f t="shared" ca="1" si="68"/>
        <v>0.52501159349071391</v>
      </c>
      <c r="I56" s="19">
        <f t="shared" ca="1" si="68"/>
        <v>0.616185368958312</v>
      </c>
      <c r="J56" s="19">
        <f t="shared" ca="1" si="2"/>
        <v>-0.84590821877175937</v>
      </c>
      <c r="K56" s="19">
        <f t="shared" ca="1" si="3"/>
        <v>-0.75703973013584314</v>
      </c>
      <c r="L56" s="19">
        <f t="array" aca="1" ref="L56:M56" ca="1">MMULT(J56:K56,TRANSPOSE($B$10:$C$11))</f>
        <v>-0.84590821877175937</v>
      </c>
      <c r="M56" s="19">
        <f ca="1"/>
        <v>7.7992095377964032E-2</v>
      </c>
      <c r="N56" s="20">
        <f t="shared" ca="1" si="4"/>
        <v>2.5063872455863972E-2</v>
      </c>
      <c r="O56" s="20">
        <f t="shared" ca="1" si="5"/>
        <v>8.4673740574468803E-4</v>
      </c>
      <c r="P56" s="19">
        <f t="shared" ca="1" si="11"/>
        <v>816.53652308340395</v>
      </c>
      <c r="Q56" s="19">
        <f ca="1">HCTrans(P56,Strike,RiskFreeRate,Dividend,Variance_T0*AnnualVarConvtr,(Simulation!G56)/250,0.5,Variance_Avg*AnnualVarConvtr,Lambda,SQRT(Simulation!N56),Rho,1,"Call")</f>
        <v>716.62430056246535</v>
      </c>
      <c r="R56" s="19" t="e">
        <f t="shared" ca="1" si="6"/>
        <v>#VALUE!</v>
      </c>
      <c r="S56" s="19" t="e">
        <f t="shared" ca="1" si="7"/>
        <v>#VALUE!</v>
      </c>
      <c r="T56" s="19" t="e">
        <f t="shared" ca="1" si="12"/>
        <v>#VALUE!</v>
      </c>
      <c r="U56" s="19" t="e">
        <f t="shared" ca="1" si="13"/>
        <v>#VALUE!</v>
      </c>
      <c r="V56" s="21">
        <f t="shared" ca="1" si="14"/>
        <v>7.114353762145909E-5</v>
      </c>
      <c r="W56">
        <f t="shared" ca="1" si="15"/>
        <v>8.434662863532786E-3</v>
      </c>
      <c r="X56" s="22">
        <f t="shared" ref="X56" ca="1" si="119">BSdelta(1,P56,Strike,W56*AnnualVarConvtr,Dividend,RiskFreeRate,G56/250)</f>
        <v>1</v>
      </c>
      <c r="Y56" s="22">
        <f t="shared" ca="1" si="21"/>
        <v>0</v>
      </c>
      <c r="Z56" s="22">
        <f t="shared" ca="1" si="22"/>
        <v>610.67181502135793</v>
      </c>
      <c r="AA56">
        <f t="shared" si="9"/>
        <v>0.73884103340948371</v>
      </c>
      <c r="AB56">
        <f t="shared" ref="AB56" ca="1" si="120">BSdelta(1,P56,Strike,AA56/AnnualVarConvtr,Dividend,RiskFreeRate,G56/250)</f>
        <v>1</v>
      </c>
      <c r="AC56">
        <f t="shared" ca="1" si="18"/>
        <v>0</v>
      </c>
      <c r="AD56">
        <f t="shared" ca="1" si="19"/>
        <v>614.0311637301935</v>
      </c>
    </row>
    <row r="57" spans="7:30" x14ac:dyDescent="0.25">
      <c r="G57" s="19">
        <v>198</v>
      </c>
      <c r="H57" s="19">
        <f t="shared" ca="1" si="68"/>
        <v>0.60366322968578667</v>
      </c>
      <c r="I57" s="19">
        <f t="shared" ca="1" si="68"/>
        <v>2.3514689371069486E-2</v>
      </c>
      <c r="J57" s="19">
        <f t="shared" ca="1" si="2"/>
        <v>0.99378135170331294</v>
      </c>
      <c r="K57" s="19">
        <f t="shared" ca="1" si="3"/>
        <v>0.14790615804771293</v>
      </c>
      <c r="L57" s="19">
        <f t="array" aca="1" ref="L57:M57" ca="1">MMULT(J57:K57,TRANSPOSE($B$10:$C$11))</f>
        <v>0.99378135170331294</v>
      </c>
      <c r="M57" s="19">
        <f ca="1"/>
        <v>-0.60886691191209075</v>
      </c>
      <c r="N57" s="20">
        <f t="shared" ca="1" si="4"/>
        <v>2.2660487672873444E-2</v>
      </c>
      <c r="O57" s="20">
        <f t="shared" ca="1" si="5"/>
        <v>1.0797237875583791E-2</v>
      </c>
      <c r="P57" s="19">
        <f t="shared" ca="1" si="11"/>
        <v>825.40062997769712</v>
      </c>
      <c r="Q57" s="19">
        <f ca="1">HCTrans(P57,Strike,RiskFreeRate,Dividend,Variance_T0*AnnualVarConvtr,(Simulation!G57)/250,0.5,Variance_Avg*AnnualVarConvtr,Lambda,SQRT(Simulation!N57),Rho,1,"Call")</f>
        <v>725.47973353640373</v>
      </c>
      <c r="R57" s="19" t="e">
        <f t="shared" ca="1" si="6"/>
        <v>#VALUE!</v>
      </c>
      <c r="S57" s="19" t="e">
        <f t="shared" ca="1" si="7"/>
        <v>#VALUE!</v>
      </c>
      <c r="T57" s="19" t="e">
        <f t="shared" ca="1" si="12"/>
        <v>#VALUE!</v>
      </c>
      <c r="U57" s="19" t="e">
        <f t="shared" ca="1" si="13"/>
        <v>#VALUE!</v>
      </c>
      <c r="V57" s="21">
        <f t="shared" ca="1" si="14"/>
        <v>9.9012459600268196E-5</v>
      </c>
      <c r="W57">
        <f t="shared" ca="1" si="15"/>
        <v>9.9505004698391027E-3</v>
      </c>
      <c r="X57" s="22">
        <f t="shared" ref="X57" ca="1" si="121">BSdelta(1,P57,Strike,W57*AnnualVarConvtr,Dividend,RiskFreeRate,G57/250)</f>
        <v>1</v>
      </c>
      <c r="Y57" s="22">
        <f t="shared" ca="1" si="21"/>
        <v>0</v>
      </c>
      <c r="Z57" s="22">
        <f t="shared" ca="1" si="22"/>
        <v>619.52724799529631</v>
      </c>
      <c r="AA57">
        <f t="shared" si="9"/>
        <v>0.73884103340948371</v>
      </c>
      <c r="AB57">
        <f t="shared" ref="AB57" ca="1" si="122">BSdelta(1,P57,Strike,AA57/AnnualVarConvtr,Dividend,RiskFreeRate,G57/250)</f>
        <v>1</v>
      </c>
      <c r="AC57">
        <f t="shared" ca="1" si="18"/>
        <v>0</v>
      </c>
      <c r="AD57">
        <f t="shared" ca="1" si="19"/>
        <v>622.88659670413188</v>
      </c>
    </row>
    <row r="58" spans="7:30" x14ac:dyDescent="0.25">
      <c r="G58" s="19">
        <v>197</v>
      </c>
      <c r="H58" s="19">
        <f t="shared" ca="1" si="68"/>
        <v>0.7681605872317403</v>
      </c>
      <c r="I58" s="19">
        <f t="shared" ca="1" si="68"/>
        <v>0.6225187033256655</v>
      </c>
      <c r="J58" s="19">
        <f t="shared" ca="1" si="2"/>
        <v>-0.52151634640490563</v>
      </c>
      <c r="K58" s="19">
        <f t="shared" ca="1" si="3"/>
        <v>-0.50550335300696092</v>
      </c>
      <c r="L58" s="19">
        <f t="array" aca="1" ref="L58:M58" ca="1">MMULT(J58:K58,TRANSPOSE($B$10:$C$11))</f>
        <v>-0.52151634640490563</v>
      </c>
      <c r="M58" s="19">
        <f ca="1"/>
        <v>2.1033848513894171E-2</v>
      </c>
      <c r="N58" s="20">
        <f t="shared" ca="1" si="4"/>
        <v>2.265541644937475E-2</v>
      </c>
      <c r="O58" s="20">
        <f t="shared" ca="1" si="5"/>
        <v>5.8320858879296065E-3</v>
      </c>
      <c r="P58" s="19">
        <f t="shared" ca="1" si="11"/>
        <v>830.22850194136845</v>
      </c>
      <c r="Q58" s="19">
        <f ca="1">HCTrans(P58,Strike,RiskFreeRate,Dividend,Variance_T0*AnnualVarConvtr,(Simulation!G58)/250,0.5,Variance_Avg*AnnualVarConvtr,Lambda,SQRT(Simulation!N58),Rho,1,"Call")</f>
        <v>730.30363337478252</v>
      </c>
      <c r="R58" s="19" t="e">
        <f t="shared" ca="1" si="6"/>
        <v>#VALUE!</v>
      </c>
      <c r="S58" s="19" t="e">
        <f t="shared" ca="1" si="7"/>
        <v>#VALUE!</v>
      </c>
      <c r="T58" s="19" t="e">
        <f t="shared" ca="1" si="12"/>
        <v>#VALUE!</v>
      </c>
      <c r="U58" s="19" t="e">
        <f t="shared" ca="1" si="13"/>
        <v>#VALUE!</v>
      </c>
      <c r="V58" s="21">
        <f t="shared" ca="1" si="14"/>
        <v>2.4652734260506296E-5</v>
      </c>
      <c r="W58">
        <f t="shared" ca="1" si="15"/>
        <v>4.9651519876541842E-3</v>
      </c>
      <c r="X58" s="22">
        <f t="shared" ref="X58" ca="1" si="123">BSdelta(1,P58,Strike,W58*AnnualVarConvtr,Dividend,RiskFreeRate,G58/250)</f>
        <v>1</v>
      </c>
      <c r="Y58" s="22">
        <f t="shared" ca="1" si="21"/>
        <v>0</v>
      </c>
      <c r="Z58" s="22">
        <f t="shared" ca="1" si="22"/>
        <v>624.3511478336751</v>
      </c>
      <c r="AA58">
        <f t="shared" si="9"/>
        <v>0.73884103340948371</v>
      </c>
      <c r="AB58">
        <f t="shared" ref="AB58" ca="1" si="124">BSdelta(1,P58,Strike,AA58/AnnualVarConvtr,Dividend,RiskFreeRate,G58/250)</f>
        <v>1</v>
      </c>
      <c r="AC58">
        <f t="shared" ca="1" si="18"/>
        <v>0</v>
      </c>
      <c r="AD58">
        <f t="shared" ca="1" si="19"/>
        <v>627.71049654251067</v>
      </c>
    </row>
    <row r="59" spans="7:30" x14ac:dyDescent="0.25">
      <c r="G59" s="19">
        <v>196</v>
      </c>
      <c r="H59" s="19">
        <f t="shared" ca="1" si="68"/>
        <v>0.91606288438131167</v>
      </c>
      <c r="I59" s="19">
        <f t="shared" ca="1" si="68"/>
        <v>0.12560391467974186</v>
      </c>
      <c r="J59" s="19">
        <f t="shared" ca="1" si="2"/>
        <v>0.29496599966569342</v>
      </c>
      <c r="K59" s="19">
        <f t="shared" ca="1" si="3"/>
        <v>0.29721303845454644</v>
      </c>
      <c r="L59" s="19">
        <f t="array" aca="1" ref="L59:M59" ca="1">MMULT(J59:K59,TRANSPOSE($B$10:$C$11))</f>
        <v>0.29496599966569342</v>
      </c>
      <c r="M59" s="19">
        <f ca="1"/>
        <v>-4.0111597575337721E-3</v>
      </c>
      <c r="N59" s="20">
        <f t="shared" ca="1" si="4"/>
        <v>2.2557865071917531E-2</v>
      </c>
      <c r="O59" s="20">
        <f t="shared" ca="1" si="5"/>
        <v>8.6400268919925236E-3</v>
      </c>
      <c r="P59" s="19">
        <f t="shared" ca="1" si="11"/>
        <v>837.43277627003613</v>
      </c>
      <c r="Q59" s="19">
        <f ca="1">HCTrans(P59,Strike,RiskFreeRate,Dividend,Variance_T0*AnnualVarConvtr,(Simulation!G59)/250,0.5,Variance_Avg*AnnualVarConvtr,Lambda,SQRT(Simulation!N59),Rho,1,"Call")</f>
        <v>737.50317428531685</v>
      </c>
      <c r="R59" s="19" t="e">
        <f t="shared" ca="1" si="6"/>
        <v>#VALUE!</v>
      </c>
      <c r="S59" s="19" t="e">
        <f t="shared" ca="1" si="7"/>
        <v>#VALUE!</v>
      </c>
      <c r="T59" s="19" t="e">
        <f t="shared" ca="1" si="12"/>
        <v>#VALUE!</v>
      </c>
      <c r="U59" s="19" t="e">
        <f t="shared" ca="1" si="13"/>
        <v>#VALUE!</v>
      </c>
      <c r="V59" s="21">
        <f t="shared" ca="1" si="14"/>
        <v>7.8845326822978628E-6</v>
      </c>
      <c r="W59">
        <f t="shared" ca="1" si="15"/>
        <v>2.8079410040629171E-3</v>
      </c>
      <c r="X59" s="22">
        <f t="shared" ref="X59" ca="1" si="125">BSdelta(1,P59,Strike,W59*AnnualVarConvtr,Dividend,RiskFreeRate,G59/250)</f>
        <v>1</v>
      </c>
      <c r="Y59" s="22">
        <f t="shared" ca="1" si="21"/>
        <v>0</v>
      </c>
      <c r="Z59" s="22">
        <f t="shared" ca="1" si="22"/>
        <v>631.55068874420942</v>
      </c>
      <c r="AA59">
        <f t="shared" si="9"/>
        <v>0.73884103340948371</v>
      </c>
      <c r="AB59">
        <f t="shared" ref="AB59" ca="1" si="126">BSdelta(1,P59,Strike,AA59/AnnualVarConvtr,Dividend,RiskFreeRate,G59/250)</f>
        <v>1</v>
      </c>
      <c r="AC59">
        <f t="shared" ca="1" si="18"/>
        <v>0</v>
      </c>
      <c r="AD59">
        <f t="shared" ca="1" si="19"/>
        <v>634.91003745304499</v>
      </c>
    </row>
    <row r="60" spans="7:30" x14ac:dyDescent="0.25">
      <c r="G60" s="19">
        <v>195</v>
      </c>
      <c r="H60" s="19">
        <f t="shared" ca="1" si="68"/>
        <v>0.36956005596849795</v>
      </c>
      <c r="I60" s="19">
        <f t="shared" ca="1" si="68"/>
        <v>0.80112767493657822</v>
      </c>
      <c r="J60" s="19">
        <f t="shared" ca="1" si="2"/>
        <v>0.44551599342038756</v>
      </c>
      <c r="K60" s="19">
        <f t="shared" ca="1" si="3"/>
        <v>-1.3388052648063629</v>
      </c>
      <c r="L60" s="19">
        <f t="array" aca="1" ref="L60:M60" ca="1">MMULT(J60:K60,TRANSPOSE($B$10:$C$11))</f>
        <v>0.44551599342038756</v>
      </c>
      <c r="M60" s="19">
        <f ca="1"/>
        <v>-1.253145479828625</v>
      </c>
      <c r="N60" s="20">
        <f t="shared" ca="1" si="4"/>
        <v>1.809662871315048E-2</v>
      </c>
      <c r="O60" s="20">
        <f t="shared" ca="1" si="5"/>
        <v>1.2871994084086649E-2</v>
      </c>
      <c r="P60" s="19">
        <f t="shared" ca="1" si="11"/>
        <v>848.28188102108936</v>
      </c>
      <c r="Q60" s="19">
        <f ca="1">HCTrans(P60,Strike,RiskFreeRate,Dividend,Variance_T0*AnnualVarConvtr,(Simulation!G60)/250,0.5,Variance_Avg*AnnualVarConvtr,Lambda,SQRT(Simulation!N60),Rho,1,"Call")</f>
        <v>748.34221407146265</v>
      </c>
      <c r="R60" s="19" t="e">
        <f t="shared" ca="1" si="6"/>
        <v>#VALUE!</v>
      </c>
      <c r="S60" s="19" t="e">
        <f t="shared" ca="1" si="7"/>
        <v>#VALUE!</v>
      </c>
      <c r="T60" s="19" t="e">
        <f t="shared" ca="1" si="12"/>
        <v>#VALUE!</v>
      </c>
      <c r="U60" s="19" t="e">
        <f t="shared" ca="1" si="13"/>
        <v>#VALUE!</v>
      </c>
      <c r="V60" s="21">
        <f t="shared" ca="1" si="14"/>
        <v>1.7909546314961034E-5</v>
      </c>
      <c r="W60">
        <f t="shared" ca="1" si="15"/>
        <v>4.231967192094125E-3</v>
      </c>
      <c r="X60" s="22">
        <f t="shared" ref="X60" ca="1" si="127">BSdelta(1,P60,Strike,W60*AnnualVarConvtr,Dividend,RiskFreeRate,G60/250)</f>
        <v>1</v>
      </c>
      <c r="Y60" s="22">
        <f t="shared" ca="1" si="21"/>
        <v>0</v>
      </c>
      <c r="Z60" s="22">
        <f t="shared" ca="1" si="22"/>
        <v>642.38972853035523</v>
      </c>
      <c r="AA60">
        <f t="shared" si="9"/>
        <v>0.73884103340948371</v>
      </c>
      <c r="AB60">
        <f t="shared" ref="AB60" ca="1" si="128">BSdelta(1,P60,Strike,AA60/AnnualVarConvtr,Dividend,RiskFreeRate,G60/250)</f>
        <v>1</v>
      </c>
      <c r="AC60">
        <f t="shared" ca="1" si="18"/>
        <v>0</v>
      </c>
      <c r="AD60">
        <f t="shared" ca="1" si="19"/>
        <v>645.7490772391908</v>
      </c>
    </row>
    <row r="61" spans="7:30" x14ac:dyDescent="0.25">
      <c r="G61" s="19">
        <v>194</v>
      </c>
      <c r="H61" s="19">
        <f t="shared" ca="1" si="68"/>
        <v>0.73827098551243897</v>
      </c>
      <c r="I61" s="19">
        <f t="shared" ca="1" si="68"/>
        <v>0.43768908599593204</v>
      </c>
      <c r="J61" s="19">
        <f t="shared" ca="1" si="2"/>
        <v>-0.72008410007033929</v>
      </c>
      <c r="K61" s="19">
        <f t="shared" ca="1" si="3"/>
        <v>0.29726680659220001</v>
      </c>
      <c r="L61" s="19">
        <f t="array" aca="1" ref="L61:M61" ca="1">MMULT(J61:K61,TRANSPOSE($B$10:$C$11))</f>
        <v>-0.72008410007033929</v>
      </c>
      <c r="M61" s="19">
        <f ca="1"/>
        <v>0.72330974466208597</v>
      </c>
      <c r="N61" s="20">
        <f t="shared" ca="1" si="4"/>
        <v>2.0502567408471967E-2</v>
      </c>
      <c r="O61" s="20">
        <f t="shared" ca="1" si="5"/>
        <v>6.7454994815106858E-3</v>
      </c>
      <c r="P61" s="19">
        <f t="shared" ca="1" si="11"/>
        <v>854.02330863779093</v>
      </c>
      <c r="Q61" s="19">
        <f ca="1">HCTrans(P61,Strike,RiskFreeRate,Dividend,Variance_T0*AnnualVarConvtr,(Simulation!G61)/250,0.5,Variance_Avg*AnnualVarConvtr,Lambda,SQRT(Simulation!N61),Rho,1,"Call")</f>
        <v>754.08259965600848</v>
      </c>
      <c r="R61" s="19" t="e">
        <f t="shared" ca="1" si="6"/>
        <v>#VALUE!</v>
      </c>
      <c r="S61" s="19" t="e">
        <f t="shared" ca="1" si="7"/>
        <v>#VALUE!</v>
      </c>
      <c r="T61" s="19" t="e">
        <f t="shared" ca="1" si="12"/>
        <v>#VALUE!</v>
      </c>
      <c r="U61" s="19" t="e">
        <f t="shared" ca="1" si="13"/>
        <v>#VALUE!</v>
      </c>
      <c r="V61" s="21">
        <f t="shared" ca="1" si="14"/>
        <v>3.7533936115392405E-5</v>
      </c>
      <c r="W61">
        <f t="shared" ca="1" si="15"/>
        <v>6.1264946025759628E-3</v>
      </c>
      <c r="X61" s="22">
        <f t="shared" ref="X61" ca="1" si="129">BSdelta(1,P61,Strike,W61*AnnualVarConvtr,Dividend,RiskFreeRate,G61/250)</f>
        <v>1</v>
      </c>
      <c r="Y61" s="22">
        <f t="shared" ca="1" si="21"/>
        <v>0</v>
      </c>
      <c r="Z61" s="22">
        <f t="shared" ca="1" si="22"/>
        <v>648.13011411490106</v>
      </c>
      <c r="AA61">
        <f t="shared" si="9"/>
        <v>0.73884103340948371</v>
      </c>
      <c r="AB61">
        <f t="shared" ref="AB61" ca="1" si="130">BSdelta(1,P61,Strike,AA61/AnnualVarConvtr,Dividend,RiskFreeRate,G61/250)</f>
        <v>1</v>
      </c>
      <c r="AC61">
        <f t="shared" ca="1" si="18"/>
        <v>0</v>
      </c>
      <c r="AD61">
        <f t="shared" ca="1" si="19"/>
        <v>651.48946282373663</v>
      </c>
    </row>
    <row r="62" spans="7:30" x14ac:dyDescent="0.25">
      <c r="G62" s="19">
        <v>193</v>
      </c>
      <c r="H62" s="19">
        <f t="shared" ca="1" si="68"/>
        <v>0.76856412673252883</v>
      </c>
      <c r="I62" s="19">
        <f t="shared" ca="1" si="68"/>
        <v>0.60473883660720618</v>
      </c>
      <c r="J62" s="19">
        <f t="shared" ca="1" si="2"/>
        <v>-0.57404758447639681</v>
      </c>
      <c r="K62" s="19">
        <f t="shared" ca="1" si="3"/>
        <v>-0.44377012256131454</v>
      </c>
      <c r="L62" s="19">
        <f t="array" aca="1" ref="L62:M62" ca="1">MMULT(J62:K62,TRANSPOSE($B$10:$C$11))</f>
        <v>-0.57404758447639681</v>
      </c>
      <c r="M62" s="19">
        <f ca="1"/>
        <v>0.10173678525753205</v>
      </c>
      <c r="N62" s="20">
        <f t="shared" ca="1" si="4"/>
        <v>2.0789983271875218E-2</v>
      </c>
      <c r="O62" s="20">
        <f t="shared" ca="1" si="5"/>
        <v>1.5469520154526512E-3</v>
      </c>
      <c r="P62" s="19">
        <f t="shared" ca="1" si="11"/>
        <v>855.34546410820008</v>
      </c>
      <c r="Q62" s="19">
        <f ca="1">HCTrans(P62,Strike,RiskFreeRate,Dividend,Variance_T0*AnnualVarConvtr,(Simulation!G62)/250,0.5,Variance_Avg*AnnualVarConvtr,Lambda,SQRT(Simulation!N62),Rho,1,"Call")</f>
        <v>755.40293422360162</v>
      </c>
      <c r="R62" s="19" t="e">
        <f t="shared" ca="1" si="6"/>
        <v>#VALUE!</v>
      </c>
      <c r="S62" s="19" t="e">
        <f t="shared" ca="1" si="7"/>
        <v>#VALUE!</v>
      </c>
      <c r="T62" s="19" t="e">
        <f t="shared" ca="1" si="12"/>
        <v>#VALUE!</v>
      </c>
      <c r="U62" s="19" t="e">
        <f t="shared" ca="1" si="13"/>
        <v>#VALUE!</v>
      </c>
      <c r="V62" s="21">
        <f t="shared" ca="1" si="14"/>
        <v>2.7024895756858412E-5</v>
      </c>
      <c r="W62">
        <f t="shared" ca="1" si="15"/>
        <v>5.1985474660580346E-3</v>
      </c>
      <c r="X62" s="22">
        <f t="shared" ref="X62" ca="1" si="131">BSdelta(1,P62,Strike,W62*AnnualVarConvtr,Dividend,RiskFreeRate,G62/250)</f>
        <v>1</v>
      </c>
      <c r="Y62" s="22">
        <f t="shared" ca="1" si="21"/>
        <v>0</v>
      </c>
      <c r="Z62" s="22">
        <f t="shared" ca="1" si="22"/>
        <v>649.4504486824942</v>
      </c>
      <c r="AA62">
        <f t="shared" si="9"/>
        <v>0.73884103340948371</v>
      </c>
      <c r="AB62">
        <f t="shared" ref="AB62" ca="1" si="132">BSdelta(1,P62,Strike,AA62/AnnualVarConvtr,Dividend,RiskFreeRate,G62/250)</f>
        <v>1</v>
      </c>
      <c r="AC62">
        <f t="shared" ca="1" si="18"/>
        <v>0</v>
      </c>
      <c r="AD62">
        <f t="shared" ca="1" si="19"/>
        <v>652.80979739132977</v>
      </c>
    </row>
    <row r="63" spans="7:30" x14ac:dyDescent="0.25">
      <c r="G63" s="19">
        <v>192</v>
      </c>
      <c r="H63" s="19">
        <f t="shared" ca="1" si="68"/>
        <v>0.91113146808214374</v>
      </c>
      <c r="I63" s="19">
        <f t="shared" ca="1" si="68"/>
        <v>0.61594455057285757</v>
      </c>
      <c r="J63" s="19">
        <f t="shared" ca="1" si="2"/>
        <v>-0.32192520899413979</v>
      </c>
      <c r="K63" s="19">
        <f t="shared" ca="1" si="3"/>
        <v>-0.28722869009089641</v>
      </c>
      <c r="L63" s="19">
        <f t="array" aca="1" ref="L63:M63" ca="1">MMULT(J63:K63,TRANSPOSE($B$10:$C$11))</f>
        <v>-0.32192520899413979</v>
      </c>
      <c r="M63" s="19">
        <f ca="1"/>
        <v>3.0292385775259445E-2</v>
      </c>
      <c r="N63" s="20">
        <f t="shared" ca="1" si="4"/>
        <v>2.082435976178958E-2</v>
      </c>
      <c r="O63" s="20">
        <f t="shared" ca="1" si="5"/>
        <v>-1.3887505470233379E-3</v>
      </c>
      <c r="P63" s="19">
        <f t="shared" ca="1" si="11"/>
        <v>854.15842706697549</v>
      </c>
      <c r="Q63" s="19">
        <f ca="1">HCTrans(P63,Strike,RiskFreeRate,Dividend,Variance_T0*AnnualVarConvtr,(Simulation!G63)/250,0.5,Variance_Avg*AnnualVarConvtr,Lambda,SQRT(Simulation!N63),Rho,1,"Call")</f>
        <v>754.21458940675689</v>
      </c>
      <c r="R63" s="19" t="e">
        <f t="shared" ca="1" si="6"/>
        <v>#VALUE!</v>
      </c>
      <c r="S63" s="19" t="e">
        <f t="shared" ca="1" si="7"/>
        <v>#VALUE!</v>
      </c>
      <c r="T63" s="19" t="e">
        <f t="shared" ca="1" si="12"/>
        <v>#VALUE!</v>
      </c>
      <c r="U63" s="19" t="e">
        <f t="shared" ca="1" si="13"/>
        <v>#VALUE!</v>
      </c>
      <c r="V63" s="21">
        <f t="shared" ca="1" si="14"/>
        <v>8.618349535328088E-6</v>
      </c>
      <c r="W63">
        <f t="shared" ca="1" si="15"/>
        <v>2.9357025624759891E-3</v>
      </c>
      <c r="X63" s="22">
        <f t="shared" ref="X63" ca="1" si="133">BSdelta(1,P63,Strike,W63*AnnualVarConvtr,Dividend,RiskFreeRate,G63/250)</f>
        <v>1</v>
      </c>
      <c r="Y63" s="22">
        <f t="shared" ca="1" si="21"/>
        <v>0</v>
      </c>
      <c r="Z63" s="22">
        <f t="shared" ca="1" si="22"/>
        <v>648.26210386564946</v>
      </c>
      <c r="AA63">
        <f t="shared" si="9"/>
        <v>0.73884103340948371</v>
      </c>
      <c r="AB63">
        <f t="shared" ref="AB63" ca="1" si="134">BSdelta(1,P63,Strike,AA63/AnnualVarConvtr,Dividend,RiskFreeRate,G63/250)</f>
        <v>1</v>
      </c>
      <c r="AC63">
        <f t="shared" ca="1" si="18"/>
        <v>0</v>
      </c>
      <c r="AD63">
        <f t="shared" ca="1" si="19"/>
        <v>651.62145257448503</v>
      </c>
    </row>
    <row r="64" spans="7:30" x14ac:dyDescent="0.25">
      <c r="G64" s="19">
        <v>191</v>
      </c>
      <c r="H64" s="19">
        <f t="shared" ca="1" si="68"/>
        <v>0.51551047781854076</v>
      </c>
      <c r="I64" s="19">
        <f t="shared" ca="1" si="68"/>
        <v>0.72603581961059316</v>
      </c>
      <c r="J64" s="19">
        <f t="shared" ca="1" si="2"/>
        <v>-0.17267923443137029</v>
      </c>
      <c r="K64" s="19">
        <f t="shared" ca="1" si="3"/>
        <v>-1.1381463800272797</v>
      </c>
      <c r="L64" s="19">
        <f t="array" aca="1" ref="L64:M64" ca="1">MMULT(J64:K64,TRANSPOSE($B$10:$C$11))</f>
        <v>-0.17267923443137029</v>
      </c>
      <c r="M64" s="19">
        <f ca="1"/>
        <v>-0.67023155128887602</v>
      </c>
      <c r="N64" s="20">
        <f t="shared" ca="1" si="4"/>
        <v>1.8447265257555096E-2</v>
      </c>
      <c r="O64" s="20">
        <f t="shared" ca="1" si="5"/>
        <v>-2.9647495530264667E-3</v>
      </c>
      <c r="P64" s="19">
        <f t="shared" ca="1" si="11"/>
        <v>851.62981146026561</v>
      </c>
      <c r="Q64" s="19">
        <f ca="1">HCTrans(P64,Strike,RiskFreeRate,Dividend,Variance_T0*AnnualVarConvtr,(Simulation!G64)/250,0.5,Variance_Avg*AnnualVarConvtr,Lambda,SQRT(Simulation!N64),Rho,1,"Call")</f>
        <v>751.68284203134067</v>
      </c>
      <c r="R64" s="19" t="e">
        <f t="shared" ca="1" si="6"/>
        <v>#VALUE!</v>
      </c>
      <c r="S64" s="19" t="e">
        <f t="shared" ca="1" si="7"/>
        <v>#VALUE!</v>
      </c>
      <c r="T64" s="19" t="e">
        <f t="shared" ca="1" si="12"/>
        <v>#VALUE!</v>
      </c>
      <c r="U64" s="19" t="e">
        <f t="shared" ca="1" si="13"/>
        <v>#VALUE!</v>
      </c>
      <c r="V64" s="21">
        <f t="shared" ca="1" si="14"/>
        <v>2.4837728669228499E-6</v>
      </c>
      <c r="W64">
        <f t="shared" ca="1" si="15"/>
        <v>1.5759990060031288E-3</v>
      </c>
      <c r="X64" s="22">
        <f t="shared" ref="X64" ca="1" si="135">BSdelta(1,P64,Strike,W64*AnnualVarConvtr,Dividend,RiskFreeRate,G64/250)</f>
        <v>1</v>
      </c>
      <c r="Y64" s="22">
        <f t="shared" ca="1" si="21"/>
        <v>0</v>
      </c>
      <c r="Z64" s="22">
        <f t="shared" ca="1" si="22"/>
        <v>645.73035649023325</v>
      </c>
      <c r="AA64">
        <f t="shared" si="9"/>
        <v>0.73884103340948371</v>
      </c>
      <c r="AB64">
        <f t="shared" ref="AB64" ca="1" si="136">BSdelta(1,P64,Strike,AA64/AnnualVarConvtr,Dividend,RiskFreeRate,G64/250)</f>
        <v>1</v>
      </c>
      <c r="AC64">
        <f t="shared" ca="1" si="18"/>
        <v>0</v>
      </c>
      <c r="AD64">
        <f t="shared" ca="1" si="19"/>
        <v>649.08970519906882</v>
      </c>
    </row>
    <row r="65" spans="7:30" x14ac:dyDescent="0.25">
      <c r="G65" s="19">
        <v>190</v>
      </c>
      <c r="H65" s="19">
        <f t="shared" ca="1" si="68"/>
        <v>0.14843994053886378</v>
      </c>
      <c r="I65" s="19">
        <f t="shared" ca="1" si="68"/>
        <v>5.8744022582129074E-2</v>
      </c>
      <c r="J65" s="19">
        <f t="shared" ca="1" si="2"/>
        <v>1.8216950741260673</v>
      </c>
      <c r="K65" s="19">
        <f t="shared" ca="1" si="3"/>
        <v>0.70468201596999969</v>
      </c>
      <c r="L65" s="19">
        <f t="array" aca="1" ref="L65:M65" ca="1">MMULT(J65:K65,TRANSPOSE($B$10:$C$11))</f>
        <v>1.8216950741260673</v>
      </c>
      <c r="M65" s="19">
        <f ca="1"/>
        <v>-0.81366744277332992</v>
      </c>
      <c r="N65" s="20">
        <f t="shared" ca="1" si="4"/>
        <v>1.5776528783364864E-2</v>
      </c>
      <c r="O65" s="20">
        <f t="shared" ca="1" si="5"/>
        <v>1.2683713036994577E-2</v>
      </c>
      <c r="P65" s="19">
        <f t="shared" ca="1" si="11"/>
        <v>862.50043379436909</v>
      </c>
      <c r="Q65" s="19">
        <f ca="1">HCTrans(P65,Strike,RiskFreeRate,Dividend,Variance_T0*AnnualVarConvtr,(Simulation!G65)/250,0.5,Variance_Avg*AnnualVarConvtr,Lambda,SQRT(Simulation!N65),Rho,1,"Call")</f>
        <v>762.54670940266408</v>
      </c>
      <c r="R65" s="19" t="e">
        <f t="shared" ca="1" si="6"/>
        <v>#VALUE!</v>
      </c>
      <c r="S65" s="19" t="e">
        <f t="shared" ca="1" si="7"/>
        <v>#VALUE!</v>
      </c>
      <c r="T65" s="19" t="e">
        <f t="shared" ca="1" si="12"/>
        <v>#VALUE!</v>
      </c>
      <c r="U65" s="19" t="e">
        <f t="shared" ca="1" si="13"/>
        <v>#VALUE!</v>
      </c>
      <c r="V65" s="21">
        <f t="shared" ca="1" si="14"/>
        <v>2.4487438143128815E-4</v>
      </c>
      <c r="W65">
        <f t="shared" ca="1" si="15"/>
        <v>1.5648462590021044E-2</v>
      </c>
      <c r="X65" s="22">
        <f t="shared" ref="X65" ca="1" si="137">BSdelta(1,P65,Strike,W65*AnnualVarConvtr,Dividend,RiskFreeRate,G65/250)</f>
        <v>1</v>
      </c>
      <c r="Y65" s="22">
        <f t="shared" ca="1" si="21"/>
        <v>0</v>
      </c>
      <c r="Z65" s="22">
        <f t="shared" ca="1" si="22"/>
        <v>656.59422386155666</v>
      </c>
      <c r="AA65">
        <f t="shared" si="9"/>
        <v>0.73884103340948371</v>
      </c>
      <c r="AB65">
        <f t="shared" ref="AB65" ca="1" si="138">BSdelta(1,P65,Strike,AA65/AnnualVarConvtr,Dividend,RiskFreeRate,G65/250)</f>
        <v>1</v>
      </c>
      <c r="AC65">
        <f t="shared" ca="1" si="18"/>
        <v>0</v>
      </c>
      <c r="AD65">
        <f t="shared" ca="1" si="19"/>
        <v>659.95357257039223</v>
      </c>
    </row>
    <row r="66" spans="7:30" x14ac:dyDescent="0.25">
      <c r="G66" s="19">
        <v>189</v>
      </c>
      <c r="H66" s="19">
        <f t="shared" ca="1" si="68"/>
        <v>3.6679039456033347E-2</v>
      </c>
      <c r="I66" s="19">
        <f t="shared" ca="1" si="68"/>
        <v>0.17805106092170009</v>
      </c>
      <c r="J66" s="19">
        <f t="shared" ca="1" si="2"/>
        <v>1.1231726419534889</v>
      </c>
      <c r="K66" s="19">
        <f t="shared" ca="1" si="3"/>
        <v>2.3129165256236184</v>
      </c>
      <c r="L66" s="19">
        <f t="array" aca="1" ref="L66:M66" ca="1">MMULT(J66:K66,TRANSPOSE($B$10:$C$11))</f>
        <v>1.1231726419534889</v>
      </c>
      <c r="M66" s="19">
        <f ca="1"/>
        <v>0.80870751365535842</v>
      </c>
      <c r="N66" s="20">
        <f t="shared" ca="1" si="4"/>
        <v>1.8319259269261777E-2</v>
      </c>
      <c r="O66" s="20">
        <f t="shared" ca="1" si="5"/>
        <v>2.1606124336117798E-2</v>
      </c>
      <c r="P66" s="19">
        <f t="shared" ca="1" si="11"/>
        <v>881.33850138847129</v>
      </c>
      <c r="Q66" s="19">
        <f ca="1">HCTrans(P66,Strike,RiskFreeRate,Dividend,Variance_T0*AnnualVarConvtr,(Simulation!G66)/250,0.5,Variance_Avg*AnnualVarConvtr,Lambda,SQRT(Simulation!N66),Rho,1,"Call")</f>
        <v>781.38128406928683</v>
      </c>
      <c r="R66" s="19" t="e">
        <f t="shared" ca="1" si="6"/>
        <v>#VALUE!</v>
      </c>
      <c r="S66" s="19" t="e">
        <f t="shared" ca="1" si="7"/>
        <v>#VALUE!</v>
      </c>
      <c r="T66" s="19" t="e">
        <f t="shared" ca="1" si="12"/>
        <v>#VALUE!</v>
      </c>
      <c r="U66" s="19" t="e">
        <f t="shared" ca="1" si="13"/>
        <v>#VALUE!</v>
      </c>
      <c r="V66" s="21">
        <f t="shared" ca="1" si="14"/>
        <v>7.9609423390721723E-5</v>
      </c>
      <c r="W66">
        <f t="shared" ca="1" si="15"/>
        <v>8.9224112991232209E-3</v>
      </c>
      <c r="X66" s="22">
        <f t="shared" ref="X66" ca="1" si="139">BSdelta(1,P66,Strike,W66*AnnualVarConvtr,Dividend,RiskFreeRate,G66/250)</f>
        <v>1</v>
      </c>
      <c r="Y66" s="22">
        <f t="shared" ca="1" si="21"/>
        <v>0</v>
      </c>
      <c r="Z66" s="22">
        <f t="shared" ca="1" si="22"/>
        <v>675.42879852817941</v>
      </c>
      <c r="AA66">
        <f t="shared" si="9"/>
        <v>0.73884103340948371</v>
      </c>
      <c r="AB66">
        <f t="shared" ref="AB66" ca="1" si="140">BSdelta(1,P66,Strike,AA66/AnnualVarConvtr,Dividend,RiskFreeRate,G66/250)</f>
        <v>1</v>
      </c>
      <c r="AC66">
        <f t="shared" ca="1" si="18"/>
        <v>0</v>
      </c>
      <c r="AD66">
        <f t="shared" ca="1" si="19"/>
        <v>678.78814723701498</v>
      </c>
    </row>
    <row r="67" spans="7:30" x14ac:dyDescent="0.25">
      <c r="G67" s="19">
        <v>188</v>
      </c>
      <c r="H67" s="19">
        <f t="shared" ca="1" si="68"/>
        <v>0.70683233781851862</v>
      </c>
      <c r="I67" s="19">
        <f t="shared" ca="1" si="68"/>
        <v>0.42130613052188159</v>
      </c>
      <c r="J67" s="19">
        <f t="shared" ca="1" si="2"/>
        <v>-0.73325045284340118</v>
      </c>
      <c r="K67" s="19">
        <f t="shared" ca="1" si="3"/>
        <v>0.39530665022049072</v>
      </c>
      <c r="L67" s="19">
        <f t="array" aca="1" ref="L67:M67" ca="1">MMULT(J67:K67,TRANSPOSE($B$10:$C$11))</f>
        <v>-0.73325045284340118</v>
      </c>
      <c r="M67" s="19">
        <f ca="1"/>
        <v>0.80113476577577747</v>
      </c>
      <c r="N67" s="20">
        <f t="shared" ca="1" si="4"/>
        <v>2.1014766647456943E-2</v>
      </c>
      <c r="O67" s="20">
        <f t="shared" ca="1" si="5"/>
        <v>1.532935325132341E-2</v>
      </c>
      <c r="P67" s="19">
        <f t="shared" ca="1" si="11"/>
        <v>894.95293423290832</v>
      </c>
      <c r="Q67" s="19">
        <f ca="1">HCTrans(P67,Strike,RiskFreeRate,Dividend,Variance_T0*AnnualVarConvtr,(Simulation!G67)/250,0.5,Variance_Avg*AnnualVarConvtr,Lambda,SQRT(Simulation!N67),Rho,1,"Call")</f>
        <v>794.99359488278787</v>
      </c>
      <c r="R67" s="19" t="e">
        <f t="shared" ca="1" si="6"/>
        <v>#VALUE!</v>
      </c>
      <c r="S67" s="19" t="e">
        <f t="shared" ca="1" si="7"/>
        <v>#VALUE!</v>
      </c>
      <c r="T67" s="19" t="e">
        <f t="shared" ca="1" si="12"/>
        <v>#VALUE!</v>
      </c>
      <c r="U67" s="19" t="e">
        <f t="shared" ca="1" si="13"/>
        <v>#VALUE!</v>
      </c>
      <c r="V67" s="21">
        <f t="shared" ca="1" si="14"/>
        <v>3.9397855250910906E-5</v>
      </c>
      <c r="W67">
        <f t="shared" ca="1" si="15"/>
        <v>6.2767710847943872E-3</v>
      </c>
      <c r="X67" s="22">
        <f t="shared" ref="X67" ca="1" si="141">BSdelta(1,P67,Strike,W67*AnnualVarConvtr,Dividend,RiskFreeRate,G67/250)</f>
        <v>1</v>
      </c>
      <c r="Y67" s="22">
        <f t="shared" ca="1" si="21"/>
        <v>0</v>
      </c>
      <c r="Z67" s="22">
        <f t="shared" ca="1" si="22"/>
        <v>689.04110934168045</v>
      </c>
      <c r="AA67">
        <f t="shared" si="9"/>
        <v>0.73884103340948371</v>
      </c>
      <c r="AB67">
        <f t="shared" ref="AB67" ca="1" si="142">BSdelta(1,P67,Strike,AA67/AnnualVarConvtr,Dividend,RiskFreeRate,G67/250)</f>
        <v>1</v>
      </c>
      <c r="AC67">
        <f t="shared" ca="1" si="18"/>
        <v>0</v>
      </c>
      <c r="AD67">
        <f t="shared" ca="1" si="19"/>
        <v>692.40045805051602</v>
      </c>
    </row>
    <row r="68" spans="7:30" x14ac:dyDescent="0.25">
      <c r="G68" s="19">
        <v>187</v>
      </c>
      <c r="H68" s="19">
        <f t="shared" ca="1" si="68"/>
        <v>0.44093314373712456</v>
      </c>
      <c r="I68" s="19">
        <f t="shared" ca="1" si="68"/>
        <v>5.8132993095472263E-2</v>
      </c>
      <c r="J68" s="19">
        <f t="shared" ca="1" si="2"/>
        <v>1.1953127569779107</v>
      </c>
      <c r="K68" s="19">
        <f t="shared" ca="1" si="3"/>
        <v>0.4571120716717344</v>
      </c>
      <c r="L68" s="19">
        <f t="array" aca="1" ref="L68:M68" ca="1">MMULT(J68:K68,TRANSPOSE($B$10:$C$11))</f>
        <v>1.1953127569779107</v>
      </c>
      <c r="M68" s="19">
        <f ca="1"/>
        <v>-0.53756610988216291</v>
      </c>
      <c r="N68" s="20">
        <f t="shared" ca="1" si="4"/>
        <v>1.9073330093387339E-2</v>
      </c>
      <c r="O68" s="20">
        <f t="shared" ca="1" si="5"/>
        <v>2.6288426662513811E-2</v>
      </c>
      <c r="P68" s="19">
        <f t="shared" ca="1" si="11"/>
        <v>918.79180920132262</v>
      </c>
      <c r="Q68" s="19">
        <f ca="1">HCTrans(P68,Strike,RiskFreeRate,Dividend,Variance_T0*AnnualVarConvtr,(Simulation!G68)/250,0.5,Variance_Avg*AnnualVarConvtr,Lambda,SQRT(Simulation!N68),Rho,1,"Call")</f>
        <v>818.82558074987878</v>
      </c>
      <c r="R68" s="19" t="e">
        <f t="shared" ca="1" si="6"/>
        <v>#VALUE!</v>
      </c>
      <c r="S68" s="19" t="e">
        <f t="shared" ca="1" si="7"/>
        <v>#VALUE!</v>
      </c>
      <c r="T68" s="19" t="e">
        <f t="shared" ca="1" si="12"/>
        <v>#VALUE!</v>
      </c>
      <c r="U68" s="19" t="e">
        <f t="shared" ca="1" si="13"/>
        <v>#VALUE!</v>
      </c>
      <c r="V68" s="21">
        <f t="shared" ca="1" si="14"/>
        <v>1.2010129003186041E-4</v>
      </c>
      <c r="W68">
        <f t="shared" ca="1" si="15"/>
        <v>1.0959073411190401E-2</v>
      </c>
      <c r="X68" s="22">
        <f t="shared" ref="X68" ca="1" si="143">BSdelta(1,P68,Strike,W68*AnnualVarConvtr,Dividend,RiskFreeRate,G68/250)</f>
        <v>1</v>
      </c>
      <c r="Y68" s="22">
        <f t="shared" ca="1" si="21"/>
        <v>0</v>
      </c>
      <c r="Z68" s="22">
        <f t="shared" ca="1" si="22"/>
        <v>712.87309520877136</v>
      </c>
      <c r="AA68">
        <f t="shared" si="9"/>
        <v>0.73884103340948371</v>
      </c>
      <c r="AB68">
        <f t="shared" ref="AB68" ca="1" si="144">BSdelta(1,P68,Strike,AA68/AnnualVarConvtr,Dividend,RiskFreeRate,G68/250)</f>
        <v>1</v>
      </c>
      <c r="AC68">
        <f t="shared" ca="1" si="18"/>
        <v>0</v>
      </c>
      <c r="AD68">
        <f t="shared" ca="1" si="19"/>
        <v>716.23244391760693</v>
      </c>
    </row>
    <row r="69" spans="7:30" x14ac:dyDescent="0.25">
      <c r="G69" s="19">
        <v>186</v>
      </c>
      <c r="H69" s="19">
        <f t="shared" ca="1" si="68"/>
        <v>0.58813543262163281</v>
      </c>
      <c r="I69" s="19">
        <f t="shared" ca="1" si="68"/>
        <v>0.88034704388173268</v>
      </c>
      <c r="J69" s="19">
        <f t="shared" ca="1" si="2"/>
        <v>0.75262014040265068</v>
      </c>
      <c r="K69" s="19">
        <f t="shared" ca="1" si="3"/>
        <v>-0.70367534012095778</v>
      </c>
      <c r="L69" s="19">
        <f t="array" aca="1" ref="L69:M69" ca="1">MMULT(J69:K69,TRANSPOSE($B$10:$C$11))</f>
        <v>0.75262014040265068</v>
      </c>
      <c r="M69" s="19">
        <f ca="1"/>
        <v>-1.0301271643590442</v>
      </c>
      <c r="N69" s="20">
        <f t="shared" ca="1" si="4"/>
        <v>1.5680645286247387E-2</v>
      </c>
      <c r="O69" s="20">
        <f t="shared" ca="1" si="5"/>
        <v>3.2862266125937435E-2</v>
      </c>
      <c r="P69" s="19">
        <f t="shared" ca="1" si="11"/>
        <v>949.48698432320703</v>
      </c>
      <c r="Q69" s="19">
        <f ca="1">HCTrans(P69,Strike,RiskFreeRate,Dividend,Variance_T0*AnnualVarConvtr,(Simulation!G69)/250,0.5,Variance_Avg*AnnualVarConvtr,Lambda,SQRT(Simulation!N69),Rho,1,"Call")</f>
        <v>849.51314511421208</v>
      </c>
      <c r="R69" s="19" t="e">
        <f t="shared" ca="1" si="6"/>
        <v>#VALUE!</v>
      </c>
      <c r="S69" s="19" t="e">
        <f t="shared" ca="1" si="7"/>
        <v>#VALUE!</v>
      </c>
      <c r="T69" s="19" t="e">
        <f t="shared" ca="1" si="12"/>
        <v>#VALUE!</v>
      </c>
      <c r="U69" s="19" t="e">
        <f t="shared" ca="1" si="13"/>
        <v>#VALUE!</v>
      </c>
      <c r="V69" s="21">
        <f t="shared" ca="1" si="14"/>
        <v>4.3215365290865799E-5</v>
      </c>
      <c r="W69">
        <f t="shared" ca="1" si="15"/>
        <v>6.5738394634236239E-3</v>
      </c>
      <c r="X69" s="22">
        <f t="shared" ref="X69" ca="1" si="145">BSdelta(1,P69,Strike,W69*AnnualVarConvtr,Dividend,RiskFreeRate,G69/250)</f>
        <v>1</v>
      </c>
      <c r="Y69" s="22">
        <f t="shared" ca="1" si="21"/>
        <v>0</v>
      </c>
      <c r="Z69" s="22">
        <f t="shared" ca="1" si="22"/>
        <v>743.56065957310466</v>
      </c>
      <c r="AA69">
        <f t="shared" si="9"/>
        <v>0.73884103340948371</v>
      </c>
      <c r="AB69">
        <f t="shared" ref="AB69" ca="1" si="146">BSdelta(1,P69,Strike,AA69/AnnualVarConvtr,Dividend,RiskFreeRate,G69/250)</f>
        <v>1</v>
      </c>
      <c r="AC69">
        <f t="shared" ca="1" si="18"/>
        <v>0</v>
      </c>
      <c r="AD69">
        <f t="shared" ca="1" si="19"/>
        <v>746.92000828194023</v>
      </c>
    </row>
    <row r="70" spans="7:30" x14ac:dyDescent="0.25">
      <c r="G70" s="19">
        <v>185</v>
      </c>
      <c r="H70" s="19">
        <f t="shared" ca="1" si="68"/>
        <v>0.32256422334740487</v>
      </c>
      <c r="I70" s="19">
        <f t="shared" ca="1" si="68"/>
        <v>0.35080449799083202</v>
      </c>
      <c r="J70" s="19">
        <f t="shared" ref="J70:J133" ca="1" si="147">SQRT(-2*LN(H70))*COS(2*PI()*I70)</f>
        <v>-0.89034330884240898</v>
      </c>
      <c r="K70" s="19">
        <f t="shared" ref="K70:K133" ca="1" si="148">SQRT(-2*LN(H70))*SIN(2*PI()*I70)</f>
        <v>1.2125159105015966</v>
      </c>
      <c r="L70" s="19">
        <f t="array" aca="1" ref="L70:M70" ca="1">MMULT(J70:K70,TRANSPOSE($B$10:$C$11))</f>
        <v>-0.89034330884240898</v>
      </c>
      <c r="M70" s="19">
        <f ca="1"/>
        <v>1.4837664279922151</v>
      </c>
      <c r="N70" s="20">
        <f t="shared" ref="N70:N133" ca="1" si="149">GetVariance(N69,Variance_Avg,Lambda,Eta,M70,"Daily")</f>
        <v>2.0521680749145246E-2</v>
      </c>
      <c r="O70" s="20">
        <f t="shared" ref="O70:O133" ca="1" si="150">GetStockReturns(O69,RiskFreeRate,N69,L70,"Daily")</f>
        <v>2.5810961775445829E-2</v>
      </c>
      <c r="P70" s="19">
        <f t="shared" ca="1" si="11"/>
        <v>974.31317221137692</v>
      </c>
      <c r="Q70" s="19">
        <f ca="1">HCTrans(P70,Strike,RiskFreeRate,Dividend,Variance_T0*AnnualVarConvtr,(Simulation!G70)/250,0.5,Variance_Avg*AnnualVarConvtr,Lambda,SQRT(Simulation!N70),Rho,1,"Call")</f>
        <v>874.33802249107873</v>
      </c>
      <c r="R70" s="19" t="e">
        <f t="shared" ref="R70:R133" ca="1" si="151">BSvol(1,P70,Strike,Q70,Dividend,RiskFreeRate,G70/250)</f>
        <v>#VALUE!</v>
      </c>
      <c r="S70" s="19" t="e">
        <f t="shared" ref="S70:S133" ca="1" si="152">BSdelta(1,P70,Strike,R70/AnnualVarConvtr,Dividend,RiskFreeRate,G70/250)</f>
        <v>#VALUE!</v>
      </c>
      <c r="T70" s="19" t="e">
        <f t="shared" ca="1" si="12"/>
        <v>#VALUE!</v>
      </c>
      <c r="U70" s="19" t="e">
        <f t="shared" ca="1" si="13"/>
        <v>#VALUE!</v>
      </c>
      <c r="V70" s="21">
        <f t="shared" ca="1" si="14"/>
        <v>4.972089304326185E-5</v>
      </c>
      <c r="W70">
        <f t="shared" ca="1" si="15"/>
        <v>7.0513043504916058E-3</v>
      </c>
      <c r="X70" s="22">
        <f t="shared" ref="X70" ca="1" si="153">BSdelta(1,P70,Strike,W70*AnnualVarConvtr,Dividend,RiskFreeRate,G70/250)</f>
        <v>1</v>
      </c>
      <c r="Y70" s="22">
        <f t="shared" ca="1" si="21"/>
        <v>0</v>
      </c>
      <c r="Z70" s="22">
        <f t="shared" ca="1" si="22"/>
        <v>768.38553694997131</v>
      </c>
      <c r="AA70">
        <f t="shared" ref="AA70:AA133" si="154">$R$5</f>
        <v>0.73884103340948371</v>
      </c>
      <c r="AB70">
        <f t="shared" ref="AB70" ca="1" si="155">BSdelta(1,P70,Strike,AA70/AnnualVarConvtr,Dividend,RiskFreeRate,G70/250)</f>
        <v>1</v>
      </c>
      <c r="AC70">
        <f t="shared" ca="1" si="18"/>
        <v>0</v>
      </c>
      <c r="AD70">
        <f t="shared" ca="1" si="19"/>
        <v>771.74488565880688</v>
      </c>
    </row>
    <row r="71" spans="7:30" x14ac:dyDescent="0.25">
      <c r="G71" s="19">
        <v>184</v>
      </c>
      <c r="H71" s="19">
        <f t="shared" ca="1" si="68"/>
        <v>0.2928471257790799</v>
      </c>
      <c r="I71" s="19">
        <f t="shared" ca="1" si="68"/>
        <v>4.9796366315865037E-2</v>
      </c>
      <c r="J71" s="19">
        <f t="shared" ca="1" si="147"/>
        <v>1.4911425033347665</v>
      </c>
      <c r="K71" s="19">
        <f t="shared" ca="1" si="148"/>
        <v>0.48239315608962074</v>
      </c>
      <c r="L71" s="19">
        <f t="array" aca="1" ref="L71:M71" ca="1">MMULT(J71:K71,TRANSPOSE($B$10:$C$11))</f>
        <v>1.4911425033347665</v>
      </c>
      <c r="M71" s="19">
        <f ca="1"/>
        <v>-0.73189236500193178</v>
      </c>
      <c r="N71" s="20">
        <f t="shared" ca="1" si="149"/>
        <v>1.795989290357787E-2</v>
      </c>
      <c r="O71" s="20">
        <f t="shared" ca="1" si="150"/>
        <v>3.9320969852824732E-2</v>
      </c>
      <c r="P71" s="19">
        <f t="shared" ref="P71:P134" ca="1" si="156">P70*EXP(O71)</f>
        <v>1013.3872928723614</v>
      </c>
      <c r="Q71" s="19">
        <f ca="1">HCTrans(P71,Strike,RiskFreeRate,Dividend,Variance_T0*AnnualVarConvtr,(Simulation!G71)/250,0.5,Variance_Avg*AnnualVarConvtr,Lambda,SQRT(Simulation!N71),Rho,1,"Call")</f>
        <v>913.4062032302428</v>
      </c>
      <c r="R71" s="19" t="e">
        <f t="shared" ca="1" si="151"/>
        <v>#VALUE!</v>
      </c>
      <c r="S71" s="19" t="e">
        <f t="shared" ca="1" si="152"/>
        <v>#VALUE!</v>
      </c>
      <c r="T71" s="19" t="e">
        <f t="shared" ref="T71:T134" ca="1" si="157">(S71-S70)*P71</f>
        <v>#VALUE!</v>
      </c>
      <c r="U71" s="19" t="e">
        <f t="shared" ref="U71:U134" ca="1" si="158">(Q71-Q70)+U70-T71</f>
        <v>#VALUE!</v>
      </c>
      <c r="V71" s="21">
        <f t="shared" ref="V71:V134" ca="1" si="159">(O71-O70)^2</f>
        <v>1.8252031825084319E-4</v>
      </c>
      <c r="W71">
        <f t="shared" ref="W71:W134" ca="1" si="160">SQRT(V71)</f>
        <v>1.3510008077378902E-2</v>
      </c>
      <c r="X71" s="22">
        <f t="shared" ref="X71" ca="1" si="161">BSdelta(1,P71,Strike,W71*AnnualVarConvtr,Dividend,RiskFreeRate,G71/250)</f>
        <v>1</v>
      </c>
      <c r="Y71" s="22">
        <f t="shared" ca="1" si="21"/>
        <v>0</v>
      </c>
      <c r="Z71" s="22">
        <f t="shared" ca="1" si="22"/>
        <v>807.45371768913537</v>
      </c>
      <c r="AA71">
        <f t="shared" si="154"/>
        <v>0.73884103340948371</v>
      </c>
      <c r="AB71">
        <f t="shared" ref="AB71" ca="1" si="162">BSdelta(1,P71,Strike,AA71/AnnualVarConvtr,Dividend,RiskFreeRate,G71/250)</f>
        <v>1</v>
      </c>
      <c r="AC71">
        <f t="shared" ref="AC71:AC134" ca="1" si="163">(AB71-AB70)*P71</f>
        <v>0</v>
      </c>
      <c r="AD71">
        <f t="shared" ref="AD71:AD134" ca="1" si="164">(Q71-Q70)+AD70-AC71</f>
        <v>810.81306639797094</v>
      </c>
    </row>
    <row r="72" spans="7:30" x14ac:dyDescent="0.25">
      <c r="G72" s="19">
        <v>183</v>
      </c>
      <c r="H72" s="19">
        <f t="shared" ca="1" si="68"/>
        <v>0.50124676703880533</v>
      </c>
      <c r="I72" s="19">
        <f t="shared" ca="1" si="68"/>
        <v>0.21196517692136796</v>
      </c>
      <c r="J72" s="19">
        <f t="shared" ca="1" si="147"/>
        <v>0.2782054543370483</v>
      </c>
      <c r="K72" s="19">
        <f t="shared" ca="1" si="148"/>
        <v>1.1418910742873956</v>
      </c>
      <c r="L72" s="19">
        <f t="array" aca="1" ref="L72:M72" ca="1">MMULT(J72:K72,TRANSPOSE($B$10:$C$11))</f>
        <v>0.2782054543370483</v>
      </c>
      <c r="M72" s="19">
        <f ca="1"/>
        <v>0.59723426510331823</v>
      </c>
      <c r="N72" s="20">
        <f t="shared" ca="1" si="149"/>
        <v>1.9918206934224296E-2</v>
      </c>
      <c r="O72" s="20">
        <f t="shared" ca="1" si="150"/>
        <v>4.1678989977200834E-2</v>
      </c>
      <c r="P72" s="19">
        <f t="shared" ca="1" si="156"/>
        <v>1056.5168056474013</v>
      </c>
      <c r="Q72" s="19">
        <f ca="1">HCTrans(P72,Strike,RiskFreeRate,Dividend,Variance_T0*AnnualVarConvtr,(Simulation!G72)/250,0.5,Variance_Avg*AnnualVarConvtr,Lambda,SQRT(Simulation!N72),Rho,1,"Call")</f>
        <v>956.53244250891942</v>
      </c>
      <c r="R72" s="19" t="e">
        <f t="shared" ca="1" si="151"/>
        <v>#VALUE!</v>
      </c>
      <c r="S72" s="19" t="e">
        <f t="shared" ca="1" si="152"/>
        <v>#VALUE!</v>
      </c>
      <c r="T72" s="19" t="e">
        <f t="shared" ca="1" si="157"/>
        <v>#VALUE!</v>
      </c>
      <c r="U72" s="19" t="e">
        <f t="shared" ca="1" si="158"/>
        <v>#VALUE!</v>
      </c>
      <c r="V72" s="21">
        <f t="shared" ca="1" si="159"/>
        <v>5.5602589069626874E-6</v>
      </c>
      <c r="W72">
        <f t="shared" ca="1" si="160"/>
        <v>2.358020124376102E-3</v>
      </c>
      <c r="X72" s="22">
        <f t="shared" ref="X72" ca="1" si="165">BSdelta(1,P72,Strike,W72*AnnualVarConvtr,Dividend,RiskFreeRate,G72/250)</f>
        <v>1</v>
      </c>
      <c r="Y72" s="22">
        <f t="shared" ref="Y72:Y135" ca="1" si="166">(X72-X71)*P72</f>
        <v>0</v>
      </c>
      <c r="Z72" s="22">
        <f t="shared" ref="Z72:Z135" ca="1" si="167">(Q72-Q71)+Z71-Y72</f>
        <v>850.579956967812</v>
      </c>
      <c r="AA72">
        <f t="shared" si="154"/>
        <v>0.73884103340948371</v>
      </c>
      <c r="AB72">
        <f t="shared" ref="AB72" ca="1" si="168">BSdelta(1,P72,Strike,AA72/AnnualVarConvtr,Dividend,RiskFreeRate,G72/250)</f>
        <v>1</v>
      </c>
      <c r="AC72">
        <f t="shared" ca="1" si="163"/>
        <v>0</v>
      </c>
      <c r="AD72">
        <f t="shared" ca="1" si="164"/>
        <v>853.93930567664756</v>
      </c>
    </row>
    <row r="73" spans="7:30" x14ac:dyDescent="0.25">
      <c r="G73" s="19">
        <v>182</v>
      </c>
      <c r="H73" s="19">
        <f t="shared" ca="1" si="68"/>
        <v>0.71058972566694811</v>
      </c>
      <c r="I73" s="19">
        <f t="shared" ca="1" si="68"/>
        <v>0.98959276662421802</v>
      </c>
      <c r="J73" s="19">
        <f t="shared" ca="1" si="147"/>
        <v>0.82486510612293273</v>
      </c>
      <c r="K73" s="19">
        <f t="shared" ca="1" si="148"/>
        <v>-5.4015414895468024E-2</v>
      </c>
      <c r="L73" s="19">
        <f t="array" aca="1" ref="L73:M73" ca="1">MMULT(J73:K73,TRANSPOSE($B$10:$C$11))</f>
        <v>0.82486510612293273</v>
      </c>
      <c r="M73" s="19">
        <f ca="1"/>
        <v>-0.6286963047013715</v>
      </c>
      <c r="N73" s="20">
        <f t="shared" ca="1" si="149"/>
        <v>1.7733715628789368E-2</v>
      </c>
      <c r="O73" s="20">
        <f t="shared" ca="1" si="150"/>
        <v>4.9041705960908261E-2</v>
      </c>
      <c r="P73" s="19">
        <f t="shared" ca="1" si="156"/>
        <v>1109.6217270651023</v>
      </c>
      <c r="Q73" s="19">
        <f ca="1">HCTrans(P73,Strike,RiskFreeRate,Dividend,Variance_T0*AnnualVarConvtr,(Simulation!G73)/250,0.5,Variance_Avg*AnnualVarConvtr,Lambda,SQRT(Simulation!N73),Rho,1,"Call")</f>
        <v>1009.6330165149026</v>
      </c>
      <c r="R73" s="19" t="e">
        <f t="shared" ca="1" si="151"/>
        <v>#VALUE!</v>
      </c>
      <c r="S73" s="19" t="e">
        <f t="shared" ca="1" si="152"/>
        <v>#VALUE!</v>
      </c>
      <c r="T73" s="19" t="e">
        <f t="shared" ca="1" si="157"/>
        <v>#VALUE!</v>
      </c>
      <c r="U73" s="19" t="e">
        <f t="shared" ca="1" si="158"/>
        <v>#VALUE!</v>
      </c>
      <c r="V73" s="21">
        <f t="shared" ca="1" si="159"/>
        <v>5.4209586656740821E-5</v>
      </c>
      <c r="W73">
        <f t="shared" ca="1" si="160"/>
        <v>7.3627159837074269E-3</v>
      </c>
      <c r="X73" s="22">
        <f t="shared" ref="X73" ca="1" si="169">BSdelta(1,P73,Strike,W73*AnnualVarConvtr,Dividend,RiskFreeRate,G73/250)</f>
        <v>1</v>
      </c>
      <c r="Y73" s="22">
        <f t="shared" ca="1" si="166"/>
        <v>0</v>
      </c>
      <c r="Z73" s="22">
        <f t="shared" ca="1" si="167"/>
        <v>903.68053097379516</v>
      </c>
      <c r="AA73">
        <f t="shared" si="154"/>
        <v>0.73884103340948371</v>
      </c>
      <c r="AB73">
        <f t="shared" ref="AB73" ca="1" si="170">BSdelta(1,P73,Strike,AA73/AnnualVarConvtr,Dividend,RiskFreeRate,G73/250)</f>
        <v>1</v>
      </c>
      <c r="AC73">
        <f t="shared" ca="1" si="163"/>
        <v>0</v>
      </c>
      <c r="AD73">
        <f t="shared" ca="1" si="164"/>
        <v>907.03987968263073</v>
      </c>
    </row>
    <row r="74" spans="7:30" x14ac:dyDescent="0.25">
      <c r="G74" s="19">
        <v>181</v>
      </c>
      <c r="H74" s="19">
        <f t="shared" ca="1" si="68"/>
        <v>0.38052711070622236</v>
      </c>
      <c r="I74" s="19">
        <f t="shared" ca="1" si="68"/>
        <v>0.13519612948817161</v>
      </c>
      <c r="J74" s="19">
        <f t="shared" ca="1" si="147"/>
        <v>0.91800815600809793</v>
      </c>
      <c r="K74" s="19">
        <f t="shared" ca="1" si="148"/>
        <v>1.0438662431139503</v>
      </c>
      <c r="L74" s="19">
        <f t="array" aca="1" ref="L74:M74" ca="1">MMULT(J74:K74,TRANSPOSE($B$10:$C$11))</f>
        <v>0.91800815600809793</v>
      </c>
      <c r="M74" s="19">
        <f ca="1"/>
        <v>7.0434772498928155E-2</v>
      </c>
      <c r="N74" s="20">
        <f t="shared" ca="1" si="149"/>
        <v>1.7907794576470161E-2</v>
      </c>
      <c r="O74" s="20">
        <f t="shared" ca="1" si="150"/>
        <v>5.6773431078379594E-2</v>
      </c>
      <c r="P74" s="19">
        <f t="shared" ca="1" si="156"/>
        <v>1174.4413666382591</v>
      </c>
      <c r="Q74" s="19">
        <f ca="1">HCTrans(P74,Strike,RiskFreeRate,Dividend,Variance_T0*AnnualVarConvtr,(Simulation!G74)/250,0.5,Variance_Avg*AnnualVarConvtr,Lambda,SQRT(Simulation!N74),Rho,1,"Call")</f>
        <v>1074.4496184687694</v>
      </c>
      <c r="R74" s="19" t="e">
        <f t="shared" ca="1" si="151"/>
        <v>#VALUE!</v>
      </c>
      <c r="S74" s="19" t="e">
        <f t="shared" ca="1" si="152"/>
        <v>#VALUE!</v>
      </c>
      <c r="T74" s="19" t="e">
        <f t="shared" ca="1" si="157"/>
        <v>#VALUE!</v>
      </c>
      <c r="U74" s="19" t="e">
        <f t="shared" ca="1" si="158"/>
        <v>#VALUE!</v>
      </c>
      <c r="V74" s="21">
        <f t="shared" ca="1" si="159"/>
        <v>5.9779573292137102E-5</v>
      </c>
      <c r="W74">
        <f t="shared" ca="1" si="160"/>
        <v>7.7317251174713331E-3</v>
      </c>
      <c r="X74" s="22">
        <f t="shared" ref="X74" ca="1" si="171">BSdelta(1,P74,Strike,W74*AnnualVarConvtr,Dividend,RiskFreeRate,G74/250)</f>
        <v>1</v>
      </c>
      <c r="Y74" s="22">
        <f t="shared" ca="1" si="166"/>
        <v>0</v>
      </c>
      <c r="Z74" s="22">
        <f t="shared" ca="1" si="167"/>
        <v>968.49713292766194</v>
      </c>
      <c r="AA74">
        <f t="shared" si="154"/>
        <v>0.73884103340948371</v>
      </c>
      <c r="AB74">
        <f t="shared" ref="AB74" ca="1" si="172">BSdelta(1,P74,Strike,AA74/AnnualVarConvtr,Dividend,RiskFreeRate,G74/250)</f>
        <v>1</v>
      </c>
      <c r="AC74">
        <f t="shared" ca="1" si="163"/>
        <v>0</v>
      </c>
      <c r="AD74">
        <f t="shared" ca="1" si="164"/>
        <v>971.85648163649751</v>
      </c>
    </row>
    <row r="75" spans="7:30" x14ac:dyDescent="0.25">
      <c r="G75" s="19">
        <v>180</v>
      </c>
      <c r="H75" s="19">
        <f t="shared" ca="1" si="68"/>
        <v>0.52584252958019229</v>
      </c>
      <c r="I75" s="19">
        <f t="shared" ca="1" si="68"/>
        <v>0.13358073789711655</v>
      </c>
      <c r="J75" s="19">
        <f t="shared" ca="1" si="147"/>
        <v>0.75735092212495203</v>
      </c>
      <c r="K75" s="19">
        <f t="shared" ca="1" si="148"/>
        <v>0.84375739980817477</v>
      </c>
      <c r="L75" s="19">
        <f t="array" aca="1" ref="L75:M75" ca="1">MMULT(J75:K75,TRANSPOSE($B$10:$C$11))</f>
        <v>0.75735092212495203</v>
      </c>
      <c r="M75" s="19">
        <f ca="1"/>
        <v>4.5952334623716951E-2</v>
      </c>
      <c r="N75" s="20">
        <f t="shared" ca="1" si="149"/>
        <v>1.8001314077320557E-2</v>
      </c>
      <c r="O75" s="20">
        <f t="shared" ca="1" si="150"/>
        <v>6.3183286091060775E-2</v>
      </c>
      <c r="P75" s="19">
        <f t="shared" ca="1" si="156"/>
        <v>1251.0408539487985</v>
      </c>
      <c r="Q75" s="19">
        <f ca="1">HCTrans(P75,Strike,RiskFreeRate,Dividend,Variance_T0*AnnualVarConvtr,(Simulation!G75)/250,0.5,Variance_Avg*AnnualVarConvtr,Lambda,SQRT(Simulation!N75),Rho,1,"Call")</f>
        <v>1151.0466563176758</v>
      </c>
      <c r="R75" s="19" t="e">
        <f t="shared" ca="1" si="151"/>
        <v>#VALUE!</v>
      </c>
      <c r="S75" s="19" t="e">
        <f t="shared" ca="1" si="152"/>
        <v>#VALUE!</v>
      </c>
      <c r="T75" s="19" t="e">
        <f t="shared" ca="1" si="157"/>
        <v>#VALUE!</v>
      </c>
      <c r="U75" s="19" t="e">
        <f t="shared" ca="1" si="158"/>
        <v>#VALUE!</v>
      </c>
      <c r="V75" s="21">
        <f t="shared" ca="1" si="159"/>
        <v>4.108624128359407E-5</v>
      </c>
      <c r="W75">
        <f t="shared" ca="1" si="160"/>
        <v>6.4098550126811815E-3</v>
      </c>
      <c r="X75" s="22">
        <f t="shared" ref="X75" ca="1" si="173">BSdelta(1,P75,Strike,W75*AnnualVarConvtr,Dividend,RiskFreeRate,G75/250)</f>
        <v>1</v>
      </c>
      <c r="Y75" s="22">
        <f t="shared" ca="1" si="166"/>
        <v>0</v>
      </c>
      <c r="Z75" s="22">
        <f t="shared" ca="1" si="167"/>
        <v>1045.0941707765683</v>
      </c>
      <c r="AA75">
        <f t="shared" si="154"/>
        <v>0.73884103340948371</v>
      </c>
      <c r="AB75">
        <f t="shared" ref="AB75" ca="1" si="174">BSdelta(1,P75,Strike,AA75/AnnualVarConvtr,Dividend,RiskFreeRate,G75/250)</f>
        <v>1</v>
      </c>
      <c r="AC75">
        <f t="shared" ca="1" si="163"/>
        <v>0</v>
      </c>
      <c r="AD75">
        <f t="shared" ca="1" si="164"/>
        <v>1048.4535194854038</v>
      </c>
    </row>
    <row r="76" spans="7:30" x14ac:dyDescent="0.25">
      <c r="G76" s="19">
        <v>179</v>
      </c>
      <c r="H76" s="19">
        <f t="shared" ca="1" si="68"/>
        <v>0.6538799996553738</v>
      </c>
      <c r="I76" s="19">
        <f t="shared" ca="1" si="68"/>
        <v>0.90311769673513609</v>
      </c>
      <c r="J76" s="19">
        <f t="shared" ca="1" si="147"/>
        <v>0.75619855589486606</v>
      </c>
      <c r="K76" s="19">
        <f t="shared" ca="1" si="148"/>
        <v>-0.52709259747683312</v>
      </c>
      <c r="L76" s="19">
        <f t="array" aca="1" ref="L76:M76" ca="1">MMULT(J76:K76,TRANSPOSE($B$10:$C$11))</f>
        <v>0.75619855589486606</v>
      </c>
      <c r="M76" s="19">
        <f ca="1"/>
        <v>-0.90950925723779363</v>
      </c>
      <c r="N76" s="20">
        <f t="shared" ca="1" si="149"/>
        <v>1.5075413803493398E-2</v>
      </c>
      <c r="O76" s="20">
        <f t="shared" ca="1" si="150"/>
        <v>6.960007782647798E-2</v>
      </c>
      <c r="P76" s="19">
        <f t="shared" ca="1" si="156"/>
        <v>1341.2150620308244</v>
      </c>
      <c r="Q76" s="19">
        <f ca="1">HCTrans(P76,Strike,RiskFreeRate,Dividend,Variance_T0*AnnualVarConvtr,(Simulation!G76)/250,0.5,Variance_Avg*AnnualVarConvtr,Lambda,SQRT(Simulation!N76),Rho,1,"Call")</f>
        <v>1241.2186400470089</v>
      </c>
      <c r="R76" s="19" t="e">
        <f t="shared" ca="1" si="151"/>
        <v>#VALUE!</v>
      </c>
      <c r="S76" s="19" t="e">
        <f t="shared" ca="1" si="152"/>
        <v>#VALUE!</v>
      </c>
      <c r="T76" s="19" t="e">
        <f t="shared" ca="1" si="157"/>
        <v>#VALUE!</v>
      </c>
      <c r="U76" s="19" t="e">
        <f t="shared" ca="1" si="158"/>
        <v>#VALUE!</v>
      </c>
      <c r="V76" s="21">
        <f t="shared" ca="1" si="159"/>
        <v>4.1175216175718539E-5</v>
      </c>
      <c r="W76">
        <f t="shared" ca="1" si="160"/>
        <v>6.4167917354172044E-3</v>
      </c>
      <c r="X76" s="22">
        <f t="shared" ref="X76" ca="1" si="175">BSdelta(1,P76,Strike,W76*AnnualVarConvtr,Dividend,RiskFreeRate,G76/250)</f>
        <v>1</v>
      </c>
      <c r="Y76" s="22">
        <f t="shared" ca="1" si="166"/>
        <v>0</v>
      </c>
      <c r="Z76" s="22">
        <f t="shared" ca="1" si="167"/>
        <v>1135.2661545059013</v>
      </c>
      <c r="AA76">
        <f t="shared" si="154"/>
        <v>0.73884103340948371</v>
      </c>
      <c r="AB76">
        <f t="shared" ref="AB76" ca="1" si="176">BSdelta(1,P76,Strike,AA76/AnnualVarConvtr,Dividend,RiskFreeRate,G76/250)</f>
        <v>1</v>
      </c>
      <c r="AC76">
        <f t="shared" ca="1" si="163"/>
        <v>0</v>
      </c>
      <c r="AD76">
        <f t="shared" ca="1" si="164"/>
        <v>1138.6255032147369</v>
      </c>
    </row>
    <row r="77" spans="7:30" x14ac:dyDescent="0.25">
      <c r="G77" s="19">
        <v>178</v>
      </c>
      <c r="H77" s="19">
        <f t="shared" ca="1" si="68"/>
        <v>8.2407662791064595E-2</v>
      </c>
      <c r="I77" s="19">
        <f t="shared" ca="1" si="68"/>
        <v>0.3303359241631042</v>
      </c>
      <c r="J77" s="19">
        <f t="shared" ca="1" si="147"/>
        <v>-1.0805185807801525</v>
      </c>
      <c r="K77" s="19">
        <f t="shared" ca="1" si="148"/>
        <v>1.9556669704465082</v>
      </c>
      <c r="L77" s="19">
        <f t="array" aca="1" ref="L77:M77" ca="1">MMULT(J77:K77,TRANSPOSE($B$10:$C$11))</f>
        <v>-1.0805185807801525</v>
      </c>
      <c r="M77" s="19">
        <f ca="1"/>
        <v>2.1384395966665792</v>
      </c>
      <c r="N77" s="20">
        <f t="shared" ca="1" si="149"/>
        <v>2.2158304661668907E-2</v>
      </c>
      <c r="O77" s="20">
        <f t="shared" ca="1" si="150"/>
        <v>6.1209403668713372E-2</v>
      </c>
      <c r="P77" s="19">
        <f t="shared" ca="1" si="156"/>
        <v>1425.8745852333036</v>
      </c>
      <c r="Q77" s="19">
        <f ca="1">HCTrans(P77,Strike,RiskFreeRate,Dividend,Variance_T0*AnnualVarConvtr,(Simulation!G77)/250,0.5,Variance_Avg*AnnualVarConvtr,Lambda,SQRT(Simulation!N77),Rho,1,"Call")</f>
        <v>1325.8777048719353</v>
      </c>
      <c r="R77" s="19" t="e">
        <f t="shared" ca="1" si="151"/>
        <v>#VALUE!</v>
      </c>
      <c r="S77" s="19" t="e">
        <f t="shared" ca="1" si="152"/>
        <v>#VALUE!</v>
      </c>
      <c r="T77" s="19" t="e">
        <f t="shared" ca="1" si="157"/>
        <v>#VALUE!</v>
      </c>
      <c r="U77" s="19" t="e">
        <f t="shared" ca="1" si="158"/>
        <v>#VALUE!</v>
      </c>
      <c r="V77" s="21">
        <f t="shared" ca="1" si="159"/>
        <v>7.0403412821778806E-5</v>
      </c>
      <c r="W77">
        <f t="shared" ca="1" si="160"/>
        <v>8.3906741577646077E-3</v>
      </c>
      <c r="X77" s="22">
        <f t="shared" ref="X77" ca="1" si="177">BSdelta(1,P77,Strike,W77*AnnualVarConvtr,Dividend,RiskFreeRate,G77/250)</f>
        <v>1</v>
      </c>
      <c r="Y77" s="22">
        <f t="shared" ca="1" si="166"/>
        <v>0</v>
      </c>
      <c r="Z77" s="22">
        <f t="shared" ca="1" si="167"/>
        <v>1219.9252193308278</v>
      </c>
      <c r="AA77">
        <f t="shared" si="154"/>
        <v>0.73884103340948371</v>
      </c>
      <c r="AB77">
        <f t="shared" ref="AB77" ca="1" si="178">BSdelta(1,P77,Strike,AA77/AnnualVarConvtr,Dividend,RiskFreeRate,G77/250)</f>
        <v>1</v>
      </c>
      <c r="AC77">
        <f t="shared" ca="1" si="163"/>
        <v>0</v>
      </c>
      <c r="AD77">
        <f t="shared" ca="1" si="164"/>
        <v>1223.2845680396633</v>
      </c>
    </row>
    <row r="78" spans="7:30" x14ac:dyDescent="0.25">
      <c r="G78" s="19">
        <v>177</v>
      </c>
      <c r="H78" s="19">
        <f t="shared" ca="1" si="68"/>
        <v>0.60410059602517474</v>
      </c>
      <c r="I78" s="19">
        <f t="shared" ca="1" si="68"/>
        <v>0.29685601405183826</v>
      </c>
      <c r="J78" s="19">
        <f t="shared" ca="1" si="147"/>
        <v>-0.29133309337334995</v>
      </c>
      <c r="K78" s="19">
        <f t="shared" ca="1" si="148"/>
        <v>0.96080909608245146</v>
      </c>
      <c r="L78" s="19">
        <f t="array" aca="1" ref="L78:M78" ca="1">MMULT(J78:K78,TRANSPOSE($B$10:$C$11))</f>
        <v>-0.29133309337334995</v>
      </c>
      <c r="M78" s="19">
        <f ca="1"/>
        <v>0.87898818406828361</v>
      </c>
      <c r="N78" s="20">
        <f t="shared" ca="1" si="149"/>
        <v>2.5402639503798549E-2</v>
      </c>
      <c r="O78" s="20">
        <f t="shared" ca="1" si="150"/>
        <v>5.8466641942209518E-2</v>
      </c>
      <c r="P78" s="19">
        <f t="shared" ca="1" si="156"/>
        <v>1511.7259501402623</v>
      </c>
      <c r="Q78" s="19">
        <f ca="1">HCTrans(P78,Strike,RiskFreeRate,Dividend,Variance_T0*AnnualVarConvtr,(Simulation!G78)/250,0.5,Variance_Avg*AnnualVarConvtr,Lambda,SQRT(Simulation!N78),Rho,1,"Call")</f>
        <v>1411.728395011688</v>
      </c>
      <c r="R78" s="19" t="e">
        <f t="shared" ca="1" si="151"/>
        <v>#VALUE!</v>
      </c>
      <c r="S78" s="19" t="e">
        <f t="shared" ca="1" si="152"/>
        <v>#VALUE!</v>
      </c>
      <c r="T78" s="19" t="e">
        <f t="shared" ca="1" si="157"/>
        <v>#VALUE!</v>
      </c>
      <c r="U78" s="19" t="e">
        <f t="shared" ca="1" si="158"/>
        <v>#VALUE!</v>
      </c>
      <c r="V78" s="21">
        <f t="shared" ca="1" si="159"/>
        <v>7.522741888374399E-6</v>
      </c>
      <c r="W78">
        <f t="shared" ca="1" si="160"/>
        <v>2.7427617265038534E-3</v>
      </c>
      <c r="X78" s="22">
        <f t="shared" ref="X78" ca="1" si="179">BSdelta(1,P78,Strike,W78*AnnualVarConvtr,Dividend,RiskFreeRate,G78/250)</f>
        <v>1</v>
      </c>
      <c r="Y78" s="22">
        <f t="shared" ca="1" si="166"/>
        <v>0</v>
      </c>
      <c r="Z78" s="22">
        <f t="shared" ca="1" si="167"/>
        <v>1305.7759094705805</v>
      </c>
      <c r="AA78">
        <f t="shared" si="154"/>
        <v>0.73884103340948371</v>
      </c>
      <c r="AB78">
        <f t="shared" ref="AB78" ca="1" si="180">BSdelta(1,P78,Strike,AA78/AnnualVarConvtr,Dividend,RiskFreeRate,G78/250)</f>
        <v>1</v>
      </c>
      <c r="AC78">
        <f t="shared" ca="1" si="163"/>
        <v>0</v>
      </c>
      <c r="AD78">
        <f t="shared" ca="1" si="164"/>
        <v>1309.135258179416</v>
      </c>
    </row>
    <row r="79" spans="7:30" x14ac:dyDescent="0.25">
      <c r="G79" s="19">
        <v>176</v>
      </c>
      <c r="H79" s="19">
        <f t="shared" ca="1" si="68"/>
        <v>0.98458972641630471</v>
      </c>
      <c r="I79" s="19">
        <f t="shared" ca="1" si="68"/>
        <v>0.94512677782740651</v>
      </c>
      <c r="J79" s="19">
        <f t="shared" ca="1" si="147"/>
        <v>0.16586820674962741</v>
      </c>
      <c r="K79" s="19">
        <f t="shared" ca="1" si="148"/>
        <v>-5.9567020720893468E-2</v>
      </c>
      <c r="L79" s="19">
        <f t="array" aca="1" ref="L79:M79" ca="1">MMULT(J79:K79,TRANSPOSE($B$10:$C$11))</f>
        <v>0.16586820674962741</v>
      </c>
      <c r="M79" s="19">
        <f ca="1"/>
        <v>-0.16039775486040625</v>
      </c>
      <c r="N79" s="20">
        <f t="shared" ca="1" si="149"/>
        <v>2.4682343527740454E-2</v>
      </c>
      <c r="O79" s="20">
        <f t="shared" ca="1" si="150"/>
        <v>6.013862767633843E-2</v>
      </c>
      <c r="P79" s="19">
        <f t="shared" ca="1" si="156"/>
        <v>1605.4284036035042</v>
      </c>
      <c r="Q79" s="19">
        <f ca="1">HCTrans(P79,Strike,RiskFreeRate,Dividend,Variance_T0*AnnualVarConvtr,(Simulation!G79)/250,0.5,Variance_Avg*AnnualVarConvtr,Lambda,SQRT(Simulation!N79),Rho,1,"Call")</f>
        <v>1505.4301181451569</v>
      </c>
      <c r="R79" s="19" t="e">
        <f t="shared" ca="1" si="151"/>
        <v>#VALUE!</v>
      </c>
      <c r="S79" s="19" t="e">
        <f t="shared" ca="1" si="152"/>
        <v>#VALUE!</v>
      </c>
      <c r="T79" s="19" t="e">
        <f t="shared" ca="1" si="157"/>
        <v>#VALUE!</v>
      </c>
      <c r="U79" s="19" t="e">
        <f t="shared" ca="1" si="158"/>
        <v>#VALUE!</v>
      </c>
      <c r="V79" s="21">
        <f t="shared" ca="1" si="159"/>
        <v>2.7955362951305945E-6</v>
      </c>
      <c r="W79">
        <f t="shared" ca="1" si="160"/>
        <v>1.6719857341289113E-3</v>
      </c>
      <c r="X79" s="22">
        <f t="shared" ref="X79" ca="1" si="181">BSdelta(1,P79,Strike,W79*AnnualVarConvtr,Dividend,RiskFreeRate,G79/250)</f>
        <v>1</v>
      </c>
      <c r="Y79" s="22">
        <f t="shared" ca="1" si="166"/>
        <v>0</v>
      </c>
      <c r="Z79" s="22">
        <f t="shared" ca="1" si="167"/>
        <v>1399.4776326040494</v>
      </c>
      <c r="AA79">
        <f t="shared" si="154"/>
        <v>0.73884103340948371</v>
      </c>
      <c r="AB79">
        <f t="shared" ref="AB79" ca="1" si="182">BSdelta(1,P79,Strike,AA79/AnnualVarConvtr,Dividend,RiskFreeRate,G79/250)</f>
        <v>1</v>
      </c>
      <c r="AC79">
        <f t="shared" ca="1" si="163"/>
        <v>0</v>
      </c>
      <c r="AD79">
        <f t="shared" ca="1" si="164"/>
        <v>1402.836981312885</v>
      </c>
    </row>
    <row r="80" spans="7:30" x14ac:dyDescent="0.25">
      <c r="G80" s="19">
        <v>175</v>
      </c>
      <c r="H80" s="19">
        <f t="shared" ca="1" si="68"/>
        <v>0.83058378648513642</v>
      </c>
      <c r="I80" s="19">
        <f t="shared" ca="1" si="68"/>
        <v>0.62263470548886857</v>
      </c>
      <c r="J80" s="19">
        <f t="shared" ca="1" si="147"/>
        <v>-0.43719911075465856</v>
      </c>
      <c r="K80" s="19">
        <f t="shared" ca="1" si="148"/>
        <v>-0.42439353670363933</v>
      </c>
      <c r="L80" s="19">
        <f t="array" aca="1" ref="L80:M80" ca="1">MMULT(J80:K80,TRANSPOSE($B$10:$C$11))</f>
        <v>-0.43719911075465856</v>
      </c>
      <c r="M80" s="19">
        <f ca="1"/>
        <v>1.7201710004403625E-2</v>
      </c>
      <c r="N80" s="20">
        <f t="shared" ca="1" si="149"/>
        <v>2.4655159133588917E-2</v>
      </c>
      <c r="O80" s="20">
        <f t="shared" ca="1" si="150"/>
        <v>5.5794501190977515E-2</v>
      </c>
      <c r="P80" s="19">
        <f t="shared" ca="1" si="156"/>
        <v>1697.5484810189359</v>
      </c>
      <c r="Q80" s="19">
        <f ca="1">HCTrans(P80,Strike,RiskFreeRate,Dividend,Variance_T0*AnnualVarConvtr,(Simulation!G80)/250,0.5,Variance_Avg*AnnualVarConvtr,Lambda,SQRT(Simulation!N80),Rho,1,"Call")</f>
        <v>1597.5497389090003</v>
      </c>
      <c r="R80" s="19" t="e">
        <f t="shared" ca="1" si="151"/>
        <v>#VALUE!</v>
      </c>
      <c r="S80" s="19" t="e">
        <f t="shared" ca="1" si="152"/>
        <v>#VALUE!</v>
      </c>
      <c r="T80" s="19" t="e">
        <f t="shared" ca="1" si="157"/>
        <v>#VALUE!</v>
      </c>
      <c r="U80" s="19" t="e">
        <f t="shared" ca="1" si="158"/>
        <v>#VALUE!</v>
      </c>
      <c r="V80" s="21">
        <f t="shared" ca="1" si="159"/>
        <v>1.8871434920814176E-5</v>
      </c>
      <c r="W80">
        <f t="shared" ca="1" si="160"/>
        <v>4.3441264853609149E-3</v>
      </c>
      <c r="X80" s="22">
        <f t="shared" ref="X80" ca="1" si="183">BSdelta(1,P80,Strike,W80*AnnualVarConvtr,Dividend,RiskFreeRate,G80/250)</f>
        <v>1</v>
      </c>
      <c r="Y80" s="22">
        <f t="shared" ca="1" si="166"/>
        <v>0</v>
      </c>
      <c r="Z80" s="22">
        <f t="shared" ca="1" si="167"/>
        <v>1491.5972533678928</v>
      </c>
      <c r="AA80">
        <f t="shared" si="154"/>
        <v>0.73884103340948371</v>
      </c>
      <c r="AB80">
        <f t="shared" ref="AB80" ca="1" si="184">BSdelta(1,P80,Strike,AA80/AnnualVarConvtr,Dividend,RiskFreeRate,G80/250)</f>
        <v>1</v>
      </c>
      <c r="AC80">
        <f t="shared" ca="1" si="163"/>
        <v>0</v>
      </c>
      <c r="AD80">
        <f t="shared" ca="1" si="164"/>
        <v>1494.9566020767284</v>
      </c>
    </row>
    <row r="81" spans="7:30" x14ac:dyDescent="0.25">
      <c r="G81" s="19">
        <v>174</v>
      </c>
      <c r="H81" s="19">
        <f t="shared" ca="1" si="68"/>
        <v>0.54582717172348771</v>
      </c>
      <c r="I81" s="19">
        <f t="shared" ca="1" si="68"/>
        <v>0.30198355340885719</v>
      </c>
      <c r="J81" s="19">
        <f t="shared" ca="1" si="147"/>
        <v>-0.35306238451491684</v>
      </c>
      <c r="K81" s="19">
        <f t="shared" ca="1" si="148"/>
        <v>1.0422344889422859</v>
      </c>
      <c r="L81" s="19">
        <f t="array" aca="1" ref="L81:M81" ca="1">MMULT(J81:K81,TRANSPOSE($B$10:$C$11))</f>
        <v>-0.35306238451491684</v>
      </c>
      <c r="M81" s="19">
        <f ca="1"/>
        <v>0.98001852413727986</v>
      </c>
      <c r="N81" s="20">
        <f t="shared" ca="1" si="149"/>
        <v>2.8479408962467073E-2</v>
      </c>
      <c r="O81" s="20">
        <f t="shared" ca="1" si="150"/>
        <v>5.2288311966687533E-2</v>
      </c>
      <c r="P81" s="19">
        <f t="shared" ca="1" si="156"/>
        <v>1788.6720128580876</v>
      </c>
      <c r="Q81" s="19">
        <f ca="1">HCTrans(P81,Strike,RiskFreeRate,Dividend,Variance_T0*AnnualVarConvtr,(Simulation!G81)/250,0.5,Variance_Avg*AnnualVarConvtr,Lambda,SQRT(Simulation!N81),Rho,1,"Call")</f>
        <v>1688.6730607871043</v>
      </c>
      <c r="R81" s="19" t="e">
        <f t="shared" ca="1" si="151"/>
        <v>#VALUE!</v>
      </c>
      <c r="S81" s="19" t="e">
        <f t="shared" ca="1" si="152"/>
        <v>#VALUE!</v>
      </c>
      <c r="T81" s="19" t="e">
        <f t="shared" ca="1" si="157"/>
        <v>#VALUE!</v>
      </c>
      <c r="U81" s="19" t="e">
        <f t="shared" ca="1" si="158"/>
        <v>#VALUE!</v>
      </c>
      <c r="V81" s="21">
        <f t="shared" ca="1" si="159"/>
        <v>1.2293362876527188E-5</v>
      </c>
      <c r="W81">
        <f t="shared" ca="1" si="160"/>
        <v>3.5061892242899823E-3</v>
      </c>
      <c r="X81" s="22">
        <f t="shared" ref="X81" ca="1" si="185">BSdelta(1,P81,Strike,W81*AnnualVarConvtr,Dividend,RiskFreeRate,G81/250)</f>
        <v>1</v>
      </c>
      <c r="Y81" s="22">
        <f t="shared" ca="1" si="166"/>
        <v>0</v>
      </c>
      <c r="Z81" s="22">
        <f t="shared" ca="1" si="167"/>
        <v>1582.7205752459968</v>
      </c>
      <c r="AA81">
        <f t="shared" si="154"/>
        <v>0.73884103340948371</v>
      </c>
      <c r="AB81">
        <f t="shared" ref="AB81" ca="1" si="186">BSdelta(1,P81,Strike,AA81/AnnualVarConvtr,Dividend,RiskFreeRate,G81/250)</f>
        <v>1</v>
      </c>
      <c r="AC81">
        <f t="shared" ca="1" si="163"/>
        <v>0</v>
      </c>
      <c r="AD81">
        <f t="shared" ca="1" si="164"/>
        <v>1586.0799239548323</v>
      </c>
    </row>
    <row r="82" spans="7:30" x14ac:dyDescent="0.25">
      <c r="G82" s="19">
        <v>173</v>
      </c>
      <c r="H82" s="19">
        <f t="shared" ca="1" si="68"/>
        <v>0.19520159377447499</v>
      </c>
      <c r="I82" s="19">
        <f t="shared" ca="1" si="68"/>
        <v>0.32014922221115916</v>
      </c>
      <c r="J82" s="19">
        <f t="shared" ca="1" si="147"/>
        <v>-0.77117500044001019</v>
      </c>
      <c r="K82" s="19">
        <f t="shared" ca="1" si="148"/>
        <v>1.6348498399280584</v>
      </c>
      <c r="L82" s="19">
        <f t="array" aca="1" ref="L82:M82" ca="1">MMULT(J82:K82,TRANSPOSE($B$10:$C$11))</f>
        <v>-0.77117500044001019</v>
      </c>
      <c r="M82" s="19">
        <f ca="1"/>
        <v>1.6929970324234227</v>
      </c>
      <c r="N82" s="20">
        <f t="shared" ca="1" si="149"/>
        <v>3.5802247750596997E-2</v>
      </c>
      <c r="O82" s="20">
        <f t="shared" ca="1" si="150"/>
        <v>4.4057391142605734E-2</v>
      </c>
      <c r="P82" s="19">
        <f t="shared" ca="1" si="156"/>
        <v>1869.2379667438747</v>
      </c>
      <c r="Q82" s="19">
        <f ca="1">HCTrans(P82,Strike,RiskFreeRate,Dividend,Variance_T0*AnnualVarConvtr,(Simulation!G82)/250,0.5,Variance_Avg*AnnualVarConvtr,Lambda,SQRT(Simulation!N82),Rho,1,"Call")</f>
        <v>1769.2389487914172</v>
      </c>
      <c r="R82" s="19" t="e">
        <f t="shared" ca="1" si="151"/>
        <v>#VALUE!</v>
      </c>
      <c r="S82" s="19" t="e">
        <f t="shared" ca="1" si="152"/>
        <v>#VALUE!</v>
      </c>
      <c r="T82" s="19" t="e">
        <f t="shared" ca="1" si="157"/>
        <v>#VALUE!</v>
      </c>
      <c r="U82" s="19" t="e">
        <f t="shared" ca="1" si="158"/>
        <v>#VALUE!</v>
      </c>
      <c r="V82" s="21">
        <f t="shared" ca="1" si="159"/>
        <v>6.7748057612303399E-5</v>
      </c>
      <c r="W82">
        <f t="shared" ca="1" si="160"/>
        <v>8.2309208240817985E-3</v>
      </c>
      <c r="X82" s="22">
        <f t="shared" ref="X82" ca="1" si="187">BSdelta(1,P82,Strike,W82*AnnualVarConvtr,Dividend,RiskFreeRate,G82/250)</f>
        <v>1</v>
      </c>
      <c r="Y82" s="22">
        <f t="shared" ca="1" si="166"/>
        <v>0</v>
      </c>
      <c r="Z82" s="22">
        <f t="shared" ca="1" si="167"/>
        <v>1663.2864632503097</v>
      </c>
      <c r="AA82">
        <f t="shared" si="154"/>
        <v>0.73884103340948371</v>
      </c>
      <c r="AB82">
        <f t="shared" ref="AB82" ca="1" si="188">BSdelta(1,P82,Strike,AA82/AnnualVarConvtr,Dividend,RiskFreeRate,G82/250)</f>
        <v>1</v>
      </c>
      <c r="AC82">
        <f t="shared" ca="1" si="163"/>
        <v>0</v>
      </c>
      <c r="AD82">
        <f t="shared" ca="1" si="164"/>
        <v>1666.6458119591452</v>
      </c>
    </row>
    <row r="83" spans="7:30" x14ac:dyDescent="0.25">
      <c r="G83" s="19">
        <v>172</v>
      </c>
      <c r="H83" s="19">
        <f t="shared" ca="1" si="68"/>
        <v>0.27628481455444587</v>
      </c>
      <c r="I83" s="19">
        <f t="shared" ca="1" si="68"/>
        <v>0.35531480058690401</v>
      </c>
      <c r="J83" s="19">
        <f t="shared" ca="1" si="147"/>
        <v>-0.98557530128200632</v>
      </c>
      <c r="K83" s="19">
        <f t="shared" ca="1" si="148"/>
        <v>1.2654198285989604</v>
      </c>
      <c r="L83" s="19">
        <f t="array" aca="1" ref="L83:M83" ca="1">MMULT(J83:K83,TRANSPOSE($B$10:$C$11))</f>
        <v>-0.98557530128200632</v>
      </c>
      <c r="M83" s="19">
        <f ca="1"/>
        <v>1.5889052409210569</v>
      </c>
      <c r="N83" s="20">
        <f t="shared" ca="1" si="149"/>
        <v>4.3401174541466858E-2</v>
      </c>
      <c r="O83" s="20">
        <f t="shared" ca="1" si="150"/>
        <v>3.2263015547596509E-2</v>
      </c>
      <c r="P83" s="19">
        <f t="shared" ca="1" si="156"/>
        <v>1930.5286145162881</v>
      </c>
      <c r="Q83" s="19">
        <f ca="1">HCTrans(P83,Strike,RiskFreeRate,Dividend,Variance_T0*AnnualVarConvtr,(Simulation!G83)/250,0.5,Variance_Avg*AnnualVarConvtr,Lambda,SQRT(Simulation!N83),Rho,1,"Call")</f>
        <v>1830.5295745609051</v>
      </c>
      <c r="R83" s="19" t="e">
        <f t="shared" ca="1" si="151"/>
        <v>#VALUE!</v>
      </c>
      <c r="S83" s="19" t="e">
        <f t="shared" ca="1" si="152"/>
        <v>#VALUE!</v>
      </c>
      <c r="T83" s="19" t="e">
        <f t="shared" ca="1" si="157"/>
        <v>#VALUE!</v>
      </c>
      <c r="U83" s="19" t="e">
        <f t="shared" ca="1" si="158"/>
        <v>#VALUE!</v>
      </c>
      <c r="V83" s="21">
        <f t="shared" ca="1" si="159"/>
        <v>1.3910729567614922E-4</v>
      </c>
      <c r="W83">
        <f t="shared" ca="1" si="160"/>
        <v>1.1794375595009225E-2</v>
      </c>
      <c r="X83" s="22">
        <f t="shared" ref="X83" ca="1" si="189">BSdelta(1,P83,Strike,W83*AnnualVarConvtr,Dividend,RiskFreeRate,G83/250)</f>
        <v>1</v>
      </c>
      <c r="Y83" s="22">
        <f t="shared" ca="1" si="166"/>
        <v>0</v>
      </c>
      <c r="Z83" s="22">
        <f t="shared" ca="1" si="167"/>
        <v>1724.5770890197975</v>
      </c>
      <c r="AA83">
        <f t="shared" si="154"/>
        <v>0.73884103340948371</v>
      </c>
      <c r="AB83">
        <f t="shared" ref="AB83" ca="1" si="190">BSdelta(1,P83,Strike,AA83/AnnualVarConvtr,Dividend,RiskFreeRate,G83/250)</f>
        <v>1</v>
      </c>
      <c r="AC83">
        <f t="shared" ca="1" si="163"/>
        <v>0</v>
      </c>
      <c r="AD83">
        <f t="shared" ca="1" si="164"/>
        <v>1727.9364377286331</v>
      </c>
    </row>
    <row r="84" spans="7:30" x14ac:dyDescent="0.25">
      <c r="G84" s="19">
        <v>171</v>
      </c>
      <c r="H84" s="19">
        <f t="shared" ca="1" si="68"/>
        <v>1.7510655921885498E-2</v>
      </c>
      <c r="I84" s="19">
        <f t="shared" ca="1" si="68"/>
        <v>0.19088012680928768</v>
      </c>
      <c r="J84" s="19">
        <f t="shared" ca="1" si="147"/>
        <v>1.0324066512757228</v>
      </c>
      <c r="K84" s="19">
        <f t="shared" ca="1" si="148"/>
        <v>2.6502882585642751</v>
      </c>
      <c r="L84" s="19">
        <f t="array" aca="1" ref="L84:M84" ca="1">MMULT(J84:K84,TRANSPOSE($B$10:$C$11))</f>
        <v>1.0324066512757228</v>
      </c>
      <c r="M84" s="19">
        <f ca="1"/>
        <v>1.1090875118573695</v>
      </c>
      <c r="N84" s="20">
        <f t="shared" ca="1" si="149"/>
        <v>4.9058895209911191E-2</v>
      </c>
      <c r="O84" s="20">
        <f t="shared" ca="1" si="150"/>
        <v>4.5865916344564737E-2</v>
      </c>
      <c r="P84" s="19">
        <f t="shared" ca="1" si="156"/>
        <v>2021.1360923955183</v>
      </c>
      <c r="Q84" s="19">
        <f ca="1">HCTrans(P84,Strike,RiskFreeRate,Dividend,Variance_T0*AnnualVarConvtr,(Simulation!G84)/250,0.5,Variance_Avg*AnnualVarConvtr,Lambda,SQRT(Simulation!N84),Rho,1,"Call")</f>
        <v>1921.1369375909396</v>
      </c>
      <c r="R84" s="19" t="e">
        <f t="shared" ca="1" si="151"/>
        <v>#VALUE!</v>
      </c>
      <c r="S84" s="19" t="e">
        <f t="shared" ca="1" si="152"/>
        <v>#VALUE!</v>
      </c>
      <c r="T84" s="19" t="e">
        <f t="shared" ca="1" si="157"/>
        <v>#VALUE!</v>
      </c>
      <c r="U84" s="19" t="e">
        <f t="shared" ca="1" si="158"/>
        <v>#VALUE!</v>
      </c>
      <c r="V84" s="21">
        <f t="shared" ca="1" si="159"/>
        <v>1.8503891009215886E-4</v>
      </c>
      <c r="W84">
        <f t="shared" ca="1" si="160"/>
        <v>1.3602900796968229E-2</v>
      </c>
      <c r="X84" s="22">
        <f t="shared" ref="X84" ca="1" si="191">BSdelta(1,P84,Strike,W84*AnnualVarConvtr,Dividend,RiskFreeRate,G84/250)</f>
        <v>1</v>
      </c>
      <c r="Y84" s="22">
        <f t="shared" ca="1" si="166"/>
        <v>0</v>
      </c>
      <c r="Z84" s="22">
        <f t="shared" ca="1" si="167"/>
        <v>1815.1844520498321</v>
      </c>
      <c r="AA84">
        <f t="shared" si="154"/>
        <v>0.73884103340948371</v>
      </c>
      <c r="AB84">
        <f t="shared" ref="AB84" ca="1" si="192">BSdelta(1,P84,Strike,AA84/AnnualVarConvtr,Dividend,RiskFreeRate,G84/250)</f>
        <v>1</v>
      </c>
      <c r="AC84">
        <f t="shared" ca="1" si="163"/>
        <v>0</v>
      </c>
      <c r="AD84">
        <f t="shared" ca="1" si="164"/>
        <v>1818.5438007586677</v>
      </c>
    </row>
    <row r="85" spans="7:30" x14ac:dyDescent="0.25">
      <c r="G85" s="19">
        <v>170</v>
      </c>
      <c r="H85" s="19">
        <f t="shared" ca="1" si="68"/>
        <v>0.80482642143436922</v>
      </c>
      <c r="I85" s="19">
        <f t="shared" ca="1" si="68"/>
        <v>8.6093929946956083E-2</v>
      </c>
      <c r="J85" s="19">
        <f t="shared" ca="1" si="147"/>
        <v>0.56489447387539715</v>
      </c>
      <c r="K85" s="19">
        <f t="shared" ca="1" si="148"/>
        <v>0.33933985045670934</v>
      </c>
      <c r="L85" s="19">
        <f t="array" aca="1" ref="L85:M85" ca="1">MMULT(J85:K85,TRANSPOSE($B$10:$C$11))</f>
        <v>0.56489447387539715</v>
      </c>
      <c r="M85" s="19">
        <f ca="1"/>
        <v>-0.16802779127689757</v>
      </c>
      <c r="N85" s="20">
        <f t="shared" ca="1" si="149"/>
        <v>4.7927849994477814E-2</v>
      </c>
      <c r="O85" s="20">
        <f t="shared" ca="1" si="150"/>
        <v>5.3779190348475329E-2</v>
      </c>
      <c r="P85" s="19">
        <f t="shared" ca="1" si="156"/>
        <v>2132.8070280083739</v>
      </c>
      <c r="Q85" s="19">
        <f ca="1">HCTrans(P85,Strike,RiskFreeRate,Dividend,Variance_T0*AnnualVarConvtr,(Simulation!G85)/250,0.5,Variance_Avg*AnnualVarConvtr,Lambda,SQRT(Simulation!N85),Rho,1,"Call")</f>
        <v>2032.8076676780302</v>
      </c>
      <c r="R85" s="19" t="e">
        <f t="shared" ca="1" si="151"/>
        <v>#VALUE!</v>
      </c>
      <c r="S85" s="19" t="e">
        <f t="shared" ca="1" si="152"/>
        <v>#VALUE!</v>
      </c>
      <c r="T85" s="19" t="e">
        <f t="shared" ca="1" si="157"/>
        <v>#VALUE!</v>
      </c>
      <c r="U85" s="19" t="e">
        <f t="shared" ca="1" si="158"/>
        <v>#VALUE!</v>
      </c>
      <c r="V85" s="21">
        <f t="shared" ca="1" si="159"/>
        <v>6.2619905460967168E-5</v>
      </c>
      <c r="W85">
        <f t="shared" ca="1" si="160"/>
        <v>7.913274003910592E-3</v>
      </c>
      <c r="X85" s="22">
        <f t="shared" ref="X85" ca="1" si="193">BSdelta(1,P85,Strike,W85*AnnualVarConvtr,Dividend,RiskFreeRate,G85/250)</f>
        <v>1</v>
      </c>
      <c r="Y85" s="22">
        <f t="shared" ca="1" si="166"/>
        <v>0</v>
      </c>
      <c r="Z85" s="22">
        <f t="shared" ca="1" si="167"/>
        <v>1926.8551821369226</v>
      </c>
      <c r="AA85">
        <f t="shared" si="154"/>
        <v>0.73884103340948371</v>
      </c>
      <c r="AB85">
        <f t="shared" ref="AB85" ca="1" si="194">BSdelta(1,P85,Strike,AA85/AnnualVarConvtr,Dividend,RiskFreeRate,G85/250)</f>
        <v>1</v>
      </c>
      <c r="AC85">
        <f t="shared" ca="1" si="163"/>
        <v>0</v>
      </c>
      <c r="AD85">
        <f t="shared" ca="1" si="164"/>
        <v>1930.2145308457582</v>
      </c>
    </row>
    <row r="86" spans="7:30" x14ac:dyDescent="0.25">
      <c r="G86" s="19">
        <v>169</v>
      </c>
      <c r="H86" s="19">
        <f t="shared" ca="1" si="68"/>
        <v>0.76726174358016896</v>
      </c>
      <c r="I86" s="19">
        <f t="shared" ca="1" si="68"/>
        <v>0.69883170094857761</v>
      </c>
      <c r="J86" s="19">
        <f t="shared" ca="1" si="147"/>
        <v>-0.230012603653134</v>
      </c>
      <c r="K86" s="19">
        <f t="shared" ca="1" si="148"/>
        <v>-0.69061477049428688</v>
      </c>
      <c r="L86" s="19">
        <f t="array" aca="1" ref="L86:M86" ca="1">MMULT(J86:K86,TRANSPOSE($B$10:$C$11))</f>
        <v>-0.230012603653134</v>
      </c>
      <c r="M86" s="19">
        <f ca="1"/>
        <v>-0.31695991846600091</v>
      </c>
      <c r="N86" s="20">
        <f t="shared" ca="1" si="149"/>
        <v>4.6024757580307954E-2</v>
      </c>
      <c r="O86" s="20">
        <f t="shared" ca="1" si="150"/>
        <v>5.0594438463207131E-2</v>
      </c>
      <c r="P86" s="19">
        <f t="shared" ca="1" si="156"/>
        <v>2243.4916040959097</v>
      </c>
      <c r="Q86" s="19">
        <f ca="1">HCTrans(P86,Strike,RiskFreeRate,Dividend,Variance_T0*AnnualVarConvtr,(Simulation!G86)/250,0.5,Variance_Avg*AnnualVarConvtr,Lambda,SQRT(Simulation!N86),Rho,1,"Call")</f>
        <v>2143.4920964316198</v>
      </c>
      <c r="R86" s="19" t="e">
        <f t="shared" ca="1" si="151"/>
        <v>#VALUE!</v>
      </c>
      <c r="S86" s="19" t="e">
        <f t="shared" ca="1" si="152"/>
        <v>#VALUE!</v>
      </c>
      <c r="T86" s="19" t="e">
        <f t="shared" ca="1" si="157"/>
        <v>#VALUE!</v>
      </c>
      <c r="U86" s="19" t="e">
        <f t="shared" ca="1" si="158"/>
        <v>#VALUE!</v>
      </c>
      <c r="V86" s="21">
        <f t="shared" ca="1" si="159"/>
        <v>1.0142644570719345E-5</v>
      </c>
      <c r="W86">
        <f t="shared" ca="1" si="160"/>
        <v>3.1847518852681986E-3</v>
      </c>
      <c r="X86" s="22">
        <f t="shared" ref="X86" ca="1" si="195">BSdelta(1,P86,Strike,W86*AnnualVarConvtr,Dividend,RiskFreeRate,G86/250)</f>
        <v>1</v>
      </c>
      <c r="Y86" s="22">
        <f t="shared" ca="1" si="166"/>
        <v>0</v>
      </c>
      <c r="Z86" s="22">
        <f t="shared" ca="1" si="167"/>
        <v>2037.5396108905122</v>
      </c>
      <c r="AA86">
        <f t="shared" si="154"/>
        <v>0.73884103340948371</v>
      </c>
      <c r="AB86">
        <f t="shared" ref="AB86" ca="1" si="196">BSdelta(1,P86,Strike,AA86/AnnualVarConvtr,Dividend,RiskFreeRate,G86/250)</f>
        <v>1</v>
      </c>
      <c r="AC86">
        <f t="shared" ca="1" si="163"/>
        <v>0</v>
      </c>
      <c r="AD86">
        <f t="shared" ca="1" si="164"/>
        <v>2040.8989595993478</v>
      </c>
    </row>
    <row r="87" spans="7:30" x14ac:dyDescent="0.25">
      <c r="G87" s="19">
        <v>168</v>
      </c>
      <c r="H87" s="19">
        <f t="shared" ca="1" si="68"/>
        <v>0.13257601862269408</v>
      </c>
      <c r="I87" s="19">
        <f t="shared" ca="1" si="68"/>
        <v>0.62603590568926837</v>
      </c>
      <c r="J87" s="19">
        <f t="shared" ca="1" si="147"/>
        <v>-1.4121956365528763</v>
      </c>
      <c r="K87" s="19">
        <f t="shared" ca="1" si="148"/>
        <v>-1.430699699216855</v>
      </c>
      <c r="L87" s="19">
        <f t="array" aca="1" ref="L87:M87" ca="1">MMULT(J87:K87,TRANSPOSE($B$10:$C$11))</f>
        <v>-1.4121956365528763</v>
      </c>
      <c r="M87" s="19">
        <f ca="1"/>
        <v>1.3800531836745678E-2</v>
      </c>
      <c r="N87" s="20">
        <f t="shared" ca="1" si="149"/>
        <v>4.5890747735694133E-2</v>
      </c>
      <c r="O87" s="20">
        <f t="shared" ca="1" si="150"/>
        <v>3.1433330594662218E-2</v>
      </c>
      <c r="P87" s="19">
        <f t="shared" ca="1" si="156"/>
        <v>2315.1320679407381</v>
      </c>
      <c r="Q87" s="19">
        <f ca="1">HCTrans(P87,Strike,RiskFreeRate,Dividend,Variance_T0*AnnualVarConvtr,(Simulation!G87)/250,0.5,Variance_Avg*AnnualVarConvtr,Lambda,SQRT(Simulation!N87),Rho,1,"Call")</f>
        <v>2215.1324927294108</v>
      </c>
      <c r="R87" s="19" t="e">
        <f t="shared" ca="1" si="151"/>
        <v>#VALUE!</v>
      </c>
      <c r="S87" s="19" t="e">
        <f t="shared" ca="1" si="152"/>
        <v>#VALUE!</v>
      </c>
      <c r="T87" s="19" t="e">
        <f t="shared" ca="1" si="157"/>
        <v>#VALUE!</v>
      </c>
      <c r="U87" s="19" t="e">
        <f t="shared" ca="1" si="158"/>
        <v>#VALUE!</v>
      </c>
      <c r="V87" s="21">
        <f t="shared" ca="1" si="159"/>
        <v>3.671480547500138E-4</v>
      </c>
      <c r="W87">
        <f t="shared" ca="1" si="160"/>
        <v>1.9161107868544913E-2</v>
      </c>
      <c r="X87" s="22">
        <f t="shared" ref="X87" ca="1" si="197">BSdelta(1,P87,Strike,W87*AnnualVarConvtr,Dividend,RiskFreeRate,G87/250)</f>
        <v>1</v>
      </c>
      <c r="Y87" s="22">
        <f t="shared" ca="1" si="166"/>
        <v>0</v>
      </c>
      <c r="Z87" s="22">
        <f t="shared" ca="1" si="167"/>
        <v>2109.1800071883035</v>
      </c>
      <c r="AA87">
        <f t="shared" si="154"/>
        <v>0.73884103340948371</v>
      </c>
      <c r="AB87">
        <f t="shared" ref="AB87" ca="1" si="198">BSdelta(1,P87,Strike,AA87/AnnualVarConvtr,Dividend,RiskFreeRate,G87/250)</f>
        <v>1</v>
      </c>
      <c r="AC87">
        <f t="shared" ca="1" si="163"/>
        <v>0</v>
      </c>
      <c r="AD87">
        <f t="shared" ca="1" si="164"/>
        <v>2112.5393558971391</v>
      </c>
    </row>
    <row r="88" spans="7:30" x14ac:dyDescent="0.25">
      <c r="G88" s="19">
        <v>167</v>
      </c>
      <c r="H88" s="19">
        <f t="shared" ca="1" si="68"/>
        <v>0.81020107878244563</v>
      </c>
      <c r="I88" s="19">
        <f t="shared" ca="1" si="68"/>
        <v>0.14480900015995823</v>
      </c>
      <c r="J88" s="19">
        <f t="shared" ca="1" si="147"/>
        <v>0.39827102157283961</v>
      </c>
      <c r="K88" s="19">
        <f t="shared" ca="1" si="148"/>
        <v>0.51217753445593972</v>
      </c>
      <c r="L88" s="19">
        <f t="array" aca="1" ref="L88:M88" ca="1">MMULT(J88:K88,TRANSPOSE($B$10:$C$11))</f>
        <v>0.39827102157283961</v>
      </c>
      <c r="M88" s="19">
        <f ca="1"/>
        <v>7.1927249552329597E-2</v>
      </c>
      <c r="N88" s="20">
        <f t="shared" ca="1" si="149"/>
        <v>4.6063417813739974E-2</v>
      </c>
      <c r="O88" s="20">
        <f t="shared" ca="1" si="150"/>
        <v>3.6829322266893547E-2</v>
      </c>
      <c r="P88" s="19">
        <f t="shared" ca="1" si="156"/>
        <v>2401.9863886409585</v>
      </c>
      <c r="Q88" s="19">
        <f ca="1">HCTrans(P88,Strike,RiskFreeRate,Dividend,Variance_T0*AnnualVarConvtr,(Simulation!G88)/250,0.5,Variance_Avg*AnnualVarConvtr,Lambda,SQRT(Simulation!N88),Rho,1,"Call")</f>
        <v>2301.9867542772049</v>
      </c>
      <c r="R88" s="19" t="e">
        <f t="shared" ca="1" si="151"/>
        <v>#VALUE!</v>
      </c>
      <c r="S88" s="19" t="e">
        <f t="shared" ca="1" si="152"/>
        <v>#VALUE!</v>
      </c>
      <c r="T88" s="19" t="e">
        <f t="shared" ca="1" si="157"/>
        <v>#VALUE!</v>
      </c>
      <c r="U88" s="19" t="e">
        <f t="shared" ca="1" si="158"/>
        <v>#VALUE!</v>
      </c>
      <c r="V88" s="21">
        <f t="shared" ca="1" si="159"/>
        <v>2.9116726126789854E-5</v>
      </c>
      <c r="W88">
        <f t="shared" ca="1" si="160"/>
        <v>5.3959916722313289E-3</v>
      </c>
      <c r="X88" s="22">
        <f t="shared" ref="X88" ca="1" si="199">BSdelta(1,P88,Strike,W88*AnnualVarConvtr,Dividend,RiskFreeRate,G88/250)</f>
        <v>1</v>
      </c>
      <c r="Y88" s="22">
        <f t="shared" ca="1" si="166"/>
        <v>0</v>
      </c>
      <c r="Z88" s="22">
        <f t="shared" ca="1" si="167"/>
        <v>2196.0342687360976</v>
      </c>
      <c r="AA88">
        <f t="shared" si="154"/>
        <v>0.73884103340948371</v>
      </c>
      <c r="AB88">
        <f t="shared" ref="AB88" ca="1" si="200">BSdelta(1,P88,Strike,AA88/AnnualVarConvtr,Dividend,RiskFreeRate,G88/250)</f>
        <v>1</v>
      </c>
      <c r="AC88">
        <f t="shared" ca="1" si="163"/>
        <v>0</v>
      </c>
      <c r="AD88">
        <f t="shared" ca="1" si="164"/>
        <v>2199.3936174449332</v>
      </c>
    </row>
    <row r="89" spans="7:30" x14ac:dyDescent="0.25">
      <c r="G89" s="19">
        <v>166</v>
      </c>
      <c r="H89" s="19">
        <f t="shared" ca="1" si="68"/>
        <v>8.5136810769859683E-2</v>
      </c>
      <c r="I89" s="19">
        <f t="shared" ca="1" si="68"/>
        <v>0.70988693365963018</v>
      </c>
      <c r="J89" s="19">
        <f t="shared" ca="1" si="147"/>
        <v>-0.55353987439177821</v>
      </c>
      <c r="K89" s="19">
        <f t="shared" ca="1" si="148"/>
        <v>-2.1495546430230008</v>
      </c>
      <c r="L89" s="19">
        <f t="array" aca="1" ref="L89:M89" ca="1">MMULT(J89:K89,TRANSPOSE($B$10:$C$11))</f>
        <v>-0.55353987439177821</v>
      </c>
      <c r="M89" s="19">
        <f ca="1"/>
        <v>-1.1028902510946246</v>
      </c>
      <c r="N89" s="20">
        <f t="shared" ca="1" si="149"/>
        <v>4.0235294086197811E-2</v>
      </c>
      <c r="O89" s="20">
        <f t="shared" ca="1" si="150"/>
        <v>2.9315568030708398E-2</v>
      </c>
      <c r="P89" s="19">
        <f t="shared" ca="1" si="156"/>
        <v>2473.4442808585081</v>
      </c>
      <c r="Q89" s="19">
        <f ca="1">HCTrans(P89,Strike,RiskFreeRate,Dividend,Variance_T0*AnnualVarConvtr,(Simulation!G89)/250,0.5,Variance_Avg*AnnualVarConvtr,Lambda,SQRT(Simulation!N89),Rho,1,"Call")</f>
        <v>-1.4115298450858085E-5</v>
      </c>
      <c r="R89" s="19" t="e">
        <f t="shared" ca="1" si="151"/>
        <v>#VALUE!</v>
      </c>
      <c r="S89" s="19" t="e">
        <f t="shared" ca="1" si="152"/>
        <v>#VALUE!</v>
      </c>
      <c r="T89" s="19" t="e">
        <f t="shared" ca="1" si="157"/>
        <v>#VALUE!</v>
      </c>
      <c r="U89" s="19" t="e">
        <f t="shared" ca="1" si="158"/>
        <v>#VALUE!</v>
      </c>
      <c r="V89" s="21">
        <f t="shared" ca="1" si="159"/>
        <v>5.6456502721790265E-5</v>
      </c>
      <c r="W89">
        <f t="shared" ca="1" si="160"/>
        <v>7.5137542361851488E-3</v>
      </c>
      <c r="X89" s="22">
        <f t="shared" ref="X89" ca="1" si="201">BSdelta(1,P89,Strike,W89*AnnualVarConvtr,Dividend,RiskFreeRate,G89/250)</f>
        <v>0</v>
      </c>
      <c r="Y89" s="22">
        <f t="shared" ca="1" si="166"/>
        <v>-1.4577437882323757E-289</v>
      </c>
      <c r="Z89" s="22">
        <f t="shared" ca="1" si="167"/>
        <v>-7.4987769103218902</v>
      </c>
      <c r="AA89">
        <f t="shared" si="154"/>
        <v>0.73884103340948371</v>
      </c>
      <c r="AB89">
        <f t="shared" ref="AB89" ca="1" si="202">BSdelta(1,P89,Strike,AA89/AnnualVarConvtr,Dividend,RiskFreeRate,G89/250)</f>
        <v>0</v>
      </c>
      <c r="AC89">
        <f t="shared" ca="1" si="163"/>
        <v>0</v>
      </c>
      <c r="AD89">
        <f t="shared" ca="1" si="164"/>
        <v>-2.5925421597672655</v>
      </c>
    </row>
    <row r="90" spans="7:30" x14ac:dyDescent="0.25">
      <c r="G90" s="19">
        <v>165</v>
      </c>
      <c r="H90" s="19">
        <f t="shared" ca="1" si="68"/>
        <v>0.14742211863764976</v>
      </c>
      <c r="I90" s="19">
        <f t="shared" ca="1" si="68"/>
        <v>7.7619442651046588E-2</v>
      </c>
      <c r="J90" s="19">
        <f t="shared" ca="1" si="147"/>
        <v>1.7286297698408282</v>
      </c>
      <c r="K90" s="19">
        <f t="shared" ca="1" si="148"/>
        <v>0.91692400044335509</v>
      </c>
      <c r="L90" s="19">
        <f t="array" aca="1" ref="L90:M90" ca="1">MMULT(J90:K90,TRANSPOSE($B$10:$C$11))</f>
        <v>1.7286297698408282</v>
      </c>
      <c r="M90" s="19">
        <f ca="1"/>
        <v>-0.59892888364459784</v>
      </c>
      <c r="N90" s="20">
        <f t="shared" ca="1" si="149"/>
        <v>3.7167459566427898E-2</v>
      </c>
      <c r="O90" s="20">
        <f t="shared" ca="1" si="150"/>
        <v>5.1245413614400728E-2</v>
      </c>
      <c r="P90" s="19">
        <f t="shared" ca="1" si="156"/>
        <v>1.1541974434727893E-2</v>
      </c>
      <c r="Q90" s="19">
        <f ca="1">HCTrans(P90,Strike,RiskFreeRate,Dividend,Variance_T0*AnnualVarConvtr,(Simulation!G90)/250,0.5,Variance_Avg*AnnualVarConvtr,Lambda,SQRT(Simulation!N90),Rho,1,"Call")</f>
        <v>-1.419921818273176E-5</v>
      </c>
      <c r="R90" s="19" t="e">
        <f t="shared" ca="1" si="151"/>
        <v>#VALUE!</v>
      </c>
      <c r="S90" s="19" t="e">
        <f t="shared" ca="1" si="152"/>
        <v>#VALUE!</v>
      </c>
      <c r="T90" s="19" t="e">
        <f t="shared" ca="1" si="157"/>
        <v>#VALUE!</v>
      </c>
      <c r="U90" s="19" t="e">
        <f t="shared" ca="1" si="158"/>
        <v>#VALUE!</v>
      </c>
      <c r="V90" s="21">
        <f t="shared" ca="1" si="159"/>
        <v>4.8091812732458999E-4</v>
      </c>
      <c r="W90">
        <f t="shared" ca="1" si="160"/>
        <v>2.192984558369233E-2</v>
      </c>
      <c r="X90" s="22">
        <f t="shared" ref="X90" ca="1" si="203">BSdelta(1,P90,Strike,W90*AnnualVarConvtr,Dividend,RiskFreeRate,G90/250)</f>
        <v>0</v>
      </c>
      <c r="Y90" s="22">
        <f t="shared" ca="1" si="166"/>
        <v>0</v>
      </c>
      <c r="Z90" s="22">
        <f t="shared" ca="1" si="167"/>
        <v>-7.4987769942416218</v>
      </c>
      <c r="AA90">
        <f t="shared" si="154"/>
        <v>0.73884103340948371</v>
      </c>
      <c r="AB90">
        <f t="shared" ref="AB90" ca="1" si="204">BSdelta(1,P90,Strike,AA90/AnnualVarConvtr,Dividend,RiskFreeRate,G90/250)</f>
        <v>0</v>
      </c>
      <c r="AC90">
        <f t="shared" ca="1" si="163"/>
        <v>0</v>
      </c>
      <c r="AD90">
        <f t="shared" ca="1" si="164"/>
        <v>-2.5925422436869976</v>
      </c>
    </row>
    <row r="91" spans="7:30" x14ac:dyDescent="0.25">
      <c r="G91" s="19">
        <v>164</v>
      </c>
      <c r="H91" s="19">
        <f t="shared" ca="1" si="68"/>
        <v>0.34092870717839907</v>
      </c>
      <c r="I91" s="19">
        <f t="shared" ca="1" si="68"/>
        <v>0.19987835092055239</v>
      </c>
      <c r="J91" s="19">
        <f t="shared" ca="1" si="147"/>
        <v>0.4544021057095014</v>
      </c>
      <c r="K91" s="19">
        <f t="shared" ca="1" si="148"/>
        <v>1.3948772394574529</v>
      </c>
      <c r="L91" s="19">
        <f t="array" aca="1" ref="L91:M91" ca="1">MMULT(J91:K91,TRANSPOSE($B$10:$C$11))</f>
        <v>0.4544021057095014</v>
      </c>
      <c r="M91" s="19">
        <f ca="1"/>
        <v>0.6474692475044348</v>
      </c>
      <c r="N91" s="20">
        <f t="shared" ca="1" si="149"/>
        <v>4.0131531173134199E-2</v>
      </c>
      <c r="O91" s="20">
        <f t="shared" ca="1" si="150"/>
        <v>5.6785949469523145E-2</v>
      </c>
      <c r="P91" s="19">
        <f t="shared" ca="1" si="156"/>
        <v>9.6543690828370856E-3</v>
      </c>
      <c r="Q91" s="19">
        <f ca="1">HCTrans(P91,Strike,RiskFreeRate,Dividend,Variance_T0*AnnualVarConvtr,(Simulation!G91)/250,0.5,Variance_Avg*AnnualVarConvtr,Lambda,SQRT(Simulation!N91),Rho,1,"Call")</f>
        <v>-1.4288738816613245E-5</v>
      </c>
      <c r="R91" s="19" t="e">
        <f t="shared" ca="1" si="151"/>
        <v>#VALUE!</v>
      </c>
      <c r="S91" s="19" t="e">
        <f t="shared" ca="1" si="152"/>
        <v>#VALUE!</v>
      </c>
      <c r="T91" s="19" t="e">
        <f t="shared" ca="1" si="157"/>
        <v>#VALUE!</v>
      </c>
      <c r="U91" s="19" t="e">
        <f t="shared" ca="1" si="158"/>
        <v>#VALUE!</v>
      </c>
      <c r="V91" s="21">
        <f t="shared" ca="1" si="159"/>
        <v>3.069753756189709E-5</v>
      </c>
      <c r="W91">
        <f t="shared" ca="1" si="160"/>
        <v>5.5405358551224165E-3</v>
      </c>
      <c r="X91" s="22">
        <f t="shared" ref="X91" ca="1" si="205">BSdelta(1,P91,Strike,W91*AnnualVarConvtr,Dividend,RiskFreeRate,G91/250)</f>
        <v>6.4777685526522762E-168</v>
      </c>
      <c r="Y91" s="22">
        <f t="shared" ca="1" si="166"/>
        <v>6.2538768440500471E-170</v>
      </c>
      <c r="Z91" s="22">
        <f t="shared" ca="1" si="167"/>
        <v>-7.4987770837622554</v>
      </c>
      <c r="AA91">
        <f t="shared" si="154"/>
        <v>0.73884103340948371</v>
      </c>
      <c r="AB91">
        <f t="shared" ref="AB91" ca="1" si="206">BSdelta(1,P91,Strike,AA91/AnnualVarConvtr,Dividend,RiskFreeRate,G91/250)</f>
        <v>0</v>
      </c>
      <c r="AC91">
        <f t="shared" ca="1" si="163"/>
        <v>0</v>
      </c>
      <c r="AD91">
        <f t="shared" ca="1" si="164"/>
        <v>-2.5925423332076316</v>
      </c>
    </row>
    <row r="92" spans="7:30" x14ac:dyDescent="0.25">
      <c r="G92" s="19">
        <v>163</v>
      </c>
      <c r="H92" s="19">
        <f t="shared" ca="1" si="68"/>
        <v>0.84529047493982223</v>
      </c>
      <c r="I92" s="19">
        <f t="shared" ca="1" si="68"/>
        <v>0.71820342222514177</v>
      </c>
      <c r="J92" s="19">
        <f t="shared" ca="1" si="147"/>
        <v>-0.11506251231531373</v>
      </c>
      <c r="K92" s="19">
        <f t="shared" ca="1" si="148"/>
        <v>-0.56825216673689194</v>
      </c>
      <c r="L92" s="19">
        <f t="array" aca="1" ref="L92:M92" ca="1">MMULT(J92:K92,TRANSPOSE($B$10:$C$11))</f>
        <v>-0.11506251231531373</v>
      </c>
      <c r="M92" s="19">
        <f ca="1"/>
        <v>-0.31396308606600754</v>
      </c>
      <c r="N92" s="20">
        <f t="shared" ca="1" si="149"/>
        <v>3.8428730430390551E-2</v>
      </c>
      <c r="O92" s="20">
        <f t="shared" ca="1" si="150"/>
        <v>5.5328120040509798E-2</v>
      </c>
      <c r="P92" s="19">
        <f t="shared" ca="1" si="156"/>
        <v>8.3110036435262522E-3</v>
      </c>
      <c r="Q92" s="19">
        <f ca="1">HCTrans(P92,Strike,RiskFreeRate,Dividend,Variance_T0*AnnualVarConvtr,(Simulation!G92)/250,0.5,Variance_Avg*AnnualVarConvtr,Lambda,SQRT(Simulation!N92),Rho,1,"Call")</f>
        <v>-1.4357276082106393E-5</v>
      </c>
      <c r="R92" s="19" t="e">
        <f t="shared" ca="1" si="151"/>
        <v>#VALUE!</v>
      </c>
      <c r="S92" s="19" t="e">
        <f t="shared" ca="1" si="152"/>
        <v>#VALUE!</v>
      </c>
      <c r="T92" s="19" t="e">
        <f t="shared" ca="1" si="157"/>
        <v>#VALUE!</v>
      </c>
      <c r="U92" s="19" t="e">
        <f t="shared" ca="1" si="158"/>
        <v>#VALUE!</v>
      </c>
      <c r="V92" s="21">
        <f t="shared" ca="1" si="159"/>
        <v>2.1252666440973799E-6</v>
      </c>
      <c r="W92">
        <f t="shared" ca="1" si="160"/>
        <v>1.4578294290133464E-3</v>
      </c>
      <c r="X92" s="22">
        <f t="shared" ref="X92" ca="1" si="207">BSdelta(1,P92,Strike,W92*AnnualVarConvtr,Dividend,RiskFreeRate,G92/250)</f>
        <v>8.9717644541353824E-143</v>
      </c>
      <c r="Y92" s="22">
        <f t="shared" ca="1" si="166"/>
        <v>7.4564367067178479E-145</v>
      </c>
      <c r="Z92" s="22">
        <f t="shared" ca="1" si="167"/>
        <v>-7.498777152299521</v>
      </c>
      <c r="AA92">
        <f t="shared" si="154"/>
        <v>0.73884103340948371</v>
      </c>
      <c r="AB92">
        <f t="shared" ref="AB92" ca="1" si="208">BSdelta(1,P92,Strike,AA92/AnnualVarConvtr,Dividend,RiskFreeRate,G92/250)</f>
        <v>0</v>
      </c>
      <c r="AC92">
        <f t="shared" ca="1" si="163"/>
        <v>0</v>
      </c>
      <c r="AD92">
        <f t="shared" ca="1" si="164"/>
        <v>-2.5925424017448973</v>
      </c>
    </row>
    <row r="93" spans="7:30" x14ac:dyDescent="0.25">
      <c r="G93" s="19">
        <v>162</v>
      </c>
      <c r="H93" s="19">
        <f t="shared" ca="1" si="68"/>
        <v>0.82616830785459205</v>
      </c>
      <c r="I93" s="19">
        <f t="shared" ca="1" si="68"/>
        <v>0.312517236377445</v>
      </c>
      <c r="J93" s="19">
        <f t="shared" ca="1" si="147"/>
        <v>-0.236556950799131</v>
      </c>
      <c r="K93" s="19">
        <f t="shared" ca="1" si="148"/>
        <v>0.57092410738452437</v>
      </c>
      <c r="L93" s="19">
        <f t="array" aca="1" ref="L93:M93" ca="1">MMULT(J93:K93,TRANSPOSE($B$10:$C$11))</f>
        <v>-0.236556950799131</v>
      </c>
      <c r="M93" s="19">
        <f ca="1"/>
        <v>0.56776234269211423</v>
      </c>
      <c r="N93" s="20">
        <f t="shared" ca="1" si="149"/>
        <v>4.1039922661087774E-2</v>
      </c>
      <c r="O93" s="20">
        <f t="shared" ca="1" si="150"/>
        <v>5.2395243865188373E-2</v>
      </c>
      <c r="P93" s="19">
        <f t="shared" ca="1" si="156"/>
        <v>7.220963263569199E-3</v>
      </c>
      <c r="Q93" s="19">
        <f ca="1">HCTrans(P93,Strike,RiskFreeRate,Dividend,Variance_T0*AnnualVarConvtr,(Simulation!G93)/250,0.5,Variance_Avg*AnnualVarConvtr,Lambda,SQRT(Simulation!N93),Rho,1,"Call")</f>
        <v>-1.4416448263071362E-5</v>
      </c>
      <c r="R93" s="19" t="e">
        <f t="shared" ca="1" si="151"/>
        <v>#VALUE!</v>
      </c>
      <c r="S93" s="19" t="e">
        <f t="shared" ca="1" si="152"/>
        <v>#VALUE!</v>
      </c>
      <c r="T93" s="19" t="e">
        <f t="shared" ca="1" si="157"/>
        <v>#VALUE!</v>
      </c>
      <c r="U93" s="19" t="e">
        <f t="shared" ca="1" si="158"/>
        <v>#VALUE!</v>
      </c>
      <c r="V93" s="21">
        <f t="shared" ca="1" si="159"/>
        <v>8.6017626597680307E-6</v>
      </c>
      <c r="W93">
        <f t="shared" ca="1" si="160"/>
        <v>2.932876175321425E-3</v>
      </c>
      <c r="X93" s="22">
        <f t="shared" ref="X93" ca="1" si="209">BSdelta(1,P93,Strike,W93*AnnualVarConvtr,Dividend,RiskFreeRate,G93/250)</f>
        <v>0</v>
      </c>
      <c r="Y93" s="22">
        <f t="shared" ca="1" si="166"/>
        <v>-6.4784781532707563E-145</v>
      </c>
      <c r="Z93" s="22">
        <f t="shared" ca="1" si="167"/>
        <v>-7.498777211471702</v>
      </c>
      <c r="AA93">
        <f t="shared" si="154"/>
        <v>0.73884103340948371</v>
      </c>
      <c r="AB93">
        <f t="shared" ref="AB93" ca="1" si="210">BSdelta(1,P93,Strike,AA93/AnnualVarConvtr,Dividend,RiskFreeRate,G93/250)</f>
        <v>0</v>
      </c>
      <c r="AC93">
        <f t="shared" ca="1" si="163"/>
        <v>0</v>
      </c>
      <c r="AD93">
        <f t="shared" ca="1" si="164"/>
        <v>-2.5925424609170782</v>
      </c>
    </row>
    <row r="94" spans="7:30" x14ac:dyDescent="0.25">
      <c r="G94" s="19">
        <v>161</v>
      </c>
      <c r="H94" s="19">
        <f t="shared" ca="1" si="68"/>
        <v>4.198658521783416E-2</v>
      </c>
      <c r="I94" s="19">
        <f t="shared" ca="1" si="68"/>
        <v>0.67080637801296539</v>
      </c>
      <c r="J94" s="19">
        <f t="shared" ca="1" si="147"/>
        <v>-1.2019066058500607</v>
      </c>
      <c r="K94" s="19">
        <f t="shared" ca="1" si="148"/>
        <v>-2.2127428077840623</v>
      </c>
      <c r="L94" s="19">
        <f t="array" aca="1" ref="L94:M94" ca="1">MMULT(J94:K94,TRANSPOSE($B$10:$C$11))</f>
        <v>-1.2019066058500607</v>
      </c>
      <c r="M94" s="19">
        <f ca="1"/>
        <v>-0.68241473606735659</v>
      </c>
      <c r="N94" s="20">
        <f t="shared" ca="1" si="149"/>
        <v>3.7539885040718216E-2</v>
      </c>
      <c r="O94" s="20">
        <f t="shared" ca="1" si="150"/>
        <v>3.6995837316364792E-2</v>
      </c>
      <c r="P94" s="19">
        <f t="shared" ca="1" si="156"/>
        <v>6.1556168582812881E-3</v>
      </c>
      <c r="Q94" s="19">
        <f ca="1">HCTrans(P94,Strike,RiskFreeRate,Dividend,Variance_T0*AnnualVarConvtr,(Simulation!G94)/250,0.5,Variance_Avg*AnnualVarConvtr,Lambda,SQRT(Simulation!N94),Rho,1,"Call")</f>
        <v>-1.4478131365592076E-5</v>
      </c>
      <c r="R94" s="19" t="e">
        <f t="shared" ca="1" si="151"/>
        <v>#VALUE!</v>
      </c>
      <c r="S94" s="19" t="e">
        <f t="shared" ca="1" si="152"/>
        <v>#VALUE!</v>
      </c>
      <c r="T94" s="19" t="e">
        <f t="shared" ca="1" si="157"/>
        <v>#VALUE!</v>
      </c>
      <c r="U94" s="19" t="e">
        <f t="shared" ca="1" si="158"/>
        <v>#VALUE!</v>
      </c>
      <c r="V94" s="21">
        <f t="shared" ca="1" si="159"/>
        <v>2.3714172205595061E-4</v>
      </c>
      <c r="W94">
        <f t="shared" ca="1" si="160"/>
        <v>1.5399406548823581E-2</v>
      </c>
      <c r="X94" s="22">
        <f t="shared" ref="X94" ca="1" si="211">BSdelta(1,P94,Strike,W94*AnnualVarConvtr,Dividend,RiskFreeRate,G94/250)</f>
        <v>0</v>
      </c>
      <c r="Y94" s="22">
        <f t="shared" ca="1" si="166"/>
        <v>0</v>
      </c>
      <c r="Z94" s="22">
        <f t="shared" ca="1" si="167"/>
        <v>-7.4987772731548041</v>
      </c>
      <c r="AA94">
        <f t="shared" si="154"/>
        <v>0.73884103340948371</v>
      </c>
      <c r="AB94">
        <f t="shared" ref="AB94" ca="1" si="212">BSdelta(1,P94,Strike,AA94/AnnualVarConvtr,Dividend,RiskFreeRate,G94/250)</f>
        <v>0</v>
      </c>
      <c r="AC94">
        <f t="shared" ca="1" si="163"/>
        <v>0</v>
      </c>
      <c r="AD94">
        <f t="shared" ca="1" si="164"/>
        <v>-2.5925425226001808</v>
      </c>
    </row>
    <row r="95" spans="7:30" x14ac:dyDescent="0.25">
      <c r="G95" s="19">
        <v>160</v>
      </c>
      <c r="H95" s="19">
        <f t="shared" ref="H95:I158" ca="1" si="213">RAND()</f>
        <v>0.30082418880530015</v>
      </c>
      <c r="I95" s="19">
        <f t="shared" ca="1" si="213"/>
        <v>0.77057311167863229</v>
      </c>
      <c r="J95" s="19">
        <f t="shared" ca="1" si="147"/>
        <v>0.19980100384021091</v>
      </c>
      <c r="K95" s="19">
        <f t="shared" ca="1" si="148"/>
        <v>-1.5370550118070223</v>
      </c>
      <c r="L95" s="19">
        <f t="array" aca="1" ref="L95:M95" ca="1">MMULT(J95:K95,TRANSPOSE($B$10:$C$11))</f>
        <v>0.19980100384021091</v>
      </c>
      <c r="M95" s="19">
        <f ca="1"/>
        <v>-1.2153871541629122</v>
      </c>
      <c r="N95" s="20">
        <f t="shared" ca="1" si="149"/>
        <v>3.1826129853020343E-2</v>
      </c>
      <c r="O95" s="20">
        <f t="shared" ca="1" si="150"/>
        <v>3.9444190861916195E-2</v>
      </c>
      <c r="P95" s="19">
        <f t="shared" ca="1" si="156"/>
        <v>5.3864087065149781E-3</v>
      </c>
      <c r="Q95" s="19">
        <f ca="1">HCTrans(P95,Strike,RiskFreeRate,Dividend,Variance_T0*AnnualVarConvtr,(Simulation!G95)/250,0.5,Variance_Avg*AnnualVarConvtr,Lambda,SQRT(Simulation!N95),Rho,1,"Call")</f>
        <v>-1.4525641446435505E-5</v>
      </c>
      <c r="R95" s="19" t="e">
        <f t="shared" ca="1" si="151"/>
        <v>#VALUE!</v>
      </c>
      <c r="S95" s="19" t="e">
        <f t="shared" ca="1" si="152"/>
        <v>#VALUE!</v>
      </c>
      <c r="T95" s="19" t="e">
        <f t="shared" ca="1" si="157"/>
        <v>#VALUE!</v>
      </c>
      <c r="U95" s="19" t="e">
        <f t="shared" ca="1" si="158"/>
        <v>#VALUE!</v>
      </c>
      <c r="V95" s="21">
        <f t="shared" ca="1" si="159"/>
        <v>5.9944350840141263E-6</v>
      </c>
      <c r="W95">
        <f t="shared" ca="1" si="160"/>
        <v>2.448353545551403E-3</v>
      </c>
      <c r="X95" s="22">
        <f t="shared" ref="X95" ca="1" si="214">BSdelta(1,P95,Strike,W95*AnnualVarConvtr,Dividend,RiskFreeRate,G95/250)</f>
        <v>2.1429122759091158E-192</v>
      </c>
      <c r="Y95" s="22">
        <f t="shared" ca="1" si="166"/>
        <v>1.1542601340254688E-194</v>
      </c>
      <c r="Z95" s="22">
        <f t="shared" ca="1" si="167"/>
        <v>-7.4987773206648853</v>
      </c>
      <c r="AA95">
        <f t="shared" si="154"/>
        <v>0.73884103340948371</v>
      </c>
      <c r="AB95">
        <f t="shared" ref="AB95" ca="1" si="215">BSdelta(1,P95,Strike,AA95/AnnualVarConvtr,Dividend,RiskFreeRate,G95/250)</f>
        <v>0</v>
      </c>
      <c r="AC95">
        <f t="shared" ca="1" si="163"/>
        <v>0</v>
      </c>
      <c r="AD95">
        <f t="shared" ca="1" si="164"/>
        <v>-2.5925425701102616</v>
      </c>
    </row>
    <row r="96" spans="7:30" x14ac:dyDescent="0.25">
      <c r="G96" s="19">
        <v>159</v>
      </c>
      <c r="H96" s="19">
        <f t="shared" ca="1" si="213"/>
        <v>0.77829565222113783</v>
      </c>
      <c r="I96" s="19">
        <f t="shared" ca="1" si="213"/>
        <v>0.97816407898856328</v>
      </c>
      <c r="J96" s="19">
        <f t="shared" ca="1" si="147"/>
        <v>0.70137041171189607</v>
      </c>
      <c r="K96" s="19">
        <f t="shared" ca="1" si="148"/>
        <v>-9.6835779240592182E-2</v>
      </c>
      <c r="L96" s="19">
        <f t="array" aca="1" ref="L96:M96" ca="1">MMULT(J96:K96,TRANSPOSE($B$10:$C$11))</f>
        <v>0.70137041171189607</v>
      </c>
      <c r="M96" s="19">
        <f ca="1"/>
        <v>-0.57008328956936893</v>
      </c>
      <c r="N96" s="20">
        <f t="shared" ca="1" si="149"/>
        <v>2.9249846917476729E-2</v>
      </c>
      <c r="O96" s="20">
        <f t="shared" ca="1" si="150"/>
        <v>4.7357704432987924E-2</v>
      </c>
      <c r="P96" s="19">
        <f t="shared" ca="1" si="156"/>
        <v>4.7084475732801249E-3</v>
      </c>
      <c r="Q96" s="19">
        <f ca="1">HCTrans(P96,Strike,RiskFreeRate,Dividend,Variance_T0*AnnualVarConvtr,(Simulation!G96)/250,0.5,Variance_Avg*AnnualVarConvtr,Lambda,SQRT(Simulation!N96),Rho,1,"Call")</f>
        <v>-1.4569929622208939E-5</v>
      </c>
      <c r="R96" s="19" t="e">
        <f t="shared" ca="1" si="151"/>
        <v>#VALUE!</v>
      </c>
      <c r="S96" s="19" t="e">
        <f t="shared" ca="1" si="152"/>
        <v>#VALUE!</v>
      </c>
      <c r="T96" s="19" t="e">
        <f t="shared" ca="1" si="157"/>
        <v>#VALUE!</v>
      </c>
      <c r="U96" s="19" t="e">
        <f t="shared" ca="1" si="158"/>
        <v>#VALUE!</v>
      </c>
      <c r="V96" s="21">
        <f t="shared" ca="1" si="159"/>
        <v>6.2623697039536428E-5</v>
      </c>
      <c r="W96">
        <f t="shared" ca="1" si="160"/>
        <v>7.9135135710717286E-3</v>
      </c>
      <c r="X96" s="22">
        <f t="shared" ref="X96" ca="1" si="216">BSdelta(1,P96,Strike,W96*AnnualVarConvtr,Dividend,RiskFreeRate,G96/250)</f>
        <v>0</v>
      </c>
      <c r="Y96" s="22">
        <f t="shared" ca="1" si="166"/>
        <v>-1.0089790105256466E-194</v>
      </c>
      <c r="Z96" s="22">
        <f t="shared" ca="1" si="167"/>
        <v>-7.4987773649530611</v>
      </c>
      <c r="AA96">
        <f t="shared" si="154"/>
        <v>0.73884103340948371</v>
      </c>
      <c r="AB96">
        <f t="shared" ref="AB96" ca="1" si="217">BSdelta(1,P96,Strike,AA96/AnnualVarConvtr,Dividend,RiskFreeRate,G96/250)</f>
        <v>0</v>
      </c>
      <c r="AC96">
        <f t="shared" ca="1" si="163"/>
        <v>0</v>
      </c>
      <c r="AD96">
        <f t="shared" ca="1" si="164"/>
        <v>-2.5925426143984374</v>
      </c>
    </row>
    <row r="97" spans="7:30" x14ac:dyDescent="0.25">
      <c r="G97" s="19">
        <v>158</v>
      </c>
      <c r="H97" s="19">
        <f t="shared" ca="1" si="213"/>
        <v>0.55865226242551014</v>
      </c>
      <c r="I97" s="19">
        <f t="shared" ca="1" si="213"/>
        <v>0.57507960907186562</v>
      </c>
      <c r="J97" s="19">
        <f t="shared" ca="1" si="147"/>
        <v>-0.96123969575501311</v>
      </c>
      <c r="K97" s="19">
        <f t="shared" ca="1" si="148"/>
        <v>-0.49038187943868899</v>
      </c>
      <c r="L97" s="19">
        <f t="array" aca="1" ref="L97:M97" ca="1">MMULT(J97:K97,TRANSPOSE($B$10:$C$11))</f>
        <v>-0.96123969575501311</v>
      </c>
      <c r="M97" s="19">
        <f ca="1"/>
        <v>0.34664417308646611</v>
      </c>
      <c r="N97" s="20">
        <f t="shared" ca="1" si="149"/>
        <v>3.0603889536896463E-2</v>
      </c>
      <c r="O97" s="20">
        <f t="shared" ca="1" si="150"/>
        <v>3.6960334607714584E-2</v>
      </c>
      <c r="P97" s="19">
        <f t="shared" ca="1" si="156"/>
        <v>4.1461284246981584E-3</v>
      </c>
      <c r="Q97" s="19">
        <f ca="1">HCTrans(P97,Strike,RiskFreeRate,Dividend,Variance_T0*AnnualVarConvtr,(Simulation!G97)/250,0.5,Variance_Avg*AnnualVarConvtr,Lambda,SQRT(Simulation!N97),Rho,1,"Call")</f>
        <v>-1.4608758128959072E-5</v>
      </c>
      <c r="R97" s="19" t="e">
        <f t="shared" ca="1" si="151"/>
        <v>#VALUE!</v>
      </c>
      <c r="S97" s="19" t="e">
        <f t="shared" ca="1" si="152"/>
        <v>#VALUE!</v>
      </c>
      <c r="T97" s="19" t="e">
        <f t="shared" ca="1" si="157"/>
        <v>#VALUE!</v>
      </c>
      <c r="U97" s="19" t="e">
        <f t="shared" ca="1" si="158"/>
        <v>#VALUE!</v>
      </c>
      <c r="V97" s="21">
        <f t="shared" ca="1" si="159"/>
        <v>1.0810529928350455E-4</v>
      </c>
      <c r="W97">
        <f t="shared" ca="1" si="160"/>
        <v>1.0397369825273339E-2</v>
      </c>
      <c r="X97" s="22">
        <f t="shared" ref="X97" ca="1" si="218">BSdelta(1,P97,Strike,W97*AnnualVarConvtr,Dividend,RiskFreeRate,G97/250)</f>
        <v>0</v>
      </c>
      <c r="Y97" s="22">
        <f t="shared" ca="1" si="166"/>
        <v>0</v>
      </c>
      <c r="Z97" s="22">
        <f t="shared" ca="1" si="167"/>
        <v>-7.4987774037815678</v>
      </c>
      <c r="AA97">
        <f t="shared" si="154"/>
        <v>0.73884103340948371</v>
      </c>
      <c r="AB97">
        <f t="shared" ref="AB97" ca="1" si="219">BSdelta(1,P97,Strike,AA97/AnnualVarConvtr,Dividend,RiskFreeRate,G97/250)</f>
        <v>0</v>
      </c>
      <c r="AC97">
        <f t="shared" ca="1" si="163"/>
        <v>0</v>
      </c>
      <c r="AD97">
        <f t="shared" ca="1" si="164"/>
        <v>-2.592542653226944</v>
      </c>
    </row>
    <row r="98" spans="7:30" x14ac:dyDescent="0.25">
      <c r="G98" s="19">
        <v>157</v>
      </c>
      <c r="H98" s="19">
        <f t="shared" ca="1" si="213"/>
        <v>0.92025603853310023</v>
      </c>
      <c r="I98" s="19">
        <f t="shared" ca="1" si="213"/>
        <v>0.1947445119984812</v>
      </c>
      <c r="J98" s="19">
        <f t="shared" ca="1" si="147"/>
        <v>0.13871379415058796</v>
      </c>
      <c r="K98" s="19">
        <f t="shared" ca="1" si="148"/>
        <v>0.38336036978509686</v>
      </c>
      <c r="L98" s="19">
        <f t="array" aca="1" ref="L98:M98" ca="1">MMULT(J98:K98,TRANSPOSE($B$10:$C$11))</f>
        <v>0.13871379415058796</v>
      </c>
      <c r="M98" s="19">
        <f ca="1"/>
        <v>0.16803881178336177</v>
      </c>
      <c r="N98" s="20">
        <f t="shared" ca="1" si="149"/>
        <v>3.1204062561061077E-2</v>
      </c>
      <c r="O98" s="20">
        <f t="shared" ca="1" si="150"/>
        <v>3.8495085729207894E-2</v>
      </c>
      <c r="P98" s="19">
        <f t="shared" ca="1" si="156"/>
        <v>3.5287211700773041E-3</v>
      </c>
      <c r="Q98" s="19">
        <f ca="1">HCTrans(P98,Strike,RiskFreeRate,Dividend,Variance_T0*AnnualVarConvtr,(Simulation!G98)/250,0.5,Variance_Avg*AnnualVarConvtr,Lambda,SQRT(Simulation!N98),Rho,1,"Call")</f>
        <v>-1.4654079184488623E-5</v>
      </c>
      <c r="R98" s="19" t="e">
        <f t="shared" ca="1" si="151"/>
        <v>#VALUE!</v>
      </c>
      <c r="S98" s="19" t="e">
        <f t="shared" ca="1" si="152"/>
        <v>#VALUE!</v>
      </c>
      <c r="T98" s="19" t="e">
        <f t="shared" ca="1" si="157"/>
        <v>#VALUE!</v>
      </c>
      <c r="U98" s="19" t="e">
        <f t="shared" ca="1" si="158"/>
        <v>#VALUE!</v>
      </c>
      <c r="V98" s="21">
        <f t="shared" ca="1" si="159"/>
        <v>2.3554610049249707E-6</v>
      </c>
      <c r="W98">
        <f t="shared" ca="1" si="160"/>
        <v>1.5347511214933093E-3</v>
      </c>
      <c r="X98" s="22">
        <f t="shared" ref="X98" ca="1" si="220">BSdelta(1,P98,Strike,W98*AnnualVarConvtr,Dividend,RiskFreeRate,G98/250)</f>
        <v>1.2671550924508657E-125</v>
      </c>
      <c r="Y98" s="22">
        <f t="shared" ca="1" si="166"/>
        <v>4.4714370005026333E-128</v>
      </c>
      <c r="Z98" s="22">
        <f t="shared" ca="1" si="167"/>
        <v>-7.4987774491026231</v>
      </c>
      <c r="AA98">
        <f t="shared" si="154"/>
        <v>0.73884103340948371</v>
      </c>
      <c r="AB98">
        <f t="shared" ref="AB98" ca="1" si="221">BSdelta(1,P98,Strike,AA98/AnnualVarConvtr,Dividend,RiskFreeRate,G98/250)</f>
        <v>0</v>
      </c>
      <c r="AC98">
        <f t="shared" ca="1" si="163"/>
        <v>0</v>
      </c>
      <c r="AD98">
        <f t="shared" ca="1" si="164"/>
        <v>-2.5925426985479993</v>
      </c>
    </row>
    <row r="99" spans="7:30" x14ac:dyDescent="0.25">
      <c r="G99" s="19">
        <v>156</v>
      </c>
      <c r="H99" s="19">
        <f t="shared" ca="1" si="213"/>
        <v>0.44602815544943974</v>
      </c>
      <c r="I99" s="19">
        <f t="shared" ca="1" si="213"/>
        <v>0.55096314795759538</v>
      </c>
      <c r="J99" s="19">
        <f t="shared" ca="1" si="147"/>
        <v>-1.2061344801147664</v>
      </c>
      <c r="K99" s="19">
        <f t="shared" ca="1" si="148"/>
        <v>-0.3999825198264304</v>
      </c>
      <c r="L99" s="19">
        <f t="array" aca="1" ref="L99:M99" ca="1">MMULT(J99:K99,TRANSPOSE($B$10:$C$11))</f>
        <v>-1.2061344801147664</v>
      </c>
      <c r="M99" s="19">
        <f ca="1"/>
        <v>0.58517271241087132</v>
      </c>
      <c r="N99" s="20">
        <f t="shared" ca="1" si="149"/>
        <v>3.3662100463854101E-2</v>
      </c>
      <c r="O99" s="20">
        <f t="shared" ca="1" si="150"/>
        <v>2.5020007393630424E-2</v>
      </c>
      <c r="P99" s="19">
        <f t="shared" ca="1" si="156"/>
        <v>3.0069830521563174E-3</v>
      </c>
      <c r="Q99" s="19">
        <f ca="1">HCTrans(P99,Strike,RiskFreeRate,Dividend,Variance_T0*AnnualVarConvtr,(Simulation!G99)/250,0.5,Variance_Avg*AnnualVarConvtr,Lambda,SQRT(Simulation!N99),Rho,1,"Call")</f>
        <v>-1.4695080053569575E-5</v>
      </c>
      <c r="R99" s="19" t="e">
        <f t="shared" ca="1" si="151"/>
        <v>#VALUE!</v>
      </c>
      <c r="S99" s="19" t="e">
        <f t="shared" ca="1" si="152"/>
        <v>#VALUE!</v>
      </c>
      <c r="T99" s="19" t="e">
        <f t="shared" ca="1" si="157"/>
        <v>#VALUE!</v>
      </c>
      <c r="U99" s="19" t="e">
        <f t="shared" ca="1" si="158"/>
        <v>#VALUE!</v>
      </c>
      <c r="V99" s="21">
        <f t="shared" ca="1" si="159"/>
        <v>1.8157773614994928E-4</v>
      </c>
      <c r="W99">
        <f t="shared" ca="1" si="160"/>
        <v>1.347507833557747E-2</v>
      </c>
      <c r="X99" s="22">
        <f t="shared" ref="X99" ca="1" si="222">BSdelta(1,P99,Strike,W99*AnnualVarConvtr,Dividend,RiskFreeRate,G99/250)</f>
        <v>0</v>
      </c>
      <c r="Y99" s="22">
        <f t="shared" ca="1" si="166"/>
        <v>-3.8103138874533246E-128</v>
      </c>
      <c r="Z99" s="22">
        <f t="shared" ca="1" si="167"/>
        <v>-7.4987774901034925</v>
      </c>
      <c r="AA99">
        <f t="shared" si="154"/>
        <v>0.73884103340948371</v>
      </c>
      <c r="AB99">
        <f t="shared" ref="AB99" ca="1" si="223">BSdelta(1,P99,Strike,AA99/AnnualVarConvtr,Dividend,RiskFreeRate,G99/250)</f>
        <v>0</v>
      </c>
      <c r="AC99">
        <f t="shared" ca="1" si="163"/>
        <v>0</v>
      </c>
      <c r="AD99">
        <f t="shared" ca="1" si="164"/>
        <v>-2.5925427395488683</v>
      </c>
    </row>
    <row r="100" spans="7:30" x14ac:dyDescent="0.25">
      <c r="G100" s="19">
        <v>155</v>
      </c>
      <c r="H100" s="19">
        <f t="shared" ca="1" si="213"/>
        <v>0.73103990850751255</v>
      </c>
      <c r="I100" s="19">
        <f t="shared" ca="1" si="213"/>
        <v>0.74584620545473868</v>
      </c>
      <c r="J100" s="19">
        <f t="shared" ca="1" si="147"/>
        <v>-2.0656746341363059E-2</v>
      </c>
      <c r="K100" s="19">
        <f t="shared" ca="1" si="148"/>
        <v>-0.79129498385412622</v>
      </c>
      <c r="L100" s="19">
        <f t="array" aca="1" ref="L100:M100" ca="1">MMULT(J100:K100,TRANSPOSE($B$10:$C$11))</f>
        <v>-2.0656746341363059E-2</v>
      </c>
      <c r="M100" s="19">
        <f ca="1"/>
        <v>-0.53719660742276254</v>
      </c>
      <c r="N100" s="20">
        <f t="shared" ca="1" si="149"/>
        <v>3.1147640470604539E-2</v>
      </c>
      <c r="O100" s="20">
        <f t="shared" ca="1" si="150"/>
        <v>2.4780310438015454E-2</v>
      </c>
      <c r="P100" s="19">
        <f t="shared" ca="1" si="156"/>
        <v>2.5746912565863208E-3</v>
      </c>
      <c r="Q100" s="19">
        <f ca="1">HCTrans(P100,Strike,RiskFreeRate,Dividend,Variance_T0*AnnualVarConvtr,(Simulation!G100)/250,0.5,Variance_Avg*AnnualVarConvtr,Lambda,SQRT(Simulation!N100),Rho,1,"Call")</f>
        <v>-1.4731363917637377E-5</v>
      </c>
      <c r="R100" s="19" t="e">
        <f t="shared" ca="1" si="151"/>
        <v>#VALUE!</v>
      </c>
      <c r="S100" s="19" t="e">
        <f t="shared" ca="1" si="152"/>
        <v>#VALUE!</v>
      </c>
      <c r="T100" s="19" t="e">
        <f t="shared" ca="1" si="157"/>
        <v>#VALUE!</v>
      </c>
      <c r="U100" s="19" t="e">
        <f t="shared" ca="1" si="158"/>
        <v>#VALUE!</v>
      </c>
      <c r="V100" s="21">
        <f t="shared" ca="1" si="159"/>
        <v>5.7454630531084968E-8</v>
      </c>
      <c r="W100">
        <f t="shared" ca="1" si="160"/>
        <v>2.3969695561497015E-4</v>
      </c>
      <c r="X100" s="22">
        <f t="shared" ref="X100" ca="1" si="224">BSdelta(1,P100,Strike,W100*AnnualVarConvtr,Dividend,RiskFreeRate,G100/250)</f>
        <v>0</v>
      </c>
      <c r="Y100" s="22">
        <f t="shared" ca="1" si="166"/>
        <v>0</v>
      </c>
      <c r="Z100" s="22">
        <f t="shared" ca="1" si="167"/>
        <v>-7.4987775263873564</v>
      </c>
      <c r="AA100">
        <f t="shared" si="154"/>
        <v>0.73884103340948371</v>
      </c>
      <c r="AB100">
        <f t="shared" ref="AB100" ca="1" si="225">BSdelta(1,P100,Strike,AA100/AnnualVarConvtr,Dividend,RiskFreeRate,G100/250)</f>
        <v>0</v>
      </c>
      <c r="AC100">
        <f t="shared" ca="1" si="163"/>
        <v>0</v>
      </c>
      <c r="AD100">
        <f t="shared" ca="1" si="164"/>
        <v>-2.5925427758327322</v>
      </c>
    </row>
    <row r="101" spans="7:30" x14ac:dyDescent="0.25">
      <c r="G101" s="19">
        <v>154</v>
      </c>
      <c r="H101" s="19">
        <f t="shared" ca="1" si="213"/>
        <v>0.86780580987139577</v>
      </c>
      <c r="I101" s="19">
        <f t="shared" ca="1" si="213"/>
        <v>0.34656272461310522</v>
      </c>
      <c r="J101" s="19">
        <f t="shared" ca="1" si="147"/>
        <v>-0.30362917529740679</v>
      </c>
      <c r="K101" s="19">
        <f t="shared" ca="1" si="148"/>
        <v>0.43747450817520089</v>
      </c>
      <c r="L101" s="19">
        <f t="array" aca="1" ref="L101:M101" ca="1">MMULT(J101:K101,TRANSPOSE($B$10:$C$11))</f>
        <v>-0.30362917529740679</v>
      </c>
      <c r="M101" s="19">
        <f ca="1"/>
        <v>0.52272687379260996</v>
      </c>
      <c r="N101" s="20">
        <f t="shared" ca="1" si="149"/>
        <v>3.3323050654869901E-2</v>
      </c>
      <c r="O101" s="20">
        <f t="shared" ca="1" si="150"/>
        <v>2.1391197259823361E-2</v>
      </c>
      <c r="P101" s="19">
        <f t="shared" ca="1" si="156"/>
        <v>2.1895287938586004E-3</v>
      </c>
      <c r="Q101" s="19">
        <f ca="1">HCTrans(P101,Strike,RiskFreeRate,Dividend,Variance_T0*AnnualVarConvtr,(Simulation!G101)/250,0.5,Variance_Avg*AnnualVarConvtr,Lambda,SQRT(Simulation!N101),Rho,1,"Call")</f>
        <v>-1.4765876514938672E-5</v>
      </c>
      <c r="R101" s="19" t="e">
        <f t="shared" ca="1" si="151"/>
        <v>#VALUE!</v>
      </c>
      <c r="S101" s="19" t="e">
        <f t="shared" ca="1" si="152"/>
        <v>#VALUE!</v>
      </c>
      <c r="T101" s="19" t="e">
        <f t="shared" ca="1" si="157"/>
        <v>#VALUE!</v>
      </c>
      <c r="U101" s="19" t="e">
        <f t="shared" ca="1" si="158"/>
        <v>#VALUE!</v>
      </c>
      <c r="V101" s="21">
        <f t="shared" ca="1" si="159"/>
        <v>1.1486088134595304E-5</v>
      </c>
      <c r="W101">
        <f t="shared" ca="1" si="160"/>
        <v>3.3891131781920922E-3</v>
      </c>
      <c r="X101" s="22">
        <f t="shared" ref="X101" ca="1" si="226">BSdelta(1,P101,Strike,W101*AnnualVarConvtr,Dividend,RiskFreeRate,G101/250)</f>
        <v>0</v>
      </c>
      <c r="Y101" s="22">
        <f t="shared" ca="1" si="166"/>
        <v>0</v>
      </c>
      <c r="Z101" s="22">
        <f t="shared" ca="1" si="167"/>
        <v>-7.4987775608999536</v>
      </c>
      <c r="AA101">
        <f t="shared" si="154"/>
        <v>0.73884103340948371</v>
      </c>
      <c r="AB101">
        <f t="shared" ref="AB101" ca="1" si="227">BSdelta(1,P101,Strike,AA101/AnnualVarConvtr,Dividend,RiskFreeRate,G101/250)</f>
        <v>0</v>
      </c>
      <c r="AC101">
        <f t="shared" ca="1" si="163"/>
        <v>0</v>
      </c>
      <c r="AD101">
        <f t="shared" ca="1" si="164"/>
        <v>-2.5925428103453294</v>
      </c>
    </row>
    <row r="102" spans="7:30" x14ac:dyDescent="0.25">
      <c r="G102" s="19">
        <v>153</v>
      </c>
      <c r="H102" s="19">
        <f t="shared" ca="1" si="213"/>
        <v>0.28836990383165195</v>
      </c>
      <c r="I102" s="19">
        <f t="shared" ca="1" si="213"/>
        <v>0.93099404127368202</v>
      </c>
      <c r="J102" s="19">
        <f t="shared" ca="1" si="147"/>
        <v>1.4311050263080227</v>
      </c>
      <c r="K102" s="19">
        <f t="shared" ca="1" si="148"/>
        <v>-0.66254122362442236</v>
      </c>
      <c r="L102" s="19">
        <f t="array" aca="1" ref="L102:M102" ca="1">MMULT(J102:K102,TRANSPOSE($B$10:$C$11))</f>
        <v>1.4311050263080227</v>
      </c>
      <c r="M102" s="19">
        <f ca="1"/>
        <v>-1.4875669564287084</v>
      </c>
      <c r="N102" s="20">
        <f t="shared" ca="1" si="149"/>
        <v>2.685789303293663E-2</v>
      </c>
      <c r="O102" s="20">
        <f t="shared" ca="1" si="150"/>
        <v>3.791362569133442E-2</v>
      </c>
      <c r="P102" s="19">
        <f t="shared" ca="1" si="156"/>
        <v>1.8336372211677332E-3</v>
      </c>
      <c r="Q102" s="19">
        <f ca="1">HCTrans(P102,Strike,RiskFreeRate,Dividend,Variance_T0*AnnualVarConvtr,(Simulation!G102)/250,0.5,Variance_Avg*AnnualVarConvtr,Lambda,SQRT(Simulation!N102),Rho,1,"Call")</f>
        <v>-1.480006643724322E-5</v>
      </c>
      <c r="R102" s="19" t="e">
        <f t="shared" ca="1" si="151"/>
        <v>#VALUE!</v>
      </c>
      <c r="S102" s="19" t="e">
        <f t="shared" ca="1" si="152"/>
        <v>#VALUE!</v>
      </c>
      <c r="T102" s="19" t="e">
        <f t="shared" ca="1" si="157"/>
        <v>#VALUE!</v>
      </c>
      <c r="U102" s="19" t="e">
        <f t="shared" ca="1" si="158"/>
        <v>#VALUE!</v>
      </c>
      <c r="V102" s="21">
        <f t="shared" ca="1" si="159"/>
        <v>2.7299064127440497E-4</v>
      </c>
      <c r="W102">
        <f t="shared" ca="1" si="160"/>
        <v>1.6522428431511058E-2</v>
      </c>
      <c r="X102" s="22">
        <f t="shared" ref="X102" ca="1" si="228">BSdelta(1,P102,Strike,W102*AnnualVarConvtr,Dividend,RiskFreeRate,G102/250)</f>
        <v>0</v>
      </c>
      <c r="Y102" s="22">
        <f t="shared" ca="1" si="166"/>
        <v>0</v>
      </c>
      <c r="Z102" s="22">
        <f t="shared" ca="1" si="167"/>
        <v>-7.4987775950898756</v>
      </c>
      <c r="AA102">
        <f t="shared" si="154"/>
        <v>0.73884103340948371</v>
      </c>
      <c r="AB102">
        <f t="shared" ref="AB102" ca="1" si="229">BSdelta(1,P102,Strike,AA102/AnnualVarConvtr,Dividend,RiskFreeRate,G102/250)</f>
        <v>0</v>
      </c>
      <c r="AC102">
        <f t="shared" ca="1" si="163"/>
        <v>0</v>
      </c>
      <c r="AD102">
        <f t="shared" ca="1" si="164"/>
        <v>-2.5925428445352519</v>
      </c>
    </row>
    <row r="103" spans="7:30" x14ac:dyDescent="0.25">
      <c r="G103" s="19">
        <v>152</v>
      </c>
      <c r="H103" s="19">
        <f t="shared" ca="1" si="213"/>
        <v>2.5835052193502905E-2</v>
      </c>
      <c r="I103" s="19">
        <f t="shared" ca="1" si="213"/>
        <v>0.87344668409512172</v>
      </c>
      <c r="J103" s="19">
        <f t="shared" ca="1" si="147"/>
        <v>1.8933208199753673</v>
      </c>
      <c r="K103" s="19">
        <f t="shared" ca="1" si="148"/>
        <v>-1.9306430189476305</v>
      </c>
      <c r="L103" s="19">
        <f t="array" aca="1" ref="L103:M103" ca="1">MMULT(J103:K103,TRANSPOSE($B$10:$C$11))</f>
        <v>1.8933208199753673</v>
      </c>
      <c r="M103" s="19">
        <f ca="1"/>
        <v>-2.7033560155100904</v>
      </c>
      <c r="N103" s="20">
        <f t="shared" ca="1" si="149"/>
        <v>1.6987979205699347E-2</v>
      </c>
      <c r="O103" s="20">
        <f t="shared" ca="1" si="150"/>
        <v>5.7537745029360599E-2</v>
      </c>
      <c r="P103" s="19">
        <f t="shared" ca="1" si="156"/>
        <v>1.5360832424095149E-3</v>
      </c>
      <c r="Q103" s="19">
        <f ca="1">HCTrans(P103,Strike,RiskFreeRate,Dividend,Variance_T0*AnnualVarConvtr,(Simulation!G103)/250,0.5,Variance_Avg*AnnualVarConvtr,Lambda,SQRT(Simulation!N103),Rho,1,"Call")</f>
        <v>-1.483077498025745E-5</v>
      </c>
      <c r="R103" s="19" t="e">
        <f t="shared" ca="1" si="151"/>
        <v>#VALUE!</v>
      </c>
      <c r="S103" s="19" t="e">
        <f t="shared" ca="1" si="152"/>
        <v>#VALUE!</v>
      </c>
      <c r="T103" s="19" t="e">
        <f t="shared" ca="1" si="157"/>
        <v>#VALUE!</v>
      </c>
      <c r="U103" s="19" t="e">
        <f t="shared" ca="1" si="158"/>
        <v>#VALUE!</v>
      </c>
      <c r="V103" s="21">
        <f t="shared" ca="1" si="159"/>
        <v>3.8510605979309303E-4</v>
      </c>
      <c r="W103">
        <f t="shared" ca="1" si="160"/>
        <v>1.9624119338026179E-2</v>
      </c>
      <c r="X103" s="22">
        <f t="shared" ref="X103" ca="1" si="230">BSdelta(1,P103,Strike,W103*AnnualVarConvtr,Dividend,RiskFreeRate,G103/250)</f>
        <v>0</v>
      </c>
      <c r="Y103" s="22">
        <f t="shared" ca="1" si="166"/>
        <v>0</v>
      </c>
      <c r="Z103" s="22">
        <f t="shared" ca="1" si="167"/>
        <v>-7.4987776257984189</v>
      </c>
      <c r="AA103">
        <f t="shared" si="154"/>
        <v>0.73884103340948371</v>
      </c>
      <c r="AB103">
        <f t="shared" ref="AB103" ca="1" si="231">BSdelta(1,P103,Strike,AA103/AnnualVarConvtr,Dividend,RiskFreeRate,G103/250)</f>
        <v>0</v>
      </c>
      <c r="AC103">
        <f t="shared" ca="1" si="163"/>
        <v>0</v>
      </c>
      <c r="AD103">
        <f t="shared" ca="1" si="164"/>
        <v>-2.5925428752437947</v>
      </c>
    </row>
    <row r="104" spans="7:30" x14ac:dyDescent="0.25">
      <c r="G104" s="19">
        <v>151</v>
      </c>
      <c r="H104" s="19">
        <f t="shared" ca="1" si="213"/>
        <v>0.97362244767923312</v>
      </c>
      <c r="I104" s="19">
        <f t="shared" ca="1" si="213"/>
        <v>0.41426459829626949</v>
      </c>
      <c r="J104" s="19">
        <f t="shared" ca="1" si="147"/>
        <v>-0.19847604506164271</v>
      </c>
      <c r="K104" s="19">
        <f t="shared" ca="1" si="148"/>
        <v>0.11861965246642164</v>
      </c>
      <c r="L104" s="19">
        <f t="array" aca="1" ref="L104:M104" ca="1">MMULT(J104:K104,TRANSPOSE($B$10:$C$11))</f>
        <v>-0.19847604506164271</v>
      </c>
      <c r="M104" s="19">
        <f ca="1"/>
        <v>0.22495562462612251</v>
      </c>
      <c r="N104" s="20">
        <f t="shared" ca="1" si="149"/>
        <v>1.7661821661927552E-2</v>
      </c>
      <c r="O104" s="20">
        <f t="shared" ca="1" si="150"/>
        <v>5.5901648386926246E-2</v>
      </c>
      <c r="P104" s="19">
        <f t="shared" ca="1" si="156"/>
        <v>1.2613083887557004E-3</v>
      </c>
      <c r="Q104" s="19">
        <f ca="1">HCTrans(P104,Strike,RiskFreeRate,Dividend,Variance_T0*AnnualVarConvtr,(Simulation!G104)/250,0.5,Variance_Avg*AnnualVarConvtr,Lambda,SQRT(Simulation!N104),Rho,1,"Call")</f>
        <v>-1.486134309766499E-5</v>
      </c>
      <c r="R104" s="19" t="e">
        <f t="shared" ca="1" si="151"/>
        <v>#VALUE!</v>
      </c>
      <c r="S104" s="19" t="e">
        <f t="shared" ca="1" si="152"/>
        <v>#VALUE!</v>
      </c>
      <c r="T104" s="19" t="e">
        <f t="shared" ca="1" si="157"/>
        <v>#VALUE!</v>
      </c>
      <c r="U104" s="19" t="e">
        <f t="shared" ca="1" si="158"/>
        <v>#VALUE!</v>
      </c>
      <c r="V104" s="21">
        <f t="shared" ca="1" si="159"/>
        <v>2.6768122233849607E-6</v>
      </c>
      <c r="W104">
        <f t="shared" ca="1" si="160"/>
        <v>1.6360966424343523E-3</v>
      </c>
      <c r="X104" s="22">
        <f t="shared" ref="X104" ca="1" si="232">BSdelta(1,P104,Strike,W104*AnnualVarConvtr,Dividend,RiskFreeRate,G104/250)</f>
        <v>0</v>
      </c>
      <c r="Y104" s="22">
        <f t="shared" ca="1" si="166"/>
        <v>0</v>
      </c>
      <c r="Z104" s="22">
        <f t="shared" ca="1" si="167"/>
        <v>-7.4987776563665367</v>
      </c>
      <c r="AA104">
        <f t="shared" si="154"/>
        <v>0.73884103340948371</v>
      </c>
      <c r="AB104">
        <f t="shared" ref="AB104" ca="1" si="233">BSdelta(1,P104,Strike,AA104/AnnualVarConvtr,Dividend,RiskFreeRate,G104/250)</f>
        <v>0</v>
      </c>
      <c r="AC104">
        <f t="shared" ca="1" si="163"/>
        <v>0</v>
      </c>
      <c r="AD104">
        <f t="shared" ca="1" si="164"/>
        <v>-2.592542905811912</v>
      </c>
    </row>
    <row r="105" spans="7:30" x14ac:dyDescent="0.25">
      <c r="G105" s="19">
        <v>150</v>
      </c>
      <c r="H105" s="19">
        <f t="shared" ca="1" si="213"/>
        <v>0.45645434303103993</v>
      </c>
      <c r="I105" s="19">
        <f t="shared" ca="1" si="213"/>
        <v>0.11786801307710704</v>
      </c>
      <c r="J105" s="19">
        <f t="shared" ca="1" si="147"/>
        <v>0.92437060510589408</v>
      </c>
      <c r="K105" s="19">
        <f t="shared" ca="1" si="148"/>
        <v>0.84502791838272873</v>
      </c>
      <c r="L105" s="19">
        <f t="array" aca="1" ref="L105:M105" ca="1">MMULT(J105:K105,TRANSPOSE($B$10:$C$11))</f>
        <v>0.92437060510589408</v>
      </c>
      <c r="M105" s="19">
        <f ca="1"/>
        <v>-7.2830970875215284E-2</v>
      </c>
      <c r="N105" s="20">
        <f t="shared" ca="1" si="149"/>
        <v>1.7369007478921745E-2</v>
      </c>
      <c r="O105" s="20">
        <f t="shared" ca="1" si="150"/>
        <v>6.3671162676587151E-2</v>
      </c>
      <c r="P105" s="19">
        <f t="shared" ca="1" si="156"/>
        <v>1.048051098541111E-3</v>
      </c>
      <c r="Q105" s="19">
        <f ca="1">HCTrans(P105,Strike,RiskFreeRate,Dividend,Variance_T0*AnnualVarConvtr,(Simulation!G105)/250,0.5,Variance_Avg*AnnualVarConvtr,Lambda,SQRT(Simulation!N105),Rho,1,"Call")</f>
        <v>-1.4886941312257504E-5</v>
      </c>
      <c r="R105" s="19" t="e">
        <f t="shared" ca="1" si="151"/>
        <v>#VALUE!</v>
      </c>
      <c r="S105" s="19" t="e">
        <f t="shared" ca="1" si="152"/>
        <v>#VALUE!</v>
      </c>
      <c r="T105" s="19" t="e">
        <f t="shared" ca="1" si="157"/>
        <v>#VALUE!</v>
      </c>
      <c r="U105" s="19" t="e">
        <f t="shared" ca="1" si="158"/>
        <v>#VALUE!</v>
      </c>
      <c r="V105" s="21">
        <f t="shared" ca="1" si="159"/>
        <v>6.0365352297244988E-5</v>
      </c>
      <c r="W105">
        <f t="shared" ca="1" si="160"/>
        <v>7.7695142896609046E-3</v>
      </c>
      <c r="X105" s="22">
        <f t="shared" ref="X105" ca="1" si="234">BSdelta(1,P105,Strike,W105*AnnualVarConvtr,Dividend,RiskFreeRate,G105/250)</f>
        <v>0</v>
      </c>
      <c r="Y105" s="22">
        <f t="shared" ca="1" si="166"/>
        <v>0</v>
      </c>
      <c r="Z105" s="22">
        <f t="shared" ca="1" si="167"/>
        <v>-7.4987776819647509</v>
      </c>
      <c r="AA105">
        <f t="shared" si="154"/>
        <v>0.73884103340948371</v>
      </c>
      <c r="AB105">
        <f t="shared" ref="AB105" ca="1" si="235">BSdelta(1,P105,Strike,AA105/AnnualVarConvtr,Dividend,RiskFreeRate,G105/250)</f>
        <v>0</v>
      </c>
      <c r="AC105">
        <f t="shared" ca="1" si="163"/>
        <v>0</v>
      </c>
      <c r="AD105">
        <f t="shared" ca="1" si="164"/>
        <v>-2.5925429314101267</v>
      </c>
    </row>
    <row r="106" spans="7:30" x14ac:dyDescent="0.25">
      <c r="G106" s="19">
        <v>149</v>
      </c>
      <c r="H106" s="19">
        <f t="shared" ca="1" si="213"/>
        <v>0.3820710587051398</v>
      </c>
      <c r="I106" s="19">
        <f t="shared" ca="1" si="213"/>
        <v>0.38725992742055471</v>
      </c>
      <c r="J106" s="19">
        <f t="shared" ca="1" si="147"/>
        <v>-1.0534677445964316</v>
      </c>
      <c r="K106" s="19">
        <f t="shared" ca="1" si="148"/>
        <v>0.90249822788680689</v>
      </c>
      <c r="L106" s="19">
        <f t="array" aca="1" ref="L106:M106" ca="1">MMULT(J106:K106,TRANSPOSE($B$10:$C$11))</f>
        <v>-1.0534677445964316</v>
      </c>
      <c r="M106" s="19">
        <f ca="1"/>
        <v>1.3843807527316874</v>
      </c>
      <c r="N106" s="20">
        <f t="shared" ca="1" si="149"/>
        <v>2.2076075715111509E-2</v>
      </c>
      <c r="O106" s="20">
        <f t="shared" ca="1" si="150"/>
        <v>5.4890268575401968E-2</v>
      </c>
      <c r="P106" s="19">
        <f t="shared" ca="1" si="156"/>
        <v>8.6950961692298728E-4</v>
      </c>
      <c r="Q106" s="19">
        <f ca="1">HCTrans(P106,Strike,RiskFreeRate,Dividend,Variance_T0*AnnualVarConvtr,(Simulation!G106)/250,0.5,Variance_Avg*AnnualVarConvtr,Lambda,SQRT(Simulation!N106),Rho,1,"Call")</f>
        <v>-1.490997741153638E-5</v>
      </c>
      <c r="R106" s="19" t="e">
        <f t="shared" ca="1" si="151"/>
        <v>#VALUE!</v>
      </c>
      <c r="S106" s="19" t="e">
        <f t="shared" ca="1" si="152"/>
        <v>#VALUE!</v>
      </c>
      <c r="T106" s="19" t="e">
        <f t="shared" ca="1" si="157"/>
        <v>#VALUE!</v>
      </c>
      <c r="U106" s="19" t="e">
        <f t="shared" ca="1" si="158"/>
        <v>#VALUE!</v>
      </c>
      <c r="V106" s="21">
        <f t="shared" ca="1" si="159"/>
        <v>7.7104101216228743E-5</v>
      </c>
      <c r="W106">
        <f t="shared" ca="1" si="160"/>
        <v>8.7808941011851827E-3</v>
      </c>
      <c r="X106" s="22">
        <f t="shared" ref="X106" ca="1" si="236">BSdelta(1,P106,Strike,W106*AnnualVarConvtr,Dividend,RiskFreeRate,G106/250)</f>
        <v>0</v>
      </c>
      <c r="Y106" s="22">
        <f t="shared" ca="1" si="166"/>
        <v>0</v>
      </c>
      <c r="Z106" s="22">
        <f t="shared" ca="1" si="167"/>
        <v>-7.4987777050008502</v>
      </c>
      <c r="AA106">
        <f t="shared" si="154"/>
        <v>0.73884103340948371</v>
      </c>
      <c r="AB106">
        <f t="shared" ref="AB106" ca="1" si="237">BSdelta(1,P106,Strike,AA106/AnnualVarConvtr,Dividend,RiskFreeRate,G106/250)</f>
        <v>0</v>
      </c>
      <c r="AC106">
        <f t="shared" ca="1" si="163"/>
        <v>0</v>
      </c>
      <c r="AD106">
        <f t="shared" ca="1" si="164"/>
        <v>-2.592542954446226</v>
      </c>
    </row>
    <row r="107" spans="7:30" x14ac:dyDescent="0.25">
      <c r="G107" s="19">
        <v>148</v>
      </c>
      <c r="H107" s="19">
        <f t="shared" ca="1" si="213"/>
        <v>0.30318236185723335</v>
      </c>
      <c r="I107" s="19">
        <f t="shared" ca="1" si="213"/>
        <v>0.63023362951733619</v>
      </c>
      <c r="J107" s="19">
        <f t="shared" ca="1" si="147"/>
        <v>-1.0559302986071795</v>
      </c>
      <c r="K107" s="19">
        <f t="shared" ca="1" si="148"/>
        <v>-1.1277645165918402</v>
      </c>
      <c r="L107" s="19">
        <f t="array" aca="1" ref="L107:M107" ca="1">MMULT(J107:K107,TRANSPOSE($B$10:$C$11))</f>
        <v>-1.0559302986071795</v>
      </c>
      <c r="M107" s="19">
        <f ca="1"/>
        <v>-3.0139909890322558E-2</v>
      </c>
      <c r="N107" s="20">
        <f t="shared" ca="1" si="149"/>
        <v>2.1886727096949533E-2</v>
      </c>
      <c r="O107" s="20">
        <f t="shared" ca="1" si="150"/>
        <v>4.4967652575308749E-2</v>
      </c>
      <c r="P107" s="19">
        <f t="shared" ca="1" si="156"/>
        <v>7.1321448693293461E-4</v>
      </c>
      <c r="Q107" s="19">
        <f ca="1">HCTrans(P107,Strike,RiskFreeRate,Dividend,Variance_T0*AnnualVarConvtr,(Simulation!G107)/250,0.5,Variance_Avg*AnnualVarConvtr,Lambda,SQRT(Simulation!N107),Rho,1,"Call")</f>
        <v>-1.4931714202205877E-5</v>
      </c>
      <c r="R107" s="19" t="e">
        <f t="shared" ca="1" si="151"/>
        <v>#VALUE!</v>
      </c>
      <c r="S107" s="19" t="e">
        <f t="shared" ca="1" si="152"/>
        <v>#VALUE!</v>
      </c>
      <c r="T107" s="19" t="e">
        <f t="shared" ca="1" si="157"/>
        <v>#VALUE!</v>
      </c>
      <c r="U107" s="19" t="e">
        <f t="shared" ca="1" si="158"/>
        <v>#VALUE!</v>
      </c>
      <c r="V107" s="21">
        <f t="shared" ca="1" si="159"/>
        <v>9.8458308285305959E-5</v>
      </c>
      <c r="W107">
        <f t="shared" ca="1" si="160"/>
        <v>9.9226160000932193E-3</v>
      </c>
      <c r="X107" s="22">
        <f t="shared" ref="X107" ca="1" si="238">BSdelta(1,P107,Strike,W107*AnnualVarConvtr,Dividend,RiskFreeRate,G107/250)</f>
        <v>0</v>
      </c>
      <c r="Y107" s="22">
        <f t="shared" ca="1" si="166"/>
        <v>0</v>
      </c>
      <c r="Z107" s="22">
        <f t="shared" ca="1" si="167"/>
        <v>-7.4987777267376412</v>
      </c>
      <c r="AA107">
        <f t="shared" si="154"/>
        <v>0.73884103340948371</v>
      </c>
      <c r="AB107">
        <f t="shared" ref="AB107" ca="1" si="239">BSdelta(1,P107,Strike,AA107/AnnualVarConvtr,Dividend,RiskFreeRate,G107/250)</f>
        <v>0</v>
      </c>
      <c r="AC107">
        <f t="shared" ca="1" si="163"/>
        <v>0</v>
      </c>
      <c r="AD107">
        <f t="shared" ca="1" si="164"/>
        <v>-2.5925429761830165</v>
      </c>
    </row>
    <row r="108" spans="7:30" x14ac:dyDescent="0.25">
      <c r="G108" s="19">
        <v>147</v>
      </c>
      <c r="H108" s="19">
        <f t="shared" ca="1" si="213"/>
        <v>0.62314950116407175</v>
      </c>
      <c r="I108" s="19">
        <f t="shared" ca="1" si="213"/>
        <v>0.2413454104765097</v>
      </c>
      <c r="J108" s="19">
        <f t="shared" ca="1" si="147"/>
        <v>5.2861993813424539E-2</v>
      </c>
      <c r="K108" s="19">
        <f t="shared" ca="1" si="148"/>
        <v>0.97115562503863639</v>
      </c>
      <c r="L108" s="19">
        <f t="array" aca="1" ref="L108:M108" ca="1">MMULT(J108:K108,TRANSPOSE($B$10:$C$11))</f>
        <v>5.2861993813424539E-2</v>
      </c>
      <c r="M108" s="19">
        <f ca="1"/>
        <v>0.63959000913893871</v>
      </c>
      <c r="N108" s="20">
        <f t="shared" ca="1" si="149"/>
        <v>2.4189700718093756E-2</v>
      </c>
      <c r="O108" s="20">
        <f t="shared" ca="1" si="150"/>
        <v>4.5462263775613583E-2</v>
      </c>
      <c r="P108" s="19">
        <f t="shared" ca="1" si="156"/>
        <v>5.8243233811381475E-4</v>
      </c>
      <c r="Q108" s="19">
        <f ca="1">HCTrans(P108,Strike,RiskFreeRate,Dividend,Variance_T0*AnnualVarConvtr,(Simulation!G108)/250,0.5,Variance_Avg*AnnualVarConvtr,Lambda,SQRT(Simulation!N108),Rho,1,"Call")</f>
        <v>-1.4951339839918928E-5</v>
      </c>
      <c r="R108" s="19" t="e">
        <f t="shared" ca="1" si="151"/>
        <v>#VALUE!</v>
      </c>
      <c r="S108" s="19" t="e">
        <f t="shared" ca="1" si="152"/>
        <v>#VALUE!</v>
      </c>
      <c r="T108" s="19" t="e">
        <f t="shared" ca="1" si="157"/>
        <v>#VALUE!</v>
      </c>
      <c r="U108" s="19" t="e">
        <f t="shared" ca="1" si="158"/>
        <v>#VALUE!</v>
      </c>
      <c r="V108" s="21">
        <f t="shared" ca="1" si="159"/>
        <v>2.4464023946698882E-7</v>
      </c>
      <c r="W108">
        <f t="shared" ca="1" si="160"/>
        <v>4.9461120030483419E-4</v>
      </c>
      <c r="X108" s="22">
        <f t="shared" ref="X108" ca="1" si="240">BSdelta(1,P108,Strike,W108*AnnualVarConvtr,Dividend,RiskFreeRate,G108/250)</f>
        <v>0</v>
      </c>
      <c r="Y108" s="22">
        <f t="shared" ca="1" si="166"/>
        <v>0</v>
      </c>
      <c r="Z108" s="22">
        <f t="shared" ca="1" si="167"/>
        <v>-7.4987777463632792</v>
      </c>
      <c r="AA108">
        <f t="shared" si="154"/>
        <v>0.73884103340948371</v>
      </c>
      <c r="AB108">
        <f t="shared" ref="AB108" ca="1" si="241">BSdelta(1,P108,Strike,AA108/AnnualVarConvtr,Dividend,RiskFreeRate,G108/250)</f>
        <v>0</v>
      </c>
      <c r="AC108">
        <f t="shared" ca="1" si="163"/>
        <v>0</v>
      </c>
      <c r="AD108">
        <f t="shared" ca="1" si="164"/>
        <v>-2.5925429958086541</v>
      </c>
    </row>
    <row r="109" spans="7:30" x14ac:dyDescent="0.25">
      <c r="G109" s="19">
        <v>146</v>
      </c>
      <c r="H109" s="19">
        <f t="shared" ca="1" si="213"/>
        <v>0.60215157040101519</v>
      </c>
      <c r="I109" s="19">
        <f t="shared" ca="1" si="213"/>
        <v>0.97032123715969165</v>
      </c>
      <c r="J109" s="19">
        <f t="shared" ca="1" si="147"/>
        <v>0.98975831135527359</v>
      </c>
      <c r="K109" s="19">
        <f t="shared" ca="1" si="148"/>
        <v>-0.18673687285000176</v>
      </c>
      <c r="L109" s="19">
        <f t="array" aca="1" ref="L109:M109" ca="1">MMULT(J109:K109,TRANSPOSE($B$10:$C$11))</f>
        <v>0.98975831135527359</v>
      </c>
      <c r="M109" s="19">
        <f ca="1"/>
        <v>-0.83942706206285145</v>
      </c>
      <c r="N109" s="20">
        <f t="shared" ca="1" si="149"/>
        <v>2.1003449909030025E-2</v>
      </c>
      <c r="O109" s="20">
        <f t="shared" ca="1" si="150"/>
        <v>5.5198125578733069E-2</v>
      </c>
      <c r="P109" s="19">
        <f t="shared" ca="1" si="156"/>
        <v>4.6678118778534201E-4</v>
      </c>
      <c r="Q109" s="19">
        <f ca="1">HCTrans(P109,Strike,RiskFreeRate,Dividend,Variance_T0*AnnualVarConvtr,(Simulation!G109)/250,0.5,Variance_Avg*AnnualVarConvtr,Lambda,SQRT(Simulation!N109),Rho,1,"Call")</f>
        <v>-1.4970120340742092E-5</v>
      </c>
      <c r="R109" s="19" t="e">
        <f t="shared" ca="1" si="151"/>
        <v>#VALUE!</v>
      </c>
      <c r="S109" s="19" t="e">
        <f t="shared" ca="1" si="152"/>
        <v>#VALUE!</v>
      </c>
      <c r="T109" s="19" t="e">
        <f t="shared" ca="1" si="157"/>
        <v>#VALUE!</v>
      </c>
      <c r="U109" s="19" t="e">
        <f t="shared" ca="1" si="158"/>
        <v>#VALUE!</v>
      </c>
      <c r="V109" s="21">
        <f t="shared" ca="1" si="159"/>
        <v>9.4787005049441008E-5</v>
      </c>
      <c r="W109">
        <f t="shared" ca="1" si="160"/>
        <v>9.735861803119486E-3</v>
      </c>
      <c r="X109" s="22">
        <f t="shared" ref="X109" ca="1" si="242">BSdelta(1,P109,Strike,W109*AnnualVarConvtr,Dividend,RiskFreeRate,G109/250)</f>
        <v>0</v>
      </c>
      <c r="Y109" s="22">
        <f t="shared" ca="1" si="166"/>
        <v>0</v>
      </c>
      <c r="Z109" s="22">
        <f t="shared" ca="1" si="167"/>
        <v>-7.4987777651437799</v>
      </c>
      <c r="AA109">
        <f t="shared" si="154"/>
        <v>0.73884103340948371</v>
      </c>
      <c r="AB109">
        <f t="shared" ref="AB109" ca="1" si="243">BSdelta(1,P109,Strike,AA109/AnnualVarConvtr,Dividend,RiskFreeRate,G109/250)</f>
        <v>0</v>
      </c>
      <c r="AC109">
        <f t="shared" ca="1" si="163"/>
        <v>0</v>
      </c>
      <c r="AD109">
        <f t="shared" ca="1" si="164"/>
        <v>-2.5925430145891548</v>
      </c>
    </row>
    <row r="110" spans="7:30" x14ac:dyDescent="0.25">
      <c r="G110" s="19">
        <v>145</v>
      </c>
      <c r="H110" s="19">
        <f t="shared" ca="1" si="213"/>
        <v>0.24448706819316679</v>
      </c>
      <c r="I110" s="19">
        <f t="shared" ca="1" si="213"/>
        <v>0.64721800972540122</v>
      </c>
      <c r="J110" s="19">
        <f t="shared" ca="1" si="147"/>
        <v>-1.0101503488661667</v>
      </c>
      <c r="K110" s="19">
        <f t="shared" ca="1" si="148"/>
        <v>-1.340440971198847</v>
      </c>
      <c r="L110" s="19">
        <f t="array" aca="1" ref="L110:M110" ca="1">MMULT(J110:K110,TRANSPOSE($B$10:$C$11))</f>
        <v>-1.0101503488661667</v>
      </c>
      <c r="M110" s="19">
        <f ca="1"/>
        <v>-0.21130159324492315</v>
      </c>
      <c r="N110" s="20">
        <f t="shared" ca="1" si="149"/>
        <v>2.0185282972789851E-2</v>
      </c>
      <c r="O110" s="20">
        <f t="shared" ca="1" si="150"/>
        <v>4.5939184262656738E-2</v>
      </c>
      <c r="P110" s="19">
        <f t="shared" ca="1" si="156"/>
        <v>3.7826735247869738E-4</v>
      </c>
      <c r="Q110" s="19">
        <f ca="1">HCTrans(P110,Strike,RiskFreeRate,Dividend,Variance_T0*AnnualVarConvtr,(Simulation!G110)/250,0.5,Variance_Avg*AnnualVarConvtr,Lambda,SQRT(Simulation!N110),Rho,1,"Call")</f>
        <v>-1.4985687348787282E-5</v>
      </c>
      <c r="R110" s="19" t="e">
        <f t="shared" ca="1" si="151"/>
        <v>#VALUE!</v>
      </c>
      <c r="S110" s="19" t="e">
        <f t="shared" ca="1" si="152"/>
        <v>#VALUE!</v>
      </c>
      <c r="T110" s="19" t="e">
        <f t="shared" ca="1" si="157"/>
        <v>#VALUE!</v>
      </c>
      <c r="U110" s="19" t="e">
        <f t="shared" ca="1" si="158"/>
        <v>#VALUE!</v>
      </c>
      <c r="V110" s="21">
        <f t="shared" ca="1" si="159"/>
        <v>8.5727994294545313E-5</v>
      </c>
      <c r="W110">
        <f t="shared" ca="1" si="160"/>
        <v>9.2589413160763315E-3</v>
      </c>
      <c r="X110" s="22">
        <f t="shared" ref="X110" ca="1" si="244">BSdelta(1,P110,Strike,W110*AnnualVarConvtr,Dividend,RiskFreeRate,G110/250)</f>
        <v>0</v>
      </c>
      <c r="Y110" s="22">
        <f t="shared" ca="1" si="166"/>
        <v>0</v>
      </c>
      <c r="Z110" s="22">
        <f t="shared" ca="1" si="167"/>
        <v>-7.498777780710788</v>
      </c>
      <c r="AA110">
        <f t="shared" si="154"/>
        <v>0.73884103340948371</v>
      </c>
      <c r="AB110">
        <f t="shared" ref="AB110" ca="1" si="245">BSdelta(1,P110,Strike,AA110/AnnualVarConvtr,Dividend,RiskFreeRate,G110/250)</f>
        <v>0</v>
      </c>
      <c r="AC110">
        <f t="shared" ca="1" si="163"/>
        <v>0</v>
      </c>
      <c r="AD110">
        <f t="shared" ca="1" si="164"/>
        <v>-2.5925430301561629</v>
      </c>
    </row>
    <row r="111" spans="7:30" x14ac:dyDescent="0.25">
      <c r="G111" s="19">
        <v>144</v>
      </c>
      <c r="H111" s="19">
        <f t="shared" ca="1" si="213"/>
        <v>0.87367900628562223</v>
      </c>
      <c r="I111" s="19">
        <f t="shared" ca="1" si="213"/>
        <v>0.68000396164991606</v>
      </c>
      <c r="J111" s="19">
        <f t="shared" ca="1" si="147"/>
        <v>-0.22126431435147439</v>
      </c>
      <c r="K111" s="19">
        <f t="shared" ca="1" si="148"/>
        <v>-0.47024098519802515</v>
      </c>
      <c r="L111" s="19">
        <f t="array" aca="1" ref="L111:M111" ca="1">MMULT(J111:K111,TRANSPOSE($B$10:$C$11))</f>
        <v>-0.22126431435147439</v>
      </c>
      <c r="M111" s="19">
        <f ca="1"/>
        <v>-0.16949815985889882</v>
      </c>
      <c r="N111" s="20">
        <f t="shared" ca="1" si="149"/>
        <v>1.9529462231193204E-2</v>
      </c>
      <c r="O111" s="20">
        <f t="shared" ca="1" si="150"/>
        <v>4.3950990106372989E-2</v>
      </c>
      <c r="P111" s="19">
        <f t="shared" ca="1" si="156"/>
        <v>3.0189368436514758E-4</v>
      </c>
      <c r="Q111" s="19">
        <f ca="1">HCTrans(P111,Strike,RiskFreeRate,Dividend,Variance_T0*AnnualVarConvtr,(Simulation!G111)/250,0.5,Variance_Avg*AnnualVarConvtr,Lambda,SQRT(Simulation!N111),Rho,1,"Call")</f>
        <v>-1.5000201049892052E-5</v>
      </c>
      <c r="R111" s="19" t="e">
        <f t="shared" ca="1" si="151"/>
        <v>#VALUE!</v>
      </c>
      <c r="S111" s="19" t="e">
        <f t="shared" ca="1" si="152"/>
        <v>#VALUE!</v>
      </c>
      <c r="T111" s="19" t="e">
        <f t="shared" ca="1" si="157"/>
        <v>#VALUE!</v>
      </c>
      <c r="U111" s="19" t="e">
        <f t="shared" ca="1" si="158"/>
        <v>#VALUE!</v>
      </c>
      <c r="V111" s="21">
        <f t="shared" ca="1" si="159"/>
        <v>3.9529160030808463E-6</v>
      </c>
      <c r="W111">
        <f t="shared" ca="1" si="160"/>
        <v>1.9881941562837485E-3</v>
      </c>
      <c r="X111" s="22">
        <f t="shared" ref="X111" ca="1" si="246">BSdelta(1,P111,Strike,W111*AnnualVarConvtr,Dividend,RiskFreeRate,G111/250)</f>
        <v>0</v>
      </c>
      <c r="Y111" s="22">
        <f t="shared" ca="1" si="166"/>
        <v>0</v>
      </c>
      <c r="Z111" s="22">
        <f t="shared" ca="1" si="167"/>
        <v>-7.4987777952244894</v>
      </c>
      <c r="AA111">
        <f t="shared" si="154"/>
        <v>0.73884103340948371</v>
      </c>
      <c r="AB111">
        <f t="shared" ref="AB111" ca="1" si="247">BSdelta(1,P111,Strike,AA111/AnnualVarConvtr,Dividend,RiskFreeRate,G111/250)</f>
        <v>0</v>
      </c>
      <c r="AC111">
        <f t="shared" ca="1" si="163"/>
        <v>0</v>
      </c>
      <c r="AD111">
        <f t="shared" ca="1" si="164"/>
        <v>-2.5925430446698638</v>
      </c>
    </row>
    <row r="112" spans="7:30" x14ac:dyDescent="0.25">
      <c r="G112" s="19">
        <v>143</v>
      </c>
      <c r="H112" s="19">
        <f t="shared" ca="1" si="213"/>
        <v>0.40740423600477327</v>
      </c>
      <c r="I112" s="19">
        <f t="shared" ca="1" si="213"/>
        <v>0.24687042614806654</v>
      </c>
      <c r="J112" s="19">
        <f t="shared" ca="1" si="147"/>
        <v>2.6349841658394269E-2</v>
      </c>
      <c r="K112" s="19">
        <f t="shared" ca="1" si="148"/>
        <v>1.3398523952364796</v>
      </c>
      <c r="L112" s="19">
        <f t="array" aca="1" ref="L112:M112" ca="1">MMULT(J112:K112,TRANSPOSE($B$10:$C$11))</f>
        <v>2.6349841658394269E-2</v>
      </c>
      <c r="M112" s="19">
        <f ca="1"/>
        <v>0.91578407366567338</v>
      </c>
      <c r="N112" s="20">
        <f t="shared" ca="1" si="149"/>
        <v>2.2727424077504506E-2</v>
      </c>
      <c r="O112" s="20">
        <f t="shared" ca="1" si="150"/>
        <v>4.4183881343433602E-2</v>
      </c>
      <c r="P112" s="19">
        <f t="shared" ca="1" si="156"/>
        <v>2.363908797519869E-4</v>
      </c>
      <c r="Q112" s="19">
        <f ca="1">HCTrans(P112,Strike,RiskFreeRate,Dividend,Variance_T0*AnnualVarConvtr,(Simulation!G112)/250,0.5,Variance_Avg*AnnualVarConvtr,Lambda,SQRT(Simulation!N112),Rho,1,"Call")</f>
        <v>-1.5013708983082258E-5</v>
      </c>
      <c r="R112" s="19" t="e">
        <f t="shared" ca="1" si="151"/>
        <v>#VALUE!</v>
      </c>
      <c r="S112" s="19" t="e">
        <f t="shared" ca="1" si="152"/>
        <v>#VALUE!</v>
      </c>
      <c r="T112" s="19" t="e">
        <f t="shared" ca="1" si="157"/>
        <v>#VALUE!</v>
      </c>
      <c r="U112" s="19" t="e">
        <f t="shared" ca="1" si="158"/>
        <v>#VALUE!</v>
      </c>
      <c r="V112" s="21">
        <f t="shared" ca="1" si="159"/>
        <v>5.4238328299622716E-8</v>
      </c>
      <c r="W112">
        <f t="shared" ca="1" si="160"/>
        <v>2.3289123706061315E-4</v>
      </c>
      <c r="X112" s="22">
        <f t="shared" ref="X112" ca="1" si="248">BSdelta(1,P112,Strike,W112*AnnualVarConvtr,Dividend,RiskFreeRate,G112/250)</f>
        <v>0</v>
      </c>
      <c r="Y112" s="22">
        <f t="shared" ca="1" si="166"/>
        <v>0</v>
      </c>
      <c r="Z112" s="22">
        <f t="shared" ca="1" si="167"/>
        <v>-7.4987778087324228</v>
      </c>
      <c r="AA112">
        <f t="shared" si="154"/>
        <v>0.73884103340948371</v>
      </c>
      <c r="AB112">
        <f t="shared" ref="AB112" ca="1" si="249">BSdelta(1,P112,Strike,AA112/AnnualVarConvtr,Dividend,RiskFreeRate,G112/250)</f>
        <v>0</v>
      </c>
      <c r="AC112">
        <f t="shared" ca="1" si="163"/>
        <v>0</v>
      </c>
      <c r="AD112">
        <f t="shared" ca="1" si="164"/>
        <v>-2.5925430581777968</v>
      </c>
    </row>
    <row r="113" spans="7:30" x14ac:dyDescent="0.25">
      <c r="G113" s="19">
        <v>142</v>
      </c>
      <c r="H113" s="19">
        <f t="shared" ca="1" si="213"/>
        <v>0.67591696438117754</v>
      </c>
      <c r="I113" s="19">
        <f t="shared" ca="1" si="213"/>
        <v>0.7594275244247024</v>
      </c>
      <c r="J113" s="19">
        <f t="shared" ca="1" si="147"/>
        <v>5.2397072614752085E-2</v>
      </c>
      <c r="K113" s="19">
        <f t="shared" ca="1" si="148"/>
        <v>-0.88352964594314909</v>
      </c>
      <c r="L113" s="19">
        <f t="array" aca="1" ref="L113:M113" ca="1">MMULT(J113:K113,TRANSPOSE($B$10:$C$11))</f>
        <v>5.2397072614752085E-2</v>
      </c>
      <c r="M113" s="19">
        <f ca="1"/>
        <v>-0.65388137835195059</v>
      </c>
      <c r="N113" s="20">
        <f t="shared" ca="1" si="149"/>
        <v>2.0291430620551956E-2</v>
      </c>
      <c r="O113" s="20">
        <f t="shared" ca="1" si="150"/>
        <v>4.4683469492148006E-2</v>
      </c>
      <c r="P113" s="19">
        <f t="shared" ca="1" si="156"/>
        <v>1.8435039795915763E-4</v>
      </c>
      <c r="Q113" s="19">
        <f ca="1">HCTrans(P113,Strike,RiskFreeRate,Dividend,Variance_T0*AnnualVarConvtr,(Simulation!G113)/250,0.5,Variance_Avg*AnnualVarConvtr,Lambda,SQRT(Simulation!N113),Rho,1,"Call")</f>
        <v>-1.5025372361483769E-5</v>
      </c>
      <c r="R113" s="19" t="e">
        <f t="shared" ca="1" si="151"/>
        <v>#VALUE!</v>
      </c>
      <c r="S113" s="19" t="e">
        <f t="shared" ca="1" si="152"/>
        <v>#VALUE!</v>
      </c>
      <c r="T113" s="19" t="e">
        <f t="shared" ca="1" si="157"/>
        <v>#VALUE!</v>
      </c>
      <c r="U113" s="19" t="e">
        <f t="shared" ca="1" si="158"/>
        <v>#VALUE!</v>
      </c>
      <c r="V113" s="21">
        <f t="shared" ca="1" si="159"/>
        <v>2.4958831833588556E-7</v>
      </c>
      <c r="W113">
        <f t="shared" ca="1" si="160"/>
        <v>4.995881487144041E-4</v>
      </c>
      <c r="X113" s="22">
        <f t="shared" ref="X113" ca="1" si="250">BSdelta(1,P113,Strike,W113*AnnualVarConvtr,Dividend,RiskFreeRate,G113/250)</f>
        <v>0</v>
      </c>
      <c r="Y113" s="22">
        <f t="shared" ca="1" si="166"/>
        <v>0</v>
      </c>
      <c r="Z113" s="22">
        <f t="shared" ca="1" si="167"/>
        <v>-7.4987778203958015</v>
      </c>
      <c r="AA113">
        <f t="shared" si="154"/>
        <v>0.73884103340948371</v>
      </c>
      <c r="AB113">
        <f t="shared" ref="AB113" ca="1" si="251">BSdelta(1,P113,Strike,AA113/AnnualVarConvtr,Dividend,RiskFreeRate,G113/250)</f>
        <v>0</v>
      </c>
      <c r="AC113">
        <f t="shared" ca="1" si="163"/>
        <v>0</v>
      </c>
      <c r="AD113">
        <f t="shared" ca="1" si="164"/>
        <v>-2.5925430698411751</v>
      </c>
    </row>
    <row r="114" spans="7:30" x14ac:dyDescent="0.25">
      <c r="G114" s="19">
        <v>141</v>
      </c>
      <c r="H114" s="19">
        <f t="shared" ca="1" si="213"/>
        <v>0.95882984532947058</v>
      </c>
      <c r="I114" s="19">
        <f t="shared" ca="1" si="213"/>
        <v>0.43013855420004898</v>
      </c>
      <c r="J114" s="19">
        <f t="shared" ca="1" si="147"/>
        <v>-0.26248117173301921</v>
      </c>
      <c r="K114" s="19">
        <f t="shared" ca="1" si="148"/>
        <v>0.12323527380250908</v>
      </c>
      <c r="L114" s="19">
        <f t="array" aca="1" ref="L114:M114" ca="1">MMULT(J114:K114,TRANSPOSE($B$10:$C$11))</f>
        <v>-0.26248117173301921</v>
      </c>
      <c r="M114" s="19">
        <f ca="1"/>
        <v>0.27403509574871798</v>
      </c>
      <c r="N114" s="20">
        <f t="shared" ca="1" si="149"/>
        <v>2.1189668862065972E-2</v>
      </c>
      <c r="O114" s="20">
        <f t="shared" ca="1" si="150"/>
        <v>4.2318723568508521E-2</v>
      </c>
      <c r="P114" s="19">
        <f t="shared" ca="1" si="156"/>
        <v>1.4234059807106012E-4</v>
      </c>
      <c r="Q114" s="19">
        <f ca="1">HCTrans(P114,Strike,RiskFreeRate,Dividend,Variance_T0*AnnualVarConvtr,(Simulation!G114)/250,0.5,Variance_Avg*AnnualVarConvtr,Lambda,SQRT(Simulation!N114),Rho,1,"Call")</f>
        <v>-1.5035593142050037E-5</v>
      </c>
      <c r="R114" s="19" t="e">
        <f t="shared" ca="1" si="151"/>
        <v>#VALUE!</v>
      </c>
      <c r="S114" s="19" t="e">
        <f t="shared" ca="1" si="152"/>
        <v>#VALUE!</v>
      </c>
      <c r="T114" s="19" t="e">
        <f t="shared" ca="1" si="157"/>
        <v>#VALUE!</v>
      </c>
      <c r="U114" s="19" t="e">
        <f t="shared" ca="1" si="158"/>
        <v>#VALUE!</v>
      </c>
      <c r="V114" s="21">
        <f t="shared" ca="1" si="159"/>
        <v>5.5920232833695646E-6</v>
      </c>
      <c r="W114">
        <f t="shared" ca="1" si="160"/>
        <v>2.3647459236394858E-3</v>
      </c>
      <c r="X114" s="22">
        <f t="shared" ref="X114" ca="1" si="252">BSdelta(1,P114,Strike,W114*AnnualVarConvtr,Dividend,RiskFreeRate,G114/250)</f>
        <v>0</v>
      </c>
      <c r="Y114" s="22">
        <f t="shared" ca="1" si="166"/>
        <v>0</v>
      </c>
      <c r="Z114" s="22">
        <f t="shared" ca="1" si="167"/>
        <v>-7.4987778306165822</v>
      </c>
      <c r="AA114">
        <f t="shared" si="154"/>
        <v>0.73884103340948371</v>
      </c>
      <c r="AB114">
        <f t="shared" ref="AB114" ca="1" si="253">BSdelta(1,P114,Strike,AA114/AnnualVarConvtr,Dividend,RiskFreeRate,G114/250)</f>
        <v>0</v>
      </c>
      <c r="AC114">
        <f t="shared" ca="1" si="163"/>
        <v>0</v>
      </c>
      <c r="AD114">
        <f t="shared" ca="1" si="164"/>
        <v>-2.5925430800619558</v>
      </c>
    </row>
    <row r="115" spans="7:30" x14ac:dyDescent="0.25">
      <c r="G115" s="19">
        <v>140</v>
      </c>
      <c r="H115" s="19">
        <f t="shared" ca="1" si="213"/>
        <v>0.23850772073129844</v>
      </c>
      <c r="I115" s="19">
        <f t="shared" ca="1" si="213"/>
        <v>0.67509410938340664</v>
      </c>
      <c r="J115" s="19">
        <f t="shared" ca="1" si="147"/>
        <v>-0.76777517127806183</v>
      </c>
      <c r="K115" s="19">
        <f t="shared" ca="1" si="148"/>
        <v>-1.5090488662221568</v>
      </c>
      <c r="L115" s="19">
        <f t="array" aca="1" ref="L115:M115" ca="1">MMULT(J115:K115,TRANSPOSE($B$10:$C$11))</f>
        <v>-0.76777517127806183</v>
      </c>
      <c r="M115" s="19">
        <f ca="1"/>
        <v>-0.50258209905256335</v>
      </c>
      <c r="N115" s="20">
        <f t="shared" ca="1" si="149"/>
        <v>1.9358770087563947E-2</v>
      </c>
      <c r="O115" s="20">
        <f t="shared" ca="1" si="150"/>
        <v>3.5250241767420337E-2</v>
      </c>
      <c r="P115" s="19">
        <f t="shared" ca="1" si="156"/>
        <v>1.1234185375348116E-4</v>
      </c>
      <c r="Q115" s="19">
        <f ca="1">HCTrans(P115,Strike,RiskFreeRate,Dividend,Variance_T0*AnnualVarConvtr,(Simulation!G115)/250,0.5,Variance_Avg*AnnualVarConvtr,Lambda,SQRT(Simulation!N115),Rho,1,"Call")</f>
        <v>-1.5043481107277225E-5</v>
      </c>
      <c r="R115" s="19" t="e">
        <f t="shared" ca="1" si="151"/>
        <v>#VALUE!</v>
      </c>
      <c r="S115" s="19" t="e">
        <f t="shared" ca="1" si="152"/>
        <v>#VALUE!</v>
      </c>
      <c r="T115" s="19" t="e">
        <f t="shared" ca="1" si="157"/>
        <v>#VALUE!</v>
      </c>
      <c r="U115" s="19" t="e">
        <f t="shared" ca="1" si="158"/>
        <v>#VALUE!</v>
      </c>
      <c r="V115" s="21">
        <f t="shared" ca="1" si="159"/>
        <v>4.9963434972314849E-5</v>
      </c>
      <c r="W115">
        <f t="shared" ca="1" si="160"/>
        <v>7.0684818010881834E-3</v>
      </c>
      <c r="X115" s="22">
        <f t="shared" ref="X115" ca="1" si="254">BSdelta(1,P115,Strike,W115*AnnualVarConvtr,Dividend,RiskFreeRate,G115/250)</f>
        <v>0</v>
      </c>
      <c r="Y115" s="22">
        <f t="shared" ca="1" si="166"/>
        <v>0</v>
      </c>
      <c r="Z115" s="22">
        <f t="shared" ca="1" si="167"/>
        <v>-7.4987778385045472</v>
      </c>
      <c r="AA115">
        <f t="shared" si="154"/>
        <v>0.73884103340948371</v>
      </c>
      <c r="AB115">
        <f t="shared" ref="AB115" ca="1" si="255">BSdelta(1,P115,Strike,AA115/AnnualVarConvtr,Dividend,RiskFreeRate,G115/250)</f>
        <v>0</v>
      </c>
      <c r="AC115">
        <f t="shared" ca="1" si="163"/>
        <v>0</v>
      </c>
      <c r="AD115">
        <f t="shared" ca="1" si="164"/>
        <v>-2.5925430879499212</v>
      </c>
    </row>
    <row r="116" spans="7:30" x14ac:dyDescent="0.25">
      <c r="G116" s="19">
        <v>139</v>
      </c>
      <c r="H116" s="19">
        <f t="shared" ca="1" si="213"/>
        <v>0.22059901499761536</v>
      </c>
      <c r="I116" s="19">
        <f t="shared" ca="1" si="213"/>
        <v>0.34023485626108241</v>
      </c>
      <c r="J116" s="19">
        <f t="shared" ca="1" si="147"/>
        <v>-0.93376710829767706</v>
      </c>
      <c r="K116" s="19">
        <f t="shared" ca="1" si="148"/>
        <v>1.4665934208289666</v>
      </c>
      <c r="L116" s="19">
        <f t="array" aca="1" ref="L116:M116" ca="1">MMULT(J116:K116,TRANSPOSE($B$10:$C$11))</f>
        <v>-0.93376710829767706</v>
      </c>
      <c r="M116" s="19">
        <f ca="1"/>
        <v>1.6921207717053284</v>
      </c>
      <c r="N116" s="20">
        <f t="shared" ca="1" si="149"/>
        <v>2.5496805362193769E-2</v>
      </c>
      <c r="O116" s="20">
        <f t="shared" ca="1" si="150"/>
        <v>2.7033352230314257E-2</v>
      </c>
      <c r="P116" s="19">
        <f t="shared" ca="1" si="156"/>
        <v>8.9388981125042557E-5</v>
      </c>
      <c r="Q116" s="19">
        <f ca="1">HCTrans(P116,Strike,RiskFreeRate,Dividend,Variance_T0*AnnualVarConvtr,(Simulation!G116)/250,0.5,Variance_Avg*AnnualVarConvtr,Lambda,SQRT(Simulation!N116),Rho,1,"Call")</f>
        <v>-1.5049941171928991E-5</v>
      </c>
      <c r="R116" s="19" t="e">
        <f t="shared" ca="1" si="151"/>
        <v>#VALUE!</v>
      </c>
      <c r="S116" s="19" t="e">
        <f t="shared" ca="1" si="152"/>
        <v>#VALUE!</v>
      </c>
      <c r="T116" s="19" t="e">
        <f t="shared" ca="1" si="157"/>
        <v>#VALUE!</v>
      </c>
      <c r="U116" s="19" t="e">
        <f t="shared" ca="1" si="158"/>
        <v>#VALUE!</v>
      </c>
      <c r="V116" s="21">
        <f t="shared" ca="1" si="159"/>
        <v>6.7517273665003362E-5</v>
      </c>
      <c r="W116">
        <f t="shared" ca="1" si="160"/>
        <v>8.2168895371060799E-3</v>
      </c>
      <c r="X116" s="22">
        <f t="shared" ref="X116" ca="1" si="256">BSdelta(1,P116,Strike,W116*AnnualVarConvtr,Dividend,RiskFreeRate,G116/250)</f>
        <v>0</v>
      </c>
      <c r="Y116" s="22">
        <f t="shared" ca="1" si="166"/>
        <v>0</v>
      </c>
      <c r="Z116" s="22">
        <f t="shared" ca="1" si="167"/>
        <v>-7.4987778449646116</v>
      </c>
      <c r="AA116">
        <f t="shared" si="154"/>
        <v>0.73884103340948371</v>
      </c>
      <c r="AB116">
        <f t="shared" ref="AB116" ca="1" si="257">BSdelta(1,P116,Strike,AA116/AnnualVarConvtr,Dividend,RiskFreeRate,G116/250)</f>
        <v>0</v>
      </c>
      <c r="AC116">
        <f t="shared" ca="1" si="163"/>
        <v>0</v>
      </c>
      <c r="AD116">
        <f t="shared" ca="1" si="164"/>
        <v>-2.5925430944099856</v>
      </c>
    </row>
    <row r="117" spans="7:30" x14ac:dyDescent="0.25">
      <c r="G117" s="19">
        <v>138</v>
      </c>
      <c r="H117" s="19">
        <f t="shared" ca="1" si="213"/>
        <v>0.59521739508233373</v>
      </c>
      <c r="I117" s="19">
        <f t="shared" ca="1" si="213"/>
        <v>0.9828741769270618</v>
      </c>
      <c r="J117" s="19">
        <f t="shared" ca="1" si="147"/>
        <v>1.0127628754658295</v>
      </c>
      <c r="K117" s="19">
        <f t="shared" ca="1" si="148"/>
        <v>-0.10940063364211004</v>
      </c>
      <c r="L117" s="19">
        <f t="array" aca="1" ref="L117:M117" ca="1">MMULT(J117:K117,TRANSPOSE($B$10:$C$11))</f>
        <v>1.0127628754658295</v>
      </c>
      <c r="M117" s="19">
        <f ca="1"/>
        <v>-0.8019610700840899</v>
      </c>
      <c r="N117" s="20">
        <f t="shared" ca="1" si="149"/>
        <v>2.2355719854615128E-2</v>
      </c>
      <c r="O117" s="20">
        <f t="shared" ca="1" si="150"/>
        <v>3.7261115165637577E-2</v>
      </c>
      <c r="P117" s="19">
        <f t="shared" ca="1" si="156"/>
        <v>6.9609494650698417E-5</v>
      </c>
      <c r="Q117" s="19">
        <f ca="1">HCTrans(P117,Strike,RiskFreeRate,Dividend,Variance_T0*AnnualVarConvtr,(Simulation!G117)/250,0.5,Variance_Avg*AnnualVarConvtr,Lambda,SQRT(Simulation!N117),Rho,1,"Call")</f>
        <v>-1.5055889901145352E-5</v>
      </c>
      <c r="R117" s="19" t="e">
        <f t="shared" ca="1" si="151"/>
        <v>#VALUE!</v>
      </c>
      <c r="S117" s="19" t="e">
        <f t="shared" ca="1" si="152"/>
        <v>#VALUE!</v>
      </c>
      <c r="T117" s="19" t="e">
        <f t="shared" ca="1" si="157"/>
        <v>#VALUE!</v>
      </c>
      <c r="U117" s="19" t="e">
        <f t="shared" ca="1" si="158"/>
        <v>#VALUE!</v>
      </c>
      <c r="V117" s="21">
        <f t="shared" ca="1" si="159"/>
        <v>1.046071346611735E-4</v>
      </c>
      <c r="W117">
        <f t="shared" ca="1" si="160"/>
        <v>1.022776293532332E-2</v>
      </c>
      <c r="X117" s="22">
        <f t="shared" ref="X117" ca="1" si="258">BSdelta(1,P117,Strike,W117*AnnualVarConvtr,Dividend,RiskFreeRate,G117/250)</f>
        <v>0</v>
      </c>
      <c r="Y117" s="22">
        <f t="shared" ca="1" si="166"/>
        <v>0</v>
      </c>
      <c r="Z117" s="22">
        <f t="shared" ca="1" si="167"/>
        <v>-7.4987778509133411</v>
      </c>
      <c r="AA117">
        <f t="shared" si="154"/>
        <v>0.73884103340948371</v>
      </c>
      <c r="AB117">
        <f t="shared" ref="AB117" ca="1" si="259">BSdelta(1,P117,Strike,AA117/AnnualVarConvtr,Dividend,RiskFreeRate,G117/250)</f>
        <v>0</v>
      </c>
      <c r="AC117">
        <f t="shared" ca="1" si="163"/>
        <v>0</v>
      </c>
      <c r="AD117">
        <f t="shared" ca="1" si="164"/>
        <v>-2.5925431003587147</v>
      </c>
    </row>
    <row r="118" spans="7:30" x14ac:dyDescent="0.25">
      <c r="G118" s="19">
        <v>137</v>
      </c>
      <c r="H118" s="19">
        <f t="shared" ca="1" si="213"/>
        <v>0.71273768949435046</v>
      </c>
      <c r="I118" s="19">
        <f t="shared" ca="1" si="213"/>
        <v>0.85188816724243155</v>
      </c>
      <c r="J118" s="19">
        <f t="shared" ca="1" si="147"/>
        <v>0.49159567884660937</v>
      </c>
      <c r="K118" s="19">
        <f t="shared" ca="1" si="148"/>
        <v>-0.66001313237019277</v>
      </c>
      <c r="L118" s="19">
        <f t="array" aca="1" ref="L118:M118" ca="1">MMULT(J118:K118,TRANSPOSE($B$10:$C$11))</f>
        <v>0.49159567884660937</v>
      </c>
      <c r="M118" s="19">
        <f ca="1"/>
        <v>-0.81264494514793317</v>
      </c>
      <c r="N118" s="20">
        <f t="shared" ca="1" si="149"/>
        <v>1.9394477093894098E-2</v>
      </c>
      <c r="O118" s="20">
        <f t="shared" ca="1" si="150"/>
        <v>4.1909824387480837E-2</v>
      </c>
      <c r="P118" s="19">
        <f t="shared" ca="1" si="156"/>
        <v>5.4392398191043422E-5</v>
      </c>
      <c r="Q118" s="19">
        <f ca="1">HCTrans(P118,Strike,RiskFreeRate,Dividend,Variance_T0*AnnualVarConvtr,(Simulation!G118)/250,0.5,Variance_Avg*AnnualVarConvtr,Lambda,SQRT(Simulation!N118),Rho,1,"Call")</f>
        <v>-1.5060770410895819E-5</v>
      </c>
      <c r="R118" s="19" t="e">
        <f t="shared" ca="1" si="151"/>
        <v>#VALUE!</v>
      </c>
      <c r="S118" s="19" t="e">
        <f t="shared" ca="1" si="152"/>
        <v>#VALUE!</v>
      </c>
      <c r="T118" s="19" t="e">
        <f t="shared" ca="1" si="157"/>
        <v>#VALUE!</v>
      </c>
      <c r="U118" s="19" t="e">
        <f t="shared" ca="1" si="158"/>
        <v>#VALUE!</v>
      </c>
      <c r="V118" s="21">
        <f t="shared" ca="1" si="159"/>
        <v>2.1610497429250566E-5</v>
      </c>
      <c r="W118">
        <f t="shared" ca="1" si="160"/>
        <v>4.6487092218432599E-3</v>
      </c>
      <c r="X118" s="22">
        <f t="shared" ref="X118" ca="1" si="260">BSdelta(1,P118,Strike,W118*AnnualVarConvtr,Dividend,RiskFreeRate,G118/250)</f>
        <v>0</v>
      </c>
      <c r="Y118" s="22">
        <f t="shared" ca="1" si="166"/>
        <v>0</v>
      </c>
      <c r="Z118" s="22">
        <f t="shared" ca="1" si="167"/>
        <v>-7.4987778557938505</v>
      </c>
      <c r="AA118">
        <f t="shared" si="154"/>
        <v>0.73884103340948371</v>
      </c>
      <c r="AB118">
        <f t="shared" ref="AB118" ca="1" si="261">BSdelta(1,P118,Strike,AA118/AnnualVarConvtr,Dividend,RiskFreeRate,G118/250)</f>
        <v>0</v>
      </c>
      <c r="AC118">
        <f t="shared" ca="1" si="163"/>
        <v>0</v>
      </c>
      <c r="AD118">
        <f t="shared" ca="1" si="164"/>
        <v>-2.5925431052392245</v>
      </c>
    </row>
    <row r="119" spans="7:30" x14ac:dyDescent="0.25">
      <c r="G119" s="19">
        <v>136</v>
      </c>
      <c r="H119" s="19">
        <f t="shared" ca="1" si="213"/>
        <v>0.61057178269949863</v>
      </c>
      <c r="I119" s="19">
        <f t="shared" ca="1" si="213"/>
        <v>0.36560926491213996</v>
      </c>
      <c r="J119" s="19">
        <f t="shared" ca="1" si="147"/>
        <v>-0.65975325294157794</v>
      </c>
      <c r="K119" s="19">
        <f t="shared" ca="1" si="148"/>
        <v>0.74259307131231633</v>
      </c>
      <c r="L119" s="19">
        <f t="array" aca="1" ref="L119:M119" ca="1">MMULT(J119:K119,TRANSPOSE($B$10:$C$11))</f>
        <v>-0.65975325294157794</v>
      </c>
      <c r="M119" s="19">
        <f ca="1"/>
        <v>0.99073654639640019</v>
      </c>
      <c r="N119" s="20">
        <f t="shared" ca="1" si="149"/>
        <v>2.2859717408447514E-2</v>
      </c>
      <c r="O119" s="20">
        <f t="shared" ca="1" si="150"/>
        <v>3.6098828430473816E-2</v>
      </c>
      <c r="P119" s="19">
        <f t="shared" ca="1" si="156"/>
        <v>4.2230422214767116E-5</v>
      </c>
      <c r="Q119" s="19">
        <f ca="1">HCTrans(P119,Strike,RiskFreeRate,Dividend,Variance_T0*AnnualVarConvtr,(Simulation!G119)/250,0.5,Variance_Avg*AnnualVarConvtr,Lambda,SQRT(Simulation!N119),Rho,1,"Call")</f>
        <v>-1.506490341523611E-5</v>
      </c>
      <c r="R119" s="19" t="e">
        <f t="shared" ca="1" si="151"/>
        <v>#VALUE!</v>
      </c>
      <c r="S119" s="19" t="e">
        <f t="shared" ca="1" si="152"/>
        <v>#VALUE!</v>
      </c>
      <c r="T119" s="19" t="e">
        <f t="shared" ca="1" si="157"/>
        <v>#VALUE!</v>
      </c>
      <c r="U119" s="19" t="e">
        <f t="shared" ca="1" si="158"/>
        <v>#VALUE!</v>
      </c>
      <c r="V119" s="21">
        <f t="shared" ca="1" si="159"/>
        <v>3.376767401235195E-5</v>
      </c>
      <c r="W119">
        <f t="shared" ca="1" si="160"/>
        <v>5.8109959570070216E-3</v>
      </c>
      <c r="X119" s="22">
        <f t="shared" ref="X119" ca="1" si="262">BSdelta(1,P119,Strike,W119*AnnualVarConvtr,Dividend,RiskFreeRate,G119/250)</f>
        <v>0</v>
      </c>
      <c r="Y119" s="22">
        <f t="shared" ca="1" si="166"/>
        <v>0</v>
      </c>
      <c r="Z119" s="22">
        <f t="shared" ca="1" si="167"/>
        <v>-7.4987778599268546</v>
      </c>
      <c r="AA119">
        <f t="shared" si="154"/>
        <v>0.73884103340948371</v>
      </c>
      <c r="AB119">
        <f t="shared" ref="AB119" ca="1" si="263">BSdelta(1,P119,Strike,AA119/AnnualVarConvtr,Dividend,RiskFreeRate,G119/250)</f>
        <v>0</v>
      </c>
      <c r="AC119">
        <f t="shared" ca="1" si="163"/>
        <v>0</v>
      </c>
      <c r="AD119">
        <f t="shared" ca="1" si="164"/>
        <v>-2.5925431093722286</v>
      </c>
    </row>
    <row r="120" spans="7:30" x14ac:dyDescent="0.25">
      <c r="G120" s="19">
        <v>135</v>
      </c>
      <c r="H120" s="19">
        <f t="shared" ca="1" si="213"/>
        <v>0.37639470855450441</v>
      </c>
      <c r="I120" s="19">
        <f t="shared" ca="1" si="213"/>
        <v>0.12007541907199626</v>
      </c>
      <c r="J120" s="19">
        <f t="shared" ca="1" si="147"/>
        <v>1.0186001925556167</v>
      </c>
      <c r="K120" s="19">
        <f t="shared" ca="1" si="148"/>
        <v>0.95743799096394511</v>
      </c>
      <c r="L120" s="19">
        <f t="array" aca="1" ref="L120:M120" ca="1">MMULT(J120:K120,TRANSPOSE($B$10:$C$11))</f>
        <v>1.0186001925556167</v>
      </c>
      <c r="M120" s="19">
        <f ca="1"/>
        <v>-6.193065471403103E-2</v>
      </c>
      <c r="N120" s="20">
        <f t="shared" ca="1" si="149"/>
        <v>2.2546863805878718E-2</v>
      </c>
      <c r="O120" s="20">
        <f t="shared" ca="1" si="150"/>
        <v>4.5839057670313488E-2</v>
      </c>
      <c r="P120" s="19">
        <f t="shared" ca="1" si="156"/>
        <v>3.2619488838388572E-5</v>
      </c>
      <c r="Q120" s="19">
        <f ca="1">HCTrans(P120,Strike,RiskFreeRate,Dividend,Variance_T0*AnnualVarConvtr,(Simulation!G120)/250,0.5,Variance_Avg*AnnualVarConvtr,Lambda,SQRT(Simulation!N120),Rho,1,"Call")</f>
        <v>-1.5068343095197427E-5</v>
      </c>
      <c r="R120" s="19" t="e">
        <f t="shared" ca="1" si="151"/>
        <v>#VALUE!</v>
      </c>
      <c r="S120" s="19" t="e">
        <f t="shared" ca="1" si="152"/>
        <v>#VALUE!</v>
      </c>
      <c r="T120" s="19" t="e">
        <f t="shared" ca="1" si="157"/>
        <v>#VALUE!</v>
      </c>
      <c r="U120" s="19" t="e">
        <f t="shared" ca="1" si="158"/>
        <v>#VALUE!</v>
      </c>
      <c r="V120" s="21">
        <f t="shared" ca="1" si="159"/>
        <v>9.4872065644627709E-5</v>
      </c>
      <c r="W120">
        <f t="shared" ca="1" si="160"/>
        <v>9.740229239839672E-3</v>
      </c>
      <c r="X120" s="22">
        <f t="shared" ref="X120" ca="1" si="264">BSdelta(1,P120,Strike,W120*AnnualVarConvtr,Dividend,RiskFreeRate,G120/250)</f>
        <v>0</v>
      </c>
      <c r="Y120" s="22">
        <f t="shared" ca="1" si="166"/>
        <v>0</v>
      </c>
      <c r="Z120" s="22">
        <f t="shared" ca="1" si="167"/>
        <v>-7.4987778633665343</v>
      </c>
      <c r="AA120">
        <f t="shared" si="154"/>
        <v>0.73884103340948371</v>
      </c>
      <c r="AB120">
        <f t="shared" ref="AB120" ca="1" si="265">BSdelta(1,P120,Strike,AA120/AnnualVarConvtr,Dividend,RiskFreeRate,G120/250)</f>
        <v>0</v>
      </c>
      <c r="AC120">
        <f t="shared" ca="1" si="163"/>
        <v>0</v>
      </c>
      <c r="AD120">
        <f t="shared" ca="1" si="164"/>
        <v>-2.5925431128119087</v>
      </c>
    </row>
    <row r="121" spans="7:30" x14ac:dyDescent="0.25">
      <c r="G121" s="19">
        <v>134</v>
      </c>
      <c r="H121" s="19">
        <f t="shared" ca="1" si="213"/>
        <v>0.43503281318771347</v>
      </c>
      <c r="I121" s="19">
        <f t="shared" ca="1" si="213"/>
        <v>0.12522033797560961</v>
      </c>
      <c r="J121" s="19">
        <f t="shared" ca="1" si="147"/>
        <v>0.91105939141696346</v>
      </c>
      <c r="K121" s="19">
        <f t="shared" ca="1" si="148"/>
        <v>0.91358547578033722</v>
      </c>
      <c r="L121" s="19">
        <f t="array" aca="1" ref="L121:M121" ca="1">MMULT(J121:K121,TRANSPOSE($B$10:$C$11))</f>
        <v>0.91105939141696346</v>
      </c>
      <c r="M121" s="19">
        <f ca="1"/>
        <v>-1.546861921293019E-2</v>
      </c>
      <c r="N121" s="20">
        <f t="shared" ca="1" si="149"/>
        <v>2.2407772027961532E-2</v>
      </c>
      <c r="O121" s="20">
        <f t="shared" ca="1" si="150"/>
        <v>5.4491122316048503E-2</v>
      </c>
      <c r="P121" s="19">
        <f t="shared" ca="1" si="156"/>
        <v>2.5405859156345624E-5</v>
      </c>
      <c r="Q121" s="19">
        <f ca="1">HCTrans(P121,Strike,RiskFreeRate,Dividend,Variance_T0*AnnualVarConvtr,(Simulation!G121)/250,0.5,Variance_Avg*AnnualVarConvtr,Lambda,SQRT(Simulation!N121),Rho,1,"Call")</f>
        <v>-1.5071038030889766E-5</v>
      </c>
      <c r="R121" s="19" t="e">
        <f t="shared" ca="1" si="151"/>
        <v>#VALUE!</v>
      </c>
      <c r="S121" s="19" t="e">
        <f t="shared" ca="1" si="152"/>
        <v>#VALUE!</v>
      </c>
      <c r="T121" s="19" t="e">
        <f t="shared" ca="1" si="157"/>
        <v>#VALUE!</v>
      </c>
      <c r="U121" s="19" t="e">
        <f t="shared" ca="1" si="158"/>
        <v>#VALUE!</v>
      </c>
      <c r="V121" s="21">
        <f t="shared" ca="1" si="159"/>
        <v>7.4858222633977775E-5</v>
      </c>
      <c r="W121">
        <f t="shared" ca="1" si="160"/>
        <v>8.652064645735015E-3</v>
      </c>
      <c r="X121" s="22">
        <f t="shared" ref="X121" ca="1" si="266">BSdelta(1,P121,Strike,W121*AnnualVarConvtr,Dividend,RiskFreeRate,G121/250)</f>
        <v>0</v>
      </c>
      <c r="Y121" s="22">
        <f t="shared" ca="1" si="166"/>
        <v>0</v>
      </c>
      <c r="Z121" s="22">
        <f t="shared" ca="1" si="167"/>
        <v>-7.4987778660614701</v>
      </c>
      <c r="AA121">
        <f t="shared" si="154"/>
        <v>0.73884103340948371</v>
      </c>
      <c r="AB121">
        <f t="shared" ref="AB121" ca="1" si="267">BSdelta(1,P121,Strike,AA121/AnnualVarConvtr,Dividend,RiskFreeRate,G121/250)</f>
        <v>0</v>
      </c>
      <c r="AC121">
        <f t="shared" ca="1" si="163"/>
        <v>0</v>
      </c>
      <c r="AD121">
        <f t="shared" ca="1" si="164"/>
        <v>-2.5925431155068446</v>
      </c>
    </row>
    <row r="122" spans="7:30" x14ac:dyDescent="0.25">
      <c r="G122" s="19">
        <v>133</v>
      </c>
      <c r="H122" s="19">
        <f t="shared" ca="1" si="213"/>
        <v>0.28020108096049601</v>
      </c>
      <c r="I122" s="19">
        <f t="shared" ca="1" si="213"/>
        <v>0.14470311422392867</v>
      </c>
      <c r="J122" s="19">
        <f t="shared" ca="1" si="147"/>
        <v>0.98002661855531092</v>
      </c>
      <c r="K122" s="19">
        <f t="shared" ca="1" si="148"/>
        <v>1.2585878600483777</v>
      </c>
      <c r="L122" s="19">
        <f t="array" aca="1" ref="L122:M122" ca="1">MMULT(J122:K122,TRANSPOSE($B$10:$C$11))</f>
        <v>0.98002661855531092</v>
      </c>
      <c r="M122" s="19">
        <f ca="1"/>
        <v>0.17578557228831238</v>
      </c>
      <c r="N122" s="20">
        <f t="shared" ca="1" si="149"/>
        <v>2.2976200645912426E-2</v>
      </c>
      <c r="O122" s="20">
        <f t="shared" ca="1" si="150"/>
        <v>6.3769396581895288E-2</v>
      </c>
      <c r="P122" s="19">
        <f t="shared" ca="1" si="156"/>
        <v>2.0050330786951347E-5</v>
      </c>
      <c r="Q122" s="19">
        <f ca="1">HCTrans(P122,Strike,RiskFreeRate,Dividend,Variance_T0*AnnualVarConvtr,(Simulation!G122)/250,0.5,Variance_Avg*AnnualVarConvtr,Lambda,SQRT(Simulation!N122),Rho,1,"Call")</f>
        <v>-1.5073101290546432E-5</v>
      </c>
      <c r="R122" s="19" t="e">
        <f t="shared" ca="1" si="151"/>
        <v>#VALUE!</v>
      </c>
      <c r="S122" s="19" t="e">
        <f t="shared" ca="1" si="152"/>
        <v>#VALUE!</v>
      </c>
      <c r="T122" s="19" t="e">
        <f t="shared" ca="1" si="157"/>
        <v>#VALUE!</v>
      </c>
      <c r="U122" s="19" t="e">
        <f t="shared" ca="1" si="158"/>
        <v>#VALUE!</v>
      </c>
      <c r="V122" s="21">
        <f t="shared" ca="1" si="159"/>
        <v>8.6086373352274703E-5</v>
      </c>
      <c r="W122">
        <f t="shared" ca="1" si="160"/>
        <v>9.2782742658467851E-3</v>
      </c>
      <c r="X122" s="22">
        <f t="shared" ref="X122" ca="1" si="268">BSdelta(1,P122,Strike,W122*AnnualVarConvtr,Dividend,RiskFreeRate,G122/250)</f>
        <v>0</v>
      </c>
      <c r="Y122" s="22">
        <f t="shared" ca="1" si="166"/>
        <v>0</v>
      </c>
      <c r="Z122" s="22">
        <f t="shared" ca="1" si="167"/>
        <v>-7.4987778681247299</v>
      </c>
      <c r="AA122">
        <f t="shared" si="154"/>
        <v>0.73884103340948371</v>
      </c>
      <c r="AB122">
        <f t="shared" ref="AB122" ca="1" si="269">BSdelta(1,P122,Strike,AA122/AnnualVarConvtr,Dividend,RiskFreeRate,G122/250)</f>
        <v>0</v>
      </c>
      <c r="AC122">
        <f t="shared" ca="1" si="163"/>
        <v>0</v>
      </c>
      <c r="AD122">
        <f t="shared" ca="1" si="164"/>
        <v>-2.5925431175701044</v>
      </c>
    </row>
    <row r="123" spans="7:30" x14ac:dyDescent="0.25">
      <c r="G123" s="19">
        <v>132</v>
      </c>
      <c r="H123" s="19">
        <f t="shared" ca="1" si="213"/>
        <v>5.064549247371597E-2</v>
      </c>
      <c r="I123" s="19">
        <f t="shared" ca="1" si="213"/>
        <v>0.88502526314760632</v>
      </c>
      <c r="J123" s="19">
        <f t="shared" ca="1" si="147"/>
        <v>1.832403248693417</v>
      </c>
      <c r="K123" s="19">
        <f t="shared" ca="1" si="148"/>
        <v>-1.614963908541168</v>
      </c>
      <c r="L123" s="19">
        <f t="array" aca="1" ref="L123:M123" ca="1">MMULT(J123:K123,TRANSPOSE($B$10:$C$11))</f>
        <v>1.832403248693417</v>
      </c>
      <c r="M123" s="19">
        <f ca="1"/>
        <v>-2.4394949032622808</v>
      </c>
      <c r="N123" s="20">
        <f t="shared" ca="1" si="149"/>
        <v>1.4719248108710954E-2</v>
      </c>
      <c r="O123" s="20">
        <f t="shared" ca="1" si="150"/>
        <v>8.1336095438885467E-2</v>
      </c>
      <c r="P123" s="19">
        <f t="shared" ca="1" si="156"/>
        <v>1.6146803590155939E-5</v>
      </c>
      <c r="Q123" s="19">
        <f ca="1">HCTrans(P123,Strike,RiskFreeRate,Dividend,Variance_T0*AnnualVarConvtr,(Simulation!G123)/250,0.5,Variance_Avg*AnnualVarConvtr,Lambda,SQRT(Simulation!N123),Rho,1,"Call")</f>
        <v>-1.5074631708745455E-5</v>
      </c>
      <c r="R123" s="19" t="e">
        <f t="shared" ca="1" si="151"/>
        <v>#VALUE!</v>
      </c>
      <c r="S123" s="19" t="e">
        <f t="shared" ca="1" si="152"/>
        <v>#VALUE!</v>
      </c>
      <c r="T123" s="19" t="e">
        <f t="shared" ca="1" si="157"/>
        <v>#VALUE!</v>
      </c>
      <c r="U123" s="19" t="e">
        <f t="shared" ca="1" si="158"/>
        <v>#VALUE!</v>
      </c>
      <c r="V123" s="21">
        <f t="shared" ca="1" si="159"/>
        <v>3.0858890873218005E-4</v>
      </c>
      <c r="W123">
        <f t="shared" ca="1" si="160"/>
        <v>1.7566698856990179E-2</v>
      </c>
      <c r="X123" s="22">
        <f t="shared" ref="X123" ca="1" si="270">BSdelta(1,P123,Strike,W123*AnnualVarConvtr,Dividend,RiskFreeRate,G123/250)</f>
        <v>0</v>
      </c>
      <c r="Y123" s="22">
        <f t="shared" ca="1" si="166"/>
        <v>0</v>
      </c>
      <c r="Z123" s="22">
        <f t="shared" ca="1" si="167"/>
        <v>-7.4987778696551484</v>
      </c>
      <c r="AA123">
        <f t="shared" si="154"/>
        <v>0.73884103340948371</v>
      </c>
      <c r="AB123">
        <f t="shared" ref="AB123" ca="1" si="271">BSdelta(1,P123,Strike,AA123/AnnualVarConvtr,Dividend,RiskFreeRate,G123/250)</f>
        <v>0</v>
      </c>
      <c r="AC123">
        <f t="shared" ca="1" si="163"/>
        <v>0</v>
      </c>
      <c r="AD123">
        <f t="shared" ca="1" si="164"/>
        <v>-2.5925431191005224</v>
      </c>
    </row>
    <row r="124" spans="7:30" x14ac:dyDescent="0.25">
      <c r="G124" s="19">
        <v>131</v>
      </c>
      <c r="H124" s="19">
        <f t="shared" ca="1" si="213"/>
        <v>0.45818748652989927</v>
      </c>
      <c r="I124" s="19">
        <f t="shared" ca="1" si="213"/>
        <v>0.65521406043565811</v>
      </c>
      <c r="J124" s="19">
        <f t="shared" ca="1" si="147"/>
        <v>-0.70086600619150452</v>
      </c>
      <c r="K124" s="19">
        <f t="shared" ca="1" si="148"/>
        <v>-1.0342825920217182</v>
      </c>
      <c r="L124" s="19">
        <f t="array" aca="1" ref="L124:M124" ca="1">MMULT(J124:K124,TRANSPOSE($B$10:$C$11))</f>
        <v>-0.70086600619150452</v>
      </c>
      <c r="M124" s="19">
        <f ca="1"/>
        <v>-0.2193316915526986</v>
      </c>
      <c r="N124" s="20">
        <f t="shared" ca="1" si="149"/>
        <v>1.4033316357295253E-2</v>
      </c>
      <c r="O124" s="20">
        <f t="shared" ca="1" si="150"/>
        <v>7.5958256335226945E-2</v>
      </c>
      <c r="P124" s="19">
        <f t="shared" ca="1" si="156"/>
        <v>1.3330704462140973E-5</v>
      </c>
      <c r="Q124" s="19">
        <f ca="1">HCTrans(P124,Strike,RiskFreeRate,Dividend,Variance_T0*AnnualVarConvtr,(Simulation!G124)/250,0.5,Variance_Avg*AnnualVarConvtr,Lambda,SQRT(Simulation!N124),Rho,1,"Call")</f>
        <v>-1.5075740665132639E-5</v>
      </c>
      <c r="R124" s="19" t="e">
        <f t="shared" ca="1" si="151"/>
        <v>#VALUE!</v>
      </c>
      <c r="S124" s="19" t="e">
        <f t="shared" ca="1" si="152"/>
        <v>#VALUE!</v>
      </c>
      <c r="T124" s="19" t="e">
        <f t="shared" ca="1" si="157"/>
        <v>#VALUE!</v>
      </c>
      <c r="U124" s="19" t="e">
        <f t="shared" ca="1" si="158"/>
        <v>#VALUE!</v>
      </c>
      <c r="V124" s="21">
        <f t="shared" ca="1" si="159"/>
        <v>2.892115342483869E-5</v>
      </c>
      <c r="W124">
        <f t="shared" ca="1" si="160"/>
        <v>5.3778391036585216E-3</v>
      </c>
      <c r="X124" s="22">
        <f t="shared" ref="X124" ca="1" si="272">BSdelta(1,P124,Strike,W124*AnnualVarConvtr,Dividend,RiskFreeRate,G124/250)</f>
        <v>0</v>
      </c>
      <c r="Y124" s="22">
        <f t="shared" ca="1" si="166"/>
        <v>0</v>
      </c>
      <c r="Z124" s="22">
        <f t="shared" ca="1" si="167"/>
        <v>-7.4987778707641048</v>
      </c>
      <c r="AA124">
        <f t="shared" si="154"/>
        <v>0.73884103340948371</v>
      </c>
      <c r="AB124">
        <f t="shared" ref="AB124" ca="1" si="273">BSdelta(1,P124,Strike,AA124/AnnualVarConvtr,Dividend,RiskFreeRate,G124/250)</f>
        <v>0</v>
      </c>
      <c r="AC124">
        <f t="shared" ca="1" si="163"/>
        <v>0</v>
      </c>
      <c r="AD124">
        <f t="shared" ca="1" si="164"/>
        <v>-2.5925431202094789</v>
      </c>
    </row>
    <row r="125" spans="7:30" x14ac:dyDescent="0.25">
      <c r="G125" s="19">
        <v>130</v>
      </c>
      <c r="H125" s="19">
        <f t="shared" ca="1" si="213"/>
        <v>0.66490307905625823</v>
      </c>
      <c r="I125" s="19">
        <f t="shared" ca="1" si="213"/>
        <v>7.4815669536355434E-2</v>
      </c>
      <c r="J125" s="19">
        <f t="shared" ca="1" si="147"/>
        <v>0.80545734507451405</v>
      </c>
      <c r="K125" s="19">
        <f t="shared" ca="1" si="148"/>
        <v>0.40922665446192941</v>
      </c>
      <c r="L125" s="19">
        <f t="array" aca="1" ref="L125:M125" ca="1">MMULT(J125:K125,TRANSPOSE($B$10:$C$11))</f>
        <v>0.80545734507451405</v>
      </c>
      <c r="M125" s="19">
        <f ca="1"/>
        <v>-0.29163895616222513</v>
      </c>
      <c r="N125" s="20">
        <f t="shared" ca="1" si="149"/>
        <v>1.3161925814115632E-2</v>
      </c>
      <c r="O125" s="20">
        <f t="shared" ca="1" si="150"/>
        <v>8.1992914853278628E-2</v>
      </c>
      <c r="P125" s="19">
        <f t="shared" ca="1" si="156"/>
        <v>1.0906446604745194E-5</v>
      </c>
      <c r="Q125" s="19">
        <f ca="1">HCTrans(P125,Strike,RiskFreeRate,Dividend,Variance_T0*AnnualVarConvtr,(Simulation!G125)/250,0.5,Variance_Avg*AnnualVarConvtr,Lambda,SQRT(Simulation!N125),Rho,1,"Call")</f>
        <v>-1.5076686182664186E-5</v>
      </c>
      <c r="R125" s="19" t="e">
        <f t="shared" ca="1" si="151"/>
        <v>#VALUE!</v>
      </c>
      <c r="S125" s="19" t="e">
        <f t="shared" ca="1" si="152"/>
        <v>#VALUE!</v>
      </c>
      <c r="T125" s="19" t="e">
        <f t="shared" ca="1" si="157"/>
        <v>#VALUE!</v>
      </c>
      <c r="U125" s="19" t="e">
        <f t="shared" ca="1" si="158"/>
        <v>#VALUE!</v>
      </c>
      <c r="V125" s="21">
        <f t="shared" ca="1" si="159"/>
        <v>3.6417103429493737E-5</v>
      </c>
      <c r="W125">
        <f t="shared" ca="1" si="160"/>
        <v>6.0346585180516832E-3</v>
      </c>
      <c r="X125" s="22">
        <f t="shared" ref="X125" ca="1" si="274">BSdelta(1,P125,Strike,W125*AnnualVarConvtr,Dividend,RiskFreeRate,G125/250)</f>
        <v>0</v>
      </c>
      <c r="Y125" s="22">
        <f t="shared" ca="1" si="166"/>
        <v>0</v>
      </c>
      <c r="Z125" s="22">
        <f t="shared" ca="1" si="167"/>
        <v>-7.4987778717096223</v>
      </c>
      <c r="AA125">
        <f t="shared" si="154"/>
        <v>0.73884103340948371</v>
      </c>
      <c r="AB125">
        <f t="shared" ref="AB125" ca="1" si="275">BSdelta(1,P125,Strike,AA125/AnnualVarConvtr,Dividend,RiskFreeRate,G125/250)</f>
        <v>0</v>
      </c>
      <c r="AC125">
        <f t="shared" ca="1" si="163"/>
        <v>0</v>
      </c>
      <c r="AD125">
        <f t="shared" ca="1" si="164"/>
        <v>-2.5925431211549963</v>
      </c>
    </row>
    <row r="126" spans="7:30" x14ac:dyDescent="0.25">
      <c r="G126" s="19">
        <v>129</v>
      </c>
      <c r="H126" s="19">
        <f t="shared" ca="1" si="213"/>
        <v>0.23436184415378702</v>
      </c>
      <c r="I126" s="19">
        <f t="shared" ca="1" si="213"/>
        <v>0.69789139339325157</v>
      </c>
      <c r="J126" s="19">
        <f t="shared" ca="1" si="147"/>
        <v>-0.54781560720231437</v>
      </c>
      <c r="K126" s="19">
        <f t="shared" ca="1" si="148"/>
        <v>-1.6129711998025185</v>
      </c>
      <c r="L126" s="19">
        <f t="array" aca="1" ref="L126:M126" ca="1">MMULT(J126:K126,TRANSPOSE($B$10:$C$11))</f>
        <v>-0.54781560720231437</v>
      </c>
      <c r="M126" s="19">
        <f ca="1"/>
        <v>-0.73267800512011316</v>
      </c>
      <c r="N126" s="20">
        <f t="shared" ca="1" si="149"/>
        <v>1.1149094532940766E-2</v>
      </c>
      <c r="O126" s="20">
        <f t="shared" ca="1" si="150"/>
        <v>7.8018033992524161E-2</v>
      </c>
      <c r="P126" s="19">
        <f t="shared" ca="1" si="156"/>
        <v>8.8441179816443706E-6</v>
      </c>
      <c r="Q126" s="19">
        <f ca="1">HCTrans(P126,Strike,RiskFreeRate,Dividend,Variance_T0*AnnualVarConvtr,(Simulation!G126)/250,0.5,Variance_Avg*AnnualVarConvtr,Lambda,SQRT(Simulation!N126),Rho,1,"Call")</f>
        <v>-1.5077469710370586E-5</v>
      </c>
      <c r="R126" s="19" t="e">
        <f t="shared" ca="1" si="151"/>
        <v>#VALUE!</v>
      </c>
      <c r="S126" s="19" t="e">
        <f t="shared" ca="1" si="152"/>
        <v>#VALUE!</v>
      </c>
      <c r="T126" s="19" t="e">
        <f t="shared" ca="1" si="157"/>
        <v>#VALUE!</v>
      </c>
      <c r="U126" s="19" t="e">
        <f t="shared" ca="1" si="158"/>
        <v>#VALUE!</v>
      </c>
      <c r="V126" s="21">
        <f t="shared" ca="1" si="159"/>
        <v>1.579967785719218E-5</v>
      </c>
      <c r="W126">
        <f t="shared" ca="1" si="160"/>
        <v>3.9748808607544678E-3</v>
      </c>
      <c r="X126" s="22">
        <f t="shared" ref="X126" ca="1" si="276">BSdelta(1,P126,Strike,W126*AnnualVarConvtr,Dividend,RiskFreeRate,G126/250)</f>
        <v>0</v>
      </c>
      <c r="Y126" s="22">
        <f t="shared" ca="1" si="166"/>
        <v>0</v>
      </c>
      <c r="Z126" s="22">
        <f t="shared" ca="1" si="167"/>
        <v>-7.4987778724931502</v>
      </c>
      <c r="AA126">
        <f t="shared" si="154"/>
        <v>0.73884103340948371</v>
      </c>
      <c r="AB126">
        <f t="shared" ref="AB126" ca="1" si="277">BSdelta(1,P126,Strike,AA126/AnnualVarConvtr,Dividend,RiskFreeRate,G126/250)</f>
        <v>0</v>
      </c>
      <c r="AC126">
        <f t="shared" ca="1" si="163"/>
        <v>0</v>
      </c>
      <c r="AD126">
        <f t="shared" ca="1" si="164"/>
        <v>-2.5925431219385242</v>
      </c>
    </row>
    <row r="127" spans="7:30" x14ac:dyDescent="0.25">
      <c r="G127" s="19">
        <v>128</v>
      </c>
      <c r="H127" s="19">
        <f t="shared" ca="1" si="213"/>
        <v>0.78293100001480731</v>
      </c>
      <c r="I127" s="19">
        <f t="shared" ca="1" si="213"/>
        <v>0.88964017437656107</v>
      </c>
      <c r="J127" s="19">
        <f t="shared" ca="1" si="147"/>
        <v>0.53803117866079453</v>
      </c>
      <c r="K127" s="19">
        <f t="shared" ca="1" si="148"/>
        <v>-0.4471508355247662</v>
      </c>
      <c r="L127" s="19">
        <f t="array" aca="1" ref="L127:M127" ca="1">MMULT(J127:K127,TRANSPOSE($B$10:$C$11))</f>
        <v>0.53803117866079453</v>
      </c>
      <c r="M127" s="19">
        <f ca="1"/>
        <v>-0.69742599025308505</v>
      </c>
      <c r="N127" s="20">
        <f t="shared" ca="1" si="149"/>
        <v>9.3947618017637766E-3</v>
      </c>
      <c r="O127" s="20">
        <f t="shared" ca="1" si="150"/>
        <v>8.1611034165816027E-2</v>
      </c>
      <c r="P127" s="19">
        <f t="shared" ca="1" si="156"/>
        <v>7.1812863739837989E-6</v>
      </c>
      <c r="Q127" s="19">
        <f ca="1">HCTrans(P127,Strike,RiskFreeRate,Dividend,Variance_T0*AnnualVarConvtr,(Simulation!G127)/250,0.5,Variance_Avg*AnnualVarConvtr,Lambda,SQRT(Simulation!N127),Rho,1,"Call")</f>
        <v>-1.5078070364867071E-5</v>
      </c>
      <c r="R127" s="19" t="e">
        <f t="shared" ca="1" si="151"/>
        <v>#VALUE!</v>
      </c>
      <c r="S127" s="19" t="e">
        <f t="shared" ca="1" si="152"/>
        <v>#VALUE!</v>
      </c>
      <c r="T127" s="19" t="e">
        <f t="shared" ca="1" si="157"/>
        <v>#VALUE!</v>
      </c>
      <c r="U127" s="19" t="e">
        <f t="shared" ca="1" si="158"/>
        <v>#VALUE!</v>
      </c>
      <c r="V127" s="21">
        <f t="shared" ca="1" si="159"/>
        <v>1.2909650245275379E-5</v>
      </c>
      <c r="W127">
        <f t="shared" ca="1" si="160"/>
        <v>3.5930001732918659E-3</v>
      </c>
      <c r="X127" s="22">
        <f t="shared" ref="X127" ca="1" si="278">BSdelta(1,P127,Strike,W127*AnnualVarConvtr,Dividend,RiskFreeRate,G127/250)</f>
        <v>0</v>
      </c>
      <c r="Y127" s="22">
        <f t="shared" ca="1" si="166"/>
        <v>0</v>
      </c>
      <c r="Z127" s="22">
        <f t="shared" ca="1" si="167"/>
        <v>-7.4987778730938048</v>
      </c>
      <c r="AA127">
        <f t="shared" si="154"/>
        <v>0.73884103340948371</v>
      </c>
      <c r="AB127">
        <f t="shared" ref="AB127" ca="1" si="279">BSdelta(1,P127,Strike,AA127/AnnualVarConvtr,Dividend,RiskFreeRate,G127/250)</f>
        <v>0</v>
      </c>
      <c r="AC127">
        <f t="shared" ca="1" si="163"/>
        <v>0</v>
      </c>
      <c r="AD127">
        <f t="shared" ca="1" si="164"/>
        <v>-2.5925431225391788</v>
      </c>
    </row>
    <row r="128" spans="7:30" x14ac:dyDescent="0.25">
      <c r="G128" s="19">
        <v>127</v>
      </c>
      <c r="H128" s="19">
        <f t="shared" ca="1" si="213"/>
        <v>0.14131127782221165</v>
      </c>
      <c r="I128" s="19">
        <f t="shared" ca="1" si="213"/>
        <v>3.4394561281593128E-2</v>
      </c>
      <c r="J128" s="19">
        <f t="shared" ca="1" si="147"/>
        <v>1.9322614699614835</v>
      </c>
      <c r="K128" s="19">
        <f t="shared" ca="1" si="148"/>
        <v>0.4242003856474445</v>
      </c>
      <c r="L128" s="19">
        <f t="array" aca="1" ref="L128:M128" ca="1">MMULT(J128:K128,TRANSPOSE($B$10:$C$11))</f>
        <v>1.9322614699614835</v>
      </c>
      <c r="M128" s="19">
        <f ca="1"/>
        <v>-1.0885486300595735</v>
      </c>
      <c r="N128" s="20">
        <f t="shared" ca="1" si="149"/>
        <v>6.973299382130242E-3</v>
      </c>
      <c r="O128" s="20">
        <f t="shared" ca="1" si="150"/>
        <v>9.3456135386646683E-2</v>
      </c>
      <c r="P128" s="19">
        <f t="shared" ca="1" si="156"/>
        <v>5.9827317850421686E-6</v>
      </c>
      <c r="Q128" s="19">
        <f ca="1">HCTrans(P128,Strike,RiskFreeRate,Dividend,Variance_T0*AnnualVarConvtr,(Simulation!G128)/250,0.5,Variance_Avg*AnnualVarConvtr,Lambda,SQRT(Simulation!N128),Rho,1,"Call")</f>
        <v>-1.507847083829794E-5</v>
      </c>
      <c r="R128" s="19" t="e">
        <f t="shared" ca="1" si="151"/>
        <v>#VALUE!</v>
      </c>
      <c r="S128" s="19" t="e">
        <f t="shared" ca="1" si="152"/>
        <v>#VALUE!</v>
      </c>
      <c r="T128" s="19" t="e">
        <f t="shared" ca="1" si="157"/>
        <v>#VALUE!</v>
      </c>
      <c r="U128" s="19" t="e">
        <f t="shared" ca="1" si="158"/>
        <v>#VALUE!</v>
      </c>
      <c r="V128" s="21">
        <f t="shared" ca="1" si="159"/>
        <v>1.4030642293172391E-4</v>
      </c>
      <c r="W128">
        <f t="shared" ca="1" si="160"/>
        <v>1.1845101220830656E-2</v>
      </c>
      <c r="X128" s="22">
        <f t="shared" ref="X128" ca="1" si="280">BSdelta(1,P128,Strike,W128*AnnualVarConvtr,Dividend,RiskFreeRate,G128/250)</f>
        <v>0</v>
      </c>
      <c r="Y128" s="22">
        <f t="shared" ca="1" si="166"/>
        <v>0</v>
      </c>
      <c r="Z128" s="22">
        <f t="shared" ca="1" si="167"/>
        <v>-7.4987778734942783</v>
      </c>
      <c r="AA128">
        <f t="shared" si="154"/>
        <v>0.73884103340948371</v>
      </c>
      <c r="AB128">
        <f t="shared" ref="AB128" ca="1" si="281">BSdelta(1,P128,Strike,AA128/AnnualVarConvtr,Dividend,RiskFreeRate,G128/250)</f>
        <v>0</v>
      </c>
      <c r="AC128">
        <f t="shared" ca="1" si="163"/>
        <v>0</v>
      </c>
      <c r="AD128">
        <f t="shared" ca="1" si="164"/>
        <v>-2.5925431229396523</v>
      </c>
    </row>
    <row r="129" spans="7:30" x14ac:dyDescent="0.25">
      <c r="G129" s="19">
        <v>126</v>
      </c>
      <c r="H129" s="19">
        <f t="shared" ca="1" si="213"/>
        <v>0.30819561855602373</v>
      </c>
      <c r="I129" s="19">
        <f t="shared" ca="1" si="213"/>
        <v>0.37946252430416971</v>
      </c>
      <c r="J129" s="19">
        <f t="shared" ca="1" si="147"/>
        <v>-1.1148948966188799</v>
      </c>
      <c r="K129" s="19">
        <f t="shared" ca="1" si="148"/>
        <v>1.0540638094346044</v>
      </c>
      <c r="L129" s="19">
        <f t="array" aca="1" ref="L129:M129" ca="1">MMULT(J129:K129,TRANSPOSE($B$10:$C$11))</f>
        <v>-1.1148948966188799</v>
      </c>
      <c r="M129" s="19">
        <f ca="1"/>
        <v>1.5341235003344988</v>
      </c>
      <c r="N129" s="20">
        <f t="shared" ca="1" si="149"/>
        <v>1.0468716645535853E-2</v>
      </c>
      <c r="O129" s="20">
        <f t="shared" ca="1" si="150"/>
        <v>8.756792825859594E-2</v>
      </c>
      <c r="P129" s="19">
        <f t="shared" ca="1" si="156"/>
        <v>5.0403645188708247E-6</v>
      </c>
      <c r="Q129" s="19">
        <f ca="1">HCTrans(P129,Strike,RiskFreeRate,Dividend,Variance_T0*AnnualVarConvtr,(Simulation!G129)/250,0.5,Variance_Avg*AnnualVarConvtr,Lambda,SQRT(Simulation!N129),Rho,1,"Call")</f>
        <v>-1.5078753317146474E-5</v>
      </c>
      <c r="R129" s="19" t="e">
        <f t="shared" ca="1" si="151"/>
        <v>#VALUE!</v>
      </c>
      <c r="S129" s="19" t="e">
        <f t="shared" ca="1" si="152"/>
        <v>#VALUE!</v>
      </c>
      <c r="T129" s="19" t="e">
        <f t="shared" ca="1" si="157"/>
        <v>#VALUE!</v>
      </c>
      <c r="U129" s="19" t="e">
        <f t="shared" ca="1" si="158"/>
        <v>#VALUE!</v>
      </c>
      <c r="V129" s="21">
        <f t="shared" ca="1" si="159"/>
        <v>3.4670983182827583E-5</v>
      </c>
      <c r="W129">
        <f t="shared" ca="1" si="160"/>
        <v>5.8882071280507431E-3</v>
      </c>
      <c r="X129" s="22">
        <f t="shared" ref="X129" ca="1" si="282">BSdelta(1,P129,Strike,W129*AnnualVarConvtr,Dividend,RiskFreeRate,G129/250)</f>
        <v>0</v>
      </c>
      <c r="Y129" s="22">
        <f t="shared" ca="1" si="166"/>
        <v>0</v>
      </c>
      <c r="Z129" s="22">
        <f t="shared" ca="1" si="167"/>
        <v>-7.4987778737767572</v>
      </c>
      <c r="AA129">
        <f t="shared" si="154"/>
        <v>0.73884103340948371</v>
      </c>
      <c r="AB129">
        <f t="shared" ref="AB129" ca="1" si="283">BSdelta(1,P129,Strike,AA129/AnnualVarConvtr,Dividend,RiskFreeRate,G129/250)</f>
        <v>0</v>
      </c>
      <c r="AC129">
        <f t="shared" ca="1" si="163"/>
        <v>0</v>
      </c>
      <c r="AD129">
        <f t="shared" ca="1" si="164"/>
        <v>-2.5925431232221312</v>
      </c>
    </row>
    <row r="130" spans="7:30" x14ac:dyDescent="0.25">
      <c r="G130" s="19">
        <v>125</v>
      </c>
      <c r="H130" s="19">
        <f t="shared" ca="1" si="213"/>
        <v>0.9051919230329275</v>
      </c>
      <c r="I130" s="19">
        <f t="shared" ca="1" si="213"/>
        <v>0.32686638877971896</v>
      </c>
      <c r="J130" s="19">
        <f t="shared" ca="1" si="147"/>
        <v>-0.20728229238888776</v>
      </c>
      <c r="K130" s="19">
        <f t="shared" ca="1" si="148"/>
        <v>0.39528550124475997</v>
      </c>
      <c r="L130" s="19">
        <f t="array" aca="1" ref="L130:M130" ca="1">MMULT(J130:K130,TRANSPOSE($B$10:$C$11))</f>
        <v>-0.20728229238888776</v>
      </c>
      <c r="M130" s="19">
        <f ca="1"/>
        <v>0.42426382555765374</v>
      </c>
      <c r="N130" s="20">
        <f t="shared" ca="1" si="149"/>
        <v>1.1542036038783286E-2</v>
      </c>
      <c r="O130" s="20">
        <f t="shared" ca="1" si="150"/>
        <v>8.622658811866922E-2</v>
      </c>
      <c r="P130" s="19">
        <f t="shared" ca="1" si="156"/>
        <v>4.309986026442829E-6</v>
      </c>
      <c r="Q130" s="19">
        <f ca="1">HCTrans(P130,Strike,RiskFreeRate,Dividend,Variance_T0*AnnualVarConvtr,(Simulation!G130)/250,0.5,Variance_Avg*AnnualVarConvtr,Lambda,SQRT(Simulation!N130),Rho,1,"Call")</f>
        <v>-1.5078942117263692E-5</v>
      </c>
      <c r="R130" s="19" t="e">
        <f t="shared" ca="1" si="151"/>
        <v>#VALUE!</v>
      </c>
      <c r="S130" s="19" t="e">
        <f t="shared" ca="1" si="152"/>
        <v>#VALUE!</v>
      </c>
      <c r="T130" s="19" t="e">
        <f t="shared" ca="1" si="157"/>
        <v>#VALUE!</v>
      </c>
      <c r="U130" s="19" t="e">
        <f t="shared" ca="1" si="158"/>
        <v>#VALUE!</v>
      </c>
      <c r="V130" s="21">
        <f t="shared" ca="1" si="159"/>
        <v>1.7991933709786311E-6</v>
      </c>
      <c r="W130">
        <f t="shared" ca="1" si="160"/>
        <v>1.3413401399267194E-3</v>
      </c>
      <c r="X130" s="22">
        <f t="shared" ref="X130" ca="1" si="284">BSdelta(1,P130,Strike,W130*AnnualVarConvtr,Dividend,RiskFreeRate,G130/250)</f>
        <v>0</v>
      </c>
      <c r="Y130" s="22">
        <f t="shared" ca="1" si="166"/>
        <v>0</v>
      </c>
      <c r="Z130" s="22">
        <f t="shared" ca="1" si="167"/>
        <v>-7.4987778739655573</v>
      </c>
      <c r="AA130">
        <f t="shared" si="154"/>
        <v>0.73884103340948371</v>
      </c>
      <c r="AB130">
        <f t="shared" ref="AB130" ca="1" si="285">BSdelta(1,P130,Strike,AA130/AnnualVarConvtr,Dividend,RiskFreeRate,G130/250)</f>
        <v>0</v>
      </c>
      <c r="AC130">
        <f t="shared" ca="1" si="163"/>
        <v>0</v>
      </c>
      <c r="AD130">
        <f t="shared" ca="1" si="164"/>
        <v>-2.5925431234109313</v>
      </c>
    </row>
    <row r="131" spans="7:30" x14ac:dyDescent="0.25">
      <c r="G131" s="19">
        <v>124</v>
      </c>
      <c r="H131" s="19">
        <f t="shared" ca="1" si="213"/>
        <v>0.28528863577950969</v>
      </c>
      <c r="I131" s="19">
        <f t="shared" ca="1" si="213"/>
        <v>0.56325789935992709</v>
      </c>
      <c r="J131" s="19">
        <f t="shared" ca="1" si="147"/>
        <v>-1.460362410786</v>
      </c>
      <c r="K131" s="19">
        <f t="shared" ca="1" si="148"/>
        <v>-0.6130655245021579</v>
      </c>
      <c r="L131" s="19">
        <f t="array" aca="1" ref="L131:M131" ca="1">MMULT(J131:K131,TRANSPOSE($B$10:$C$11))</f>
        <v>-1.460362410786</v>
      </c>
      <c r="M131" s="19">
        <f ca="1"/>
        <v>0.61868307129172351</v>
      </c>
      <c r="N131" s="20">
        <f t="shared" ca="1" si="149"/>
        <v>1.3205538537188434E-2</v>
      </c>
      <c r="O131" s="20">
        <f t="shared" ca="1" si="150"/>
        <v>7.630384257630847E-2</v>
      </c>
      <c r="P131" s="19">
        <f t="shared" ca="1" si="156"/>
        <v>3.7380117787352544E-6</v>
      </c>
      <c r="Q131" s="19">
        <f ca="1">HCTrans(P131,Strike,RiskFreeRate,Dividend,Variance_T0*AnnualVarConvtr,(Simulation!G131)/250,0.5,Variance_Avg*AnnualVarConvtr,Lambda,SQRT(Simulation!N131),Rho,1,"Call")</f>
        <v>-1.5079063124764499E-5</v>
      </c>
      <c r="R131" s="19" t="e">
        <f t="shared" ca="1" si="151"/>
        <v>#VALUE!</v>
      </c>
      <c r="S131" s="19" t="e">
        <f t="shared" ca="1" si="152"/>
        <v>#VALUE!</v>
      </c>
      <c r="T131" s="19" t="e">
        <f t="shared" ca="1" si="157"/>
        <v>#VALUE!</v>
      </c>
      <c r="U131" s="19" t="e">
        <f t="shared" ca="1" si="158"/>
        <v>#VALUE!</v>
      </c>
      <c r="V131" s="21">
        <f t="shared" ca="1" si="159"/>
        <v>9.8460879098440137E-5</v>
      </c>
      <c r="W131">
        <f t="shared" ca="1" si="160"/>
        <v>9.9227455423607502E-3</v>
      </c>
      <c r="X131" s="22">
        <f t="shared" ref="X131" ca="1" si="286">BSdelta(1,P131,Strike,W131*AnnualVarConvtr,Dividend,RiskFreeRate,G131/250)</f>
        <v>0</v>
      </c>
      <c r="Y131" s="22">
        <f t="shared" ca="1" si="166"/>
        <v>0</v>
      </c>
      <c r="Z131" s="22">
        <f t="shared" ca="1" si="167"/>
        <v>-7.4987778740865645</v>
      </c>
      <c r="AA131">
        <f t="shared" si="154"/>
        <v>0.73884103340948371</v>
      </c>
      <c r="AB131">
        <f t="shared" ref="AB131" ca="1" si="287">BSdelta(1,P131,Strike,AA131/AnnualVarConvtr,Dividend,RiskFreeRate,G131/250)</f>
        <v>0</v>
      </c>
      <c r="AC131">
        <f t="shared" ca="1" si="163"/>
        <v>0</v>
      </c>
      <c r="AD131">
        <f t="shared" ca="1" si="164"/>
        <v>-2.5925431235319389</v>
      </c>
    </row>
    <row r="132" spans="7:30" x14ac:dyDescent="0.25">
      <c r="G132" s="19">
        <v>123</v>
      </c>
      <c r="H132" s="19">
        <f t="shared" ca="1" si="213"/>
        <v>0.27157317518192126</v>
      </c>
      <c r="I132" s="19">
        <f t="shared" ca="1" si="213"/>
        <v>0.17272376021443825</v>
      </c>
      <c r="J132" s="19">
        <f t="shared" ca="1" si="147"/>
        <v>0.75352907225704469</v>
      </c>
      <c r="K132" s="19">
        <f t="shared" ca="1" si="148"/>
        <v>1.4280200437708548</v>
      </c>
      <c r="L132" s="19">
        <f t="array" aca="1" ref="L132:M132" ca="1">MMULT(J132:K132,TRANSPOSE($B$10:$C$11))</f>
        <v>0.75352907225704469</v>
      </c>
      <c r="M132" s="19">
        <f ca="1"/>
        <v>0.45626476843285702</v>
      </c>
      <c r="N132" s="20">
        <f t="shared" ca="1" si="149"/>
        <v>1.4489820146575974E-2</v>
      </c>
      <c r="O132" s="20">
        <f t="shared" ca="1" si="150"/>
        <v>8.1780405309672136E-2</v>
      </c>
      <c r="P132" s="19">
        <f t="shared" ca="1" si="156"/>
        <v>3.1865399625858175E-6</v>
      </c>
      <c r="Q132" s="19">
        <f ca="1">HCTrans(P132,Strike,RiskFreeRate,Dividend,Variance_T0*AnnualVarConvtr,(Simulation!G132)/250,0.5,Variance_Avg*AnnualVarConvtr,Lambda,SQRT(Simulation!N132),Rho,1,"Call")</f>
        <v>-1.5079147440945216E-5</v>
      </c>
      <c r="R132" s="19" t="e">
        <f t="shared" ca="1" si="151"/>
        <v>#VALUE!</v>
      </c>
      <c r="S132" s="19" t="e">
        <f t="shared" ca="1" si="152"/>
        <v>#VALUE!</v>
      </c>
      <c r="T132" s="19" t="e">
        <f t="shared" ca="1" si="157"/>
        <v>#VALUE!</v>
      </c>
      <c r="U132" s="19" t="e">
        <f t="shared" ca="1" si="158"/>
        <v>#VALUE!</v>
      </c>
      <c r="V132" s="21">
        <f t="shared" ca="1" si="159"/>
        <v>2.9992739372467707E-5</v>
      </c>
      <c r="W132">
        <f t="shared" ca="1" si="160"/>
        <v>5.4765627333636657E-3</v>
      </c>
      <c r="X132" s="22">
        <f t="shared" ref="X132" ca="1" si="288">BSdelta(1,P132,Strike,W132*AnnualVarConvtr,Dividend,RiskFreeRate,G132/250)</f>
        <v>0</v>
      </c>
      <c r="Y132" s="22">
        <f t="shared" ca="1" si="166"/>
        <v>0</v>
      </c>
      <c r="Z132" s="22">
        <f t="shared" ca="1" si="167"/>
        <v>-7.498777874170881</v>
      </c>
      <c r="AA132">
        <f t="shared" si="154"/>
        <v>0.73884103340948371</v>
      </c>
      <c r="AB132">
        <f t="shared" ref="AB132" ca="1" si="289">BSdelta(1,P132,Strike,AA132/AnnualVarConvtr,Dividend,RiskFreeRate,G132/250)</f>
        <v>0</v>
      </c>
      <c r="AC132">
        <f t="shared" ca="1" si="163"/>
        <v>0</v>
      </c>
      <c r="AD132">
        <f t="shared" ca="1" si="164"/>
        <v>-2.5925431236162551</v>
      </c>
    </row>
    <row r="133" spans="7:30" x14ac:dyDescent="0.25">
      <c r="G133" s="19">
        <v>122</v>
      </c>
      <c r="H133" s="19">
        <f t="shared" ca="1" si="213"/>
        <v>0.90451946112366099</v>
      </c>
      <c r="I133" s="19">
        <f t="shared" ca="1" si="213"/>
        <v>0.52599751284886098</v>
      </c>
      <c r="J133" s="19">
        <f t="shared" ca="1" si="147"/>
        <v>-0.44203524892793705</v>
      </c>
      <c r="K133" s="19">
        <f t="shared" ca="1" si="148"/>
        <v>-7.2854345643633453E-2</v>
      </c>
      <c r="L133" s="19">
        <f t="array" aca="1" ref="L133:M133" ca="1">MMULT(J133:K133,TRANSPOSE($B$10:$C$11))</f>
        <v>-0.44203524892793705</v>
      </c>
      <c r="M133" s="19">
        <f ca="1"/>
        <v>0.26589600478806508</v>
      </c>
      <c r="N133" s="20">
        <f t="shared" ca="1" si="149"/>
        <v>1.524580328587046E-2</v>
      </c>
      <c r="O133" s="20">
        <f t="shared" ca="1" si="150"/>
        <v>7.8415147076090277E-2</v>
      </c>
      <c r="P133" s="19">
        <f t="shared" ca="1" si="156"/>
        <v>2.8252774910704508E-6</v>
      </c>
      <c r="Q133" s="19">
        <f ca="1">HCTrans(P133,Strike,RiskFreeRate,Dividend,Variance_T0*AnnualVarConvtr,(Simulation!G133)/250,0.5,Variance_Avg*AnnualVarConvtr,Lambda,SQRT(Simulation!N133),Rho,1,"Call")</f>
        <v>-1.5079179806691863E-5</v>
      </c>
      <c r="R133" s="19" t="e">
        <f t="shared" ca="1" si="151"/>
        <v>#VALUE!</v>
      </c>
      <c r="S133" s="19" t="e">
        <f t="shared" ca="1" si="152"/>
        <v>#VALUE!</v>
      </c>
      <c r="T133" s="19" t="e">
        <f t="shared" ca="1" si="157"/>
        <v>#VALUE!</v>
      </c>
      <c r="U133" s="19" t="e">
        <f t="shared" ca="1" si="158"/>
        <v>#VALUE!</v>
      </c>
      <c r="V133" s="21">
        <f t="shared" ca="1" si="159"/>
        <v>1.1324962978690489E-5</v>
      </c>
      <c r="W133">
        <f t="shared" ca="1" si="160"/>
        <v>3.3652582335818582E-3</v>
      </c>
      <c r="X133" s="22">
        <f t="shared" ref="X133" ca="1" si="290">BSdelta(1,P133,Strike,W133*AnnualVarConvtr,Dividend,RiskFreeRate,G133/250)</f>
        <v>0</v>
      </c>
      <c r="Y133" s="22">
        <f t="shared" ca="1" si="166"/>
        <v>0</v>
      </c>
      <c r="Z133" s="22">
        <f t="shared" ca="1" si="167"/>
        <v>-7.4987778742032472</v>
      </c>
      <c r="AA133">
        <f t="shared" si="154"/>
        <v>0.73884103340948371</v>
      </c>
      <c r="AB133">
        <f t="shared" ref="AB133" ca="1" si="291">BSdelta(1,P133,Strike,AA133/AnnualVarConvtr,Dividend,RiskFreeRate,G133/250)</f>
        <v>0</v>
      </c>
      <c r="AC133">
        <f t="shared" ca="1" si="163"/>
        <v>0</v>
      </c>
      <c r="AD133">
        <f t="shared" ca="1" si="164"/>
        <v>-2.5925431236486207</v>
      </c>
    </row>
    <row r="134" spans="7:30" x14ac:dyDescent="0.25">
      <c r="G134" s="19">
        <v>121</v>
      </c>
      <c r="H134" s="19">
        <f t="shared" ca="1" si="213"/>
        <v>0.78414254382222304</v>
      </c>
      <c r="I134" s="19">
        <f t="shared" ca="1" si="213"/>
        <v>0.32764526845560116</v>
      </c>
      <c r="J134" s="19">
        <f t="shared" ref="J134:J197" ca="1" si="292">SQRT(-2*LN(H134))*COS(2*PI()*I134)</f>
        <v>-0.326883960866093</v>
      </c>
      <c r="K134" s="19">
        <f t="shared" ref="K134:K197" ca="1" si="293">SQRT(-2*LN(H134))*SIN(2*PI()*I134)</f>
        <v>0.61601606654818042</v>
      </c>
      <c r="L134" s="19">
        <f t="array" aca="1" ref="L134:M134" ca="1">MMULT(J134:K134,TRANSPOSE($B$10:$C$11))</f>
        <v>-0.326883960866093</v>
      </c>
      <c r="M134" s="19">
        <f ca="1"/>
        <v>0.66393721404075356</v>
      </c>
      <c r="N134" s="20">
        <f t="shared" ref="N134:N197" ca="1" si="294">GetVariance(N133,Variance_Avg,Lambda,Eta,M134,"Daily")</f>
        <v>1.7278740214681263E-2</v>
      </c>
      <c r="O134" s="20">
        <f t="shared" ref="O134:O197" ca="1" si="295">GetStockReturns(O133,RiskFreeRate,N133,L134,"Daily")</f>
        <v>7.5862453042700673E-2</v>
      </c>
      <c r="P134" s="19">
        <f t="shared" ca="1" si="156"/>
        <v>2.5003650002502626E-6</v>
      </c>
      <c r="Q134" s="19">
        <f ca="1">HCTrans(P134,Strike,RiskFreeRate,Dividend,Variance_T0*AnnualVarConvtr,(Simulation!G134)/250,0.5,Variance_Avg*AnnualVarConvtr,Lambda,SQRT(Simulation!N134),Rho,1,"Call")</f>
        <v>-1.5079187667900669E-5</v>
      </c>
      <c r="R134" s="19" t="e">
        <f t="shared" ref="R134:R197" ca="1" si="296">BSvol(1,P134,Strike,Q134,Dividend,RiskFreeRate,G134/250)</f>
        <v>#VALUE!</v>
      </c>
      <c r="S134" s="19" t="e">
        <f t="shared" ref="S134:S197" ca="1" si="297">BSdelta(1,P134,Strike,R134/AnnualVarConvtr,Dividend,RiskFreeRate,G134/250)</f>
        <v>#VALUE!</v>
      </c>
      <c r="T134" s="19" t="e">
        <f t="shared" ca="1" si="157"/>
        <v>#VALUE!</v>
      </c>
      <c r="U134" s="19" t="e">
        <f t="shared" ca="1" si="158"/>
        <v>#VALUE!</v>
      </c>
      <c r="V134" s="21">
        <f t="shared" ca="1" si="159"/>
        <v>6.5162468281028887E-6</v>
      </c>
      <c r="W134">
        <f t="shared" ca="1" si="160"/>
        <v>2.5526940333896048E-3</v>
      </c>
      <c r="X134" s="22">
        <f t="shared" ref="X134" ca="1" si="298">BSdelta(1,P134,Strike,W134*AnnualVarConvtr,Dividend,RiskFreeRate,G134/250)</f>
        <v>0</v>
      </c>
      <c r="Y134" s="22">
        <f t="shared" ca="1" si="166"/>
        <v>0</v>
      </c>
      <c r="Z134" s="22">
        <f t="shared" ca="1" si="167"/>
        <v>-7.4987778742111084</v>
      </c>
      <c r="AA134">
        <f t="shared" ref="AA134:AA197" si="299">$R$5</f>
        <v>0.73884103340948371</v>
      </c>
      <c r="AB134">
        <f t="shared" ref="AB134" ca="1" si="300">BSdelta(1,P134,Strike,AA134/AnnualVarConvtr,Dividend,RiskFreeRate,G134/250)</f>
        <v>0</v>
      </c>
      <c r="AC134">
        <f t="shared" ca="1" si="163"/>
        <v>0</v>
      </c>
      <c r="AD134">
        <f t="shared" ca="1" si="164"/>
        <v>-2.592543123656482</v>
      </c>
    </row>
    <row r="135" spans="7:30" x14ac:dyDescent="0.25">
      <c r="G135" s="19">
        <v>120</v>
      </c>
      <c r="H135" s="19">
        <f t="shared" ca="1" si="213"/>
        <v>0.61242310225383656</v>
      </c>
      <c r="I135" s="19">
        <f t="shared" ca="1" si="213"/>
        <v>0.95301052686089605</v>
      </c>
      <c r="J135" s="19">
        <f t="shared" ca="1" si="292"/>
        <v>0.94743636596968961</v>
      </c>
      <c r="K135" s="19">
        <f t="shared" ca="1" si="293"/>
        <v>-0.2881459977328551</v>
      </c>
      <c r="L135" s="19">
        <f t="array" aca="1" ref="L135:M135" ca="1">MMULT(J135:K135,TRANSPOSE($B$10:$C$11))</f>
        <v>0.94743636596968961</v>
      </c>
      <c r="M135" s="19">
        <f ca="1"/>
        <v>-0.87984508465613942</v>
      </c>
      <c r="N135" s="20">
        <f t="shared" ca="1" si="294"/>
        <v>1.4504972147411697E-2</v>
      </c>
      <c r="O135" s="20">
        <f t="shared" ca="1" si="295"/>
        <v>8.373900393944049E-2</v>
      </c>
      <c r="P135" s="19">
        <f t="shared" ref="P135:P198" ca="1" si="301">P134*EXP(O135)</f>
        <v>2.2740132610368839E-6</v>
      </c>
      <c r="Q135" s="19">
        <f ca="1">HCTrans(P135,Strike,RiskFreeRate,Dividend,Variance_T0*AnnualVarConvtr,(Simulation!G135)/250,0.5,Variance_Avg*AnnualVarConvtr,Lambda,SQRT(Simulation!N135),Rho,1,"Call")</f>
        <v>-1.5079178429907259E-5</v>
      </c>
      <c r="R135" s="19" t="e">
        <f t="shared" ca="1" si="296"/>
        <v>#VALUE!</v>
      </c>
      <c r="S135" s="19" t="e">
        <f t="shared" ca="1" si="297"/>
        <v>#VALUE!</v>
      </c>
      <c r="T135" s="19" t="e">
        <f t="shared" ref="T135:T198" ca="1" si="302">(S135-S134)*P135</f>
        <v>#VALUE!</v>
      </c>
      <c r="U135" s="19" t="e">
        <f t="shared" ref="U135:U198" ca="1" si="303">(Q135-Q134)+U134-T135</f>
        <v>#VALUE!</v>
      </c>
      <c r="V135" s="21">
        <f t="shared" ref="V135:V198" ca="1" si="304">(O135-O134)^2</f>
        <v>6.2040054028932826E-5</v>
      </c>
      <c r="W135">
        <f t="shared" ref="W135:W198" ca="1" si="305">SQRT(V135)</f>
        <v>7.8765508967398173E-3</v>
      </c>
      <c r="X135" s="22">
        <f t="shared" ref="X135" ca="1" si="306">BSdelta(1,P135,Strike,W135*AnnualVarConvtr,Dividend,RiskFreeRate,G135/250)</f>
        <v>0</v>
      </c>
      <c r="Y135" s="22">
        <f t="shared" ca="1" si="166"/>
        <v>0</v>
      </c>
      <c r="Z135" s="22">
        <f t="shared" ca="1" si="167"/>
        <v>-7.4987778742018705</v>
      </c>
      <c r="AA135">
        <f t="shared" si="299"/>
        <v>0.73884103340948371</v>
      </c>
      <c r="AB135">
        <f t="shared" ref="AB135" ca="1" si="307">BSdelta(1,P135,Strike,AA135/AnnualVarConvtr,Dividend,RiskFreeRate,G135/250)</f>
        <v>0</v>
      </c>
      <c r="AC135">
        <f t="shared" ref="AC135:AC198" ca="1" si="308">(AB135-AB134)*P135</f>
        <v>0</v>
      </c>
      <c r="AD135">
        <f t="shared" ref="AD135:AD198" ca="1" si="309">(Q135-Q134)+AD134-AC135</f>
        <v>-2.592543123647244</v>
      </c>
    </row>
    <row r="136" spans="7:30" x14ac:dyDescent="0.25">
      <c r="G136" s="19">
        <v>119</v>
      </c>
      <c r="H136" s="19">
        <f t="shared" ca="1" si="213"/>
        <v>4.209626672488509E-2</v>
      </c>
      <c r="I136" s="19">
        <f t="shared" ca="1" si="213"/>
        <v>0.87588237553348258</v>
      </c>
      <c r="J136" s="19">
        <f t="shared" ca="1" si="292"/>
        <v>1.7896705955310308</v>
      </c>
      <c r="K136" s="19">
        <f t="shared" ca="1" si="293"/>
        <v>-1.7699354781121885</v>
      </c>
      <c r="L136" s="19">
        <f t="array" aca="1" ref="L136:M136" ca="1">MMULT(J136:K136,TRANSPOSE($B$10:$C$11))</f>
        <v>1.7896705955310308</v>
      </c>
      <c r="M136" s="19">
        <f ca="1"/>
        <v>-2.5169831237284073</v>
      </c>
      <c r="N136" s="20">
        <f t="shared" ca="1" si="294"/>
        <v>7.9846751327718058E-3</v>
      </c>
      <c r="O136" s="20">
        <f t="shared" ca="1" si="295"/>
        <v>9.7371065791110434E-2</v>
      </c>
      <c r="P136" s="19">
        <f t="shared" ca="1" si="301"/>
        <v>2.0965581743930699E-6</v>
      </c>
      <c r="Q136" s="19">
        <f ca="1">HCTrans(P136,Strike,RiskFreeRate,Dividend,Variance_T0*AnnualVarConvtr,(Simulation!G136)/250,0.5,Variance_Avg*AnnualVarConvtr,Lambda,SQRT(Simulation!N136),Rho,1,"Call")</f>
        <v>-1.5079160777462388E-5</v>
      </c>
      <c r="R136" s="19" t="e">
        <f t="shared" ca="1" si="296"/>
        <v>#VALUE!</v>
      </c>
      <c r="S136" s="19" t="e">
        <f t="shared" ca="1" si="297"/>
        <v>#VALUE!</v>
      </c>
      <c r="T136" s="19" t="e">
        <f t="shared" ca="1" si="302"/>
        <v>#VALUE!</v>
      </c>
      <c r="U136" s="19" t="e">
        <f t="shared" ca="1" si="303"/>
        <v>#VALUE!</v>
      </c>
      <c r="V136" s="21">
        <f t="shared" ca="1" si="304"/>
        <v>1.8583311032775498E-4</v>
      </c>
      <c r="W136">
        <f t="shared" ca="1" si="305"/>
        <v>1.3632061851669944E-2</v>
      </c>
      <c r="X136" s="22">
        <f t="shared" ref="X136" ca="1" si="310">BSdelta(1,P136,Strike,W136*AnnualVarConvtr,Dividend,RiskFreeRate,G136/250)</f>
        <v>0</v>
      </c>
      <c r="Y136" s="22">
        <f t="shared" ref="Y136:Y199" ca="1" si="311">(X136-X135)*P136</f>
        <v>0</v>
      </c>
      <c r="Z136" s="22">
        <f t="shared" ref="Z136:Z199" ca="1" si="312">(Q136-Q135)+Z135-Y136</f>
        <v>-7.4987778741842179</v>
      </c>
      <c r="AA136">
        <f t="shared" si="299"/>
        <v>0.73884103340948371</v>
      </c>
      <c r="AB136">
        <f t="shared" ref="AB136" ca="1" si="313">BSdelta(1,P136,Strike,AA136/AnnualVarConvtr,Dividend,RiskFreeRate,G136/250)</f>
        <v>0</v>
      </c>
      <c r="AC136">
        <f t="shared" ca="1" si="308"/>
        <v>0</v>
      </c>
      <c r="AD136">
        <f t="shared" ca="1" si="309"/>
        <v>-2.5925431236295915</v>
      </c>
    </row>
    <row r="137" spans="7:30" x14ac:dyDescent="0.25">
      <c r="G137" s="19">
        <v>118</v>
      </c>
      <c r="H137" s="19">
        <f t="shared" ca="1" si="213"/>
        <v>0.36185498609731892</v>
      </c>
      <c r="I137" s="19">
        <f t="shared" ca="1" si="213"/>
        <v>0.46461332115426823</v>
      </c>
      <c r="J137" s="19">
        <f t="shared" ca="1" si="292"/>
        <v>-1.3907426509748515</v>
      </c>
      <c r="K137" s="19">
        <f t="shared" ca="1" si="293"/>
        <v>0.31441748579058715</v>
      </c>
      <c r="L137" s="19">
        <f t="array" aca="1" ref="L137:M137" ca="1">MMULT(J137:K137,TRANSPOSE($B$10:$C$11))</f>
        <v>-1.3907426509748515</v>
      </c>
      <c r="M137" s="19">
        <f ca="1"/>
        <v>1.2158006888016257</v>
      </c>
      <c r="N137" s="20">
        <f t="shared" ca="1" si="294"/>
        <v>1.0865776987940815E-2</v>
      </c>
      <c r="O137" s="20">
        <f t="shared" ca="1" si="295"/>
        <v>8.9511376192597261E-2</v>
      </c>
      <c r="P137" s="19">
        <f t="shared" ca="1" si="301"/>
        <v>1.8580464370380132E-6</v>
      </c>
      <c r="Q137" s="19">
        <f ca="1">HCTrans(P137,Strike,RiskFreeRate,Dividend,Variance_T0*AnnualVarConvtr,(Simulation!G137)/250,0.5,Variance_Avg*AnnualVarConvtr,Lambda,SQRT(Simulation!N137),Rho,1,"Call")</f>
        <v>-1.5079117956470975E-5</v>
      </c>
      <c r="R137" s="19" t="e">
        <f t="shared" ca="1" si="296"/>
        <v>#VALUE!</v>
      </c>
      <c r="S137" s="19" t="e">
        <f t="shared" ca="1" si="297"/>
        <v>#VALUE!</v>
      </c>
      <c r="T137" s="19" t="e">
        <f t="shared" ca="1" si="302"/>
        <v>#VALUE!</v>
      </c>
      <c r="U137" s="19" t="e">
        <f t="shared" ca="1" si="303"/>
        <v>#VALUE!</v>
      </c>
      <c r="V137" s="21">
        <f t="shared" ca="1" si="304"/>
        <v>6.1774720584976151E-5</v>
      </c>
      <c r="W137">
        <f t="shared" ca="1" si="305"/>
        <v>7.8596895985131726E-3</v>
      </c>
      <c r="X137" s="22">
        <f t="shared" ref="X137" ca="1" si="314">BSdelta(1,P137,Strike,W137*AnnualVarConvtr,Dividend,RiskFreeRate,G137/250)</f>
        <v>0</v>
      </c>
      <c r="Y137" s="22">
        <f t="shared" ca="1" si="311"/>
        <v>0</v>
      </c>
      <c r="Z137" s="22">
        <f t="shared" ca="1" si="312"/>
        <v>-7.4987778741413971</v>
      </c>
      <c r="AA137">
        <f t="shared" si="299"/>
        <v>0.73884103340948371</v>
      </c>
      <c r="AB137">
        <f t="shared" ref="AB137" ca="1" si="315">BSdelta(1,P137,Strike,AA137/AnnualVarConvtr,Dividend,RiskFreeRate,G137/250)</f>
        <v>0</v>
      </c>
      <c r="AC137">
        <f t="shared" ca="1" si="308"/>
        <v>0</v>
      </c>
      <c r="AD137">
        <f t="shared" ca="1" si="309"/>
        <v>-2.5925431235867706</v>
      </c>
    </row>
    <row r="138" spans="7:30" x14ac:dyDescent="0.25">
      <c r="G138" s="19">
        <v>117</v>
      </c>
      <c r="H138" s="19">
        <f t="shared" ca="1" si="213"/>
        <v>0.33816843566183408</v>
      </c>
      <c r="I138" s="19">
        <f t="shared" ca="1" si="213"/>
        <v>0.81119109124897659</v>
      </c>
      <c r="J138" s="19">
        <f t="shared" ca="1" si="292"/>
        <v>0.55231538694365701</v>
      </c>
      <c r="K138" s="19">
        <f t="shared" ca="1" si="293"/>
        <v>-1.3650531373808426</v>
      </c>
      <c r="L138" s="19">
        <f t="array" aca="1" ref="L138:M138" ca="1">MMULT(J138:K138,TRANSPOSE($B$10:$C$11))</f>
        <v>0.55231538694365701</v>
      </c>
      <c r="M138" s="19">
        <f ca="1"/>
        <v>-1.3479774223710628</v>
      </c>
      <c r="N138" s="20">
        <f t="shared" ca="1" si="294"/>
        <v>7.6732552895738826E-3</v>
      </c>
      <c r="O138" s="20">
        <f t="shared" ca="1" si="295"/>
        <v>9.315260132513252E-2</v>
      </c>
      <c r="P138" s="19">
        <f t="shared" ca="1" si="301"/>
        <v>1.6199583287857082E-6</v>
      </c>
      <c r="Q138" s="19">
        <f ca="1">HCTrans(P138,Strike,RiskFreeRate,Dividend,Variance_T0*AnnualVarConvtr,(Simulation!G138)/250,0.5,Variance_Avg*AnnualVarConvtr,Lambda,SQRT(Simulation!N138),Rho,1,"Call")</f>
        <v>-1.5079048735305341E-5</v>
      </c>
      <c r="R138" s="19" t="e">
        <f t="shared" ca="1" si="296"/>
        <v>#VALUE!</v>
      </c>
      <c r="S138" s="19" t="e">
        <f t="shared" ca="1" si="297"/>
        <v>#VALUE!</v>
      </c>
      <c r="T138" s="19" t="e">
        <f t="shared" ca="1" si="302"/>
        <v>#VALUE!</v>
      </c>
      <c r="U138" s="19" t="e">
        <f t="shared" ca="1" si="303"/>
        <v>#VALUE!</v>
      </c>
      <c r="V138" s="21">
        <f t="shared" ca="1" si="304"/>
        <v>1.3258520465806411E-5</v>
      </c>
      <c r="W138">
        <f t="shared" ca="1" si="305"/>
        <v>3.6412251325352585E-3</v>
      </c>
      <c r="X138" s="22">
        <f t="shared" ref="X138" ca="1" si="316">BSdelta(1,P138,Strike,W138*AnnualVarConvtr,Dividend,RiskFreeRate,G138/250)</f>
        <v>0</v>
      </c>
      <c r="Y138" s="22">
        <f t="shared" ca="1" si="311"/>
        <v>0</v>
      </c>
      <c r="Z138" s="22">
        <f t="shared" ca="1" si="312"/>
        <v>-7.498777874072176</v>
      </c>
      <c r="AA138">
        <f t="shared" si="299"/>
        <v>0.73884103340948371</v>
      </c>
      <c r="AB138">
        <f t="shared" ref="AB138" ca="1" si="317">BSdelta(1,P138,Strike,AA138/AnnualVarConvtr,Dividend,RiskFreeRate,G138/250)</f>
        <v>0</v>
      </c>
      <c r="AC138">
        <f t="shared" ca="1" si="308"/>
        <v>0</v>
      </c>
      <c r="AD138">
        <f t="shared" ca="1" si="309"/>
        <v>-2.5925431235175496</v>
      </c>
    </row>
    <row r="139" spans="7:30" x14ac:dyDescent="0.25">
      <c r="G139" s="19">
        <v>116</v>
      </c>
      <c r="H139" s="19">
        <f t="shared" ca="1" si="213"/>
        <v>0.50312503888602955</v>
      </c>
      <c r="I139" s="19">
        <f t="shared" ca="1" si="213"/>
        <v>0.74193666501998978</v>
      </c>
      <c r="J139" s="19">
        <f t="shared" ca="1" si="292"/>
        <v>-5.9357520860789229E-2</v>
      </c>
      <c r="K139" s="19">
        <f t="shared" ca="1" si="293"/>
        <v>-1.1706023200719704</v>
      </c>
      <c r="L139" s="19">
        <f t="array" aca="1" ref="L139:M139" ca="1">MMULT(J139:K139,TRANSPOSE($B$10:$C$11))</f>
        <v>-5.9357520860789229E-2</v>
      </c>
      <c r="M139" s="19">
        <f ca="1"/>
        <v>-0.77406740387458073</v>
      </c>
      <c r="N139" s="20">
        <f t="shared" ca="1" si="294"/>
        <v>6.0973672312356437E-3</v>
      </c>
      <c r="O139" s="20">
        <f t="shared" ca="1" si="295"/>
        <v>9.2823753046255383E-2</v>
      </c>
      <c r="P139" s="19">
        <f t="shared" ca="1" si="301"/>
        <v>1.4548333009175481E-6</v>
      </c>
      <c r="Q139" s="19">
        <f ca="1">HCTrans(P139,Strike,RiskFreeRate,Dividend,Variance_T0*AnnualVarConvtr,(Simulation!G139)/250,0.5,Variance_Avg*AnnualVarConvtr,Lambda,SQRT(Simulation!N139),Rho,1,"Call")</f>
        <v>-1.5078981307170368E-5</v>
      </c>
      <c r="R139" s="19" t="e">
        <f t="shared" ca="1" si="296"/>
        <v>#VALUE!</v>
      </c>
      <c r="S139" s="19" t="e">
        <f t="shared" ca="1" si="297"/>
        <v>#VALUE!</v>
      </c>
      <c r="T139" s="19" t="e">
        <f t="shared" ca="1" si="302"/>
        <v>#VALUE!</v>
      </c>
      <c r="U139" s="19" t="e">
        <f t="shared" ca="1" si="303"/>
        <v>#VALUE!</v>
      </c>
      <c r="V139" s="21">
        <f t="shared" ca="1" si="304"/>
        <v>1.081411905204548E-7</v>
      </c>
      <c r="W139">
        <f t="shared" ca="1" si="305"/>
        <v>3.288482788771363E-4</v>
      </c>
      <c r="X139" s="22">
        <f t="shared" ref="X139" ca="1" si="318">BSdelta(1,P139,Strike,W139*AnnualVarConvtr,Dividend,RiskFreeRate,G139/250)</f>
        <v>0</v>
      </c>
      <c r="Y139" s="22">
        <f t="shared" ca="1" si="311"/>
        <v>0</v>
      </c>
      <c r="Z139" s="22">
        <f t="shared" ca="1" si="312"/>
        <v>-7.4987778740047482</v>
      </c>
      <c r="AA139">
        <f t="shared" si="299"/>
        <v>0.73884103340948371</v>
      </c>
      <c r="AB139">
        <f t="shared" ref="AB139" ca="1" si="319">BSdelta(1,P139,Strike,AA139/AnnualVarConvtr,Dividend,RiskFreeRate,G139/250)</f>
        <v>0</v>
      </c>
      <c r="AC139">
        <f t="shared" ca="1" si="308"/>
        <v>0</v>
      </c>
      <c r="AD139">
        <f t="shared" ca="1" si="309"/>
        <v>-2.5925431234501213</v>
      </c>
    </row>
    <row r="140" spans="7:30" x14ac:dyDescent="0.25">
      <c r="G140" s="19">
        <v>115</v>
      </c>
      <c r="H140" s="19">
        <f t="shared" ca="1" si="213"/>
        <v>0.99457734225252359</v>
      </c>
      <c r="I140" s="19">
        <f t="shared" ca="1" si="213"/>
        <v>0.29379427944967373</v>
      </c>
      <c r="J140" s="19">
        <f t="shared" ca="1" si="292"/>
        <v>-2.8334395289270266E-2</v>
      </c>
      <c r="K140" s="19">
        <f t="shared" ca="1" si="293"/>
        <v>0.10035930197425605</v>
      </c>
      <c r="L140" s="19">
        <f t="array" aca="1" ref="L140:M140" ca="1">MMULT(J140:K140,TRANSPOSE($B$10:$C$11))</f>
        <v>-2.8334395289270266E-2</v>
      </c>
      <c r="M140" s="19">
        <f ca="1"/>
        <v>9.0310947777593908E-2</v>
      </c>
      <c r="N140" s="20">
        <f t="shared" ca="1" si="294"/>
        <v>6.2765378799498556E-3</v>
      </c>
      <c r="O140" s="20">
        <f t="shared" ca="1" si="295"/>
        <v>9.2683821665251714E-2</v>
      </c>
      <c r="P140" s="19">
        <f t="shared" ca="1" si="301"/>
        <v>1.339217536182753E-6</v>
      </c>
      <c r="Q140" s="19">
        <f ca="1">HCTrans(P140,Strike,RiskFreeRate,Dividend,Variance_T0*AnnualVarConvtr,(Simulation!G140)/250,0.5,Variance_Avg*AnnualVarConvtr,Lambda,SQRT(Simulation!N140),Rho,1,"Call")</f>
        <v>-1.5078922469319073E-5</v>
      </c>
      <c r="R140" s="19" t="e">
        <f t="shared" ca="1" si="296"/>
        <v>#VALUE!</v>
      </c>
      <c r="S140" s="19" t="e">
        <f t="shared" ca="1" si="297"/>
        <v>#VALUE!</v>
      </c>
      <c r="T140" s="19" t="e">
        <f t="shared" ca="1" si="302"/>
        <v>#VALUE!</v>
      </c>
      <c r="U140" s="19" t="e">
        <f t="shared" ca="1" si="303"/>
        <v>#VALUE!</v>
      </c>
      <c r="V140" s="21">
        <f t="shared" ca="1" si="304"/>
        <v>1.958079138959397E-8</v>
      </c>
      <c r="W140">
        <f t="shared" ca="1" si="305"/>
        <v>1.3993138100366898E-4</v>
      </c>
      <c r="X140" s="22">
        <f t="shared" ref="X140" ca="1" si="320">BSdelta(1,P140,Strike,W140*AnnualVarConvtr,Dividend,RiskFreeRate,G140/250)</f>
        <v>0</v>
      </c>
      <c r="Y140" s="22">
        <f t="shared" ca="1" si="311"/>
        <v>0</v>
      </c>
      <c r="Z140" s="22">
        <f t="shared" ca="1" si="312"/>
        <v>-7.4987778739459099</v>
      </c>
      <c r="AA140">
        <f t="shared" si="299"/>
        <v>0.73884103340948371</v>
      </c>
      <c r="AB140">
        <f t="shared" ref="AB140" ca="1" si="321">BSdelta(1,P140,Strike,AA140/AnnualVarConvtr,Dividend,RiskFreeRate,G140/250)</f>
        <v>0</v>
      </c>
      <c r="AC140">
        <f t="shared" ca="1" si="308"/>
        <v>0</v>
      </c>
      <c r="AD140">
        <f t="shared" ca="1" si="309"/>
        <v>-2.5925431233912835</v>
      </c>
    </row>
    <row r="141" spans="7:30" x14ac:dyDescent="0.25">
      <c r="G141" s="19">
        <v>114</v>
      </c>
      <c r="H141" s="19">
        <f t="shared" ca="1" si="213"/>
        <v>0.97383456422553027</v>
      </c>
      <c r="I141" s="19">
        <f t="shared" ca="1" si="213"/>
        <v>0.70429397657536108</v>
      </c>
      <c r="J141" s="19">
        <f t="shared" ca="1" si="292"/>
        <v>-6.5225679601087355E-2</v>
      </c>
      <c r="K141" s="19">
        <f t="shared" ca="1" si="293"/>
        <v>-0.22084676611111487</v>
      </c>
      <c r="L141" s="19">
        <f t="array" aca="1" ref="L141:M141" ca="1">MMULT(J141:K141,TRANSPOSE($B$10:$C$11))</f>
        <v>-6.5225679601087355E-2</v>
      </c>
      <c r="M141" s="19">
        <f ca="1"/>
        <v>-0.10732565376845374</v>
      </c>
      <c r="N141" s="20">
        <f t="shared" ca="1" si="294"/>
        <v>6.0738552823370344E-3</v>
      </c>
      <c r="O141" s="20">
        <f t="shared" ca="1" si="295"/>
        <v>9.23570016201605E-2</v>
      </c>
      <c r="P141" s="19">
        <f t="shared" ca="1" si="301"/>
        <v>1.2261426452099007E-6</v>
      </c>
      <c r="Q141" s="19">
        <f ca="1">HCTrans(P141,Strike,RiskFreeRate,Dividend,Variance_T0*AnnualVarConvtr,(Simulation!G141)/250,0.5,Variance_Avg*AnnualVarConvtr,Lambda,SQRT(Simulation!N141),Rho,1,"Call")</f>
        <v>-1.507885333533645E-5</v>
      </c>
      <c r="R141" s="19" t="e">
        <f t="shared" ca="1" si="296"/>
        <v>#VALUE!</v>
      </c>
      <c r="S141" s="19" t="e">
        <f t="shared" ca="1" si="297"/>
        <v>#VALUE!</v>
      </c>
      <c r="T141" s="19" t="e">
        <f t="shared" ca="1" si="302"/>
        <v>#VALUE!</v>
      </c>
      <c r="U141" s="19" t="e">
        <f t="shared" ca="1" si="303"/>
        <v>#VALUE!</v>
      </c>
      <c r="V141" s="21">
        <f t="shared" ca="1" si="304"/>
        <v>1.0681134187342314E-7</v>
      </c>
      <c r="W141">
        <f t="shared" ca="1" si="305"/>
        <v>3.2682004509121398E-4</v>
      </c>
      <c r="X141" s="22">
        <f t="shared" ref="X141" ca="1" si="322">BSdelta(1,P141,Strike,W141*AnnualVarConvtr,Dividend,RiskFreeRate,G141/250)</f>
        <v>0</v>
      </c>
      <c r="Y141" s="22">
        <f t="shared" ca="1" si="311"/>
        <v>0</v>
      </c>
      <c r="Z141" s="22">
        <f t="shared" ca="1" si="312"/>
        <v>-7.4987778738767759</v>
      </c>
      <c r="AA141">
        <f t="shared" si="299"/>
        <v>0.73884103340948371</v>
      </c>
      <c r="AB141">
        <f t="shared" ref="AB141" ca="1" si="323">BSdelta(1,P141,Strike,AA141/AnnualVarConvtr,Dividend,RiskFreeRate,G141/250)</f>
        <v>0</v>
      </c>
      <c r="AC141">
        <f t="shared" ca="1" si="308"/>
        <v>0</v>
      </c>
      <c r="AD141">
        <f t="shared" ca="1" si="309"/>
        <v>-2.5925431233221494</v>
      </c>
    </row>
    <row r="142" spans="7:30" x14ac:dyDescent="0.25">
      <c r="G142" s="19">
        <v>113</v>
      </c>
      <c r="H142" s="19">
        <f t="shared" ca="1" si="213"/>
        <v>6.206383335626231E-2</v>
      </c>
      <c r="I142" s="19">
        <f t="shared" ca="1" si="213"/>
        <v>0.95748116509582082</v>
      </c>
      <c r="J142" s="19">
        <f t="shared" ca="1" si="292"/>
        <v>2.2741522416780926</v>
      </c>
      <c r="K142" s="19">
        <f t="shared" ca="1" si="293"/>
        <v>-0.62242693411188521</v>
      </c>
      <c r="L142" s="19">
        <f t="array" aca="1" ref="L142:M142" ca="1">MMULT(J142:K142,TRANSPOSE($B$10:$C$11))</f>
        <v>2.2741522416780926</v>
      </c>
      <c r="M142" s="19">
        <f ca="1"/>
        <v>-2.0636270756992627</v>
      </c>
      <c r="N142" s="20">
        <f t="shared" ca="1" si="294"/>
        <v>2.7755498092424235E-3</v>
      </c>
      <c r="O142" s="20">
        <f t="shared" ca="1" si="295"/>
        <v>0.10356638571148227</v>
      </c>
      <c r="P142" s="19">
        <f t="shared" ca="1" si="301"/>
        <v>1.1343463827373814E-6</v>
      </c>
      <c r="Q142" s="19">
        <f ca="1">HCTrans(P142,Strike,RiskFreeRate,Dividend,Variance_T0*AnnualVarConvtr,(Simulation!G142)/250,0.5,Variance_Avg*AnnualVarConvtr,Lambda,SQRT(Simulation!N142),Rho,1,"Call")</f>
        <v>-1.5078787555293914E-5</v>
      </c>
      <c r="R142" s="19" t="e">
        <f t="shared" ca="1" si="296"/>
        <v>#VALUE!</v>
      </c>
      <c r="S142" s="19" t="e">
        <f t="shared" ca="1" si="297"/>
        <v>#VALUE!</v>
      </c>
      <c r="T142" s="19" t="e">
        <f t="shared" ca="1" si="302"/>
        <v>#VALUE!</v>
      </c>
      <c r="U142" s="19" t="e">
        <f t="shared" ca="1" si="303"/>
        <v>#VALUE!</v>
      </c>
      <c r="V142" s="21">
        <f t="shared" ca="1" si="304"/>
        <v>1.2565029170677765E-4</v>
      </c>
      <c r="W142">
        <f t="shared" ca="1" si="305"/>
        <v>1.1209384091321772E-2</v>
      </c>
      <c r="X142" s="22">
        <f t="shared" ref="X142" ca="1" si="324">BSdelta(1,P142,Strike,W142*AnnualVarConvtr,Dividend,RiskFreeRate,G142/250)</f>
        <v>0</v>
      </c>
      <c r="Y142" s="22">
        <f t="shared" ca="1" si="311"/>
        <v>0</v>
      </c>
      <c r="Z142" s="22">
        <f t="shared" ca="1" si="312"/>
        <v>-7.4987778738109956</v>
      </c>
      <c r="AA142">
        <f t="shared" si="299"/>
        <v>0.73884103340948371</v>
      </c>
      <c r="AB142">
        <f t="shared" ref="AB142" ca="1" si="325">BSdelta(1,P142,Strike,AA142/AnnualVarConvtr,Dividend,RiskFreeRate,G142/250)</f>
        <v>0</v>
      </c>
      <c r="AC142">
        <f t="shared" ca="1" si="308"/>
        <v>0</v>
      </c>
      <c r="AD142">
        <f t="shared" ca="1" si="309"/>
        <v>-2.5925431232563696</v>
      </c>
    </row>
    <row r="143" spans="7:30" x14ac:dyDescent="0.25">
      <c r="G143" s="19">
        <v>112</v>
      </c>
      <c r="H143" s="19">
        <f t="shared" ca="1" si="213"/>
        <v>4.2622023648205332E-2</v>
      </c>
      <c r="I143" s="19">
        <f t="shared" ca="1" si="213"/>
        <v>0.37476571965355765</v>
      </c>
      <c r="J143" s="19">
        <f t="shared" ca="1" si="292"/>
        <v>-1.7737233621246289</v>
      </c>
      <c r="K143" s="19">
        <f t="shared" ca="1" si="293"/>
        <v>1.7789530008283816</v>
      </c>
      <c r="L143" s="19">
        <f t="array" aca="1" ref="L143:M143" ca="1">MMULT(J143:K143,TRANSPOSE($B$10:$C$11))</f>
        <v>-1.7737233621246289</v>
      </c>
      <c r="M143" s="19">
        <f ca="1"/>
        <v>2.5118474384353746</v>
      </c>
      <c r="N143" s="20">
        <f t="shared" ca="1" si="294"/>
        <v>6.9914000303513951E-3</v>
      </c>
      <c r="O143" s="20">
        <f t="shared" ca="1" si="295"/>
        <v>9.7656346059937907E-2</v>
      </c>
      <c r="P143" s="19">
        <f t="shared" ca="1" si="301"/>
        <v>1.0584080642217966E-6</v>
      </c>
      <c r="Q143" s="19">
        <f ca="1">HCTrans(P143,Strike,RiskFreeRate,Dividend,Variance_T0*AnnualVarConvtr,(Simulation!G143)/250,0.5,Variance_Avg*AnnualVarConvtr,Lambda,SQRT(Simulation!N143),Rho,1,"Call")</f>
        <v>-1.5078725562496664E-5</v>
      </c>
      <c r="R143" s="19" t="e">
        <f t="shared" ca="1" si="296"/>
        <v>#VALUE!</v>
      </c>
      <c r="S143" s="19" t="e">
        <f t="shared" ca="1" si="297"/>
        <v>#VALUE!</v>
      </c>
      <c r="T143" s="19" t="e">
        <f t="shared" ca="1" si="302"/>
        <v>#VALUE!</v>
      </c>
      <c r="U143" s="19" t="e">
        <f t="shared" ca="1" si="303"/>
        <v>#VALUE!</v>
      </c>
      <c r="V143" s="21">
        <f t="shared" ca="1" si="304"/>
        <v>3.4928568682826648E-5</v>
      </c>
      <c r="W143">
        <f t="shared" ca="1" si="305"/>
        <v>5.9100396515443659E-3</v>
      </c>
      <c r="X143" s="22">
        <f t="shared" ref="X143" ca="1" si="326">BSdelta(1,P143,Strike,W143*AnnualVarConvtr,Dividend,RiskFreeRate,G143/250)</f>
        <v>0</v>
      </c>
      <c r="Y143" s="22">
        <f t="shared" ca="1" si="311"/>
        <v>0</v>
      </c>
      <c r="Z143" s="22">
        <f t="shared" ca="1" si="312"/>
        <v>-7.4987778737490025</v>
      </c>
      <c r="AA143">
        <f t="shared" si="299"/>
        <v>0.73884103340948371</v>
      </c>
      <c r="AB143">
        <f t="shared" ref="AB143" ca="1" si="327">BSdelta(1,P143,Strike,AA143/AnnualVarConvtr,Dividend,RiskFreeRate,G143/250)</f>
        <v>0</v>
      </c>
      <c r="AC143">
        <f t="shared" ca="1" si="308"/>
        <v>0</v>
      </c>
      <c r="AD143">
        <f t="shared" ca="1" si="309"/>
        <v>-2.592543123194377</v>
      </c>
    </row>
    <row r="144" spans="7:30" x14ac:dyDescent="0.25">
      <c r="G144" s="19">
        <v>111</v>
      </c>
      <c r="H144" s="19">
        <f t="shared" ca="1" si="213"/>
        <v>0.24198400201251913</v>
      </c>
      <c r="I144" s="19">
        <f t="shared" ca="1" si="213"/>
        <v>0.80965639380334842</v>
      </c>
      <c r="J144" s="19">
        <f t="shared" ca="1" si="292"/>
        <v>0.61674769030344556</v>
      </c>
      <c r="K144" s="19">
        <f t="shared" ca="1" si="293"/>
        <v>-1.5676063317361328</v>
      </c>
      <c r="L144" s="19">
        <f t="array" aca="1" ref="L144:M144" ca="1">MMULT(J144:K144,TRANSPOSE($B$10:$C$11))</f>
        <v>0.61674769030344556</v>
      </c>
      <c r="M144" s="19">
        <f ca="1"/>
        <v>-1.5354416614196738</v>
      </c>
      <c r="N144" s="20">
        <f t="shared" ca="1" si="294"/>
        <v>4.1980125733472335E-3</v>
      </c>
      <c r="O144" s="20">
        <f t="shared" ca="1" si="295"/>
        <v>0.10091786273637626</v>
      </c>
      <c r="P144" s="19">
        <f t="shared" ca="1" si="301"/>
        <v>9.8391689749372344E-7</v>
      </c>
      <c r="Q144" s="19">
        <f ca="1">HCTrans(P144,Strike,RiskFreeRate,Dividend,Variance_T0*AnnualVarConvtr,(Simulation!G144)/250,0.5,Variance_Avg*AnnualVarConvtr,Lambda,SQRT(Simulation!N144),Rho,1,"Call")</f>
        <v>-1.5078656751507062E-5</v>
      </c>
      <c r="R144" s="19" t="e">
        <f t="shared" ca="1" si="296"/>
        <v>#VALUE!</v>
      </c>
      <c r="S144" s="19" t="e">
        <f t="shared" ca="1" si="297"/>
        <v>#VALUE!</v>
      </c>
      <c r="T144" s="19" t="e">
        <f t="shared" ca="1" si="302"/>
        <v>#VALUE!</v>
      </c>
      <c r="U144" s="19" t="e">
        <f t="shared" ca="1" si="303"/>
        <v>#VALUE!</v>
      </c>
      <c r="V144" s="21">
        <f t="shared" ca="1" si="304"/>
        <v>1.0637491030685498E-5</v>
      </c>
      <c r="W144">
        <f t="shared" ca="1" si="305"/>
        <v>3.2615166764383557E-3</v>
      </c>
      <c r="X144" s="22">
        <f t="shared" ref="X144" ca="1" si="328">BSdelta(1,P144,Strike,W144*AnnualVarConvtr,Dividend,RiskFreeRate,G144/250)</f>
        <v>0</v>
      </c>
      <c r="Y144" s="22">
        <f t="shared" ca="1" si="311"/>
        <v>0</v>
      </c>
      <c r="Z144" s="22">
        <f t="shared" ca="1" si="312"/>
        <v>-7.4987778736801918</v>
      </c>
      <c r="AA144">
        <f t="shared" si="299"/>
        <v>0.73884103340948371</v>
      </c>
      <c r="AB144">
        <f t="shared" ref="AB144" ca="1" si="329">BSdelta(1,P144,Strike,AA144/AnnualVarConvtr,Dividend,RiskFreeRate,G144/250)</f>
        <v>0</v>
      </c>
      <c r="AC144">
        <f t="shared" ca="1" si="308"/>
        <v>0</v>
      </c>
      <c r="AD144">
        <f t="shared" ca="1" si="309"/>
        <v>-2.5925431231255658</v>
      </c>
    </row>
    <row r="145" spans="7:30" x14ac:dyDescent="0.25">
      <c r="G145" s="19">
        <v>110</v>
      </c>
      <c r="H145" s="19">
        <f t="shared" ca="1" si="213"/>
        <v>0.5251852352297055</v>
      </c>
      <c r="I145" s="19">
        <f t="shared" ca="1" si="213"/>
        <v>0.88468894204431414</v>
      </c>
      <c r="J145" s="19">
        <f t="shared" ca="1" si="292"/>
        <v>0.84983604045430816</v>
      </c>
      <c r="K145" s="19">
        <f t="shared" ca="1" si="293"/>
        <v>-0.75218827667484933</v>
      </c>
      <c r="L145" s="19">
        <f t="array" aca="1" ref="L145:M145" ca="1">MMULT(J145:K145,TRANSPOSE($B$10:$C$11))</f>
        <v>0.84983604045430816</v>
      </c>
      <c r="M145" s="19">
        <f ca="1"/>
        <v>-1.133624355048902</v>
      </c>
      <c r="N145" s="20">
        <f t="shared" ca="1" si="294"/>
        <v>2.6052619908188265E-3</v>
      </c>
      <c r="O145" s="20">
        <f t="shared" ca="1" si="295"/>
        <v>0.10440032972395795</v>
      </c>
      <c r="P145" s="19">
        <f t="shared" ca="1" si="301"/>
        <v>9.1184374914424811E-7</v>
      </c>
      <c r="Q145" s="19">
        <f ca="1">HCTrans(P145,Strike,RiskFreeRate,Dividend,Variance_T0*AnnualVarConvtr,(Simulation!G145)/250,0.5,Variance_Avg*AnnualVarConvtr,Lambda,SQRT(Simulation!N145),Rho,1,"Call")</f>
        <v>-1.5078581556592641E-5</v>
      </c>
      <c r="R145" s="19" t="e">
        <f t="shared" ca="1" si="296"/>
        <v>#VALUE!</v>
      </c>
      <c r="S145" s="19" t="e">
        <f t="shared" ca="1" si="297"/>
        <v>#VALUE!</v>
      </c>
      <c r="T145" s="19" t="e">
        <f t="shared" ca="1" si="302"/>
        <v>#VALUE!</v>
      </c>
      <c r="U145" s="19" t="e">
        <f t="shared" ca="1" si="303"/>
        <v>#VALUE!</v>
      </c>
      <c r="V145" s="21">
        <f t="shared" ca="1" si="304"/>
        <v>1.2127576319596266E-5</v>
      </c>
      <c r="W145">
        <f t="shared" ca="1" si="305"/>
        <v>3.4824669875816866E-3</v>
      </c>
      <c r="X145" s="22">
        <f t="shared" ref="X145" ca="1" si="330">BSdelta(1,P145,Strike,W145*AnnualVarConvtr,Dividend,RiskFreeRate,G145/250)</f>
        <v>0</v>
      </c>
      <c r="Y145" s="22">
        <f t="shared" ca="1" si="311"/>
        <v>0</v>
      </c>
      <c r="Z145" s="22">
        <f t="shared" ca="1" si="312"/>
        <v>-7.4987778736049968</v>
      </c>
      <c r="AA145">
        <f t="shared" si="299"/>
        <v>0.73884103340948371</v>
      </c>
      <c r="AB145">
        <f t="shared" ref="AB145" ca="1" si="331">BSdelta(1,P145,Strike,AA145/AnnualVarConvtr,Dividend,RiskFreeRate,G145/250)</f>
        <v>0</v>
      </c>
      <c r="AC145">
        <f t="shared" ca="1" si="308"/>
        <v>0</v>
      </c>
      <c r="AD145">
        <f t="shared" ca="1" si="309"/>
        <v>-2.5925431230503708</v>
      </c>
    </row>
    <row r="146" spans="7:30" x14ac:dyDescent="0.25">
      <c r="G146" s="19">
        <v>109</v>
      </c>
      <c r="H146" s="19">
        <f t="shared" ca="1" si="213"/>
        <v>0.18612263819282404</v>
      </c>
      <c r="I146" s="19">
        <f t="shared" ca="1" si="213"/>
        <v>0.59550900740862722</v>
      </c>
      <c r="J146" s="19">
        <f t="shared" ca="1" si="292"/>
        <v>-1.5133682919425651</v>
      </c>
      <c r="K146" s="19">
        <f t="shared" ca="1" si="293"/>
        <v>-1.0355748972335541</v>
      </c>
      <c r="L146" s="19">
        <f t="array" aca="1" ref="L146:M146" ca="1">MMULT(J146:K146,TRANSPOSE($B$10:$C$11))</f>
        <v>-1.5133682919425651</v>
      </c>
      <c r="M146" s="19">
        <f ca="1"/>
        <v>0.361924700754092</v>
      </c>
      <c r="N146" s="20">
        <f t="shared" ca="1" si="294"/>
        <v>3.1014616597133545E-3</v>
      </c>
      <c r="O146" s="20">
        <f t="shared" ca="1" si="295"/>
        <v>9.9514927477445919E-2</v>
      </c>
      <c r="P146" s="19">
        <f t="shared" ca="1" si="301"/>
        <v>8.5413791853903569E-7</v>
      </c>
      <c r="Q146" s="19">
        <f ca="1">HCTrans(P146,Strike,RiskFreeRate,Dividend,Variance_T0*AnnualVarConvtr,(Simulation!G146)/250,0.5,Variance_Avg*AnnualVarConvtr,Lambda,SQRT(Simulation!N146),Rho,1,"Call")</f>
        <v>-1.5078514569039857E-5</v>
      </c>
      <c r="R146" s="19" t="e">
        <f t="shared" ca="1" si="296"/>
        <v>#VALUE!</v>
      </c>
      <c r="S146" s="19" t="e">
        <f t="shared" ca="1" si="297"/>
        <v>#VALUE!</v>
      </c>
      <c r="T146" s="19" t="e">
        <f t="shared" ca="1" si="302"/>
        <v>#VALUE!</v>
      </c>
      <c r="U146" s="19" t="e">
        <f t="shared" ca="1" si="303"/>
        <v>#VALUE!</v>
      </c>
      <c r="V146" s="21">
        <f t="shared" ca="1" si="304"/>
        <v>2.3867155110224791E-5</v>
      </c>
      <c r="W146">
        <f t="shared" ca="1" si="305"/>
        <v>4.88540224651203E-3</v>
      </c>
      <c r="X146" s="22">
        <f t="shared" ref="X146" ca="1" si="332">BSdelta(1,P146,Strike,W146*AnnualVarConvtr,Dividend,RiskFreeRate,G146/250)</f>
        <v>0</v>
      </c>
      <c r="Y146" s="22">
        <f t="shared" ca="1" si="311"/>
        <v>0</v>
      </c>
      <c r="Z146" s="22">
        <f t="shared" ca="1" si="312"/>
        <v>-7.4987778735380095</v>
      </c>
      <c r="AA146">
        <f t="shared" si="299"/>
        <v>0.73884103340948371</v>
      </c>
      <c r="AB146">
        <f t="shared" ref="AB146" ca="1" si="333">BSdelta(1,P146,Strike,AA146/AnnualVarConvtr,Dividend,RiskFreeRate,G146/250)</f>
        <v>0</v>
      </c>
      <c r="AC146">
        <f t="shared" ca="1" si="308"/>
        <v>0</v>
      </c>
      <c r="AD146">
        <f t="shared" ca="1" si="309"/>
        <v>-2.5925431229833831</v>
      </c>
    </row>
    <row r="147" spans="7:30" x14ac:dyDescent="0.25">
      <c r="G147" s="19">
        <v>108</v>
      </c>
      <c r="H147" s="19">
        <f t="shared" ca="1" si="213"/>
        <v>0.44140292796257963</v>
      </c>
      <c r="I147" s="19">
        <f t="shared" ca="1" si="213"/>
        <v>0.3295437438187564</v>
      </c>
      <c r="J147" s="19">
        <f t="shared" ca="1" si="292"/>
        <v>-0.61290116774985426</v>
      </c>
      <c r="K147" s="19">
        <f t="shared" ca="1" si="293"/>
        <v>1.1224733681585974</v>
      </c>
      <c r="L147" s="19">
        <f t="array" aca="1" ref="L147:M147" ca="1">MMULT(J147:K147,TRANSPOSE($B$10:$C$11))</f>
        <v>-0.61290116774985426</v>
      </c>
      <c r="M147" s="19">
        <f ca="1"/>
        <v>1.2221666186897591</v>
      </c>
      <c r="N147" s="20">
        <f t="shared" ca="1" si="294"/>
        <v>5.0158250392008611E-3</v>
      </c>
      <c r="O147" s="20">
        <f t="shared" ca="1" si="295"/>
        <v>9.7356171004152517E-2</v>
      </c>
      <c r="P147" s="19">
        <f t="shared" ca="1" si="301"/>
        <v>8.0928838323796938E-7</v>
      </c>
      <c r="Q147" s="19">
        <f ca="1">HCTrans(P147,Strike,RiskFreeRate,Dividend,Variance_T0*AnnualVarConvtr,(Simulation!G147)/250,0.5,Variance_Avg*AnnualVarConvtr,Lambda,SQRT(Simulation!N147),Rho,1,"Call")</f>
        <v>-1.5078457967443814E-5</v>
      </c>
      <c r="R147" s="19" t="e">
        <f t="shared" ca="1" si="296"/>
        <v>#VALUE!</v>
      </c>
      <c r="S147" s="19" t="e">
        <f t="shared" ca="1" si="297"/>
        <v>#VALUE!</v>
      </c>
      <c r="T147" s="19" t="e">
        <f t="shared" ca="1" si="302"/>
        <v>#VALUE!</v>
      </c>
      <c r="U147" s="19" t="e">
        <f t="shared" ca="1" si="303"/>
        <v>#VALUE!</v>
      </c>
      <c r="V147" s="21">
        <f t="shared" ca="1" si="304"/>
        <v>4.6602295109861678E-6</v>
      </c>
      <c r="W147">
        <f t="shared" ca="1" si="305"/>
        <v>2.1587564732934023E-3</v>
      </c>
      <c r="X147" s="22">
        <f t="shared" ref="X147" ca="1" si="334">BSdelta(1,P147,Strike,W147*AnnualVarConvtr,Dividend,RiskFreeRate,G147/250)</f>
        <v>0</v>
      </c>
      <c r="Y147" s="22">
        <f t="shared" ca="1" si="311"/>
        <v>0</v>
      </c>
      <c r="Z147" s="22">
        <f t="shared" ca="1" si="312"/>
        <v>-7.4987778734814077</v>
      </c>
      <c r="AA147">
        <f t="shared" si="299"/>
        <v>0.73884103340948371</v>
      </c>
      <c r="AB147">
        <f t="shared" ref="AB147" ca="1" si="335">BSdelta(1,P147,Strike,AA147/AnnualVarConvtr,Dividend,RiskFreeRate,G147/250)</f>
        <v>0</v>
      </c>
      <c r="AC147">
        <f t="shared" ca="1" si="308"/>
        <v>0</v>
      </c>
      <c r="AD147">
        <f t="shared" ca="1" si="309"/>
        <v>-2.5925431229267817</v>
      </c>
    </row>
    <row r="148" spans="7:30" x14ac:dyDescent="0.25">
      <c r="G148" s="19">
        <v>107</v>
      </c>
      <c r="H148" s="19">
        <f t="shared" ca="1" si="213"/>
        <v>0.69786003624335347</v>
      </c>
      <c r="I148" s="19">
        <f t="shared" ca="1" si="213"/>
        <v>0.71992994447081482</v>
      </c>
      <c r="J148" s="19">
        <f t="shared" ca="1" si="292"/>
        <v>-0.15930689922165472</v>
      </c>
      <c r="K148" s="19">
        <f t="shared" ca="1" si="293"/>
        <v>-0.83312348832371164</v>
      </c>
      <c r="L148" s="19">
        <f t="array" aca="1" ref="L148:M148" ca="1">MMULT(J148:K148,TRANSPOSE($B$10:$C$11))</f>
        <v>-0.15930689922165472</v>
      </c>
      <c r="M148" s="19">
        <f ca="1"/>
        <v>-0.46703279765194794</v>
      </c>
      <c r="N148" s="20">
        <f t="shared" ca="1" si="294"/>
        <v>4.2483282731990788E-3</v>
      </c>
      <c r="O148" s="20">
        <f t="shared" ca="1" si="295"/>
        <v>9.6642602340511044E-2</v>
      </c>
      <c r="P148" s="19">
        <f t="shared" ca="1" si="301"/>
        <v>7.7203158646071318E-7</v>
      </c>
      <c r="Q148" s="19">
        <f ca="1">HCTrans(P148,Strike,RiskFreeRate,Dividend,Variance_T0*AnnualVarConvtr,(Simulation!G148)/250,0.5,Variance_Avg*AnnualVarConvtr,Lambda,SQRT(Simulation!N148),Rho,1,"Call")</f>
        <v>-1.5078407565770331E-5</v>
      </c>
      <c r="R148" s="19" t="e">
        <f t="shared" ca="1" si="296"/>
        <v>#VALUE!</v>
      </c>
      <c r="S148" s="19" t="e">
        <f t="shared" ca="1" si="297"/>
        <v>#VALUE!</v>
      </c>
      <c r="T148" s="19" t="e">
        <f t="shared" ca="1" si="302"/>
        <v>#VALUE!</v>
      </c>
      <c r="U148" s="19" t="e">
        <f t="shared" ca="1" si="303"/>
        <v>#VALUE!</v>
      </c>
      <c r="V148" s="21">
        <f t="shared" ca="1" si="304"/>
        <v>5.0918023773107744E-7</v>
      </c>
      <c r="W148">
        <f t="shared" ca="1" si="305"/>
        <v>7.1356866364147287E-4</v>
      </c>
      <c r="X148" s="22">
        <f t="shared" ref="X148" ca="1" si="336">BSdelta(1,P148,Strike,W148*AnnualVarConvtr,Dividend,RiskFreeRate,G148/250)</f>
        <v>0</v>
      </c>
      <c r="Y148" s="22">
        <f t="shared" ca="1" si="311"/>
        <v>0</v>
      </c>
      <c r="Z148" s="22">
        <f t="shared" ca="1" si="312"/>
        <v>-7.4987778734310062</v>
      </c>
      <c r="AA148">
        <f t="shared" si="299"/>
        <v>0.73884103340948371</v>
      </c>
      <c r="AB148">
        <f t="shared" ref="AB148" ca="1" si="337">BSdelta(1,P148,Strike,AA148/AnnualVarConvtr,Dividend,RiskFreeRate,G148/250)</f>
        <v>0</v>
      </c>
      <c r="AC148">
        <f t="shared" ca="1" si="308"/>
        <v>0</v>
      </c>
      <c r="AD148">
        <f t="shared" ca="1" si="309"/>
        <v>-2.5925431228763802</v>
      </c>
    </row>
    <row r="149" spans="7:30" x14ac:dyDescent="0.25">
      <c r="G149" s="19">
        <v>106</v>
      </c>
      <c r="H149" s="19">
        <f t="shared" ca="1" si="213"/>
        <v>0.68046176528522306</v>
      </c>
      <c r="I149" s="19">
        <f t="shared" ca="1" si="213"/>
        <v>0.18622405172567136</v>
      </c>
      <c r="J149" s="19">
        <f t="shared" ca="1" si="292"/>
        <v>0.34228462311590219</v>
      </c>
      <c r="K149" s="19">
        <f t="shared" ca="1" si="293"/>
        <v>0.80796567138296793</v>
      </c>
      <c r="L149" s="19">
        <f t="array" aca="1" ref="L149:M149" ca="1">MMULT(J149:K149,TRANSPOSE($B$10:$C$11))</f>
        <v>0.34228462311590219</v>
      </c>
      <c r="M149" s="19">
        <f ca="1"/>
        <v>0.31837949013763778</v>
      </c>
      <c r="N149" s="20">
        <f t="shared" ca="1" si="294"/>
        <v>4.7872330455564424E-3</v>
      </c>
      <c r="O149" s="20">
        <f t="shared" ca="1" si="295"/>
        <v>9.8053600407479721E-2</v>
      </c>
      <c r="P149" s="19">
        <f t="shared" ca="1" si="301"/>
        <v>7.3616295122879906E-7</v>
      </c>
      <c r="Q149" s="19">
        <f ca="1">HCTrans(P149,Strike,RiskFreeRate,Dividend,Variance_T0*AnnualVarConvtr,(Simulation!G149)/250,0.5,Variance_Avg*AnnualVarConvtr,Lambda,SQRT(Simulation!N149),Rho,1,"Call")</f>
        <v>-1.5078355668955703E-5</v>
      </c>
      <c r="R149" s="19" t="e">
        <f t="shared" ca="1" si="296"/>
        <v>#VALUE!</v>
      </c>
      <c r="S149" s="19" t="e">
        <f t="shared" ca="1" si="297"/>
        <v>#VALUE!</v>
      </c>
      <c r="T149" s="19" t="e">
        <f t="shared" ca="1" si="302"/>
        <v>#VALUE!</v>
      </c>
      <c r="U149" s="19" t="e">
        <f t="shared" ca="1" si="303"/>
        <v>#VALUE!</v>
      </c>
      <c r="V149" s="21">
        <f t="shared" ca="1" si="304"/>
        <v>1.9909155449893437E-6</v>
      </c>
      <c r="W149">
        <f t="shared" ca="1" si="305"/>
        <v>1.4109980669686772E-3</v>
      </c>
      <c r="X149" s="22">
        <f t="shared" ref="X149" ca="1" si="338">BSdelta(1,P149,Strike,W149*AnnualVarConvtr,Dividend,RiskFreeRate,G149/250)</f>
        <v>0</v>
      </c>
      <c r="Y149" s="22">
        <f t="shared" ca="1" si="311"/>
        <v>0</v>
      </c>
      <c r="Z149" s="22">
        <f t="shared" ca="1" si="312"/>
        <v>-7.4987778733791091</v>
      </c>
      <c r="AA149">
        <f t="shared" si="299"/>
        <v>0.73884103340948371</v>
      </c>
      <c r="AB149">
        <f t="shared" ref="AB149" ca="1" si="339">BSdelta(1,P149,Strike,AA149/AnnualVarConvtr,Dividend,RiskFreeRate,G149/250)</f>
        <v>0</v>
      </c>
      <c r="AC149">
        <f t="shared" ca="1" si="308"/>
        <v>0</v>
      </c>
      <c r="AD149">
        <f t="shared" ca="1" si="309"/>
        <v>-2.5925431228244835</v>
      </c>
    </row>
    <row r="150" spans="7:30" x14ac:dyDescent="0.25">
      <c r="G150" s="19">
        <v>105</v>
      </c>
      <c r="H150" s="19">
        <f t="shared" ca="1" si="213"/>
        <v>0.206165377539274</v>
      </c>
      <c r="I150" s="19">
        <f t="shared" ca="1" si="213"/>
        <v>0.2123722111712868</v>
      </c>
      <c r="J150" s="19">
        <f t="shared" ca="1" si="292"/>
        <v>0.41624760549647627</v>
      </c>
      <c r="K150" s="19">
        <f t="shared" ca="1" si="293"/>
        <v>1.7276837639669533</v>
      </c>
      <c r="L150" s="19">
        <f t="array" aca="1" ref="L150:M150" ca="1">MMULT(J150:K150,TRANSPOSE($B$10:$C$11))</f>
        <v>0.41624760549647627</v>
      </c>
      <c r="M150" s="19">
        <f ca="1"/>
        <v>0.90696848231762184</v>
      </c>
      <c r="N150" s="20">
        <f t="shared" ca="1" si="294"/>
        <v>6.4615733973141017E-3</v>
      </c>
      <c r="O150" s="20">
        <f t="shared" ca="1" si="295"/>
        <v>9.9875078820910609E-2</v>
      </c>
      <c r="P150" s="19">
        <f t="shared" ca="1" si="301"/>
        <v>6.9754320558692937E-7</v>
      </c>
      <c r="Q150" s="19">
        <f ca="1">HCTrans(P150,Strike,RiskFreeRate,Dividend,Variance_T0*AnnualVarConvtr,(Simulation!G150)/250,0.5,Variance_Avg*AnnualVarConvtr,Lambda,SQRT(Simulation!N150),Rho,1,"Call")</f>
        <v>-1.5078295500058444E-5</v>
      </c>
      <c r="R150" s="19" t="e">
        <f t="shared" ca="1" si="296"/>
        <v>#VALUE!</v>
      </c>
      <c r="S150" s="19" t="e">
        <f t="shared" ca="1" si="297"/>
        <v>#VALUE!</v>
      </c>
      <c r="T150" s="19" t="e">
        <f t="shared" ca="1" si="302"/>
        <v>#VALUE!</v>
      </c>
      <c r="U150" s="19" t="e">
        <f t="shared" ca="1" si="303"/>
        <v>#VALUE!</v>
      </c>
      <c r="V150" s="21">
        <f t="shared" ca="1" si="304"/>
        <v>3.3177836105947055E-6</v>
      </c>
      <c r="W150">
        <f t="shared" ca="1" si="305"/>
        <v>1.8214784134308881E-3</v>
      </c>
      <c r="X150" s="22">
        <f t="shared" ref="X150" ca="1" si="340">BSdelta(1,P150,Strike,W150*AnnualVarConvtr,Dividend,RiskFreeRate,G150/250)</f>
        <v>0</v>
      </c>
      <c r="Y150" s="22">
        <f t="shared" ca="1" si="311"/>
        <v>0</v>
      </c>
      <c r="Z150" s="22">
        <f t="shared" ca="1" si="312"/>
        <v>-7.4987778733189403</v>
      </c>
      <c r="AA150">
        <f t="shared" si="299"/>
        <v>0.73884103340948371</v>
      </c>
      <c r="AB150">
        <f t="shared" ref="AB150" ca="1" si="341">BSdelta(1,P150,Strike,AA150/AnnualVarConvtr,Dividend,RiskFreeRate,G150/250)</f>
        <v>0</v>
      </c>
      <c r="AC150">
        <f t="shared" ca="1" si="308"/>
        <v>0</v>
      </c>
      <c r="AD150">
        <f t="shared" ca="1" si="309"/>
        <v>-2.5925431227643148</v>
      </c>
    </row>
    <row r="151" spans="7:30" x14ac:dyDescent="0.25">
      <c r="G151" s="19">
        <v>104</v>
      </c>
      <c r="H151" s="19">
        <f t="shared" ca="1" si="213"/>
        <v>9.1317071742000544E-2</v>
      </c>
      <c r="I151" s="19">
        <f t="shared" ca="1" si="213"/>
        <v>0.20266766533887748</v>
      </c>
      <c r="J151" s="19">
        <f t="shared" ca="1" si="292"/>
        <v>0.64112269214789097</v>
      </c>
      <c r="K151" s="19">
        <f t="shared" ca="1" si="293"/>
        <v>2.0918405152120516</v>
      </c>
      <c r="L151" s="19">
        <f t="array" aca="1" ref="L151:M151" ca="1">MMULT(J151:K151,TRANSPOSE($B$10:$C$11))</f>
        <v>0.64112269214789097</v>
      </c>
      <c r="M151" s="19">
        <f ca="1"/>
        <v>0.99987653162367862</v>
      </c>
      <c r="N151" s="20">
        <f t="shared" ca="1" si="294"/>
        <v>8.5857390380035675E-3</v>
      </c>
      <c r="O151" s="20">
        <f t="shared" ca="1" si="295"/>
        <v>0.10313449851516726</v>
      </c>
      <c r="P151" s="19">
        <f t="shared" ca="1" si="301"/>
        <v>6.6370529950851808E-7</v>
      </c>
      <c r="Q151" s="19">
        <f ca="1">HCTrans(P151,Strike,RiskFreeRate,Dividend,Variance_T0*AnnualVarConvtr,(Simulation!G151)/250,0.5,Variance_Avg*AnnualVarConvtr,Lambda,SQRT(Simulation!N151),Rho,1,"Call")</f>
        <v>-1.5078239059481233E-5</v>
      </c>
      <c r="R151" s="19" t="e">
        <f t="shared" ca="1" si="296"/>
        <v>#VALUE!</v>
      </c>
      <c r="S151" s="19" t="e">
        <f t="shared" ca="1" si="297"/>
        <v>#VALUE!</v>
      </c>
      <c r="T151" s="19" t="e">
        <f t="shared" ca="1" si="302"/>
        <v>#VALUE!</v>
      </c>
      <c r="U151" s="19" t="e">
        <f t="shared" ca="1" si="303"/>
        <v>#VALUE!</v>
      </c>
      <c r="V151" s="21">
        <f t="shared" ca="1" si="304"/>
        <v>1.0623816743308125E-5</v>
      </c>
      <c r="W151">
        <f t="shared" ca="1" si="305"/>
        <v>3.2594196942566517E-3</v>
      </c>
      <c r="X151" s="22">
        <f t="shared" ref="X151" ca="1" si="342">BSdelta(1,P151,Strike,W151*AnnualVarConvtr,Dividend,RiskFreeRate,G151/250)</f>
        <v>0</v>
      </c>
      <c r="Y151" s="22">
        <f t="shared" ca="1" si="311"/>
        <v>0</v>
      </c>
      <c r="Z151" s="22">
        <f t="shared" ca="1" si="312"/>
        <v>-7.4987778732625001</v>
      </c>
      <c r="AA151">
        <f t="shared" si="299"/>
        <v>0.73884103340948371</v>
      </c>
      <c r="AB151">
        <f t="shared" ref="AB151" ca="1" si="343">BSdelta(1,P151,Strike,AA151/AnnualVarConvtr,Dividend,RiskFreeRate,G151/250)</f>
        <v>0</v>
      </c>
      <c r="AC151">
        <f t="shared" ca="1" si="308"/>
        <v>0</v>
      </c>
      <c r="AD151">
        <f t="shared" ca="1" si="309"/>
        <v>-2.5925431227078741</v>
      </c>
    </row>
    <row r="152" spans="7:30" x14ac:dyDescent="0.25">
      <c r="G152" s="19">
        <v>103</v>
      </c>
      <c r="H152" s="19">
        <f t="shared" ca="1" si="213"/>
        <v>0.63290267191687188</v>
      </c>
      <c r="I152" s="19">
        <f t="shared" ca="1" si="213"/>
        <v>0.17613636483350403</v>
      </c>
      <c r="J152" s="19">
        <f t="shared" ca="1" si="292"/>
        <v>0.42814234540778406</v>
      </c>
      <c r="K152" s="19">
        <f t="shared" ca="1" si="293"/>
        <v>0.85531946258634994</v>
      </c>
      <c r="L152" s="19">
        <f t="array" aca="1" ref="L152:M152" ca="1">MMULT(J152:K152,TRANSPOSE($B$10:$C$11))</f>
        <v>0.42814234540778406</v>
      </c>
      <c r="M152" s="19">
        <f ca="1"/>
        <v>0.28989582558485072</v>
      </c>
      <c r="N152" s="20">
        <f t="shared" ca="1" si="294"/>
        <v>9.2488604952920776E-3</v>
      </c>
      <c r="O152" s="20">
        <f t="shared" ca="1" si="295"/>
        <v>0.10564353525957154</v>
      </c>
      <c r="P152" s="19">
        <f t="shared" ca="1" si="301"/>
        <v>6.3281541650284515E-7</v>
      </c>
      <c r="Q152" s="19">
        <f ca="1">HCTrans(P152,Strike,RiskFreeRate,Dividend,Variance_T0*AnnualVarConvtr,(Simulation!G152)/250,0.5,Variance_Avg*AnnualVarConvtr,Lambda,SQRT(Simulation!N152),Rho,1,"Call")</f>
        <v>-1.5078184220627023E-5</v>
      </c>
      <c r="R152" s="19" t="e">
        <f t="shared" ca="1" si="296"/>
        <v>#VALUE!</v>
      </c>
      <c r="S152" s="19" t="e">
        <f t="shared" ca="1" si="297"/>
        <v>#VALUE!</v>
      </c>
      <c r="T152" s="19" t="e">
        <f t="shared" ca="1" si="302"/>
        <v>#VALUE!</v>
      </c>
      <c r="U152" s="19" t="e">
        <f t="shared" ca="1" si="303"/>
        <v>#VALUE!</v>
      </c>
      <c r="V152" s="21">
        <f t="shared" ca="1" si="304"/>
        <v>6.2952653847708308E-6</v>
      </c>
      <c r="W152">
        <f t="shared" ca="1" si="305"/>
        <v>2.5090367444042805E-3</v>
      </c>
      <c r="X152" s="22">
        <f t="shared" ref="X152" ca="1" si="344">BSdelta(1,P152,Strike,W152*AnnualVarConvtr,Dividend,RiskFreeRate,G152/250)</f>
        <v>0</v>
      </c>
      <c r="Y152" s="22">
        <f t="shared" ca="1" si="311"/>
        <v>0</v>
      </c>
      <c r="Z152" s="22">
        <f t="shared" ca="1" si="312"/>
        <v>-7.4987778732076613</v>
      </c>
      <c r="AA152">
        <f t="shared" si="299"/>
        <v>0.73884103340948371</v>
      </c>
      <c r="AB152">
        <f t="shared" ref="AB152" ca="1" si="345">BSdelta(1,P152,Strike,AA152/AnnualVarConvtr,Dividend,RiskFreeRate,G152/250)</f>
        <v>0</v>
      </c>
      <c r="AC152">
        <f t="shared" ca="1" si="308"/>
        <v>0</v>
      </c>
      <c r="AD152">
        <f t="shared" ca="1" si="309"/>
        <v>-2.5925431226530353</v>
      </c>
    </row>
    <row r="153" spans="7:30" x14ac:dyDescent="0.25">
      <c r="G153" s="19">
        <v>102</v>
      </c>
      <c r="H153" s="19">
        <f t="shared" ca="1" si="213"/>
        <v>0.18048929277406955</v>
      </c>
      <c r="I153" s="19">
        <f t="shared" ca="1" si="213"/>
        <v>0.25568689652629639</v>
      </c>
      <c r="J153" s="19">
        <f t="shared" ca="1" si="292"/>
        <v>-6.610590957014334E-2</v>
      </c>
      <c r="K153" s="19">
        <f t="shared" ca="1" si="293"/>
        <v>1.849269492064308</v>
      </c>
      <c r="L153" s="19">
        <f t="array" aca="1" ref="L153:M153" ca="1">MMULT(J153:K153,TRANSPOSE($B$10:$C$11))</f>
        <v>-6.610590957014334E-2</v>
      </c>
      <c r="M153" s="19">
        <f ca="1"/>
        <v>1.3373914102743785</v>
      </c>
      <c r="N153" s="20">
        <f t="shared" ca="1" si="294"/>
        <v>1.2659789319543107E-2</v>
      </c>
      <c r="O153" s="20">
        <f t="shared" ca="1" si="295"/>
        <v>0.10524145347826207</v>
      </c>
      <c r="P153" s="19">
        <f t="shared" ca="1" si="301"/>
        <v>6.1315658834168396E-7</v>
      </c>
      <c r="Q153" s="19">
        <f ca="1">HCTrans(P153,Strike,RiskFreeRate,Dividend,Variance_T0*AnnualVarConvtr,(Simulation!G153)/250,0.5,Variance_Avg*AnnualVarConvtr,Lambda,SQRT(Simulation!N153),Rho,1,"Call")</f>
        <v>-1.5078148025948775E-5</v>
      </c>
      <c r="R153" s="19" t="e">
        <f t="shared" ca="1" si="296"/>
        <v>#VALUE!</v>
      </c>
      <c r="S153" s="19" t="e">
        <f t="shared" ca="1" si="297"/>
        <v>#VALUE!</v>
      </c>
      <c r="T153" s="19" t="e">
        <f t="shared" ca="1" si="302"/>
        <v>#VALUE!</v>
      </c>
      <c r="U153" s="19" t="e">
        <f t="shared" ca="1" si="303"/>
        <v>#VALUE!</v>
      </c>
      <c r="V153" s="21">
        <f t="shared" ca="1" si="304"/>
        <v>1.6166975886099969E-7</v>
      </c>
      <c r="W153">
        <f t="shared" ca="1" si="305"/>
        <v>4.0208178130947403E-4</v>
      </c>
      <c r="X153" s="22">
        <f t="shared" ref="X153" ca="1" si="346">BSdelta(1,P153,Strike,W153*AnnualVarConvtr,Dividend,RiskFreeRate,G153/250)</f>
        <v>0</v>
      </c>
      <c r="Y153" s="22">
        <f t="shared" ca="1" si="311"/>
        <v>0</v>
      </c>
      <c r="Z153" s="22">
        <f t="shared" ca="1" si="312"/>
        <v>-7.4987778731714663</v>
      </c>
      <c r="AA153">
        <f t="shared" si="299"/>
        <v>0.73884103340948371</v>
      </c>
      <c r="AB153">
        <f t="shared" ref="AB153" ca="1" si="347">BSdelta(1,P153,Strike,AA153/AnnualVarConvtr,Dividend,RiskFreeRate,G153/250)</f>
        <v>0</v>
      </c>
      <c r="AC153">
        <f t="shared" ca="1" si="308"/>
        <v>0</v>
      </c>
      <c r="AD153">
        <f t="shared" ca="1" si="309"/>
        <v>-2.5925431226168407</v>
      </c>
    </row>
    <row r="154" spans="7:30" x14ac:dyDescent="0.25">
      <c r="G154" s="19">
        <v>101</v>
      </c>
      <c r="H154" s="19">
        <f t="shared" ca="1" si="213"/>
        <v>0.55198323860201448</v>
      </c>
      <c r="I154" s="19">
        <f t="shared" ca="1" si="213"/>
        <v>0.16418983873333048</v>
      </c>
      <c r="J154" s="19">
        <f t="shared" ca="1" si="292"/>
        <v>0.55971214194695162</v>
      </c>
      <c r="K154" s="19">
        <f t="shared" ca="1" si="293"/>
        <v>0.93551991651280608</v>
      </c>
      <c r="L154" s="19">
        <f t="array" aca="1" ref="L154:M154" ca="1">MMULT(J154:K154,TRANSPOSE($B$10:$C$11))</f>
        <v>0.55971214194695162</v>
      </c>
      <c r="M154" s="19">
        <f ca="1"/>
        <v>0.25157286774299981</v>
      </c>
      <c r="N154" s="20">
        <f t="shared" ca="1" si="294"/>
        <v>1.3333610773546049E-2</v>
      </c>
      <c r="O154" s="20">
        <f t="shared" ca="1" si="295"/>
        <v>0.10922443198718991</v>
      </c>
      <c r="P154" s="19">
        <f t="shared" ca="1" si="301"/>
        <v>6.0667734833467854E-7</v>
      </c>
      <c r="Q154" s="19">
        <f ca="1">HCTrans(P154,Strike,RiskFreeRate,Dividend,Variance_T0*AnnualVarConvtr,(Simulation!G154)/250,0.5,Variance_Avg*AnnualVarConvtr,Lambda,SQRT(Simulation!N154),Rho,1,"Call")</f>
        <v>-1.5078136855627004E-5</v>
      </c>
      <c r="R154" s="19" t="e">
        <f t="shared" ca="1" si="296"/>
        <v>#VALUE!</v>
      </c>
      <c r="S154" s="19" t="e">
        <f t="shared" ca="1" si="297"/>
        <v>#VALUE!</v>
      </c>
      <c r="T154" s="19" t="e">
        <f t="shared" ca="1" si="302"/>
        <v>#VALUE!</v>
      </c>
      <c r="U154" s="19" t="e">
        <f t="shared" ca="1" si="303"/>
        <v>#VALUE!</v>
      </c>
      <c r="V154" s="21">
        <f t="shared" ca="1" si="304"/>
        <v>1.5864117802581061E-5</v>
      </c>
      <c r="W154">
        <f t="shared" ca="1" si="305"/>
        <v>3.9829785089278424E-3</v>
      </c>
      <c r="X154" s="22">
        <f t="shared" ref="X154" ca="1" si="348">BSdelta(1,P154,Strike,W154*AnnualVarConvtr,Dividend,RiskFreeRate,G154/250)</f>
        <v>0</v>
      </c>
      <c r="Y154" s="22">
        <f t="shared" ca="1" si="311"/>
        <v>0</v>
      </c>
      <c r="Z154" s="22">
        <f t="shared" ca="1" si="312"/>
        <v>-7.4987778731602956</v>
      </c>
      <c r="AA154">
        <f t="shared" si="299"/>
        <v>0.73884103340948371</v>
      </c>
      <c r="AB154">
        <f t="shared" ref="AB154" ca="1" si="349">BSdelta(1,P154,Strike,AA154/AnnualVarConvtr,Dividend,RiskFreeRate,G154/250)</f>
        <v>0</v>
      </c>
      <c r="AC154">
        <f t="shared" ca="1" si="308"/>
        <v>0</v>
      </c>
      <c r="AD154">
        <f t="shared" ca="1" si="309"/>
        <v>-2.5925431226056705</v>
      </c>
    </row>
    <row r="155" spans="7:30" x14ac:dyDescent="0.25">
      <c r="G155" s="19">
        <v>100</v>
      </c>
      <c r="H155" s="19">
        <f t="shared" ca="1" si="213"/>
        <v>6.8925711930863609E-2</v>
      </c>
      <c r="I155" s="19">
        <f t="shared" ca="1" si="213"/>
        <v>0.44139031974090315</v>
      </c>
      <c r="J155" s="19">
        <f t="shared" ca="1" si="292"/>
        <v>-2.1578247397353194</v>
      </c>
      <c r="K155" s="19">
        <f t="shared" ca="1" si="293"/>
        <v>0.83261298254696126</v>
      </c>
      <c r="L155" s="19">
        <f t="array" aca="1" ref="L155:M155" ca="1">MMULT(J155:K155,TRANSPOSE($B$10:$C$11))</f>
        <v>-2.1578247397353194</v>
      </c>
      <c r="M155" s="19">
        <f ca="1"/>
        <v>2.1269014947247058</v>
      </c>
      <c r="N155" s="20">
        <f t="shared" ca="1" si="294"/>
        <v>2.0002329984003312E-2</v>
      </c>
      <c r="O155" s="20">
        <f t="shared" ca="1" si="295"/>
        <v>9.3465744234958792E-2</v>
      </c>
      <c r="P155" s="19">
        <f t="shared" ca="1" si="301"/>
        <v>5.8687768319001849E-7</v>
      </c>
      <c r="Q155" s="19">
        <f ca="1">HCTrans(P155,Strike,RiskFreeRate,Dividend,Variance_T0*AnnualVarConvtr,(Simulation!G155)/250,0.5,Variance_Avg*AnnualVarConvtr,Lambda,SQRT(Simulation!N155),Rho,1,"Call")</f>
        <v>-1.5078098270463463E-5</v>
      </c>
      <c r="R155" s="19" t="e">
        <f t="shared" ca="1" si="296"/>
        <v>#VALUE!</v>
      </c>
      <c r="S155" s="19" t="e">
        <f t="shared" ca="1" si="297"/>
        <v>#VALUE!</v>
      </c>
      <c r="T155" s="19" t="e">
        <f t="shared" ca="1" si="302"/>
        <v>#VALUE!</v>
      </c>
      <c r="U155" s="19" t="e">
        <f t="shared" ca="1" si="303"/>
        <v>#VALUE!</v>
      </c>
      <c r="V155" s="21">
        <f t="shared" ca="1" si="304"/>
        <v>2.4833623967231903E-4</v>
      </c>
      <c r="W155">
        <f t="shared" ca="1" si="305"/>
        <v>1.5758687752231118E-2</v>
      </c>
      <c r="X155" s="22">
        <f t="shared" ref="X155" ca="1" si="350">BSdelta(1,P155,Strike,W155*AnnualVarConvtr,Dividend,RiskFreeRate,G155/250)</f>
        <v>0</v>
      </c>
      <c r="Y155" s="22">
        <f t="shared" ca="1" si="311"/>
        <v>0</v>
      </c>
      <c r="Z155" s="22">
        <f t="shared" ca="1" si="312"/>
        <v>-7.4987778731217105</v>
      </c>
      <c r="AA155">
        <f t="shared" si="299"/>
        <v>0.73884103340948371</v>
      </c>
      <c r="AB155">
        <f t="shared" ref="AB155" ca="1" si="351">BSdelta(1,P155,Strike,AA155/AnnualVarConvtr,Dividend,RiskFreeRate,G155/250)</f>
        <v>0</v>
      </c>
      <c r="AC155">
        <f t="shared" ca="1" si="308"/>
        <v>0</v>
      </c>
      <c r="AD155">
        <f t="shared" ca="1" si="309"/>
        <v>-2.5925431225670854</v>
      </c>
    </row>
    <row r="156" spans="7:30" x14ac:dyDescent="0.25">
      <c r="G156" s="19">
        <v>99</v>
      </c>
      <c r="H156" s="19">
        <f t="shared" ca="1" si="213"/>
        <v>0.49092477681606539</v>
      </c>
      <c r="I156" s="19">
        <f t="shared" ca="1" si="213"/>
        <v>0.48183901408171459</v>
      </c>
      <c r="J156" s="19">
        <f t="shared" ca="1" si="292"/>
        <v>-1.1851081387184141</v>
      </c>
      <c r="K156" s="19">
        <f t="shared" ca="1" si="293"/>
        <v>0.13582132922955811</v>
      </c>
      <c r="L156" s="19">
        <f t="array" aca="1" ref="L156:M156" ca="1">MMULT(J156:K156,TRANSPOSE($B$10:$C$11))</f>
        <v>-1.1851081387184141</v>
      </c>
      <c r="M156" s="19">
        <f ca="1"/>
        <v>0.94387718739051474</v>
      </c>
      <c r="N156" s="20">
        <f t="shared" ca="1" si="294"/>
        <v>2.3340825890114106E-2</v>
      </c>
      <c r="O156" s="20">
        <f t="shared" ca="1" si="295"/>
        <v>8.2865197375839583E-2</v>
      </c>
      <c r="P156" s="19">
        <f t="shared" ca="1" si="301"/>
        <v>5.7815225571672492E-7</v>
      </c>
      <c r="Q156" s="19">
        <f ca="1">HCTrans(P156,Strike,RiskFreeRate,Dividend,Variance_T0*AnnualVarConvtr,(Simulation!G156)/250,0.5,Variance_Avg*AnnualVarConvtr,Lambda,SQRT(Simulation!N156),Rho,1,"Call")</f>
        <v>-1.507808163676875E-5</v>
      </c>
      <c r="R156" s="19" t="e">
        <f t="shared" ca="1" si="296"/>
        <v>#VALUE!</v>
      </c>
      <c r="S156" s="19" t="e">
        <f t="shared" ca="1" si="297"/>
        <v>#VALUE!</v>
      </c>
      <c r="T156" s="19" t="e">
        <f t="shared" ca="1" si="302"/>
        <v>#VALUE!</v>
      </c>
      <c r="U156" s="19" t="e">
        <f t="shared" ca="1" si="303"/>
        <v>#VALUE!</v>
      </c>
      <c r="V156" s="21">
        <f t="shared" ca="1" si="304"/>
        <v>1.1237159371238213E-4</v>
      </c>
      <c r="W156">
        <f t="shared" ca="1" si="305"/>
        <v>1.0600546859119209E-2</v>
      </c>
      <c r="X156" s="22">
        <f t="shared" ref="X156" ca="1" si="352">BSdelta(1,P156,Strike,W156*AnnualVarConvtr,Dividend,RiskFreeRate,G156/250)</f>
        <v>0</v>
      </c>
      <c r="Y156" s="22">
        <f t="shared" ca="1" si="311"/>
        <v>0</v>
      </c>
      <c r="Z156" s="22">
        <f t="shared" ca="1" si="312"/>
        <v>-7.4987778731050767</v>
      </c>
      <c r="AA156">
        <f t="shared" si="299"/>
        <v>0.73884103340948371</v>
      </c>
      <c r="AB156">
        <f t="shared" ref="AB156" ca="1" si="353">BSdelta(1,P156,Strike,AA156/AnnualVarConvtr,Dividend,RiskFreeRate,G156/250)</f>
        <v>0</v>
      </c>
      <c r="AC156">
        <f t="shared" ca="1" si="308"/>
        <v>0</v>
      </c>
      <c r="AD156">
        <f t="shared" ca="1" si="309"/>
        <v>-2.5925431225504516</v>
      </c>
    </row>
    <row r="157" spans="7:30" x14ac:dyDescent="0.25">
      <c r="G157" s="19">
        <v>98</v>
      </c>
      <c r="H157" s="19">
        <f t="shared" ca="1" si="213"/>
        <v>0.46596335161118541</v>
      </c>
      <c r="I157" s="19">
        <f t="shared" ca="1" si="213"/>
        <v>0.7150422576109039</v>
      </c>
      <c r="J157" s="19">
        <f t="shared" ca="1" si="292"/>
        <v>-0.26926955995829183</v>
      </c>
      <c r="K157" s="19">
        <f t="shared" ca="1" si="293"/>
        <v>-1.2061469600345265</v>
      </c>
      <c r="L157" s="19">
        <f t="array" aca="1" ref="L157:M157" ca="1">MMULT(J157:K157,TRANSPOSE($B$10:$C$11))</f>
        <v>-0.26926955995829183</v>
      </c>
      <c r="M157" s="19">
        <f ca="1"/>
        <v>-0.64846090986532012</v>
      </c>
      <c r="N157" s="20">
        <f t="shared" ca="1" si="294"/>
        <v>2.0888424017201975E-2</v>
      </c>
      <c r="O157" s="20">
        <f t="shared" ca="1" si="295"/>
        <v>8.0263388650476622E-2</v>
      </c>
      <c r="P157" s="19">
        <f t="shared" ca="1" si="301"/>
        <v>5.6270942299160983E-7</v>
      </c>
      <c r="Q157" s="19">
        <f ca="1">HCTrans(P157,Strike,RiskFreeRate,Dividend,Variance_T0*AnnualVarConvtr,(Simulation!G157)/250,0.5,Variance_Avg*AnnualVarConvtr,Lambda,SQRT(Simulation!N157),Rho,1,"Call")</f>
        <v>-1.5078050069558739E-5</v>
      </c>
      <c r="R157" s="19" t="e">
        <f t="shared" ca="1" si="296"/>
        <v>#VALUE!</v>
      </c>
      <c r="S157" s="19" t="e">
        <f t="shared" ca="1" si="297"/>
        <v>#VALUE!</v>
      </c>
      <c r="T157" s="19" t="e">
        <f t="shared" ca="1" si="302"/>
        <v>#VALUE!</v>
      </c>
      <c r="U157" s="19" t="e">
        <f t="shared" ca="1" si="303"/>
        <v>#VALUE!</v>
      </c>
      <c r="V157" s="21">
        <f t="shared" ca="1" si="304"/>
        <v>6.7694086433748375E-6</v>
      </c>
      <c r="W157">
        <f t="shared" ca="1" si="305"/>
        <v>2.6018087253629613E-3</v>
      </c>
      <c r="X157" s="22">
        <f t="shared" ref="X157" ca="1" si="354">BSdelta(1,P157,Strike,W157*AnnualVarConvtr,Dividend,RiskFreeRate,G157/250)</f>
        <v>0</v>
      </c>
      <c r="Y157" s="22">
        <f t="shared" ca="1" si="311"/>
        <v>0</v>
      </c>
      <c r="Z157" s="22">
        <f t="shared" ca="1" si="312"/>
        <v>-7.4987778730735091</v>
      </c>
      <c r="AA157">
        <f t="shared" si="299"/>
        <v>0.73884103340948371</v>
      </c>
      <c r="AB157">
        <f t="shared" ref="AB157" ca="1" si="355">BSdelta(1,P157,Strike,AA157/AnnualVarConvtr,Dividend,RiskFreeRate,G157/250)</f>
        <v>0</v>
      </c>
      <c r="AC157">
        <f t="shared" ca="1" si="308"/>
        <v>0</v>
      </c>
      <c r="AD157">
        <f t="shared" ca="1" si="309"/>
        <v>-2.5925431225188844</v>
      </c>
    </row>
    <row r="158" spans="7:30" x14ac:dyDescent="0.25">
      <c r="G158" s="19">
        <v>97</v>
      </c>
      <c r="H158" s="19">
        <f t="shared" ca="1" si="213"/>
        <v>0.6014263465068711</v>
      </c>
      <c r="I158" s="19">
        <f t="shared" ca="1" si="213"/>
        <v>0.48897356829407024</v>
      </c>
      <c r="J158" s="19">
        <f t="shared" ca="1" si="292"/>
        <v>-1.0059966221792016</v>
      </c>
      <c r="K158" s="19">
        <f t="shared" ca="1" si="293"/>
        <v>6.9808292410509842E-2</v>
      </c>
      <c r="L158" s="19">
        <f t="array" aca="1" ref="L158:M158" ca="1">MMULT(J158:K158,TRANSPOSE($B$10:$C$11))</f>
        <v>-1.0059966221792016</v>
      </c>
      <c r="M158" s="19">
        <f ca="1"/>
        <v>0.76949394344524757</v>
      </c>
      <c r="N158" s="20">
        <f t="shared" ca="1" si="294"/>
        <v>2.363103580421003E-2</v>
      </c>
      <c r="O158" s="20">
        <f t="shared" ca="1" si="295"/>
        <v>7.10678038126282E-2</v>
      </c>
      <c r="P158" s="19">
        <f t="shared" ca="1" si="301"/>
        <v>5.339758631637717E-7</v>
      </c>
      <c r="Q158" s="19">
        <f ca="1">HCTrans(P158,Strike,RiskFreeRate,Dividend,Variance_T0*AnnualVarConvtr,(Simulation!G158)/250,0.5,Variance_Avg*AnnualVarConvtr,Lambda,SQRT(Simulation!N158),Rho,1,"Call")</f>
        <v>-1.5077986822652471E-5</v>
      </c>
      <c r="R158" s="19" t="e">
        <f t="shared" ca="1" si="296"/>
        <v>#VALUE!</v>
      </c>
      <c r="S158" s="19" t="e">
        <f t="shared" ca="1" si="297"/>
        <v>#VALUE!</v>
      </c>
      <c r="T158" s="19" t="e">
        <f t="shared" ca="1" si="302"/>
        <v>#VALUE!</v>
      </c>
      <c r="U158" s="19" t="e">
        <f t="shared" ca="1" si="303"/>
        <v>#VALUE!</v>
      </c>
      <c r="V158" s="21">
        <f t="shared" ca="1" si="304"/>
        <v>8.455878051006779E-5</v>
      </c>
      <c r="W158">
        <f t="shared" ca="1" si="305"/>
        <v>9.1955848378484223E-3</v>
      </c>
      <c r="X158" s="22">
        <f t="shared" ref="X158" ca="1" si="356">BSdelta(1,P158,Strike,W158*AnnualVarConvtr,Dividend,RiskFreeRate,G158/250)</f>
        <v>0</v>
      </c>
      <c r="Y158" s="22">
        <f t="shared" ca="1" si="311"/>
        <v>0</v>
      </c>
      <c r="Z158" s="22">
        <f t="shared" ca="1" si="312"/>
        <v>-7.4987778730102619</v>
      </c>
      <c r="AA158">
        <f t="shared" si="299"/>
        <v>0.73884103340948371</v>
      </c>
      <c r="AB158">
        <f t="shared" ref="AB158" ca="1" si="357">BSdelta(1,P158,Strike,AA158/AnnualVarConvtr,Dividend,RiskFreeRate,G158/250)</f>
        <v>0</v>
      </c>
      <c r="AC158">
        <f t="shared" ca="1" si="308"/>
        <v>0</v>
      </c>
      <c r="AD158">
        <f t="shared" ca="1" si="309"/>
        <v>-2.5925431224556377</v>
      </c>
    </row>
    <row r="159" spans="7:30" x14ac:dyDescent="0.25">
      <c r="G159" s="19">
        <v>96</v>
      </c>
      <c r="H159" s="19">
        <f t="shared" ref="H159:I222" ca="1" si="358">RAND()</f>
        <v>0.95159289552104098</v>
      </c>
      <c r="I159" s="19">
        <f t="shared" ca="1" si="358"/>
        <v>0.70277156458731194</v>
      </c>
      <c r="J159" s="19">
        <f t="shared" ca="1" si="292"/>
        <v>-9.2113920987469122E-2</v>
      </c>
      <c r="K159" s="19">
        <f t="shared" ca="1" si="293"/>
        <v>-0.30124899729706783</v>
      </c>
      <c r="L159" s="19">
        <f t="array" aca="1" ref="L159:M159" ca="1">MMULT(J159:K159,TRANSPOSE($B$10:$C$11))</f>
        <v>-9.2113920987469122E-2</v>
      </c>
      <c r="M159" s="19">
        <f ca="1"/>
        <v>-0.14414778740512421</v>
      </c>
      <c r="N159" s="20">
        <f t="shared" ca="1" si="294"/>
        <v>2.3002893051850829E-2</v>
      </c>
      <c r="O159" s="20">
        <f t="shared" ca="1" si="295"/>
        <v>7.0172239778553538E-2</v>
      </c>
      <c r="P159" s="19">
        <f t="shared" ca="1" si="301"/>
        <v>4.9383045987769987E-7</v>
      </c>
      <c r="Q159" s="19">
        <f ca="1">HCTrans(P159,Strike,RiskFreeRate,Dividend,Variance_T0*AnnualVarConvtr,(Simulation!G159)/250,0.5,Variance_Avg*AnnualVarConvtr,Lambda,SQRT(Simulation!N159),Rho,1,"Call")</f>
        <v>-1.507789028558358E-5</v>
      </c>
      <c r="R159" s="19" t="e">
        <f t="shared" ca="1" si="296"/>
        <v>#VALUE!</v>
      </c>
      <c r="S159" s="19" t="e">
        <f t="shared" ca="1" si="297"/>
        <v>#VALUE!</v>
      </c>
      <c r="T159" s="19" t="e">
        <f t="shared" ca="1" si="302"/>
        <v>#VALUE!</v>
      </c>
      <c r="U159" s="19" t="e">
        <f t="shared" ca="1" si="303"/>
        <v>#VALUE!</v>
      </c>
      <c r="V159" s="21">
        <f t="shared" ca="1" si="304"/>
        <v>8.0203493912808103E-7</v>
      </c>
      <c r="W159">
        <f t="shared" ca="1" si="305"/>
        <v>8.9556403407466123E-4</v>
      </c>
      <c r="X159" s="22">
        <f t="shared" ref="X159" ca="1" si="359">BSdelta(1,P159,Strike,W159*AnnualVarConvtr,Dividend,RiskFreeRate,G159/250)</f>
        <v>0</v>
      </c>
      <c r="Y159" s="22">
        <f t="shared" ca="1" si="311"/>
        <v>0</v>
      </c>
      <c r="Z159" s="22">
        <f t="shared" ca="1" si="312"/>
        <v>-7.4987778729137249</v>
      </c>
      <c r="AA159">
        <f t="shared" si="299"/>
        <v>0.73884103340948371</v>
      </c>
      <c r="AB159">
        <f t="shared" ref="AB159" ca="1" si="360">BSdelta(1,P159,Strike,AA159/AnnualVarConvtr,Dividend,RiskFreeRate,G159/250)</f>
        <v>0</v>
      </c>
      <c r="AC159">
        <f t="shared" ca="1" si="308"/>
        <v>0</v>
      </c>
      <c r="AD159">
        <f t="shared" ca="1" si="309"/>
        <v>-2.5925431223591007</v>
      </c>
    </row>
    <row r="160" spans="7:30" x14ac:dyDescent="0.25">
      <c r="G160" s="19">
        <v>95</v>
      </c>
      <c r="H160" s="19">
        <f t="shared" ca="1" si="358"/>
        <v>0.60961481290303243</v>
      </c>
      <c r="I160" s="19">
        <f t="shared" ca="1" si="358"/>
        <v>0.38476792572297402</v>
      </c>
      <c r="J160" s="19">
        <f t="shared" ca="1" si="292"/>
        <v>-0.74533659830473298</v>
      </c>
      <c r="K160" s="19">
        <f t="shared" ca="1" si="293"/>
        <v>0.65903665017520141</v>
      </c>
      <c r="L160" s="19">
        <f t="array" aca="1" ref="L160:M160" ca="1">MMULT(J160:K160,TRANSPOSE($B$10:$C$11))</f>
        <v>-0.74533659830473298</v>
      </c>
      <c r="M160" s="19">
        <f ca="1"/>
        <v>0.99376913256553234</v>
      </c>
      <c r="N160" s="20">
        <f t="shared" ca="1" si="294"/>
        <v>2.6762494816845245E-2</v>
      </c>
      <c r="O160" s="20">
        <f t="shared" ca="1" si="295"/>
        <v>6.3022772666340307E-2</v>
      </c>
      <c r="P160" s="19">
        <f t="shared" ca="1" si="301"/>
        <v>4.4237937213240472E-7</v>
      </c>
      <c r="Q160" s="19">
        <f ca="1">HCTrans(P160,Strike,RiskFreeRate,Dividend,Variance_T0*AnnualVarConvtr,(Simulation!G160)/250,0.5,Variance_Avg*AnnualVarConvtr,Lambda,SQRT(Simulation!N160),Rho,1,"Call")</f>
        <v>-1.5077751337950561E-5</v>
      </c>
      <c r="R160" s="19" t="e">
        <f t="shared" ca="1" si="296"/>
        <v>#VALUE!</v>
      </c>
      <c r="S160" s="19" t="e">
        <f t="shared" ca="1" si="297"/>
        <v>#VALUE!</v>
      </c>
      <c r="T160" s="19" t="e">
        <f t="shared" ca="1" si="302"/>
        <v>#VALUE!</v>
      </c>
      <c r="U160" s="19" t="e">
        <f t="shared" ca="1" si="303"/>
        <v>#VALUE!</v>
      </c>
      <c r="V160" s="21">
        <f t="shared" ca="1" si="304"/>
        <v>5.1114879988618601E-5</v>
      </c>
      <c r="W160">
        <f t="shared" ca="1" si="305"/>
        <v>7.1494671122132314E-3</v>
      </c>
      <c r="X160" s="22">
        <f t="shared" ref="X160" ca="1" si="361">BSdelta(1,P160,Strike,W160*AnnualVarConvtr,Dividend,RiskFreeRate,G160/250)</f>
        <v>0</v>
      </c>
      <c r="Y160" s="22">
        <f t="shared" ca="1" si="311"/>
        <v>0</v>
      </c>
      <c r="Z160" s="22">
        <f t="shared" ca="1" si="312"/>
        <v>-7.4987778727747774</v>
      </c>
      <c r="AA160">
        <f t="shared" si="299"/>
        <v>0.73884103340948371</v>
      </c>
      <c r="AB160">
        <f t="shared" ref="AB160" ca="1" si="362">BSdelta(1,P160,Strike,AA160/AnnualVarConvtr,Dividend,RiskFreeRate,G160/250)</f>
        <v>0</v>
      </c>
      <c r="AC160">
        <f t="shared" ca="1" si="308"/>
        <v>0</v>
      </c>
      <c r="AD160">
        <f t="shared" ca="1" si="309"/>
        <v>-2.5925431222201532</v>
      </c>
    </row>
    <row r="161" spans="7:30" x14ac:dyDescent="0.25">
      <c r="G161" s="19">
        <v>94</v>
      </c>
      <c r="H161" s="19">
        <f t="shared" ca="1" si="358"/>
        <v>0.23280905210281511</v>
      </c>
      <c r="I161" s="19">
        <f t="shared" ca="1" si="358"/>
        <v>0.7414514175540432</v>
      </c>
      <c r="J161" s="19">
        <f t="shared" ca="1" si="292"/>
        <v>-9.1662114788020291E-2</v>
      </c>
      <c r="K161" s="19">
        <f t="shared" ca="1" si="293"/>
        <v>-1.7048963068960754</v>
      </c>
      <c r="L161" s="19">
        <f t="array" aca="1" ref="L161:M161" ca="1">MMULT(J161:K161,TRANSPOSE($B$10:$C$11))</f>
        <v>-9.1662114788020291E-2</v>
      </c>
      <c r="M161" s="19">
        <f ca="1"/>
        <v>-1.1236377505131903</v>
      </c>
      <c r="N161" s="20">
        <f t="shared" ca="1" si="294"/>
        <v>2.2340460845261711E-2</v>
      </c>
      <c r="O161" s="20">
        <f t="shared" ca="1" si="295"/>
        <v>6.2074390963267549E-2</v>
      </c>
      <c r="P161" s="19">
        <f t="shared" ca="1" si="301"/>
        <v>4.0960691081430708E-7</v>
      </c>
      <c r="Q161" s="19">
        <f ca="1">HCTrans(P161,Strike,RiskFreeRate,Dividend,Variance_T0*AnnualVarConvtr,(Simulation!G161)/250,0.5,Variance_Avg*AnnualVarConvtr,Lambda,SQRT(Simulation!N161),Rho,1,"Call")</f>
        <v>-1.5077653172624101E-5</v>
      </c>
      <c r="R161" s="19" t="e">
        <f t="shared" ca="1" si="296"/>
        <v>#VALUE!</v>
      </c>
      <c r="S161" s="19" t="e">
        <f t="shared" ca="1" si="297"/>
        <v>#VALUE!</v>
      </c>
      <c r="T161" s="19" t="e">
        <f t="shared" ca="1" si="302"/>
        <v>#VALUE!</v>
      </c>
      <c r="U161" s="19" t="e">
        <f t="shared" ca="1" si="303"/>
        <v>#VALUE!</v>
      </c>
      <c r="V161" s="21">
        <f t="shared" ca="1" si="304"/>
        <v>8.9942785472318471E-7</v>
      </c>
      <c r="W161">
        <f t="shared" ca="1" si="305"/>
        <v>9.4838170307275788E-4</v>
      </c>
      <c r="X161" s="22">
        <f t="shared" ref="X161" ca="1" si="363">BSdelta(1,P161,Strike,W161*AnnualVarConvtr,Dividend,RiskFreeRate,G161/250)</f>
        <v>0</v>
      </c>
      <c r="Y161" s="22">
        <f t="shared" ca="1" si="311"/>
        <v>0</v>
      </c>
      <c r="Z161" s="22">
        <f t="shared" ca="1" si="312"/>
        <v>-7.4987778726766123</v>
      </c>
      <c r="AA161">
        <f t="shared" si="299"/>
        <v>0.73884103340948371</v>
      </c>
      <c r="AB161">
        <f t="shared" ref="AB161" ca="1" si="364">BSdelta(1,P161,Strike,AA161/AnnualVarConvtr,Dividend,RiskFreeRate,G161/250)</f>
        <v>0</v>
      </c>
      <c r="AC161">
        <f t="shared" ca="1" si="308"/>
        <v>0</v>
      </c>
      <c r="AD161">
        <f t="shared" ca="1" si="309"/>
        <v>-2.5925431221219877</v>
      </c>
    </row>
    <row r="162" spans="7:30" x14ac:dyDescent="0.25">
      <c r="G162" s="19">
        <v>93</v>
      </c>
      <c r="H162" s="19">
        <f t="shared" ca="1" si="358"/>
        <v>0.37350869807540654</v>
      </c>
      <c r="I162" s="19">
        <f t="shared" ca="1" si="358"/>
        <v>3.0677960278167271E-2</v>
      </c>
      <c r="J162" s="19">
        <f t="shared" ca="1" si="292"/>
        <v>1.3774429468093135</v>
      </c>
      <c r="K162" s="19">
        <f t="shared" ca="1" si="293"/>
        <v>0.26884735744743354</v>
      </c>
      <c r="L162" s="19">
        <f t="array" aca="1" ref="L162:M162" ca="1">MMULT(J162:K162,TRANSPOSE($B$10:$C$11))</f>
        <v>1.3774429468093135</v>
      </c>
      <c r="M162" s="19">
        <f ca="1"/>
        <v>-0.79939342529348234</v>
      </c>
      <c r="N162" s="20">
        <f t="shared" ca="1" si="294"/>
        <v>1.9425671572858103E-2</v>
      </c>
      <c r="O162" s="20">
        <f t="shared" ca="1" si="295"/>
        <v>7.5095551072326419E-2</v>
      </c>
      <c r="P162" s="19">
        <f t="shared" ca="1" si="301"/>
        <v>3.768969015481853E-7</v>
      </c>
      <c r="Q162" s="19">
        <f ca="1">HCTrans(P162,Strike,RiskFreeRate,Dividend,Variance_T0*AnnualVarConvtr,(Simulation!G162)/250,0.5,Variance_Avg*AnnualVarConvtr,Lambda,SQRT(Simulation!N162),Rho,1,"Call")</f>
        <v>-1.5077545949424201E-5</v>
      </c>
      <c r="R162" s="19" t="e">
        <f t="shared" ca="1" si="296"/>
        <v>#VALUE!</v>
      </c>
      <c r="S162" s="19" t="e">
        <f t="shared" ca="1" si="297"/>
        <v>#VALUE!</v>
      </c>
      <c r="T162" s="19" t="e">
        <f t="shared" ca="1" si="302"/>
        <v>#VALUE!</v>
      </c>
      <c r="U162" s="19" t="e">
        <f t="shared" ca="1" si="303"/>
        <v>#VALUE!</v>
      </c>
      <c r="V162" s="21">
        <f t="shared" ca="1" si="304"/>
        <v>1.69550610585746E-4</v>
      </c>
      <c r="W162">
        <f t="shared" ca="1" si="305"/>
        <v>1.302116010905887E-2</v>
      </c>
      <c r="X162" s="22">
        <f t="shared" ref="X162" ca="1" si="365">BSdelta(1,P162,Strike,W162*AnnualVarConvtr,Dividend,RiskFreeRate,G162/250)</f>
        <v>0</v>
      </c>
      <c r="Y162" s="22">
        <f t="shared" ca="1" si="311"/>
        <v>0</v>
      </c>
      <c r="Z162" s="22">
        <f t="shared" ca="1" si="312"/>
        <v>-7.4987778725693888</v>
      </c>
      <c r="AA162">
        <f t="shared" si="299"/>
        <v>0.73884103340948371</v>
      </c>
      <c r="AB162">
        <f t="shared" ref="AB162" ca="1" si="366">BSdelta(1,P162,Strike,AA162/AnnualVarConvtr,Dividend,RiskFreeRate,G162/250)</f>
        <v>0</v>
      </c>
      <c r="AC162">
        <f t="shared" ca="1" si="308"/>
        <v>0</v>
      </c>
      <c r="AD162">
        <f t="shared" ca="1" si="309"/>
        <v>-2.5925431220147646</v>
      </c>
    </row>
    <row r="163" spans="7:30" x14ac:dyDescent="0.25">
      <c r="G163" s="19">
        <v>92</v>
      </c>
      <c r="H163" s="19">
        <f t="shared" ca="1" si="358"/>
        <v>0.33904327892451058</v>
      </c>
      <c r="I163" s="19">
        <f t="shared" ca="1" si="358"/>
        <v>0.42820710483937163</v>
      </c>
      <c r="J163" s="19">
        <f t="shared" ca="1" si="292"/>
        <v>-1.3236814584642707</v>
      </c>
      <c r="K163" s="19">
        <f t="shared" ca="1" si="293"/>
        <v>0.64118828992008292</v>
      </c>
      <c r="L163" s="19">
        <f t="array" aca="1" ref="L163:M163" ca="1">MMULT(J163:K163,TRANSPOSE($B$10:$C$11))</f>
        <v>-1.3236814584642707</v>
      </c>
      <c r="M163" s="19">
        <f ca="1"/>
        <v>1.3957024391543382</v>
      </c>
      <c r="N163" s="20">
        <f t="shared" ca="1" si="294"/>
        <v>2.4422718809714805E-2</v>
      </c>
      <c r="O163" s="20">
        <f t="shared" ca="1" si="295"/>
        <v>6.3427414544612995E-2</v>
      </c>
      <c r="P163" s="19">
        <f t="shared" ca="1" si="301"/>
        <v>3.4966761051739138E-7</v>
      </c>
      <c r="Q163" s="19">
        <f ca="1">HCTrans(P163,Strike,RiskFreeRate,Dividend,Variance_T0*AnnualVarConvtr,(Simulation!G163)/250,0.5,Variance_Avg*AnnualVarConvtr,Lambda,SQRT(Simulation!N163),Rho,1,"Call")</f>
        <v>-1.5077448669917078E-5</v>
      </c>
      <c r="R163" s="19" t="e">
        <f t="shared" ca="1" si="296"/>
        <v>#VALUE!</v>
      </c>
      <c r="S163" s="19" t="e">
        <f t="shared" ca="1" si="297"/>
        <v>#VALUE!</v>
      </c>
      <c r="T163" s="19" t="e">
        <f t="shared" ca="1" si="302"/>
        <v>#VALUE!</v>
      </c>
      <c r="U163" s="19" t="e">
        <f t="shared" ca="1" si="303"/>
        <v>#VALUE!</v>
      </c>
      <c r="V163" s="21">
        <f t="shared" ca="1" si="304"/>
        <v>1.3614541002936027E-4</v>
      </c>
      <c r="W163">
        <f t="shared" ca="1" si="305"/>
        <v>1.1668136527713424E-2</v>
      </c>
      <c r="X163" s="22">
        <f t="shared" ref="X163" ca="1" si="367">BSdelta(1,P163,Strike,W163*AnnualVarConvtr,Dividend,RiskFreeRate,G163/250)</f>
        <v>0</v>
      </c>
      <c r="Y163" s="22">
        <f t="shared" ca="1" si="311"/>
        <v>0</v>
      </c>
      <c r="Z163" s="22">
        <f t="shared" ca="1" si="312"/>
        <v>-7.4987778724721093</v>
      </c>
      <c r="AA163">
        <f t="shared" si="299"/>
        <v>0.73884103340948371</v>
      </c>
      <c r="AB163">
        <f t="shared" ref="AB163" ca="1" si="368">BSdelta(1,P163,Strike,AA163/AnnualVarConvtr,Dividend,RiskFreeRate,G163/250)</f>
        <v>0</v>
      </c>
      <c r="AC163">
        <f t="shared" ca="1" si="308"/>
        <v>0</v>
      </c>
      <c r="AD163">
        <f t="shared" ca="1" si="309"/>
        <v>-2.592543121917485</v>
      </c>
    </row>
    <row r="164" spans="7:30" x14ac:dyDescent="0.25">
      <c r="G164" s="19">
        <v>91</v>
      </c>
      <c r="H164" s="19">
        <f t="shared" ca="1" si="358"/>
        <v>0.27444734387118364</v>
      </c>
      <c r="I164" s="19">
        <f t="shared" ca="1" si="358"/>
        <v>2.6708421740924471E-2</v>
      </c>
      <c r="J164" s="19">
        <f t="shared" ca="1" si="292"/>
        <v>1.5855116884211395</v>
      </c>
      <c r="K164" s="19">
        <f t="shared" ca="1" si="293"/>
        <v>0.2685971145760831</v>
      </c>
      <c r="L164" s="19">
        <f t="array" aca="1" ref="L164:M164" ca="1">MMULT(J164:K164,TRANSPOSE($B$10:$C$11))</f>
        <v>1.5855116884211395</v>
      </c>
      <c r="M164" s="19">
        <f ca="1"/>
        <v>-0.94864924485510893</v>
      </c>
      <c r="N164" s="20">
        <f t="shared" ca="1" si="294"/>
        <v>2.0830669418408079E-2</v>
      </c>
      <c r="O164" s="20">
        <f t="shared" ca="1" si="295"/>
        <v>7.909840507914026E-2</v>
      </c>
      <c r="P164" s="19">
        <f t="shared" ca="1" si="301"/>
        <v>3.2745092841498856E-7</v>
      </c>
      <c r="Q164" s="19">
        <f ca="1">HCTrans(P164,Strike,RiskFreeRate,Dividend,Variance_T0*AnnualVarConvtr,(Simulation!G164)/250,0.5,Variance_Avg*AnnualVarConvtr,Lambda,SQRT(Simulation!N164),Rho,1,"Call")</f>
        <v>-1.507736326569942E-5</v>
      </c>
      <c r="R164" s="19" t="e">
        <f t="shared" ca="1" si="296"/>
        <v>#VALUE!</v>
      </c>
      <c r="S164" s="19" t="e">
        <f t="shared" ca="1" si="297"/>
        <v>#VALUE!</v>
      </c>
      <c r="T164" s="19" t="e">
        <f t="shared" ca="1" si="302"/>
        <v>#VALUE!</v>
      </c>
      <c r="U164" s="19" t="e">
        <f t="shared" ca="1" si="303"/>
        <v>#VALUE!</v>
      </c>
      <c r="V164" s="21">
        <f t="shared" ca="1" si="304"/>
        <v>2.4557994433324317E-4</v>
      </c>
      <c r="W164">
        <f t="shared" ca="1" si="305"/>
        <v>1.5670990534527265E-2</v>
      </c>
      <c r="X164" s="22">
        <f t="shared" ref="X164" ca="1" si="369">BSdelta(1,P164,Strike,W164*AnnualVarConvtr,Dividend,RiskFreeRate,G164/250)</f>
        <v>0</v>
      </c>
      <c r="Y164" s="22">
        <f t="shared" ca="1" si="311"/>
        <v>0</v>
      </c>
      <c r="Z164" s="22">
        <f t="shared" ca="1" si="312"/>
        <v>-7.4987778723867047</v>
      </c>
      <c r="AA164">
        <f t="shared" si="299"/>
        <v>0.73884103340948371</v>
      </c>
      <c r="AB164">
        <f t="shared" ref="AB164" ca="1" si="370">BSdelta(1,P164,Strike,AA164/AnnualVarConvtr,Dividend,RiskFreeRate,G164/250)</f>
        <v>0</v>
      </c>
      <c r="AC164">
        <f t="shared" ca="1" si="308"/>
        <v>0</v>
      </c>
      <c r="AD164">
        <f t="shared" ca="1" si="309"/>
        <v>-2.5925431218320809</v>
      </c>
    </row>
    <row r="165" spans="7:30" x14ac:dyDescent="0.25">
      <c r="G165" s="19">
        <v>90</v>
      </c>
      <c r="H165" s="19">
        <f t="shared" ca="1" si="358"/>
        <v>0.14243673959093472</v>
      </c>
      <c r="I165" s="19">
        <f t="shared" ca="1" si="358"/>
        <v>0.68311906539690881</v>
      </c>
      <c r="J165" s="19">
        <f t="shared" ca="1" si="292"/>
        <v>-0.80543253188457109</v>
      </c>
      <c r="K165" s="19">
        <f t="shared" ca="1" si="293"/>
        <v>-1.8024963405382672</v>
      </c>
      <c r="L165" s="19">
        <f t="array" aca="1" ref="L165:M165" ca="1">MMULT(J165:K165,TRANSPOSE($B$10:$C$11))</f>
        <v>-0.80543253188457109</v>
      </c>
      <c r="M165" s="19">
        <f ca="1"/>
        <v>-0.68030577024636052</v>
      </c>
      <c r="N165" s="20">
        <f t="shared" ca="1" si="294"/>
        <v>1.8419574880917739E-2</v>
      </c>
      <c r="O165" s="20">
        <f t="shared" ca="1" si="295"/>
        <v>7.174631573470136E-2</v>
      </c>
      <c r="P165" s="19">
        <f t="shared" ca="1" si="301"/>
        <v>3.0244504023272756E-7</v>
      </c>
      <c r="Q165" s="19">
        <f ca="1">HCTrans(P165,Strike,RiskFreeRate,Dividend,Variance_T0*AnnualVarConvtr,(Simulation!G165)/250,0.5,Variance_Avg*AnnualVarConvtr,Lambda,SQRT(Simulation!N165),Rho,1,"Call")</f>
        <v>-1.5077259115343714E-5</v>
      </c>
      <c r="R165" s="19" t="e">
        <f t="shared" ca="1" si="296"/>
        <v>#VALUE!</v>
      </c>
      <c r="S165" s="19" t="e">
        <f t="shared" ca="1" si="297"/>
        <v>#VALUE!</v>
      </c>
      <c r="T165" s="19" t="e">
        <f t="shared" ca="1" si="302"/>
        <v>#VALUE!</v>
      </c>
      <c r="U165" s="19" t="e">
        <f t="shared" ca="1" si="303"/>
        <v>#VALUE!</v>
      </c>
      <c r="V165" s="21">
        <f t="shared" ca="1" si="304"/>
        <v>5.4053217728612015E-5</v>
      </c>
      <c r="W165">
        <f t="shared" ca="1" si="305"/>
        <v>7.3520893444389002E-3</v>
      </c>
      <c r="X165" s="22">
        <f t="shared" ref="X165" ca="1" si="371">BSdelta(1,P165,Strike,W165*AnnualVarConvtr,Dividend,RiskFreeRate,G165/250)</f>
        <v>0</v>
      </c>
      <c r="Y165" s="22">
        <f t="shared" ca="1" si="311"/>
        <v>0</v>
      </c>
      <c r="Z165" s="22">
        <f t="shared" ca="1" si="312"/>
        <v>-7.4987778722825542</v>
      </c>
      <c r="AA165">
        <f t="shared" si="299"/>
        <v>0.73884103340948371</v>
      </c>
      <c r="AB165">
        <f t="shared" ref="AB165" ca="1" si="372">BSdelta(1,P165,Strike,AA165/AnnualVarConvtr,Dividend,RiskFreeRate,G165/250)</f>
        <v>0</v>
      </c>
      <c r="AC165">
        <f t="shared" ca="1" si="308"/>
        <v>0</v>
      </c>
      <c r="AD165">
        <f t="shared" ca="1" si="309"/>
        <v>-2.5925431217279304</v>
      </c>
    </row>
    <row r="166" spans="7:30" x14ac:dyDescent="0.25">
      <c r="G166" s="19">
        <v>89</v>
      </c>
      <c r="H166" s="19">
        <f t="shared" ca="1" si="358"/>
        <v>0.52160186502808148</v>
      </c>
      <c r="I166" s="19">
        <f t="shared" ca="1" si="358"/>
        <v>0.50855275728617111</v>
      </c>
      <c r="J166" s="19">
        <f t="shared" ca="1" si="292"/>
        <v>-1.1392742895716026</v>
      </c>
      <c r="K166" s="19">
        <f t="shared" ca="1" si="293"/>
        <v>-6.1281960575676073E-2</v>
      </c>
      <c r="L166" s="19">
        <f t="array" aca="1" ref="L166:M166" ca="1">MMULT(J166:K166,TRANSPOSE($B$10:$C$11))</f>
        <v>-1.1392742895716026</v>
      </c>
      <c r="M166" s="19">
        <f ca="1"/>
        <v>0.77354052384863947</v>
      </c>
      <c r="N166" s="20">
        <f t="shared" ca="1" si="294"/>
        <v>2.1023459056558426E-2</v>
      </c>
      <c r="O166" s="20">
        <f t="shared" ca="1" si="295"/>
        <v>6.1967233605352778E-2</v>
      </c>
      <c r="P166" s="19">
        <f t="shared" ca="1" si="301"/>
        <v>2.8109331035207181E-7</v>
      </c>
      <c r="Q166" s="19">
        <f ca="1">HCTrans(P166,Strike,RiskFreeRate,Dividend,Variance_T0*AnnualVarConvtr,(Simulation!G166)/250,0.5,Variance_Avg*AnnualVarConvtr,Lambda,SQRT(Simulation!N166),Rho,1,"Call")</f>
        <v>-1.5077162891184421E-5</v>
      </c>
      <c r="R166" s="19" t="e">
        <f t="shared" ca="1" si="296"/>
        <v>#VALUE!</v>
      </c>
      <c r="S166" s="19" t="e">
        <f t="shared" ca="1" si="297"/>
        <v>#VALUE!</v>
      </c>
      <c r="T166" s="19" t="e">
        <f t="shared" ca="1" si="302"/>
        <v>#VALUE!</v>
      </c>
      <c r="U166" s="19" t="e">
        <f t="shared" ca="1" si="303"/>
        <v>#VALUE!</v>
      </c>
      <c r="V166" s="21">
        <f t="shared" ca="1" si="304"/>
        <v>9.5630447292544791E-5</v>
      </c>
      <c r="W166">
        <f t="shared" ca="1" si="305"/>
        <v>9.7790821293485819E-3</v>
      </c>
      <c r="X166" s="22">
        <f t="shared" ref="X166" ca="1" si="373">BSdelta(1,P166,Strike,W166*AnnualVarConvtr,Dividend,RiskFreeRate,G166/250)</f>
        <v>0</v>
      </c>
      <c r="Y166" s="22">
        <f t="shared" ca="1" si="311"/>
        <v>0</v>
      </c>
      <c r="Z166" s="22">
        <f t="shared" ca="1" si="312"/>
        <v>-7.4987778721863299</v>
      </c>
      <c r="AA166">
        <f t="shared" si="299"/>
        <v>0.73884103340948371</v>
      </c>
      <c r="AB166">
        <f t="shared" ref="AB166" ca="1" si="374">BSdelta(1,P166,Strike,AA166/AnnualVarConvtr,Dividend,RiskFreeRate,G166/250)</f>
        <v>0</v>
      </c>
      <c r="AC166">
        <f t="shared" ca="1" si="308"/>
        <v>0</v>
      </c>
      <c r="AD166">
        <f t="shared" ca="1" si="309"/>
        <v>-2.5925431216317061</v>
      </c>
    </row>
    <row r="167" spans="7:30" x14ac:dyDescent="0.25">
      <c r="G167" s="19">
        <v>88</v>
      </c>
      <c r="H167" s="19">
        <f t="shared" ca="1" si="358"/>
        <v>4.2987794982765393E-2</v>
      </c>
      <c r="I167" s="19">
        <f t="shared" ca="1" si="358"/>
        <v>0.72832529800078927</v>
      </c>
      <c r="J167" s="19">
        <f t="shared" ca="1" si="292"/>
        <v>-0.34059791284122837</v>
      </c>
      <c r="K167" s="19">
        <f t="shared" ca="1" si="293"/>
        <v>-2.4854921331890392</v>
      </c>
      <c r="L167" s="19">
        <f t="array" aca="1" ref="L167:M167" ca="1">MMULT(J167:K167,TRANSPOSE($B$10:$C$11))</f>
        <v>-0.34059791284122837</v>
      </c>
      <c r="M167" s="19">
        <f ca="1"/>
        <v>-1.4898088231815685</v>
      </c>
      <c r="N167" s="20">
        <f t="shared" ca="1" si="294"/>
        <v>1.5986243957056934E-2</v>
      </c>
      <c r="O167" s="20">
        <f t="shared" ca="1" si="295"/>
        <v>5.8843859073732872E-2</v>
      </c>
      <c r="P167" s="19">
        <f t="shared" ca="1" si="301"/>
        <v>2.6498893054768566E-7</v>
      </c>
      <c r="Q167" s="19">
        <f ca="1">HCTrans(P167,Strike,RiskFreeRate,Dividend,Variance_T0*AnnualVarConvtr,(Simulation!G167)/250,0.5,Variance_Avg*AnnualVarConvtr,Lambda,SQRT(Simulation!N167),Rho,1,"Call")</f>
        <v>-1.5077085483588158E-5</v>
      </c>
      <c r="R167" s="19" t="e">
        <f t="shared" ca="1" si="296"/>
        <v>#VALUE!</v>
      </c>
      <c r="S167" s="19" t="e">
        <f t="shared" ca="1" si="297"/>
        <v>#VALUE!</v>
      </c>
      <c r="T167" s="19" t="e">
        <f t="shared" ca="1" si="302"/>
        <v>#VALUE!</v>
      </c>
      <c r="U167" s="19" t="e">
        <f t="shared" ca="1" si="303"/>
        <v>#VALUE!</v>
      </c>
      <c r="V167" s="21">
        <f t="shared" ca="1" si="304"/>
        <v>9.7554684647718681E-6</v>
      </c>
      <c r="W167">
        <f t="shared" ca="1" si="305"/>
        <v>3.123374531619906E-3</v>
      </c>
      <c r="X167" s="22">
        <f t="shared" ref="X167" ca="1" si="375">BSdelta(1,P167,Strike,W167*AnnualVarConvtr,Dividend,RiskFreeRate,G167/250)</f>
        <v>0</v>
      </c>
      <c r="Y167" s="22">
        <f t="shared" ca="1" si="311"/>
        <v>0</v>
      </c>
      <c r="Z167" s="22">
        <f t="shared" ca="1" si="312"/>
        <v>-7.4987778721089224</v>
      </c>
      <c r="AA167">
        <f t="shared" si="299"/>
        <v>0.73884103340948371</v>
      </c>
      <c r="AB167">
        <f t="shared" ref="AB167" ca="1" si="376">BSdelta(1,P167,Strike,AA167/AnnualVarConvtr,Dividend,RiskFreeRate,G167/250)</f>
        <v>0</v>
      </c>
      <c r="AC167">
        <f t="shared" ca="1" si="308"/>
        <v>0</v>
      </c>
      <c r="AD167">
        <f t="shared" ca="1" si="309"/>
        <v>-2.5925431215542987</v>
      </c>
    </row>
    <row r="168" spans="7:30" x14ac:dyDescent="0.25">
      <c r="G168" s="19">
        <v>87</v>
      </c>
      <c r="H168" s="19">
        <f t="shared" ca="1" si="358"/>
        <v>0.63651235232825543</v>
      </c>
      <c r="I168" s="19">
        <f t="shared" ca="1" si="358"/>
        <v>0.92619085054673578</v>
      </c>
      <c r="J168" s="19">
        <f t="shared" ca="1" si="292"/>
        <v>0.85013150061289944</v>
      </c>
      <c r="K168" s="19">
        <f t="shared" ca="1" si="293"/>
        <v>-0.42518153855226209</v>
      </c>
      <c r="L168" s="19">
        <f t="array" aca="1" ref="L168:M168" ca="1">MMULT(J168:K168,TRANSPOSE($B$10:$C$11))</f>
        <v>0.85013150061289944</v>
      </c>
      <c r="M168" s="19">
        <f ca="1"/>
        <v>-0.90572037295800056</v>
      </c>
      <c r="N168" s="20">
        <f t="shared" ca="1" si="294"/>
        <v>1.3254179191946996E-2</v>
      </c>
      <c r="O168" s="20">
        <f t="shared" ca="1" si="295"/>
        <v>6.5641986838612693E-2</v>
      </c>
      <c r="P168" s="19">
        <f t="shared" ca="1" si="301"/>
        <v>2.5141128258524819E-7</v>
      </c>
      <c r="Q168" s="19">
        <f ca="1">HCTrans(P168,Strike,RiskFreeRate,Dividend,Variance_T0*AnnualVarConvtr,(Simulation!G168)/250,0.5,Variance_Avg*AnnualVarConvtr,Lambda,SQRT(Simulation!N168),Rho,1,"Call")</f>
        <v>-1.5077016554574666E-5</v>
      </c>
      <c r="R168" s="19" t="e">
        <f t="shared" ca="1" si="296"/>
        <v>#VALUE!</v>
      </c>
      <c r="S168" s="19" t="e">
        <f t="shared" ca="1" si="297"/>
        <v>#VALUE!</v>
      </c>
      <c r="T168" s="19" t="e">
        <f t="shared" ca="1" si="302"/>
        <v>#VALUE!</v>
      </c>
      <c r="U168" s="19" t="e">
        <f t="shared" ca="1" si="303"/>
        <v>#VALUE!</v>
      </c>
      <c r="V168" s="21">
        <f t="shared" ca="1" si="304"/>
        <v>4.6214541107629903E-5</v>
      </c>
      <c r="W168">
        <f t="shared" ca="1" si="305"/>
        <v>6.7981277648798202E-3</v>
      </c>
      <c r="X168" s="22">
        <f t="shared" ref="X168" ca="1" si="377">BSdelta(1,P168,Strike,W168*AnnualVarConvtr,Dividend,RiskFreeRate,G168/250)</f>
        <v>0</v>
      </c>
      <c r="Y168" s="22">
        <f t="shared" ca="1" si="311"/>
        <v>0</v>
      </c>
      <c r="Z168" s="22">
        <f t="shared" ca="1" si="312"/>
        <v>-7.4987778720399936</v>
      </c>
      <c r="AA168">
        <f t="shared" si="299"/>
        <v>0.73884103340948371</v>
      </c>
      <c r="AB168">
        <f t="shared" ref="AB168" ca="1" si="378">BSdelta(1,P168,Strike,AA168/AnnualVarConvtr,Dividend,RiskFreeRate,G168/250)</f>
        <v>0</v>
      </c>
      <c r="AC168">
        <f t="shared" ca="1" si="308"/>
        <v>0</v>
      </c>
      <c r="AD168">
        <f t="shared" ca="1" si="309"/>
        <v>-2.5925431214853698</v>
      </c>
    </row>
    <row r="169" spans="7:30" x14ac:dyDescent="0.25">
      <c r="G169" s="19">
        <v>86</v>
      </c>
      <c r="H169" s="19">
        <f t="shared" ca="1" si="358"/>
        <v>0.63570834601323567</v>
      </c>
      <c r="I169" s="19">
        <f t="shared" ca="1" si="358"/>
        <v>0.86953404096295228</v>
      </c>
      <c r="J169" s="19">
        <f t="shared" ca="1" si="292"/>
        <v>0.64955636287943197</v>
      </c>
      <c r="K169" s="19">
        <f t="shared" ca="1" si="293"/>
        <v>-0.69577821465205714</v>
      </c>
      <c r="L169" s="19">
        <f t="array" aca="1" ref="L169:M169" ca="1">MMULT(J169:K169,TRANSPOSE($B$10:$C$11))</f>
        <v>0.64955636287943197</v>
      </c>
      <c r="M169" s="19">
        <f ca="1"/>
        <v>-0.95077303497788435</v>
      </c>
      <c r="N169" s="20">
        <f t="shared" ca="1" si="294"/>
        <v>1.0673165386706986E-2</v>
      </c>
      <c r="O169" s="20">
        <f t="shared" ca="1" si="295"/>
        <v>7.0371574244526391E-2</v>
      </c>
      <c r="P169" s="19">
        <f t="shared" ca="1" si="301"/>
        <v>2.3375271595936295E-7</v>
      </c>
      <c r="Q169" s="19">
        <f ca="1">HCTrans(P169,Strike,RiskFreeRate,Dividend,Variance_T0*AnnualVarConvtr,(Simulation!G169)/250,0.5,Variance_Avg*AnnualVarConvtr,Lambda,SQRT(Simulation!N169),Rho,1,"Call")</f>
        <v>-1.5076920486359233E-5</v>
      </c>
      <c r="R169" s="19" t="e">
        <f t="shared" ca="1" si="296"/>
        <v>#VALUE!</v>
      </c>
      <c r="S169" s="19" t="e">
        <f t="shared" ca="1" si="297"/>
        <v>#VALUE!</v>
      </c>
      <c r="T169" s="19" t="e">
        <f t="shared" ca="1" si="302"/>
        <v>#VALUE!</v>
      </c>
      <c r="U169" s="19" t="e">
        <f t="shared" ca="1" si="303"/>
        <v>#VALUE!</v>
      </c>
      <c r="V169" s="21">
        <f t="shared" ca="1" si="304"/>
        <v>2.236899703017747E-5</v>
      </c>
      <c r="W169">
        <f t="shared" ca="1" si="305"/>
        <v>4.7295874059136989E-3</v>
      </c>
      <c r="X169" s="22">
        <f t="shared" ref="X169" ca="1" si="379">BSdelta(1,P169,Strike,W169*AnnualVarConvtr,Dividend,RiskFreeRate,G169/250)</f>
        <v>0</v>
      </c>
      <c r="Y169" s="22">
        <f t="shared" ca="1" si="311"/>
        <v>0</v>
      </c>
      <c r="Z169" s="22">
        <f t="shared" ca="1" si="312"/>
        <v>-7.4987778719439255</v>
      </c>
      <c r="AA169">
        <f t="shared" si="299"/>
        <v>0.73884103340948371</v>
      </c>
      <c r="AB169">
        <f t="shared" ref="AB169" ca="1" si="380">BSdelta(1,P169,Strike,AA169/AnnualVarConvtr,Dividend,RiskFreeRate,G169/250)</f>
        <v>0</v>
      </c>
      <c r="AC169">
        <f t="shared" ca="1" si="308"/>
        <v>0</v>
      </c>
      <c r="AD169">
        <f t="shared" ca="1" si="309"/>
        <v>-2.5925431213893018</v>
      </c>
    </row>
    <row r="170" spans="7:30" x14ac:dyDescent="0.25">
      <c r="G170" s="19">
        <v>85</v>
      </c>
      <c r="H170" s="19">
        <f t="shared" ca="1" si="358"/>
        <v>0.58700655711293115</v>
      </c>
      <c r="I170" s="19">
        <f t="shared" ca="1" si="358"/>
        <v>0.33504253885980495</v>
      </c>
      <c r="J170" s="19">
        <f t="shared" ca="1" si="292"/>
        <v>-0.52567042577624956</v>
      </c>
      <c r="K170" s="19">
        <f t="shared" ca="1" si="293"/>
        <v>0.88831817542860247</v>
      </c>
      <c r="L170" s="19">
        <f t="array" aca="1" ref="L170:M170" ca="1">MMULT(J170:K170,TRANSPOSE($B$10:$C$11))</f>
        <v>-0.52567042577624956</v>
      </c>
      <c r="M170" s="19">
        <f ca="1"/>
        <v>0.99632215224770238</v>
      </c>
      <c r="N170" s="20">
        <f t="shared" ca="1" si="294"/>
        <v>1.332704401511906E-2</v>
      </c>
      <c r="O170" s="20">
        <f t="shared" ca="1" si="295"/>
        <v>6.6936863572323937E-2</v>
      </c>
      <c r="P170" s="19">
        <f t="shared" ca="1" si="301"/>
        <v>2.2373926749664136E-7</v>
      </c>
      <c r="Q170" s="19">
        <f ca="1">HCTrans(P170,Strike,RiskFreeRate,Dividend,Variance_T0*AnnualVarConvtr,(Simulation!G170)/250,0.5,Variance_Avg*AnnualVarConvtr,Lambda,SQRT(Simulation!N170),Rho,1,"Call")</f>
        <v>-1.5076863274284286E-5</v>
      </c>
      <c r="R170" s="19" t="e">
        <f t="shared" ca="1" si="296"/>
        <v>#VALUE!</v>
      </c>
      <c r="S170" s="19" t="e">
        <f t="shared" ca="1" si="297"/>
        <v>#VALUE!</v>
      </c>
      <c r="T170" s="19" t="e">
        <f t="shared" ca="1" si="302"/>
        <v>#VALUE!</v>
      </c>
      <c r="U170" s="19" t="e">
        <f t="shared" ca="1" si="303"/>
        <v>#VALUE!</v>
      </c>
      <c r="V170" s="21">
        <f t="shared" ca="1" si="304"/>
        <v>1.1797237401741432E-5</v>
      </c>
      <c r="W170">
        <f t="shared" ca="1" si="305"/>
        <v>3.434710672202454E-3</v>
      </c>
      <c r="X170" s="22">
        <f t="shared" ref="X170" ca="1" si="381">BSdelta(1,P170,Strike,W170*AnnualVarConvtr,Dividend,RiskFreeRate,G170/250)</f>
        <v>0</v>
      </c>
      <c r="Y170" s="22">
        <f t="shared" ca="1" si="311"/>
        <v>0</v>
      </c>
      <c r="Z170" s="22">
        <f t="shared" ca="1" si="312"/>
        <v>-7.4987778718867135</v>
      </c>
      <c r="AA170">
        <f t="shared" si="299"/>
        <v>0.73884103340948371</v>
      </c>
      <c r="AB170">
        <f t="shared" ref="AB170" ca="1" si="382">BSdelta(1,P170,Strike,AA170/AnnualVarConvtr,Dividend,RiskFreeRate,G170/250)</f>
        <v>0</v>
      </c>
      <c r="AC170">
        <f t="shared" ca="1" si="308"/>
        <v>0</v>
      </c>
      <c r="AD170">
        <f t="shared" ca="1" si="309"/>
        <v>-2.5925431213320898</v>
      </c>
    </row>
    <row r="171" spans="7:30" x14ac:dyDescent="0.25">
      <c r="G171" s="19">
        <v>84</v>
      </c>
      <c r="H171" s="19">
        <f t="shared" ca="1" si="358"/>
        <v>7.9047498823242801E-2</v>
      </c>
      <c r="I171" s="19">
        <f t="shared" ca="1" si="358"/>
        <v>0.17403590800672597</v>
      </c>
      <c r="J171" s="19">
        <f t="shared" ca="1" si="292"/>
        <v>1.0349211548059931</v>
      </c>
      <c r="K171" s="19">
        <f t="shared" ca="1" si="293"/>
        <v>2.001087433339396</v>
      </c>
      <c r="L171" s="19">
        <f t="array" aca="1" ref="L171:M171" ca="1">MMULT(J171:K171,TRANSPOSE($B$10:$C$11))</f>
        <v>1.0349211548059931</v>
      </c>
      <c r="M171" s="19">
        <f ca="1"/>
        <v>0.65441175471573487</v>
      </c>
      <c r="N171" s="20">
        <f t="shared" ca="1" si="294"/>
        <v>1.5210555927290145E-2</v>
      </c>
      <c r="O171" s="20">
        <f t="shared" ca="1" si="295"/>
        <v>7.4493076302803815E-2</v>
      </c>
      <c r="P171" s="19">
        <f t="shared" ca="1" si="301"/>
        <v>2.1338903528390747E-7</v>
      </c>
      <c r="Q171" s="19">
        <f ca="1">HCTrans(P171,Strike,RiskFreeRate,Dividend,Variance_T0*AnnualVarConvtr,(Simulation!G171)/250,0.5,Variance_Avg*AnnualVarConvtr,Lambda,SQRT(Simulation!N171),Rho,1,"Call")</f>
        <v>-1.5076801345067103E-5</v>
      </c>
      <c r="R171" s="19" t="e">
        <f t="shared" ca="1" si="296"/>
        <v>#VALUE!</v>
      </c>
      <c r="S171" s="19" t="e">
        <f t="shared" ca="1" si="297"/>
        <v>#VALUE!</v>
      </c>
      <c r="T171" s="19" t="e">
        <f t="shared" ca="1" si="302"/>
        <v>#VALUE!</v>
      </c>
      <c r="U171" s="19" t="e">
        <f t="shared" ca="1" si="303"/>
        <v>#VALUE!</v>
      </c>
      <c r="V171" s="21">
        <f t="shared" ca="1" si="304"/>
        <v>5.7096350828266168E-5</v>
      </c>
      <c r="W171">
        <f t="shared" ca="1" si="305"/>
        <v>7.5562127304798776E-3</v>
      </c>
      <c r="X171" s="22">
        <f t="shared" ref="X171" ca="1" si="383">BSdelta(1,P171,Strike,W171*AnnualVarConvtr,Dividend,RiskFreeRate,G171/250)</f>
        <v>0</v>
      </c>
      <c r="Y171" s="22">
        <f t="shared" ca="1" si="311"/>
        <v>0</v>
      </c>
      <c r="Z171" s="22">
        <f t="shared" ca="1" si="312"/>
        <v>-7.4987778718247844</v>
      </c>
      <c r="AA171">
        <f t="shared" si="299"/>
        <v>0.73884103340948371</v>
      </c>
      <c r="AB171">
        <f t="shared" ref="AB171" ca="1" si="384">BSdelta(1,P171,Strike,AA171/AnnualVarConvtr,Dividend,RiskFreeRate,G171/250)</f>
        <v>0</v>
      </c>
      <c r="AC171">
        <f t="shared" ca="1" si="308"/>
        <v>0</v>
      </c>
      <c r="AD171">
        <f t="shared" ca="1" si="309"/>
        <v>-2.5925431212701606</v>
      </c>
    </row>
    <row r="172" spans="7:30" x14ac:dyDescent="0.25">
      <c r="G172" s="19">
        <v>83</v>
      </c>
      <c r="H172" s="19">
        <f t="shared" ca="1" si="358"/>
        <v>0.28718922439411598</v>
      </c>
      <c r="I172" s="19">
        <f t="shared" ca="1" si="358"/>
        <v>0.29986881874399218</v>
      </c>
      <c r="J172" s="19">
        <f t="shared" ca="1" si="292"/>
        <v>-0.48689379090785911</v>
      </c>
      <c r="K172" s="19">
        <f t="shared" ca="1" si="293"/>
        <v>1.5027183237178712</v>
      </c>
      <c r="L172" s="19">
        <f t="array" aca="1" ref="L172:M172" ca="1">MMULT(J172:K172,TRANSPOSE($B$10:$C$11))</f>
        <v>-0.48689379090785911</v>
      </c>
      <c r="M172" s="19">
        <f ca="1"/>
        <v>1.3971363057266259</v>
      </c>
      <c r="N172" s="20">
        <f t="shared" ca="1" si="294"/>
        <v>1.9685780260200507E-2</v>
      </c>
      <c r="O172" s="20">
        <f t="shared" ca="1" si="295"/>
        <v>7.0695235329857775E-2</v>
      </c>
      <c r="P172" s="19">
        <f t="shared" ca="1" si="301"/>
        <v>2.0116835000520988E-7</v>
      </c>
      <c r="Q172" s="19">
        <f ca="1">HCTrans(P172,Strike,RiskFreeRate,Dividend,Variance_T0*AnnualVarConvtr,(Simulation!G172)/250,0.5,Variance_Avg*AnnualVarConvtr,Lambda,SQRT(Simulation!N172),Rho,1,"Call")</f>
        <v>-1.5076723959710581E-5</v>
      </c>
      <c r="R172" s="19" t="e">
        <f t="shared" ca="1" si="296"/>
        <v>#VALUE!</v>
      </c>
      <c r="S172" s="19" t="e">
        <f t="shared" ca="1" si="297"/>
        <v>#VALUE!</v>
      </c>
      <c r="T172" s="19" t="e">
        <f t="shared" ca="1" si="302"/>
        <v>#VALUE!</v>
      </c>
      <c r="U172" s="19" t="e">
        <f t="shared" ca="1" si="303"/>
        <v>#VALUE!</v>
      </c>
      <c r="V172" s="21">
        <f t="shared" ca="1" si="304"/>
        <v>1.4423596055787724E-5</v>
      </c>
      <c r="W172">
        <f t="shared" ca="1" si="305"/>
        <v>3.79784097294604E-3</v>
      </c>
      <c r="X172" s="22">
        <f t="shared" ref="X172" ca="1" si="385">BSdelta(1,P172,Strike,W172*AnnualVarConvtr,Dividend,RiskFreeRate,G172/250)</f>
        <v>0</v>
      </c>
      <c r="Y172" s="22">
        <f t="shared" ca="1" si="311"/>
        <v>0</v>
      </c>
      <c r="Z172" s="22">
        <f t="shared" ca="1" si="312"/>
        <v>-7.4987778717473992</v>
      </c>
      <c r="AA172">
        <f t="shared" si="299"/>
        <v>0.73884103340948371</v>
      </c>
      <c r="AB172">
        <f t="shared" ref="AB172" ca="1" si="386">BSdelta(1,P172,Strike,AA172/AnnualVarConvtr,Dividend,RiskFreeRate,G172/250)</f>
        <v>0</v>
      </c>
      <c r="AC172">
        <f t="shared" ca="1" si="308"/>
        <v>0</v>
      </c>
      <c r="AD172">
        <f t="shared" ca="1" si="309"/>
        <v>-2.5925431211927754</v>
      </c>
    </row>
    <row r="173" spans="7:30" x14ac:dyDescent="0.25">
      <c r="G173" s="19">
        <v>82</v>
      </c>
      <c r="H173" s="19">
        <f t="shared" ca="1" si="358"/>
        <v>0.74082907219819527</v>
      </c>
      <c r="I173" s="19">
        <f t="shared" ca="1" si="358"/>
        <v>3.7398467870372154E-2</v>
      </c>
      <c r="J173" s="19">
        <f t="shared" ca="1" si="292"/>
        <v>0.75329131450468767</v>
      </c>
      <c r="K173" s="19">
        <f t="shared" ca="1" si="293"/>
        <v>0.18034106486370935</v>
      </c>
      <c r="L173" s="19">
        <f t="array" aca="1" ref="L173:M173" ca="1">MMULT(J173:K173,TRANSPOSE($B$10:$C$11))</f>
        <v>0.75329131450468767</v>
      </c>
      <c r="M173" s="19">
        <f ca="1"/>
        <v>-0.41392962795571853</v>
      </c>
      <c r="N173" s="20">
        <f t="shared" ca="1" si="294"/>
        <v>1.8220466078250723E-2</v>
      </c>
      <c r="O173" s="20">
        <f t="shared" ca="1" si="295"/>
        <v>7.7379740633522862E-2</v>
      </c>
      <c r="P173" s="19">
        <f t="shared" ca="1" si="301"/>
        <v>1.9237090558645882E-7</v>
      </c>
      <c r="Q173" s="19">
        <f ca="1">HCTrans(P173,Strike,RiskFreeRate,Dividend,Variance_T0*AnnualVarConvtr,(Simulation!G173)/250,0.5,Variance_Avg*AnnualVarConvtr,Lambda,SQRT(Simulation!N173),Rho,1,"Call")</f>
        <v>-1.5076665652548131E-5</v>
      </c>
      <c r="R173" s="19" t="e">
        <f t="shared" ca="1" si="296"/>
        <v>#VALUE!</v>
      </c>
      <c r="S173" s="19" t="e">
        <f t="shared" ca="1" si="297"/>
        <v>#VALUE!</v>
      </c>
      <c r="T173" s="19" t="e">
        <f t="shared" ca="1" si="302"/>
        <v>#VALUE!</v>
      </c>
      <c r="U173" s="19" t="e">
        <f t="shared" ca="1" si="303"/>
        <v>#VALUE!</v>
      </c>
      <c r="V173" s="21">
        <f t="shared" ca="1" si="304"/>
        <v>4.468261115472667E-5</v>
      </c>
      <c r="W173">
        <f t="shared" ca="1" si="305"/>
        <v>6.6845053036650864E-3</v>
      </c>
      <c r="X173" s="22">
        <f t="shared" ref="X173" ca="1" si="387">BSdelta(1,P173,Strike,W173*AnnualVarConvtr,Dividend,RiskFreeRate,G173/250)</f>
        <v>0</v>
      </c>
      <c r="Y173" s="22">
        <f t="shared" ca="1" si="311"/>
        <v>0</v>
      </c>
      <c r="Z173" s="22">
        <f t="shared" ca="1" si="312"/>
        <v>-7.498777871689092</v>
      </c>
      <c r="AA173">
        <f t="shared" si="299"/>
        <v>0.73884103340948371</v>
      </c>
      <c r="AB173">
        <f t="shared" ref="AB173" ca="1" si="388">BSdelta(1,P173,Strike,AA173/AnnualVarConvtr,Dividend,RiskFreeRate,G173/250)</f>
        <v>0</v>
      </c>
      <c r="AC173">
        <f t="shared" ca="1" si="308"/>
        <v>0</v>
      </c>
      <c r="AD173">
        <f t="shared" ca="1" si="309"/>
        <v>-2.5925431211344683</v>
      </c>
    </row>
    <row r="174" spans="7:30" x14ac:dyDescent="0.25">
      <c r="G174" s="19">
        <v>81</v>
      </c>
      <c r="H174" s="19">
        <f t="shared" ca="1" si="358"/>
        <v>0.29997098754750529</v>
      </c>
      <c r="I174" s="19">
        <f t="shared" ca="1" si="358"/>
        <v>0.74815930034494071</v>
      </c>
      <c r="J174" s="19">
        <f t="shared" ca="1" si="292"/>
        <v>-1.7947084023978467E-2</v>
      </c>
      <c r="K174" s="19">
        <f t="shared" ca="1" si="293"/>
        <v>-1.5517141929266314</v>
      </c>
      <c r="L174" s="19">
        <f t="array" aca="1" ref="L174:M174" ca="1">MMULT(J174:K174,TRANSPOSE($B$10:$C$11))</f>
        <v>-1.7947084023978467E-2</v>
      </c>
      <c r="M174" s="19">
        <f ca="1"/>
        <v>-1.0695967047268309</v>
      </c>
      <c r="N174" s="20">
        <f t="shared" ca="1" si="294"/>
        <v>1.4793006592000104E-2</v>
      </c>
      <c r="O174" s="20">
        <f t="shared" ca="1" si="295"/>
        <v>7.722652480544194E-2</v>
      </c>
      <c r="P174" s="19">
        <f t="shared" ca="1" si="301"/>
        <v>1.8127786429785334E-7</v>
      </c>
      <c r="Q174" s="19">
        <f ca="1">HCTrans(P174,Strike,RiskFreeRate,Dividend,Variance_T0*AnnualVarConvtr,(Simulation!G174)/250,0.5,Variance_Avg*AnnualVarConvtr,Lambda,SQRT(Simulation!N174),Rho,1,"Call")</f>
        <v>-1.5076587929218979E-5</v>
      </c>
      <c r="R174" s="19" t="e">
        <f t="shared" ca="1" si="296"/>
        <v>#VALUE!</v>
      </c>
      <c r="S174" s="19" t="e">
        <f t="shared" ca="1" si="297"/>
        <v>#VALUE!</v>
      </c>
      <c r="T174" s="19" t="e">
        <f t="shared" ca="1" si="302"/>
        <v>#VALUE!</v>
      </c>
      <c r="U174" s="19" t="e">
        <f t="shared" ca="1" si="303"/>
        <v>#VALUE!</v>
      </c>
      <c r="V174" s="21">
        <f t="shared" ca="1" si="304"/>
        <v>2.3475089974522489E-8</v>
      </c>
      <c r="W174">
        <f t="shared" ca="1" si="305"/>
        <v>1.5321582808092149E-4</v>
      </c>
      <c r="X174" s="22">
        <f t="shared" ref="X174" ca="1" si="389">BSdelta(1,P174,Strike,W174*AnnualVarConvtr,Dividend,RiskFreeRate,G174/250)</f>
        <v>0</v>
      </c>
      <c r="Y174" s="22">
        <f t="shared" ca="1" si="311"/>
        <v>0</v>
      </c>
      <c r="Z174" s="22">
        <f t="shared" ca="1" si="312"/>
        <v>-7.4987778716113684</v>
      </c>
      <c r="AA174">
        <f t="shared" si="299"/>
        <v>0.73884103340948371</v>
      </c>
      <c r="AB174">
        <f t="shared" ref="AB174" ca="1" si="390">BSdelta(1,P174,Strike,AA174/AnnualVarConvtr,Dividend,RiskFreeRate,G174/250)</f>
        <v>0</v>
      </c>
      <c r="AC174">
        <f t="shared" ca="1" si="308"/>
        <v>0</v>
      </c>
      <c r="AD174">
        <f t="shared" ca="1" si="309"/>
        <v>-2.5925431210567451</v>
      </c>
    </row>
    <row r="175" spans="7:30" x14ac:dyDescent="0.25">
      <c r="G175" s="19">
        <v>80</v>
      </c>
      <c r="H175" s="19">
        <f t="shared" ca="1" si="358"/>
        <v>0.3094293183465594</v>
      </c>
      <c r="I175" s="19">
        <f t="shared" ca="1" si="358"/>
        <v>0.77522407048190922</v>
      </c>
      <c r="J175" s="19">
        <f t="shared" ca="1" si="292"/>
        <v>0.24173755926683804</v>
      </c>
      <c r="K175" s="19">
        <f t="shared" ca="1" si="293"/>
        <v>-1.5124860745388062</v>
      </c>
      <c r="L175" s="19">
        <f t="array" aca="1" ref="L175:M175" ca="1">MMULT(J175:K175,TRANSPOSE($B$10:$C$11))</f>
        <v>0.24173755926683804</v>
      </c>
      <c r="M175" s="19">
        <f ca="1"/>
        <v>-1.2282957226399149</v>
      </c>
      <c r="N175" s="20">
        <f t="shared" ca="1" si="294"/>
        <v>1.1315544246298251E-2</v>
      </c>
      <c r="O175" s="20">
        <f t="shared" ca="1" si="295"/>
        <v>7.9086051228783497E-2</v>
      </c>
      <c r="P175" s="19">
        <f t="shared" ca="1" si="301"/>
        <v>1.7388093069695248E-7</v>
      </c>
      <c r="Q175" s="19">
        <f ca="1">HCTrans(P175,Strike,RiskFreeRate,Dividend,Variance_T0*AnnualVarConvtr,(Simulation!G175)/250,0.5,Variance_Avg*AnnualVarConvtr,Lambda,SQRT(Simulation!N175),Rho,1,"Call")</f>
        <v>-1.5076533912933087E-5</v>
      </c>
      <c r="R175" s="19" t="e">
        <f t="shared" ca="1" si="296"/>
        <v>#VALUE!</v>
      </c>
      <c r="S175" s="19" t="e">
        <f t="shared" ca="1" si="297"/>
        <v>#VALUE!</v>
      </c>
      <c r="T175" s="19" t="e">
        <f t="shared" ca="1" si="302"/>
        <v>#VALUE!</v>
      </c>
      <c r="U175" s="19" t="e">
        <f t="shared" ca="1" si="303"/>
        <v>#VALUE!</v>
      </c>
      <c r="V175" s="21">
        <f t="shared" ca="1" si="304"/>
        <v>3.4578385191054414E-6</v>
      </c>
      <c r="W175">
        <f t="shared" ca="1" si="305"/>
        <v>1.8595264233415565E-3</v>
      </c>
      <c r="X175" s="22">
        <f t="shared" ref="X175" ca="1" si="391">BSdelta(1,P175,Strike,W175*AnnualVarConvtr,Dividend,RiskFreeRate,G175/250)</f>
        <v>0</v>
      </c>
      <c r="Y175" s="22">
        <f t="shared" ca="1" si="311"/>
        <v>0</v>
      </c>
      <c r="Z175" s="22">
        <f t="shared" ca="1" si="312"/>
        <v>-7.4987778715573521</v>
      </c>
      <c r="AA175">
        <f t="shared" si="299"/>
        <v>0.73884103340948371</v>
      </c>
      <c r="AB175">
        <f t="shared" ref="AB175" ca="1" si="392">BSdelta(1,P175,Strike,AA175/AnnualVarConvtr,Dividend,RiskFreeRate,G175/250)</f>
        <v>0</v>
      </c>
      <c r="AC175">
        <f t="shared" ca="1" si="308"/>
        <v>0</v>
      </c>
      <c r="AD175">
        <f t="shared" ca="1" si="309"/>
        <v>-2.5925431210027288</v>
      </c>
    </row>
    <row r="176" spans="7:30" x14ac:dyDescent="0.25">
      <c r="G176" s="19">
        <v>79</v>
      </c>
      <c r="H176" s="19">
        <f t="shared" ca="1" si="358"/>
        <v>0.11244753247464367</v>
      </c>
      <c r="I176" s="19">
        <f t="shared" ca="1" si="358"/>
        <v>0.78344056866939893</v>
      </c>
      <c r="J176" s="19">
        <f t="shared" ca="1" si="292"/>
        <v>0.43603434882871783</v>
      </c>
      <c r="K176" s="19">
        <f t="shared" ca="1" si="293"/>
        <v>-2.044605373880072</v>
      </c>
      <c r="L176" s="19">
        <f t="array" aca="1" ref="L176:M176" ca="1">MMULT(J176:K176,TRANSPOSE($B$10:$C$11))</f>
        <v>0.43603434882871783</v>
      </c>
      <c r="M176" s="19">
        <f ca="1"/>
        <v>-1.7387089266327516</v>
      </c>
      <c r="N176" s="20">
        <f t="shared" ca="1" si="294"/>
        <v>7.2121799188632424E-3</v>
      </c>
      <c r="O176" s="20">
        <f t="shared" ca="1" si="295"/>
        <v>8.2019566960868512E-2</v>
      </c>
      <c r="P176" s="19">
        <f t="shared" ca="1" si="301"/>
        <v>1.6242149263709086E-7</v>
      </c>
      <c r="Q176" s="19">
        <f ca="1">HCTrans(P176,Strike,RiskFreeRate,Dividend,Variance_T0*AnnualVarConvtr,(Simulation!G176)/250,0.5,Variance_Avg*AnnualVarConvtr,Lambda,SQRT(Simulation!N176),Rho,1,"Call")</f>
        <v>-1.5076444920403601E-5</v>
      </c>
      <c r="R176" s="19" t="e">
        <f t="shared" ca="1" si="296"/>
        <v>#VALUE!</v>
      </c>
      <c r="S176" s="19" t="e">
        <f t="shared" ca="1" si="297"/>
        <v>#VALUE!</v>
      </c>
      <c r="T176" s="19" t="e">
        <f t="shared" ca="1" si="302"/>
        <v>#VALUE!</v>
      </c>
      <c r="U176" s="19" t="e">
        <f t="shared" ca="1" si="303"/>
        <v>#VALUE!</v>
      </c>
      <c r="V176" s="21">
        <f t="shared" ca="1" si="304"/>
        <v>8.6055145503902836E-6</v>
      </c>
      <c r="W176">
        <f t="shared" ca="1" si="305"/>
        <v>2.9335157320850153E-3</v>
      </c>
      <c r="X176" s="22">
        <f t="shared" ref="X176" ca="1" si="393">BSdelta(1,P176,Strike,W176*AnnualVarConvtr,Dividend,RiskFreeRate,G176/250)</f>
        <v>0</v>
      </c>
      <c r="Y176" s="22">
        <f t="shared" ca="1" si="311"/>
        <v>0</v>
      </c>
      <c r="Z176" s="22">
        <f t="shared" ca="1" si="312"/>
        <v>-7.4987778714683593</v>
      </c>
      <c r="AA176">
        <f t="shared" si="299"/>
        <v>0.73884103340948371</v>
      </c>
      <c r="AB176">
        <f t="shared" ref="AB176" ca="1" si="394">BSdelta(1,P176,Strike,AA176/AnnualVarConvtr,Dividend,RiskFreeRate,G176/250)</f>
        <v>0</v>
      </c>
      <c r="AC176">
        <f t="shared" ca="1" si="308"/>
        <v>0</v>
      </c>
      <c r="AD176">
        <f t="shared" ca="1" si="309"/>
        <v>-2.5925431209137364</v>
      </c>
    </row>
    <row r="177" spans="7:30" x14ac:dyDescent="0.25">
      <c r="G177" s="19">
        <v>78</v>
      </c>
      <c r="H177" s="19">
        <f t="shared" ca="1" si="358"/>
        <v>0.29580139056284849</v>
      </c>
      <c r="I177" s="19">
        <f t="shared" ca="1" si="358"/>
        <v>0.70697059915807425</v>
      </c>
      <c r="J177" s="19">
        <f t="shared" ca="1" si="292"/>
        <v>-0.41686168758781189</v>
      </c>
      <c r="K177" s="19">
        <f t="shared" ca="1" si="293"/>
        <v>-1.5041144866022529</v>
      </c>
      <c r="L177" s="19">
        <f t="array" aca="1" ref="L177:M177" ca="1">MMULT(J177:K177,TRANSPOSE($B$10:$C$11))</f>
        <v>-0.41686168758781189</v>
      </c>
      <c r="M177" s="19">
        <f ca="1"/>
        <v>-0.750569450590026</v>
      </c>
      <c r="N177" s="20">
        <f t="shared" ca="1" si="294"/>
        <v>5.7330089089187401E-3</v>
      </c>
      <c r="O177" s="20">
        <f t="shared" ca="1" si="295"/>
        <v>7.9780560977379303E-2</v>
      </c>
      <c r="P177" s="19">
        <f t="shared" ca="1" si="301"/>
        <v>1.5098347302907104E-7</v>
      </c>
      <c r="Q177" s="19">
        <f ca="1">HCTrans(P177,Strike,RiskFreeRate,Dividend,Variance_T0*AnnualVarConvtr,(Simulation!G177)/250,0.5,Variance_Avg*AnnualVarConvtr,Lambda,SQRT(Simulation!N177),Rho,1,"Call")</f>
        <v>-1.5076349881553989E-5</v>
      </c>
      <c r="R177" s="19" t="e">
        <f t="shared" ca="1" si="296"/>
        <v>#VALUE!</v>
      </c>
      <c r="S177" s="19" t="e">
        <f t="shared" ca="1" si="297"/>
        <v>#VALUE!</v>
      </c>
      <c r="T177" s="19" t="e">
        <f t="shared" ca="1" si="302"/>
        <v>#VALUE!</v>
      </c>
      <c r="U177" s="19" t="e">
        <f t="shared" ca="1" si="303"/>
        <v>#VALUE!</v>
      </c>
      <c r="V177" s="21">
        <f t="shared" ca="1" si="304"/>
        <v>5.01314779410048E-6</v>
      </c>
      <c r="W177">
        <f t="shared" ca="1" si="305"/>
        <v>2.239005983489209E-3</v>
      </c>
      <c r="X177" s="22">
        <f t="shared" ref="X177" ca="1" si="395">BSdelta(1,P177,Strike,W177*AnnualVarConvtr,Dividend,RiskFreeRate,G177/250)</f>
        <v>0</v>
      </c>
      <c r="Y177" s="22">
        <f t="shared" ca="1" si="311"/>
        <v>0</v>
      </c>
      <c r="Z177" s="22">
        <f t="shared" ca="1" si="312"/>
        <v>-7.4987778713733206</v>
      </c>
      <c r="AA177">
        <f t="shared" si="299"/>
        <v>0.73884103340948371</v>
      </c>
      <c r="AB177">
        <f t="shared" ref="AB177" ca="1" si="396">BSdelta(1,P177,Strike,AA177/AnnualVarConvtr,Dividend,RiskFreeRate,G177/250)</f>
        <v>0</v>
      </c>
      <c r="AC177">
        <f t="shared" ca="1" si="308"/>
        <v>0</v>
      </c>
      <c r="AD177">
        <f t="shared" ca="1" si="309"/>
        <v>-2.5925431208186978</v>
      </c>
    </row>
    <row r="178" spans="7:30" x14ac:dyDescent="0.25">
      <c r="G178" s="19">
        <v>77</v>
      </c>
      <c r="H178" s="19">
        <f t="shared" ca="1" si="358"/>
        <v>0.61122632270557775</v>
      </c>
      <c r="I178" s="19">
        <f t="shared" ca="1" si="358"/>
        <v>0.62861100293483607</v>
      </c>
      <c r="J178" s="19">
        <f t="shared" ca="1" si="292"/>
        <v>-0.68553409088478556</v>
      </c>
      <c r="K178" s="19">
        <f t="shared" ca="1" si="293"/>
        <v>-0.71736947233721748</v>
      </c>
      <c r="L178" s="19">
        <f t="array" aca="1" ref="L178:M178" ca="1">MMULT(J178:K178,TRANSPOSE($B$10:$C$11))</f>
        <v>-0.68553409088478556</v>
      </c>
      <c r="M178" s="19">
        <f ca="1"/>
        <v>-9.2425075027209314E-3</v>
      </c>
      <c r="N178" s="20">
        <f t="shared" ca="1" si="294"/>
        <v>5.7228215218830059E-3</v>
      </c>
      <c r="O178" s="20">
        <f t="shared" ca="1" si="295"/>
        <v>7.6497716107981603E-2</v>
      </c>
      <c r="P178" s="19">
        <f t="shared" ca="1" si="301"/>
        <v>1.3433253768397056E-7</v>
      </c>
      <c r="Q178" s="19">
        <f ca="1">HCTrans(P178,Strike,RiskFreeRate,Dividend,Variance_T0*AnnualVarConvtr,(Simulation!G178)/250,0.5,Variance_Avg*AnnualVarConvtr,Lambda,SQRT(Simulation!N178),Rho,1,"Call")</f>
        <v>-1.5076197929375902E-5</v>
      </c>
      <c r="R178" s="19" t="e">
        <f t="shared" ca="1" si="296"/>
        <v>#VALUE!</v>
      </c>
      <c r="S178" s="19" t="e">
        <f t="shared" ca="1" si="297"/>
        <v>#VALUE!</v>
      </c>
      <c r="T178" s="19" t="e">
        <f t="shared" ca="1" si="302"/>
        <v>#VALUE!</v>
      </c>
      <c r="U178" s="19" t="e">
        <f t="shared" ca="1" si="303"/>
        <v>#VALUE!</v>
      </c>
      <c r="V178" s="21">
        <f t="shared" ca="1" si="304"/>
        <v>1.07770704365308E-5</v>
      </c>
      <c r="W178">
        <f t="shared" ca="1" si="305"/>
        <v>3.2828448693976997E-3</v>
      </c>
      <c r="X178" s="22">
        <f t="shared" ref="X178" ca="1" si="397">BSdelta(1,P178,Strike,W178*AnnualVarConvtr,Dividend,RiskFreeRate,G178/250)</f>
        <v>0</v>
      </c>
      <c r="Y178" s="22">
        <f t="shared" ca="1" si="311"/>
        <v>0</v>
      </c>
      <c r="Z178" s="22">
        <f t="shared" ca="1" si="312"/>
        <v>-7.4987778712213684</v>
      </c>
      <c r="AA178">
        <f t="shared" si="299"/>
        <v>0.73884103340948371</v>
      </c>
      <c r="AB178">
        <f t="shared" ref="AB178" ca="1" si="398">BSdelta(1,P178,Strike,AA178/AnnualVarConvtr,Dividend,RiskFreeRate,G178/250)</f>
        <v>0</v>
      </c>
      <c r="AC178">
        <f t="shared" ca="1" si="308"/>
        <v>0</v>
      </c>
      <c r="AD178">
        <f t="shared" ca="1" si="309"/>
        <v>-2.5925431206667455</v>
      </c>
    </row>
    <row r="179" spans="7:30" x14ac:dyDescent="0.25">
      <c r="G179" s="19">
        <v>76</v>
      </c>
      <c r="H179" s="19">
        <f t="shared" ca="1" si="358"/>
        <v>0.63113011288862042</v>
      </c>
      <c r="I179" s="19">
        <f t="shared" ca="1" si="358"/>
        <v>0.10770412611798652</v>
      </c>
      <c r="J179" s="19">
        <f t="shared" ca="1" si="292"/>
        <v>0.74799044784430502</v>
      </c>
      <c r="K179" s="19">
        <f t="shared" ca="1" si="293"/>
        <v>0.60083006178614073</v>
      </c>
      <c r="L179" s="19">
        <f t="array" aca="1" ref="L179:M179" ca="1">MMULT(J179:K179,TRANSPOSE($B$10:$C$11))</f>
        <v>0.74799044784430502</v>
      </c>
      <c r="M179" s="19">
        <f ca="1"/>
        <v>-0.11680386069122761</v>
      </c>
      <c r="N179" s="20">
        <f t="shared" ca="1" si="294"/>
        <v>5.5152209409420755E-3</v>
      </c>
      <c r="O179" s="20">
        <f t="shared" ca="1" si="295"/>
        <v>8.0076464355086807E-2</v>
      </c>
      <c r="P179" s="19">
        <f t="shared" ca="1" si="301"/>
        <v>1.217251498916819E-7</v>
      </c>
      <c r="Q179" s="19">
        <f ca="1">HCTrans(P179,Strike,RiskFreeRate,Dividend,Variance_T0*AnnualVarConvtr,(Simulation!G179)/250,0.5,Variance_Avg*AnnualVarConvtr,Lambda,SQRT(Simulation!N179),Rho,1,"Call")</f>
        <v>-1.5076071071403611E-5</v>
      </c>
      <c r="R179" s="19" t="e">
        <f t="shared" ca="1" si="296"/>
        <v>#VALUE!</v>
      </c>
      <c r="S179" s="19" t="e">
        <f t="shared" ca="1" si="297"/>
        <v>#VALUE!</v>
      </c>
      <c r="T179" s="19" t="e">
        <f t="shared" ca="1" si="302"/>
        <v>#VALUE!</v>
      </c>
      <c r="U179" s="19" t="e">
        <f t="shared" ca="1" si="303"/>
        <v>#VALUE!</v>
      </c>
      <c r="V179" s="21">
        <f t="shared" ca="1" si="304"/>
        <v>1.280743901615857E-5</v>
      </c>
      <c r="W179">
        <f t="shared" ca="1" si="305"/>
        <v>3.578748247105204E-3</v>
      </c>
      <c r="X179" s="22">
        <f t="shared" ref="X179" ca="1" si="399">BSdelta(1,P179,Strike,W179*AnnualVarConvtr,Dividend,RiskFreeRate,G179/250)</f>
        <v>0</v>
      </c>
      <c r="Y179" s="22">
        <f t="shared" ca="1" si="311"/>
        <v>0</v>
      </c>
      <c r="Z179" s="22">
        <f t="shared" ca="1" si="312"/>
        <v>-7.4987778710945108</v>
      </c>
      <c r="AA179">
        <f t="shared" si="299"/>
        <v>0.73884103340948371</v>
      </c>
      <c r="AB179">
        <f t="shared" ref="AB179" ca="1" si="400">BSdelta(1,P179,Strike,AA179/AnnualVarConvtr,Dividend,RiskFreeRate,G179/250)</f>
        <v>0</v>
      </c>
      <c r="AC179">
        <f t="shared" ca="1" si="308"/>
        <v>0</v>
      </c>
      <c r="AD179">
        <f t="shared" ca="1" si="309"/>
        <v>-2.5925431205398874</v>
      </c>
    </row>
    <row r="180" spans="7:30" x14ac:dyDescent="0.25">
      <c r="G180" s="19">
        <v>75</v>
      </c>
      <c r="H180" s="19">
        <f t="shared" ca="1" si="358"/>
        <v>0.25934168626019349</v>
      </c>
      <c r="I180" s="19">
        <f t="shared" ca="1" si="358"/>
        <v>0.34310480912217656</v>
      </c>
      <c r="J180" s="19">
        <f t="shared" ca="1" si="292"/>
        <v>-0.90721754468170057</v>
      </c>
      <c r="K180" s="19">
        <f t="shared" ca="1" si="293"/>
        <v>1.3697350094612291</v>
      </c>
      <c r="L180" s="19">
        <f t="array" aca="1" ref="L180:M180" ca="1">MMULT(J180:K180,TRANSPOSE($B$10:$C$11))</f>
        <v>-0.90721754468170057</v>
      </c>
      <c r="M180" s="19">
        <f ca="1"/>
        <v>1.6055308319169397</v>
      </c>
      <c r="N180" s="20">
        <f t="shared" ca="1" si="294"/>
        <v>8.8344501760094594E-3</v>
      </c>
      <c r="O180" s="20">
        <f t="shared" ca="1" si="295"/>
        <v>7.5815352902554339E-2</v>
      </c>
      <c r="P180" s="19">
        <f t="shared" ca="1" si="301"/>
        <v>1.1221512533144459E-7</v>
      </c>
      <c r="Q180" s="19">
        <f ca="1">HCTrans(P180,Strike,RiskFreeRate,Dividend,Variance_T0*AnnualVarConvtr,(Simulation!G180)/250,0.5,Variance_Avg*AnnualVarConvtr,Lambda,SQRT(Simulation!N180),Rho,1,"Call")</f>
        <v>-1.5075967416860789E-5</v>
      </c>
      <c r="R180" s="19" t="e">
        <f t="shared" ca="1" si="296"/>
        <v>#VALUE!</v>
      </c>
      <c r="S180" s="19" t="e">
        <f t="shared" ca="1" si="297"/>
        <v>#VALUE!</v>
      </c>
      <c r="T180" s="19" t="e">
        <f t="shared" ca="1" si="302"/>
        <v>#VALUE!</v>
      </c>
      <c r="U180" s="19" t="e">
        <f t="shared" ca="1" si="303"/>
        <v>#VALUE!</v>
      </c>
      <c r="V180" s="21">
        <f t="shared" ca="1" si="304"/>
        <v>1.8157070810903357E-5</v>
      </c>
      <c r="W180">
        <f t="shared" ca="1" si="305"/>
        <v>4.2611114525324678E-3</v>
      </c>
      <c r="X180" s="22">
        <f t="shared" ref="X180" ca="1" si="401">BSdelta(1,P180,Strike,W180*AnnualVarConvtr,Dividend,RiskFreeRate,G180/250)</f>
        <v>0</v>
      </c>
      <c r="Y180" s="22">
        <f t="shared" ca="1" si="311"/>
        <v>0</v>
      </c>
      <c r="Z180" s="22">
        <f t="shared" ca="1" si="312"/>
        <v>-7.4987778709908559</v>
      </c>
      <c r="AA180">
        <f t="shared" si="299"/>
        <v>0.73884103340948371</v>
      </c>
      <c r="AB180">
        <f t="shared" ref="AB180" ca="1" si="402">BSdelta(1,P180,Strike,AA180/AnnualVarConvtr,Dividend,RiskFreeRate,G180/250)</f>
        <v>0</v>
      </c>
      <c r="AC180">
        <f t="shared" ca="1" si="308"/>
        <v>0</v>
      </c>
      <c r="AD180">
        <f t="shared" ca="1" si="309"/>
        <v>-2.592543120436233</v>
      </c>
    </row>
    <row r="181" spans="7:30" x14ac:dyDescent="0.25">
      <c r="G181" s="19">
        <v>74</v>
      </c>
      <c r="H181" s="19">
        <f t="shared" ca="1" si="358"/>
        <v>0.89275506586992026</v>
      </c>
      <c r="I181" s="19">
        <f t="shared" ca="1" si="358"/>
        <v>0.24346374073416244</v>
      </c>
      <c r="J181" s="19">
        <f t="shared" ca="1" si="292"/>
        <v>1.9556491067193867E-2</v>
      </c>
      <c r="K181" s="19">
        <f t="shared" ca="1" si="293"/>
        <v>0.47592392227540514</v>
      </c>
      <c r="L181" s="19">
        <f t="array" aca="1" ref="L181:M181" ca="1">MMULT(J181:K181,TRANSPOSE($B$10:$C$11))</f>
        <v>1.9556491067193867E-2</v>
      </c>
      <c r="M181" s="19">
        <f ca="1"/>
        <v>0.31798615878814646</v>
      </c>
      <c r="N181" s="20">
        <f t="shared" ca="1" si="294"/>
        <v>9.5730315882875516E-3</v>
      </c>
      <c r="O181" s="20">
        <f t="shared" ca="1" si="295"/>
        <v>7.5931607648788743E-2</v>
      </c>
      <c r="P181" s="19">
        <f t="shared" ca="1" si="301"/>
        <v>1.0611923742445706E-7</v>
      </c>
      <c r="Q181" s="19">
        <f ca="1">HCTrans(P181,Strike,RiskFreeRate,Dividend,Variance_T0*AnnualVarConvtr,(Simulation!G181)/250,0.5,Variance_Avg*AnnualVarConvtr,Lambda,SQRT(Simulation!N181),Rho,1,"Call")</f>
        <v>-1.5075897110547641E-5</v>
      </c>
      <c r="R181" s="19" t="e">
        <f t="shared" ca="1" si="296"/>
        <v>#VALUE!</v>
      </c>
      <c r="S181" s="19" t="e">
        <f t="shared" ca="1" si="297"/>
        <v>#VALUE!</v>
      </c>
      <c r="T181" s="19" t="e">
        <f t="shared" ca="1" si="302"/>
        <v>#VALUE!</v>
      </c>
      <c r="U181" s="19" t="e">
        <f t="shared" ca="1" si="303"/>
        <v>#VALUE!</v>
      </c>
      <c r="V181" s="21">
        <f t="shared" ca="1" si="304"/>
        <v>1.3515166022025623E-8</v>
      </c>
      <c r="W181">
        <f t="shared" ca="1" si="305"/>
        <v>1.1625474623440379E-4</v>
      </c>
      <c r="X181" s="22">
        <f t="shared" ref="X181" ca="1" si="403">BSdelta(1,P181,Strike,W181*AnnualVarConvtr,Dividend,RiskFreeRate,G181/250)</f>
        <v>0</v>
      </c>
      <c r="Y181" s="22">
        <f t="shared" ca="1" si="311"/>
        <v>0</v>
      </c>
      <c r="Z181" s="22">
        <f t="shared" ca="1" si="312"/>
        <v>-7.4987778709205495</v>
      </c>
      <c r="AA181">
        <f t="shared" si="299"/>
        <v>0.73884103340948371</v>
      </c>
      <c r="AB181">
        <f t="shared" ref="AB181" ca="1" si="404">BSdelta(1,P181,Strike,AA181/AnnualVarConvtr,Dividend,RiskFreeRate,G181/250)</f>
        <v>0</v>
      </c>
      <c r="AC181">
        <f t="shared" ca="1" si="308"/>
        <v>0</v>
      </c>
      <c r="AD181">
        <f t="shared" ca="1" si="309"/>
        <v>-2.5925431203659266</v>
      </c>
    </row>
    <row r="182" spans="7:30" x14ac:dyDescent="0.25">
      <c r="G182" s="19">
        <v>73</v>
      </c>
      <c r="H182" s="19">
        <f t="shared" ca="1" si="358"/>
        <v>0.74400680630477389</v>
      </c>
      <c r="I182" s="19">
        <f t="shared" ca="1" si="358"/>
        <v>0.65620339677200279</v>
      </c>
      <c r="J182" s="19">
        <f t="shared" ca="1" si="292"/>
        <v>-0.42743849486667473</v>
      </c>
      <c r="K182" s="19">
        <f t="shared" ca="1" si="293"/>
        <v>-0.63930159155885335</v>
      </c>
      <c r="L182" s="19">
        <f t="array" aca="1" ref="L182:M182" ca="1">MMULT(J182:K182,TRANSPOSE($B$10:$C$11))</f>
        <v>-0.42743849486667473</v>
      </c>
      <c r="M182" s="19">
        <f ca="1"/>
        <v>-0.13970885617067547</v>
      </c>
      <c r="N182" s="20">
        <f t="shared" ca="1" si="294"/>
        <v>9.2273908753406301E-3</v>
      </c>
      <c r="O182" s="20">
        <f t="shared" ca="1" si="295"/>
        <v>7.3286591222018457E-2</v>
      </c>
      <c r="P182" s="19">
        <f t="shared" ca="1" si="301"/>
        <v>1.000768439694588E-7</v>
      </c>
      <c r="Q182" s="19">
        <f ca="1">HCTrans(P182,Strike,RiskFreeRate,Dividend,Variance_T0*AnnualVarConvtr,(Simulation!G182)/250,0.5,Variance_Avg*AnnualVarConvtr,Lambda,SQRT(Simulation!N182),Rho,1,"Call")</f>
        <v>-1.5075823702304993E-5</v>
      </c>
      <c r="R182" s="19" t="e">
        <f t="shared" ca="1" si="296"/>
        <v>#VALUE!</v>
      </c>
      <c r="S182" s="19" t="e">
        <f t="shared" ca="1" si="297"/>
        <v>#VALUE!</v>
      </c>
      <c r="T182" s="19" t="e">
        <f t="shared" ca="1" si="302"/>
        <v>#VALUE!</v>
      </c>
      <c r="U182" s="19" t="e">
        <f t="shared" ca="1" si="303"/>
        <v>#VALUE!</v>
      </c>
      <c r="V182" s="21">
        <f t="shared" ca="1" si="304"/>
        <v>6.9961118978846506E-6</v>
      </c>
      <c r="W182">
        <f t="shared" ca="1" si="305"/>
        <v>2.6450164267702858E-3</v>
      </c>
      <c r="X182" s="22">
        <f t="shared" ref="X182" ca="1" si="405">BSdelta(1,P182,Strike,W182*AnnualVarConvtr,Dividend,RiskFreeRate,G182/250)</f>
        <v>0</v>
      </c>
      <c r="Y182" s="22">
        <f t="shared" ca="1" si="311"/>
        <v>0</v>
      </c>
      <c r="Z182" s="22">
        <f t="shared" ca="1" si="312"/>
        <v>-7.4987778708471415</v>
      </c>
      <c r="AA182">
        <f t="shared" si="299"/>
        <v>0.73884103340948371</v>
      </c>
      <c r="AB182">
        <f t="shared" ref="AB182" ca="1" si="406">BSdelta(1,P182,Strike,AA182/AnnualVarConvtr,Dividend,RiskFreeRate,G182/250)</f>
        <v>0</v>
      </c>
      <c r="AC182">
        <f t="shared" ca="1" si="308"/>
        <v>0</v>
      </c>
      <c r="AD182">
        <f t="shared" ca="1" si="309"/>
        <v>-2.5925431202925182</v>
      </c>
    </row>
    <row r="183" spans="7:30" x14ac:dyDescent="0.25">
      <c r="G183" s="19">
        <v>72</v>
      </c>
      <c r="H183" s="19">
        <f t="shared" ca="1" si="358"/>
        <v>5.2707270857244914E-2</v>
      </c>
      <c r="I183" s="19">
        <f t="shared" ca="1" si="358"/>
        <v>0.67418404644698804</v>
      </c>
      <c r="J183" s="19">
        <f t="shared" ca="1" si="292"/>
        <v>-1.1124982737078364</v>
      </c>
      <c r="K183" s="19">
        <f t="shared" ca="1" si="293"/>
        <v>-2.1560035535774427</v>
      </c>
      <c r="L183" s="19">
        <f t="array" aca="1" ref="L183:M183" ca="1">MMULT(J183:K183,TRANSPOSE($B$10:$C$11))</f>
        <v>-1.1124982737078364</v>
      </c>
      <c r="M183" s="19">
        <f ca="1"/>
        <v>-0.70689523474063454</v>
      </c>
      <c r="N183" s="20">
        <f t="shared" ca="1" si="294"/>
        <v>7.6259132253881853E-3</v>
      </c>
      <c r="O183" s="20">
        <f t="shared" ca="1" si="295"/>
        <v>6.6527803595327742E-2</v>
      </c>
      <c r="P183" s="19">
        <f t="shared" ca="1" si="301"/>
        <v>9.4273105318652799E-8</v>
      </c>
      <c r="Q183" s="19">
        <f ca="1">HCTrans(P183,Strike,RiskFreeRate,Dividend,Variance_T0*AnnualVarConvtr,(Simulation!G183)/250,0.5,Variance_Avg*AnnualVarConvtr,Lambda,SQRT(Simulation!N183),Rho,1,"Call")</f>
        <v>-1.5075749346422128E-5</v>
      </c>
      <c r="R183" s="19" t="e">
        <f t="shared" ca="1" si="296"/>
        <v>#VALUE!</v>
      </c>
      <c r="S183" s="19" t="e">
        <f t="shared" ca="1" si="297"/>
        <v>#VALUE!</v>
      </c>
      <c r="T183" s="19" t="e">
        <f t="shared" ca="1" si="302"/>
        <v>#VALUE!</v>
      </c>
      <c r="U183" s="19" t="e">
        <f t="shared" ca="1" si="303"/>
        <v>#VALUE!</v>
      </c>
      <c r="V183" s="21">
        <f t="shared" ca="1" si="304"/>
        <v>4.5681210182707514E-5</v>
      </c>
      <c r="W183">
        <f t="shared" ca="1" si="305"/>
        <v>6.7587876266907154E-3</v>
      </c>
      <c r="X183" s="22">
        <f t="shared" ref="X183" ca="1" si="407">BSdelta(1,P183,Strike,W183*AnnualVarConvtr,Dividend,RiskFreeRate,G183/250)</f>
        <v>0</v>
      </c>
      <c r="Y183" s="22">
        <f t="shared" ca="1" si="311"/>
        <v>0</v>
      </c>
      <c r="Z183" s="22">
        <f t="shared" ca="1" si="312"/>
        <v>-7.4987778707727859</v>
      </c>
      <c r="AA183">
        <f t="shared" si="299"/>
        <v>0.73884103340948371</v>
      </c>
      <c r="AB183">
        <f t="shared" ref="AB183" ca="1" si="408">BSdelta(1,P183,Strike,AA183/AnnualVarConvtr,Dividend,RiskFreeRate,G183/250)</f>
        <v>0</v>
      </c>
      <c r="AC183">
        <f t="shared" ca="1" si="308"/>
        <v>0</v>
      </c>
      <c r="AD183">
        <f t="shared" ca="1" si="309"/>
        <v>-2.5925431202181621</v>
      </c>
    </row>
    <row r="184" spans="7:30" x14ac:dyDescent="0.25">
      <c r="G184" s="19">
        <v>71</v>
      </c>
      <c r="H184" s="19">
        <f t="shared" ca="1" si="358"/>
        <v>0.45157271342581329</v>
      </c>
      <c r="I184" s="19">
        <f t="shared" ca="1" si="358"/>
        <v>0.18517278135436444</v>
      </c>
      <c r="J184" s="19">
        <f t="shared" ca="1" si="292"/>
        <v>0.49953374441470033</v>
      </c>
      <c r="K184" s="19">
        <f t="shared" ca="1" si="293"/>
        <v>1.1578012693250801</v>
      </c>
      <c r="L184" s="19">
        <f t="array" aca="1" ref="L184:M184" ca="1">MMULT(J184:K184,TRANSPOSE($B$10:$C$11))</f>
        <v>0.49953374441470033</v>
      </c>
      <c r="M184" s="19">
        <f ca="1"/>
        <v>0.44975129194162305</v>
      </c>
      <c r="N184" s="20">
        <f t="shared" ca="1" si="294"/>
        <v>8.6162819249390489E-3</v>
      </c>
      <c r="O184" s="20">
        <f t="shared" ca="1" si="295"/>
        <v>6.9286734068929823E-2</v>
      </c>
      <c r="P184" s="19">
        <f t="shared" ca="1" si="301"/>
        <v>8.868306447171934E-8</v>
      </c>
      <c r="Q184" s="19">
        <f ca="1">HCTrans(P184,Strike,RiskFreeRate,Dividend,Variance_T0*AnnualVarConvtr,(Simulation!G184)/250,0.5,Variance_Avg*AnnualVarConvtr,Lambda,SQRT(Simulation!N184),Rho,1,"Call")</f>
        <v>-1.5075673763904668E-5</v>
      </c>
      <c r="R184" s="19" t="e">
        <f t="shared" ca="1" si="296"/>
        <v>#VALUE!</v>
      </c>
      <c r="S184" s="19" t="e">
        <f t="shared" ca="1" si="297"/>
        <v>#VALUE!</v>
      </c>
      <c r="T184" s="19" t="e">
        <f t="shared" ca="1" si="302"/>
        <v>#VALUE!</v>
      </c>
      <c r="U184" s="19" t="e">
        <f t="shared" ca="1" si="303"/>
        <v>#VALUE!</v>
      </c>
      <c r="V184" s="21">
        <f t="shared" ca="1" si="304"/>
        <v>7.6116973581702022E-6</v>
      </c>
      <c r="W184">
        <f t="shared" ca="1" si="305"/>
        <v>2.7589304736020809E-3</v>
      </c>
      <c r="X184" s="22">
        <f t="shared" ref="X184" ca="1" si="409">BSdelta(1,P184,Strike,W184*AnnualVarConvtr,Dividend,RiskFreeRate,G184/250)</f>
        <v>0</v>
      </c>
      <c r="Y184" s="22">
        <f t="shared" ca="1" si="311"/>
        <v>0</v>
      </c>
      <c r="Z184" s="22">
        <f t="shared" ca="1" si="312"/>
        <v>-7.4987778706972037</v>
      </c>
      <c r="AA184">
        <f t="shared" si="299"/>
        <v>0.73884103340948371</v>
      </c>
      <c r="AB184">
        <f t="shared" ref="AB184" ca="1" si="410">BSdelta(1,P184,Strike,AA184/AnnualVarConvtr,Dividend,RiskFreeRate,G184/250)</f>
        <v>0</v>
      </c>
      <c r="AC184">
        <f t="shared" ca="1" si="308"/>
        <v>0</v>
      </c>
      <c r="AD184">
        <f t="shared" ca="1" si="309"/>
        <v>-2.5925431201425795</v>
      </c>
    </row>
    <row r="185" spans="7:30" x14ac:dyDescent="0.25">
      <c r="G185" s="19">
        <v>70</v>
      </c>
      <c r="H185" s="19">
        <f t="shared" ca="1" si="358"/>
        <v>0.62057741658174792</v>
      </c>
      <c r="I185" s="19">
        <f t="shared" ca="1" si="358"/>
        <v>0.96332937282157094</v>
      </c>
      <c r="J185" s="19">
        <f t="shared" ca="1" si="292"/>
        <v>0.95102199979722668</v>
      </c>
      <c r="K185" s="19">
        <f t="shared" ca="1" si="293"/>
        <v>-0.2230851641556402</v>
      </c>
      <c r="L185" s="19">
        <f t="array" aca="1" ref="L185:M185" ca="1">MMULT(J185:K185,TRANSPOSE($B$10:$C$11))</f>
        <v>0.95102199979722668</v>
      </c>
      <c r="M185" s="19">
        <f ca="1"/>
        <v>-0.83702859363848059</v>
      </c>
      <c r="N185" s="20">
        <f t="shared" ca="1" si="294"/>
        <v>6.8081308540994794E-3</v>
      </c>
      <c r="O185" s="20">
        <f t="shared" ca="1" si="295"/>
        <v>7.486989966910497E-2</v>
      </c>
      <c r="P185" s="19">
        <f t="shared" ca="1" si="301"/>
        <v>8.2550193574856373E-8</v>
      </c>
      <c r="Q185" s="19">
        <f ca="1">HCTrans(P185,Strike,RiskFreeRate,Dividend,Variance_T0*AnnualVarConvtr,(Simulation!G185)/250,0.5,Variance_Avg*AnnualVarConvtr,Lambda,SQRT(Simulation!N185),Rho,1,"Call")</f>
        <v>-1.5075585654634949E-5</v>
      </c>
      <c r="R185" s="19" t="e">
        <f t="shared" ca="1" si="296"/>
        <v>#VALUE!</v>
      </c>
      <c r="S185" s="19" t="e">
        <f t="shared" ca="1" si="297"/>
        <v>#VALUE!</v>
      </c>
      <c r="T185" s="19" t="e">
        <f t="shared" ca="1" si="302"/>
        <v>#VALUE!</v>
      </c>
      <c r="U185" s="19" t="e">
        <f t="shared" ca="1" si="303"/>
        <v>#VALUE!</v>
      </c>
      <c r="V185" s="21">
        <f t="shared" ca="1" si="304"/>
        <v>3.1171738118979109E-5</v>
      </c>
      <c r="W185">
        <f t="shared" ca="1" si="305"/>
        <v>5.5831656001751467E-3</v>
      </c>
      <c r="X185" s="22">
        <f t="shared" ref="X185" ca="1" si="411">BSdelta(1,P185,Strike,W185*AnnualVarConvtr,Dividend,RiskFreeRate,G185/250)</f>
        <v>0</v>
      </c>
      <c r="Y185" s="22">
        <f t="shared" ca="1" si="311"/>
        <v>0</v>
      </c>
      <c r="Z185" s="22">
        <f t="shared" ca="1" si="312"/>
        <v>-7.4987778706090946</v>
      </c>
      <c r="AA185">
        <f t="shared" si="299"/>
        <v>0.73884103340948371</v>
      </c>
      <c r="AB185">
        <f t="shared" ref="AB185" ca="1" si="412">BSdelta(1,P185,Strike,AA185/AnnualVarConvtr,Dividend,RiskFreeRate,G185/250)</f>
        <v>0</v>
      </c>
      <c r="AC185">
        <f t="shared" ca="1" si="308"/>
        <v>0</v>
      </c>
      <c r="AD185">
        <f t="shared" ca="1" si="309"/>
        <v>-2.5925431200544704</v>
      </c>
    </row>
    <row r="186" spans="7:30" x14ac:dyDescent="0.25">
      <c r="G186" s="19">
        <v>69</v>
      </c>
      <c r="H186" s="19">
        <f t="shared" ca="1" si="358"/>
        <v>0.63984768932269753</v>
      </c>
      <c r="I186" s="19">
        <f t="shared" ca="1" si="358"/>
        <v>0.96147158993902593</v>
      </c>
      <c r="J186" s="19">
        <f t="shared" ca="1" si="292"/>
        <v>0.91745787569358861</v>
      </c>
      <c r="K186" s="19">
        <f t="shared" ca="1" si="293"/>
        <v>-0.22654200294265706</v>
      </c>
      <c r="L186" s="19">
        <f t="array" aca="1" ref="L186:M186" ca="1">MMULT(J186:K186,TRANSPOSE($B$10:$C$11))</f>
        <v>0.91745787569358861</v>
      </c>
      <c r="M186" s="19">
        <f ca="1"/>
        <v>-0.81539134483287989</v>
      </c>
      <c r="N186" s="20">
        <f t="shared" ca="1" si="294"/>
        <v>5.259623910613024E-3</v>
      </c>
      <c r="O186" s="20">
        <f t="shared" ca="1" si="295"/>
        <v>7.9657634356944104E-2</v>
      </c>
      <c r="P186" s="19">
        <f t="shared" ca="1" si="301"/>
        <v>7.6259673710422985E-8</v>
      </c>
      <c r="Q186" s="19">
        <f ca="1">HCTrans(P186,Strike,RiskFreeRate,Dividend,Variance_T0*AnnualVarConvtr,(Simulation!G186)/250,0.5,Variance_Avg*AnnualVarConvtr,Lambda,SQRT(Simulation!N186),Rho,1,"Call")</f>
        <v>-1.5075489034942987E-5</v>
      </c>
      <c r="R186" s="19" t="e">
        <f t="shared" ca="1" si="296"/>
        <v>#VALUE!</v>
      </c>
      <c r="S186" s="19" t="e">
        <f t="shared" ca="1" si="297"/>
        <v>#VALUE!</v>
      </c>
      <c r="T186" s="19" t="e">
        <f t="shared" ca="1" si="302"/>
        <v>#VALUE!</v>
      </c>
      <c r="U186" s="19" t="e">
        <f t="shared" ca="1" si="303"/>
        <v>#VALUE!</v>
      </c>
      <c r="V186" s="21">
        <f t="shared" ca="1" si="304"/>
        <v>2.2922403441138097E-5</v>
      </c>
      <c r="W186">
        <f t="shared" ca="1" si="305"/>
        <v>4.7877346878391347E-3</v>
      </c>
      <c r="X186" s="22">
        <f t="shared" ref="X186" ca="1" si="413">BSdelta(1,P186,Strike,W186*AnnualVarConvtr,Dividend,RiskFreeRate,G186/250)</f>
        <v>0</v>
      </c>
      <c r="Y186" s="22">
        <f t="shared" ca="1" si="311"/>
        <v>0</v>
      </c>
      <c r="Z186" s="22">
        <f t="shared" ca="1" si="312"/>
        <v>-7.498777870512475</v>
      </c>
      <c r="AA186">
        <f t="shared" si="299"/>
        <v>0.73884103340948371</v>
      </c>
      <c r="AB186">
        <f t="shared" ref="AB186" ca="1" si="414">BSdelta(1,P186,Strike,AA186/AnnualVarConvtr,Dividend,RiskFreeRate,G186/250)</f>
        <v>0</v>
      </c>
      <c r="AC186">
        <f t="shared" ca="1" si="308"/>
        <v>0</v>
      </c>
      <c r="AD186">
        <f t="shared" ca="1" si="309"/>
        <v>-2.5925431199578508</v>
      </c>
    </row>
    <row r="187" spans="7:30" x14ac:dyDescent="0.25">
      <c r="G187" s="19">
        <v>68</v>
      </c>
      <c r="H187" s="19">
        <f t="shared" ca="1" si="358"/>
        <v>0.16213513929292289</v>
      </c>
      <c r="I187" s="19">
        <f t="shared" ca="1" si="358"/>
        <v>0.22681639308021229</v>
      </c>
      <c r="J187" s="19">
        <f t="shared" ca="1" si="292"/>
        <v>0.27688158173244642</v>
      </c>
      <c r="K187" s="19">
        <f t="shared" ca="1" si="293"/>
        <v>1.8873226503054388</v>
      </c>
      <c r="L187" s="19">
        <f t="array" aca="1" ref="L187:M187" ca="1">MMULT(J187:K187,TRANSPOSE($B$10:$C$11))</f>
        <v>0.27688158173244642</v>
      </c>
      <c r="M187" s="19">
        <f ca="1"/>
        <v>1.1181862647296894</v>
      </c>
      <c r="N187" s="20">
        <f t="shared" ca="1" si="294"/>
        <v>7.4454950771819664E-3</v>
      </c>
      <c r="O187" s="20">
        <f t="shared" ca="1" si="295"/>
        <v>8.0927627594559196E-2</v>
      </c>
      <c r="P187" s="19">
        <f t="shared" ca="1" si="301"/>
        <v>7.0594766579243457E-8</v>
      </c>
      <c r="Q187" s="19">
        <f ca="1">HCTrans(P187,Strike,RiskFreeRate,Dividend,Variance_T0*AnnualVarConvtr,(Simulation!G187)/250,0.5,Variance_Avg*AnnualVarConvtr,Lambda,SQRT(Simulation!N187),Rho,1,"Call")</f>
        <v>-1.5075395918272646E-5</v>
      </c>
      <c r="R187" s="19" t="e">
        <f t="shared" ca="1" si="296"/>
        <v>#VALUE!</v>
      </c>
      <c r="S187" s="19" t="e">
        <f t="shared" ca="1" si="297"/>
        <v>#VALUE!</v>
      </c>
      <c r="T187" s="19" t="e">
        <f t="shared" ca="1" si="302"/>
        <v>#VALUE!</v>
      </c>
      <c r="U187" s="19" t="e">
        <f t="shared" ca="1" si="303"/>
        <v>#VALUE!</v>
      </c>
      <c r="V187" s="21">
        <f t="shared" ca="1" si="304"/>
        <v>1.6128828235880618E-6</v>
      </c>
      <c r="W187">
        <f t="shared" ca="1" si="305"/>
        <v>1.2699932376150913E-3</v>
      </c>
      <c r="X187" s="22">
        <f t="shared" ref="X187" ca="1" si="415">BSdelta(1,P187,Strike,W187*AnnualVarConvtr,Dividend,RiskFreeRate,G187/250)</f>
        <v>0</v>
      </c>
      <c r="Y187" s="22">
        <f t="shared" ca="1" si="311"/>
        <v>0</v>
      </c>
      <c r="Z187" s="22">
        <f t="shared" ca="1" si="312"/>
        <v>-7.4987778704193584</v>
      </c>
      <c r="AA187">
        <f t="shared" si="299"/>
        <v>0.73884103340948371</v>
      </c>
      <c r="AB187">
        <f t="shared" ref="AB187" ca="1" si="416">BSdelta(1,P187,Strike,AA187/AnnualVarConvtr,Dividend,RiskFreeRate,G187/250)</f>
        <v>0</v>
      </c>
      <c r="AC187">
        <f t="shared" ca="1" si="308"/>
        <v>0</v>
      </c>
      <c r="AD187">
        <f t="shared" ca="1" si="309"/>
        <v>-2.5925431198647342</v>
      </c>
    </row>
    <row r="188" spans="7:30" x14ac:dyDescent="0.25">
      <c r="G188" s="19">
        <v>67</v>
      </c>
      <c r="H188" s="19">
        <f t="shared" ca="1" si="358"/>
        <v>0.64308207151293861</v>
      </c>
      <c r="I188" s="19">
        <f t="shared" ca="1" si="358"/>
        <v>0.66397732578025226</v>
      </c>
      <c r="J188" s="19">
        <f t="shared" ca="1" si="292"/>
        <v>-0.48351439516924155</v>
      </c>
      <c r="K188" s="19">
        <f t="shared" ca="1" si="293"/>
        <v>-0.80571687246558599</v>
      </c>
      <c r="L188" s="19">
        <f t="array" aca="1" ref="L188:M188" ca="1">MMULT(J188:K188,TRANSPOSE($B$10:$C$11))</f>
        <v>-0.48351439516924155</v>
      </c>
      <c r="M188" s="19">
        <f ca="1"/>
        <v>-0.21561962536564178</v>
      </c>
      <c r="N188" s="20">
        <f t="shared" ca="1" si="294"/>
        <v>6.9941585791195998E-3</v>
      </c>
      <c r="O188" s="20">
        <f t="shared" ca="1" si="295"/>
        <v>7.828895081984881E-2</v>
      </c>
      <c r="P188" s="19">
        <f t="shared" ca="1" si="301"/>
        <v>6.4443764852042163E-8</v>
      </c>
      <c r="Q188" s="19">
        <f ca="1">HCTrans(P188,Strike,RiskFreeRate,Dividend,Variance_T0*AnnualVarConvtr,(Simulation!G188)/250,0.5,Variance_Avg*AnnualVarConvtr,Lambda,SQRT(Simulation!N188),Rho,1,"Call")</f>
        <v>-1.5075286996036274E-5</v>
      </c>
      <c r="R188" s="19" t="e">
        <f t="shared" ca="1" si="296"/>
        <v>#VALUE!</v>
      </c>
      <c r="S188" s="19" t="e">
        <f t="shared" ca="1" si="297"/>
        <v>#VALUE!</v>
      </c>
      <c r="T188" s="19" t="e">
        <f t="shared" ca="1" si="302"/>
        <v>#VALUE!</v>
      </c>
      <c r="U188" s="19" t="e">
        <f t="shared" ca="1" si="303"/>
        <v>#VALUE!</v>
      </c>
      <c r="V188" s="21">
        <f t="shared" ca="1" si="304"/>
        <v>6.9626151213960033E-6</v>
      </c>
      <c r="W188">
        <f t="shared" ca="1" si="305"/>
        <v>2.6386767747103856E-3</v>
      </c>
      <c r="X188" s="22">
        <f t="shared" ref="X188" ca="1" si="417">BSdelta(1,P188,Strike,W188*AnnualVarConvtr,Dividend,RiskFreeRate,G188/250)</f>
        <v>0</v>
      </c>
      <c r="Y188" s="22">
        <f t="shared" ca="1" si="311"/>
        <v>0</v>
      </c>
      <c r="Z188" s="22">
        <f t="shared" ca="1" si="312"/>
        <v>-7.4987778703104357</v>
      </c>
      <c r="AA188">
        <f t="shared" si="299"/>
        <v>0.73884103340948371</v>
      </c>
      <c r="AB188">
        <f t="shared" ref="AB188" ca="1" si="418">BSdelta(1,P188,Strike,AA188/AnnualVarConvtr,Dividend,RiskFreeRate,G188/250)</f>
        <v>0</v>
      </c>
      <c r="AC188">
        <f t="shared" ca="1" si="308"/>
        <v>0</v>
      </c>
      <c r="AD188">
        <f t="shared" ca="1" si="309"/>
        <v>-2.592543119755812</v>
      </c>
    </row>
    <row r="189" spans="7:30" x14ac:dyDescent="0.25">
      <c r="G189" s="19">
        <v>66</v>
      </c>
      <c r="H189" s="19">
        <f t="shared" ca="1" si="358"/>
        <v>0.81739876229799036</v>
      </c>
      <c r="I189" s="19">
        <f t="shared" ca="1" si="358"/>
        <v>0.60694001101373696</v>
      </c>
      <c r="J189" s="19">
        <f t="shared" ca="1" si="292"/>
        <v>-0.49698656757021642</v>
      </c>
      <c r="K189" s="19">
        <f t="shared" ca="1" si="293"/>
        <v>-0.39529836294700449</v>
      </c>
      <c r="L189" s="19">
        <f t="array" aca="1" ref="L189:M189" ca="1">MMULT(J189:K189,TRANSPOSE($B$10:$C$11))</f>
        <v>-0.49698656757021642</v>
      </c>
      <c r="M189" s="19">
        <f ca="1"/>
        <v>8.0335840445586004E-2</v>
      </c>
      <c r="N189" s="20">
        <f t="shared" ca="1" si="294"/>
        <v>7.1601438685090389E-3</v>
      </c>
      <c r="O189" s="20">
        <f t="shared" ca="1" si="295"/>
        <v>7.5660242594975641E-2</v>
      </c>
      <c r="P189" s="19">
        <f t="shared" ca="1" si="301"/>
        <v>5.9016222738530636E-8</v>
      </c>
      <c r="Q189" s="19">
        <f ca="1">HCTrans(P189,Strike,RiskFreeRate,Dividend,Variance_T0*AnnualVarConvtr,(Simulation!G189)/250,0.5,Variance_Avg*AnnualVarConvtr,Lambda,SQRT(Simulation!N189),Rho,1,"Call")</f>
        <v>-1.5075183240271854E-5</v>
      </c>
      <c r="R189" s="19" t="e">
        <f t="shared" ca="1" si="296"/>
        <v>#VALUE!</v>
      </c>
      <c r="S189" s="19" t="e">
        <f t="shared" ca="1" si="297"/>
        <v>#VALUE!</v>
      </c>
      <c r="T189" s="19" t="e">
        <f t="shared" ca="1" si="302"/>
        <v>#VALUE!</v>
      </c>
      <c r="U189" s="19" t="e">
        <f t="shared" ca="1" si="303"/>
        <v>#VALUE!</v>
      </c>
      <c r="V189" s="21">
        <f t="shared" ca="1" si="304"/>
        <v>6.9101069315158481E-6</v>
      </c>
      <c r="W189">
        <f t="shared" ca="1" si="305"/>
        <v>2.6287082248731691E-3</v>
      </c>
      <c r="X189" s="22">
        <f t="shared" ref="X189" ca="1" si="419">BSdelta(1,P189,Strike,W189*AnnualVarConvtr,Dividend,RiskFreeRate,G189/250)</f>
        <v>0</v>
      </c>
      <c r="Y189" s="22">
        <f t="shared" ca="1" si="311"/>
        <v>0</v>
      </c>
      <c r="Z189" s="22">
        <f t="shared" ca="1" si="312"/>
        <v>-7.4987778702066796</v>
      </c>
      <c r="AA189">
        <f t="shared" si="299"/>
        <v>0.73884103340948371</v>
      </c>
      <c r="AB189">
        <f t="shared" ref="AB189" ca="1" si="420">BSdelta(1,P189,Strike,AA189/AnnualVarConvtr,Dividend,RiskFreeRate,G189/250)</f>
        <v>0</v>
      </c>
      <c r="AC189">
        <f t="shared" ca="1" si="308"/>
        <v>0</v>
      </c>
      <c r="AD189">
        <f t="shared" ca="1" si="309"/>
        <v>-2.5925431196520563</v>
      </c>
    </row>
    <row r="190" spans="7:30" x14ac:dyDescent="0.25">
      <c r="G190" s="19">
        <v>65</v>
      </c>
      <c r="H190" s="19">
        <f t="shared" ca="1" si="358"/>
        <v>0.6981832691289801</v>
      </c>
      <c r="I190" s="19">
        <f t="shared" ca="1" si="358"/>
        <v>0.85021479040395898</v>
      </c>
      <c r="J190" s="19">
        <f t="shared" ca="1" si="292"/>
        <v>0.49917397222426541</v>
      </c>
      <c r="K190" s="19">
        <f t="shared" ca="1" si="293"/>
        <v>-0.68510775822252146</v>
      </c>
      <c r="L190" s="19">
        <f t="array" aca="1" ref="L190:M190" ca="1">MMULT(J190:K190,TRANSPOSE($B$10:$C$11))</f>
        <v>0.49917397222426541</v>
      </c>
      <c r="M190" s="19">
        <f ca="1"/>
        <v>-0.83558047940953961</v>
      </c>
      <c r="N190" s="20">
        <f t="shared" ca="1" si="294"/>
        <v>5.5307802340566169E-3</v>
      </c>
      <c r="O190" s="20">
        <f t="shared" ca="1" si="295"/>
        <v>7.833166646619974E-2</v>
      </c>
      <c r="P190" s="19">
        <f t="shared" ca="1" si="301"/>
        <v>5.4538725673898961E-8</v>
      </c>
      <c r="Q190" s="19">
        <f ca="1">HCTrans(P190,Strike,RiskFreeRate,Dividend,Variance_T0*AnnualVarConvtr,(Simulation!G190)/250,0.5,Variance_Avg*AnnualVarConvtr,Lambda,SQRT(Simulation!N190),Rho,1,"Call")</f>
        <v>-1.5075091486356077E-5</v>
      </c>
      <c r="R190" s="19" t="e">
        <f t="shared" ca="1" si="296"/>
        <v>#VALUE!</v>
      </c>
      <c r="S190" s="19" t="e">
        <f t="shared" ca="1" si="297"/>
        <v>#VALUE!</v>
      </c>
      <c r="T190" s="19" t="e">
        <f t="shared" ca="1" si="302"/>
        <v>#VALUE!</v>
      </c>
      <c r="U190" s="19" t="e">
        <f t="shared" ca="1" si="303"/>
        <v>#VALUE!</v>
      </c>
      <c r="V190" s="21">
        <f t="shared" ca="1" si="304"/>
        <v>7.1365054997459513E-6</v>
      </c>
      <c r="W190">
        <f t="shared" ca="1" si="305"/>
        <v>2.671423871224099E-3</v>
      </c>
      <c r="X190" s="22">
        <f t="shared" ref="X190" ca="1" si="421">BSdelta(1,P190,Strike,W190*AnnualVarConvtr,Dividend,RiskFreeRate,G190/250)</f>
        <v>0</v>
      </c>
      <c r="Y190" s="22">
        <f t="shared" ca="1" si="311"/>
        <v>0</v>
      </c>
      <c r="Z190" s="22">
        <f t="shared" ca="1" si="312"/>
        <v>-7.4987778701149255</v>
      </c>
      <c r="AA190">
        <f t="shared" si="299"/>
        <v>0.73884103340948371</v>
      </c>
      <c r="AB190">
        <f t="shared" ref="AB190" ca="1" si="422">BSdelta(1,P190,Strike,AA190/AnnualVarConvtr,Dividend,RiskFreeRate,G190/250)</f>
        <v>0</v>
      </c>
      <c r="AC190">
        <f t="shared" ca="1" si="308"/>
        <v>0</v>
      </c>
      <c r="AD190">
        <f t="shared" ca="1" si="309"/>
        <v>-2.5925431195603026</v>
      </c>
    </row>
    <row r="191" spans="7:30" x14ac:dyDescent="0.25">
      <c r="G191" s="19">
        <v>64</v>
      </c>
      <c r="H191" s="19">
        <f t="shared" ca="1" si="358"/>
        <v>0.53731991233125753</v>
      </c>
      <c r="I191" s="19">
        <f t="shared" ca="1" si="358"/>
        <v>0.33849877021181918</v>
      </c>
      <c r="J191" s="19">
        <f t="shared" ca="1" si="292"/>
        <v>-0.58832694467206748</v>
      </c>
      <c r="K191" s="19">
        <f t="shared" ca="1" si="293"/>
        <v>0.94667557804459013</v>
      </c>
      <c r="L191" s="19">
        <f t="array" aca="1" ref="L191:M191" ca="1">MMULT(J191:K191,TRANSPOSE($B$10:$C$11))</f>
        <v>-0.58832694467206748</v>
      </c>
      <c r="M191" s="19">
        <f ca="1"/>
        <v>1.0819249187854243</v>
      </c>
      <c r="N191" s="20">
        <f t="shared" ca="1" si="294"/>
        <v>7.6877104566311629E-3</v>
      </c>
      <c r="O191" s="20">
        <f t="shared" ca="1" si="295"/>
        <v>7.5564457630436802E-2</v>
      </c>
      <c r="P191" s="19">
        <f t="shared" ca="1" si="301"/>
        <v>5.0683682502561843E-8</v>
      </c>
      <c r="Q191" s="19">
        <f ca="1">HCTrans(P191,Strike,RiskFreeRate,Dividend,Variance_T0*AnnualVarConvtr,(Simulation!G191)/250,0.5,Variance_Avg*AnnualVarConvtr,Lambda,SQRT(Simulation!N191),Rho,1,"Call")</f>
        <v>-1.5075007296286721E-5</v>
      </c>
      <c r="R191" s="19" t="e">
        <f t="shared" ca="1" si="296"/>
        <v>#VALUE!</v>
      </c>
      <c r="S191" s="19" t="e">
        <f t="shared" ca="1" si="297"/>
        <v>#VALUE!</v>
      </c>
      <c r="T191" s="19" t="e">
        <f t="shared" ca="1" si="302"/>
        <v>#VALUE!</v>
      </c>
      <c r="U191" s="19" t="e">
        <f t="shared" ca="1" si="303"/>
        <v>#VALUE!</v>
      </c>
      <c r="V191" s="21">
        <f t="shared" ca="1" si="304"/>
        <v>7.6574447407244756E-6</v>
      </c>
      <c r="W191">
        <f t="shared" ca="1" si="305"/>
        <v>2.7672088357629382E-3</v>
      </c>
      <c r="X191" s="22">
        <f t="shared" ref="X191" ca="1" si="423">BSdelta(1,P191,Strike,W191*AnnualVarConvtr,Dividend,RiskFreeRate,G191/250)</f>
        <v>0</v>
      </c>
      <c r="Y191" s="22">
        <f t="shared" ca="1" si="311"/>
        <v>0</v>
      </c>
      <c r="Z191" s="22">
        <f t="shared" ca="1" si="312"/>
        <v>-7.498777870030735</v>
      </c>
      <c r="AA191">
        <f t="shared" si="299"/>
        <v>0.73884103340948371</v>
      </c>
      <c r="AB191">
        <f t="shared" ref="AB191" ca="1" si="424">BSdelta(1,P191,Strike,AA191/AnnualVarConvtr,Dividend,RiskFreeRate,G191/250)</f>
        <v>0</v>
      </c>
      <c r="AC191">
        <f t="shared" ca="1" si="308"/>
        <v>0</v>
      </c>
      <c r="AD191">
        <f t="shared" ca="1" si="309"/>
        <v>-2.5925431194761126</v>
      </c>
    </row>
    <row r="192" spans="7:30" x14ac:dyDescent="0.25">
      <c r="G192" s="19">
        <v>63</v>
      </c>
      <c r="H192" s="19">
        <f t="shared" ca="1" si="358"/>
        <v>0.10480646420290818</v>
      </c>
      <c r="I192" s="19">
        <f t="shared" ca="1" si="358"/>
        <v>0.25291155692838441</v>
      </c>
      <c r="J192" s="19">
        <f t="shared" ca="1" si="292"/>
        <v>-3.8853558893441893E-2</v>
      </c>
      <c r="K192" s="19">
        <f t="shared" ca="1" si="293"/>
        <v>2.1236219193409203</v>
      </c>
      <c r="L192" s="19">
        <f t="array" aca="1" ref="L192:M192" ca="1">MMULT(J192:K192,TRANSPOSE($B$10:$C$11))</f>
        <v>-3.8853558893441893E-2</v>
      </c>
      <c r="M192" s="19">
        <f ca="1"/>
        <v>1.5092498127596563</v>
      </c>
      <c r="N192" s="20">
        <f t="shared" ca="1" si="294"/>
        <v>1.1271473216977921E-2</v>
      </c>
      <c r="O192" s="20">
        <f t="shared" ca="1" si="295"/>
        <v>7.5349001274624045E-2</v>
      </c>
      <c r="P192" s="19">
        <f t="shared" ca="1" si="301"/>
        <v>4.810618249985584E-8</v>
      </c>
      <c r="Q192" s="19">
        <f ca="1">HCTrans(P192,Strike,RiskFreeRate,Dividend,Variance_T0*AnnualVarConvtr,(Simulation!G192)/250,0.5,Variance_Avg*AnnualVarConvtr,Lambda,SQRT(Simulation!N192),Rho,1,"Call")</f>
        <v>-1.5074948234332788E-5</v>
      </c>
      <c r="R192" s="19" t="e">
        <f t="shared" ca="1" si="296"/>
        <v>#VALUE!</v>
      </c>
      <c r="S192" s="19" t="e">
        <f t="shared" ca="1" si="297"/>
        <v>#VALUE!</v>
      </c>
      <c r="T192" s="19" t="e">
        <f t="shared" ca="1" si="302"/>
        <v>#VALUE!</v>
      </c>
      <c r="U192" s="19" t="e">
        <f t="shared" ca="1" si="303"/>
        <v>#VALUE!</v>
      </c>
      <c r="V192" s="21">
        <f t="shared" ca="1" si="304"/>
        <v>4.6421441260113357E-8</v>
      </c>
      <c r="W192">
        <f t="shared" ca="1" si="305"/>
        <v>2.1545635581275702E-4</v>
      </c>
      <c r="X192" s="22">
        <f t="shared" ref="X192" ca="1" si="425">BSdelta(1,P192,Strike,W192*AnnualVarConvtr,Dividend,RiskFreeRate,G192/250)</f>
        <v>0</v>
      </c>
      <c r="Y192" s="22">
        <f t="shared" ca="1" si="311"/>
        <v>0</v>
      </c>
      <c r="Z192" s="22">
        <f t="shared" ca="1" si="312"/>
        <v>-7.4987778699716729</v>
      </c>
      <c r="AA192">
        <f t="shared" si="299"/>
        <v>0.73884103340948371</v>
      </c>
      <c r="AB192">
        <f t="shared" ref="AB192" ca="1" si="426">BSdelta(1,P192,Strike,AA192/AnnualVarConvtr,Dividend,RiskFreeRate,G192/250)</f>
        <v>0</v>
      </c>
      <c r="AC192">
        <f t="shared" ca="1" si="308"/>
        <v>0</v>
      </c>
      <c r="AD192">
        <f t="shared" ca="1" si="309"/>
        <v>-2.5925431194170505</v>
      </c>
    </row>
    <row r="193" spans="7:30" x14ac:dyDescent="0.25">
      <c r="G193" s="19">
        <v>62</v>
      </c>
      <c r="H193" s="19">
        <f t="shared" ca="1" si="358"/>
        <v>0.64261014182882847</v>
      </c>
      <c r="I193" s="19">
        <f t="shared" ca="1" si="358"/>
        <v>0.1232711940494029</v>
      </c>
      <c r="J193" s="19">
        <f t="shared" ca="1" si="292"/>
        <v>0.67217808534543544</v>
      </c>
      <c r="K193" s="19">
        <f t="shared" ca="1" si="293"/>
        <v>0.65773149647013152</v>
      </c>
      <c r="L193" s="19">
        <f t="array" aca="1" ref="L193:M193" ca="1">MMULT(J193:K193,TRANSPOSE($B$10:$C$11))</f>
        <v>0.67217808534543544</v>
      </c>
      <c r="M193" s="19">
        <f ca="1"/>
        <v>-2.2790596646680761E-2</v>
      </c>
      <c r="N193" s="20">
        <f t="shared" ca="1" si="294"/>
        <v>1.11898204901231E-2</v>
      </c>
      <c r="O193" s="20">
        <f t="shared" ca="1" si="295"/>
        <v>7.9862410234002909E-2</v>
      </c>
      <c r="P193" s="19">
        <f t="shared" ca="1" si="301"/>
        <v>4.597764702233113E-8</v>
      </c>
      <c r="Q193" s="19">
        <f ca="1">HCTrans(P193,Strike,RiskFreeRate,Dividend,Variance_T0*AnnualVarConvtr,(Simulation!G193)/250,0.5,Variance_Avg*AnnualVarConvtr,Lambda,SQRT(Simulation!N193),Rho,1,"Call")</f>
        <v>-1.5074897566209986E-5</v>
      </c>
      <c r="R193" s="19" t="e">
        <f t="shared" ca="1" si="296"/>
        <v>#VALUE!</v>
      </c>
      <c r="S193" s="19" t="e">
        <f t="shared" ca="1" si="297"/>
        <v>#VALUE!</v>
      </c>
      <c r="T193" s="19" t="e">
        <f t="shared" ca="1" si="302"/>
        <v>#VALUE!</v>
      </c>
      <c r="U193" s="19" t="e">
        <f t="shared" ca="1" si="303"/>
        <v>#VALUE!</v>
      </c>
      <c r="V193" s="21">
        <f t="shared" ca="1" si="304"/>
        <v>2.0370860434601406E-5</v>
      </c>
      <c r="W193">
        <f t="shared" ca="1" si="305"/>
        <v>4.5134089593788645E-3</v>
      </c>
      <c r="X193" s="22">
        <f t="shared" ref="X193" ca="1" si="427">BSdelta(1,P193,Strike,W193*AnnualVarConvtr,Dividend,RiskFreeRate,G193/250)</f>
        <v>0</v>
      </c>
      <c r="Y193" s="22">
        <f t="shared" ca="1" si="311"/>
        <v>0</v>
      </c>
      <c r="Z193" s="22">
        <f t="shared" ca="1" si="312"/>
        <v>-7.498777869921005</v>
      </c>
      <c r="AA193">
        <f t="shared" si="299"/>
        <v>0.73884103340948371</v>
      </c>
      <c r="AB193">
        <f t="shared" ref="AB193" ca="1" si="428">BSdelta(1,P193,Strike,AA193/AnnualVarConvtr,Dividend,RiskFreeRate,G193/250)</f>
        <v>0</v>
      </c>
      <c r="AC193">
        <f t="shared" ca="1" si="308"/>
        <v>0</v>
      </c>
      <c r="AD193">
        <f t="shared" ca="1" si="309"/>
        <v>-2.5925431193663826</v>
      </c>
    </row>
    <row r="194" spans="7:30" x14ac:dyDescent="0.25">
      <c r="G194" s="19">
        <v>61</v>
      </c>
      <c r="H194" s="19">
        <f t="shared" ca="1" si="358"/>
        <v>0.39327973570336561</v>
      </c>
      <c r="I194" s="19">
        <f t="shared" ca="1" si="358"/>
        <v>0.78873309760258559</v>
      </c>
      <c r="J194" s="19">
        <f t="shared" ca="1" si="292"/>
        <v>0.32921291854045609</v>
      </c>
      <c r="K194" s="19">
        <f t="shared" ca="1" si="293"/>
        <v>-1.3259287701603353</v>
      </c>
      <c r="L194" s="19">
        <f t="array" aca="1" ref="L194:M194" ca="1">MMULT(J194:K194,TRANSPOSE($B$10:$C$11))</f>
        <v>0.32921291854045609</v>
      </c>
      <c r="M194" s="19">
        <f ca="1"/>
        <v>-1.1608318502304154</v>
      </c>
      <c r="N194" s="20">
        <f t="shared" ca="1" si="294"/>
        <v>8.3594295757871296E-3</v>
      </c>
      <c r="O194" s="20">
        <f t="shared" ca="1" si="295"/>
        <v>8.2064922949313751E-2</v>
      </c>
      <c r="P194" s="19">
        <f t="shared" ca="1" si="301"/>
        <v>4.3945738658664736E-8</v>
      </c>
      <c r="Q194" s="19">
        <f ca="1">HCTrans(P194,Strike,RiskFreeRate,Dividend,Variance_T0*AnnualVarConvtr,(Simulation!G194)/250,0.5,Variance_Avg*AnnualVarConvtr,Lambda,SQRT(Simulation!N194),Rho,1,"Call")</f>
        <v>-1.5074847331662359E-5</v>
      </c>
      <c r="R194" s="19" t="e">
        <f t="shared" ca="1" si="296"/>
        <v>#VALUE!</v>
      </c>
      <c r="S194" s="19" t="e">
        <f t="shared" ca="1" si="297"/>
        <v>#VALUE!</v>
      </c>
      <c r="T194" s="19" t="e">
        <f t="shared" ca="1" si="302"/>
        <v>#VALUE!</v>
      </c>
      <c r="U194" s="19" t="e">
        <f t="shared" ca="1" si="303"/>
        <v>#VALUE!</v>
      </c>
      <c r="V194" s="21">
        <f t="shared" ca="1" si="304"/>
        <v>4.8510622611059386E-6</v>
      </c>
      <c r="W194">
        <f t="shared" ca="1" si="305"/>
        <v>2.202512715310842E-3</v>
      </c>
      <c r="X194" s="22">
        <f t="shared" ref="X194" ca="1" si="429">BSdelta(1,P194,Strike,W194*AnnualVarConvtr,Dividend,RiskFreeRate,G194/250)</f>
        <v>0</v>
      </c>
      <c r="Y194" s="22">
        <f t="shared" ca="1" si="311"/>
        <v>0</v>
      </c>
      <c r="Z194" s="22">
        <f t="shared" ca="1" si="312"/>
        <v>-7.4987778698707706</v>
      </c>
      <c r="AA194">
        <f t="shared" si="299"/>
        <v>0.73884103340948371</v>
      </c>
      <c r="AB194">
        <f t="shared" ref="AB194" ca="1" si="430">BSdelta(1,P194,Strike,AA194/AnnualVarConvtr,Dividend,RiskFreeRate,G194/250)</f>
        <v>0</v>
      </c>
      <c r="AC194">
        <f t="shared" ca="1" si="308"/>
        <v>0</v>
      </c>
      <c r="AD194">
        <f t="shared" ca="1" si="309"/>
        <v>-2.5925431193161481</v>
      </c>
    </row>
    <row r="195" spans="7:30" x14ac:dyDescent="0.25">
      <c r="G195" s="19">
        <v>60</v>
      </c>
      <c r="H195" s="19">
        <f t="shared" ca="1" si="358"/>
        <v>0.82806240383974461</v>
      </c>
      <c r="I195" s="19">
        <f t="shared" ca="1" si="358"/>
        <v>0.17705504413588591</v>
      </c>
      <c r="J195" s="19">
        <f t="shared" ca="1" si="292"/>
        <v>0.27178471430859485</v>
      </c>
      <c r="K195" s="19">
        <f t="shared" ca="1" si="293"/>
        <v>0.55087801737718334</v>
      </c>
      <c r="L195" s="19">
        <f t="array" aca="1" ref="L195:M195" ca="1">MMULT(J195:K195,TRANSPOSE($B$10:$C$11))</f>
        <v>0.27178471430859485</v>
      </c>
      <c r="M195" s="19">
        <f ca="1"/>
        <v>0.18955164602152808</v>
      </c>
      <c r="N195" s="20">
        <f t="shared" ca="1" si="294"/>
        <v>8.782820178466105E-3</v>
      </c>
      <c r="O195" s="20">
        <f t="shared" ca="1" si="295"/>
        <v>8.3636527743279399E-2</v>
      </c>
      <c r="P195" s="19">
        <f t="shared" ca="1" si="301"/>
        <v>4.1949938591487821E-8</v>
      </c>
      <c r="Q195" s="19">
        <f ca="1">HCTrans(P195,Strike,RiskFreeRate,Dividend,Variance_T0*AnnualVarConvtr,(Simulation!G195)/250,0.5,Variance_Avg*AnnualVarConvtr,Lambda,SQRT(Simulation!N195),Rho,1,"Call")</f>
        <v>-1.5074796048037016E-5</v>
      </c>
      <c r="R195" s="19" t="e">
        <f t="shared" ca="1" si="296"/>
        <v>#VALUE!</v>
      </c>
      <c r="S195" s="19" t="e">
        <f t="shared" ca="1" si="297"/>
        <v>#VALUE!</v>
      </c>
      <c r="T195" s="19" t="e">
        <f t="shared" ca="1" si="302"/>
        <v>#VALUE!</v>
      </c>
      <c r="U195" s="19" t="e">
        <f t="shared" ca="1" si="303"/>
        <v>#VALUE!</v>
      </c>
      <c r="V195" s="21">
        <f t="shared" ca="1" si="304"/>
        <v>2.4699416284158052E-6</v>
      </c>
      <c r="W195">
        <f t="shared" ca="1" si="305"/>
        <v>1.5716047939656475E-3</v>
      </c>
      <c r="X195" s="22">
        <f t="shared" ref="X195" ca="1" si="431">BSdelta(1,P195,Strike,W195*AnnualVarConvtr,Dividend,RiskFreeRate,G195/250)</f>
        <v>0</v>
      </c>
      <c r="Y195" s="22">
        <f t="shared" ca="1" si="311"/>
        <v>0</v>
      </c>
      <c r="Z195" s="22">
        <f t="shared" ca="1" si="312"/>
        <v>-7.4987778698194871</v>
      </c>
      <c r="AA195">
        <f t="shared" si="299"/>
        <v>0.73884103340948371</v>
      </c>
      <c r="AB195">
        <f t="shared" ref="AB195" ca="1" si="432">BSdelta(1,P195,Strike,AA195/AnnualVarConvtr,Dividend,RiskFreeRate,G195/250)</f>
        <v>0</v>
      </c>
      <c r="AC195">
        <f t="shared" ca="1" si="308"/>
        <v>0</v>
      </c>
      <c r="AD195">
        <f t="shared" ca="1" si="309"/>
        <v>-2.5925431192648647</v>
      </c>
    </row>
    <row r="196" spans="7:30" x14ac:dyDescent="0.25">
      <c r="G196" s="19">
        <v>59</v>
      </c>
      <c r="H196" s="19">
        <f t="shared" ca="1" si="358"/>
        <v>0.62672392829604839</v>
      </c>
      <c r="I196" s="19">
        <f t="shared" ca="1" si="358"/>
        <v>2.7473887450274459E-2</v>
      </c>
      <c r="J196" s="19">
        <f t="shared" ca="1" si="292"/>
        <v>0.95232703672652141</v>
      </c>
      <c r="K196" s="19">
        <f t="shared" ca="1" si="293"/>
        <v>0.16604667187285646</v>
      </c>
      <c r="L196" s="19">
        <f t="array" aca="1" ref="L196:M196" ca="1">MMULT(J196:K196,TRANSPOSE($B$10:$C$11))</f>
        <v>0.95232703672652141</v>
      </c>
      <c r="M196" s="19">
        <f ca="1"/>
        <v>-0.56651030695657933</v>
      </c>
      <c r="N196" s="20">
        <f t="shared" ca="1" si="294"/>
        <v>7.5200328684602458E-3</v>
      </c>
      <c r="O196" s="20">
        <f t="shared" ca="1" si="295"/>
        <v>8.9281126884631509E-2</v>
      </c>
      <c r="P196" s="19">
        <f t="shared" ca="1" si="301"/>
        <v>4.0491429172398948E-8</v>
      </c>
      <c r="Q196" s="19">
        <f ca="1">HCTrans(P196,Strike,RiskFreeRate,Dividend,Variance_T0*AnnualVarConvtr,(Simulation!G196)/250,0.5,Variance_Avg*AnnualVarConvtr,Lambda,SQRT(Simulation!N196),Rho,1,"Call")</f>
        <v>-1.5074757500773602E-5</v>
      </c>
      <c r="R196" s="19" t="e">
        <f t="shared" ca="1" si="296"/>
        <v>#VALUE!</v>
      </c>
      <c r="S196" s="19" t="e">
        <f t="shared" ca="1" si="297"/>
        <v>#VALUE!</v>
      </c>
      <c r="T196" s="19" t="e">
        <f t="shared" ca="1" si="302"/>
        <v>#VALUE!</v>
      </c>
      <c r="U196" s="19" t="e">
        <f t="shared" ca="1" si="303"/>
        <v>#VALUE!</v>
      </c>
      <c r="V196" s="21">
        <f t="shared" ca="1" si="304"/>
        <v>3.1861499466552988E-5</v>
      </c>
      <c r="W196">
        <f t="shared" ca="1" si="305"/>
        <v>5.6445991413521107E-3</v>
      </c>
      <c r="X196" s="22">
        <f t="shared" ref="X196" ca="1" si="433">BSdelta(1,P196,Strike,W196*AnnualVarConvtr,Dividend,RiskFreeRate,G196/250)</f>
        <v>0</v>
      </c>
      <c r="Y196" s="22">
        <f t="shared" ca="1" si="311"/>
        <v>0</v>
      </c>
      <c r="Z196" s="22">
        <f t="shared" ca="1" si="312"/>
        <v>-7.4987778697809402</v>
      </c>
      <c r="AA196">
        <f t="shared" si="299"/>
        <v>0.73884103340948371</v>
      </c>
      <c r="AB196">
        <f t="shared" ref="AB196" ca="1" si="434">BSdelta(1,P196,Strike,AA196/AnnualVarConvtr,Dividend,RiskFreeRate,G196/250)</f>
        <v>0</v>
      </c>
      <c r="AC196">
        <f t="shared" ca="1" si="308"/>
        <v>0</v>
      </c>
      <c r="AD196">
        <f t="shared" ca="1" si="309"/>
        <v>-2.5925431192263173</v>
      </c>
    </row>
    <row r="197" spans="7:30" x14ac:dyDescent="0.25">
      <c r="G197" s="19">
        <v>58</v>
      </c>
      <c r="H197" s="19">
        <f t="shared" ca="1" si="358"/>
        <v>0.38350551871254257</v>
      </c>
      <c r="I197" s="19">
        <f t="shared" ca="1" si="358"/>
        <v>0.84911521297042658</v>
      </c>
      <c r="J197" s="19">
        <f t="shared" ca="1" si="292"/>
        <v>0.80754133249774529</v>
      </c>
      <c r="K197" s="19">
        <f t="shared" ca="1" si="293"/>
        <v>-1.1245797135352595</v>
      </c>
      <c r="L197" s="19">
        <f t="array" aca="1" ref="L197:M197" ca="1">MMULT(J197:K197,TRANSPOSE($B$10:$C$11))</f>
        <v>0.80754133249774529</v>
      </c>
      <c r="M197" s="19">
        <f ca="1"/>
        <v>-1.3630956560762799</v>
      </c>
      <c r="N197" s="20">
        <f t="shared" ca="1" si="294"/>
        <v>4.8983771594973231E-3</v>
      </c>
      <c r="O197" s="20">
        <f t="shared" ca="1" si="295"/>
        <v>9.3710116124647622E-2</v>
      </c>
      <c r="P197" s="19">
        <f t="shared" ca="1" si="301"/>
        <v>3.9383696612867419E-8</v>
      </c>
      <c r="Q197" s="19">
        <f ca="1">HCTrans(P197,Strike,RiskFreeRate,Dividend,Variance_T0*AnnualVarConvtr,(Simulation!G197)/250,0.5,Variance_Avg*AnnualVarConvtr,Lambda,SQRT(Simulation!N197),Rho,1,"Call")</f>
        <v>-1.5074727658755833E-5</v>
      </c>
      <c r="R197" s="19" t="e">
        <f t="shared" ca="1" si="296"/>
        <v>#VALUE!</v>
      </c>
      <c r="S197" s="19" t="e">
        <f t="shared" ca="1" si="297"/>
        <v>#VALUE!</v>
      </c>
      <c r="T197" s="19" t="e">
        <f t="shared" ca="1" si="302"/>
        <v>#VALUE!</v>
      </c>
      <c r="U197" s="19" t="e">
        <f t="shared" ca="1" si="303"/>
        <v>#VALUE!</v>
      </c>
      <c r="V197" s="21">
        <f t="shared" ca="1" si="304"/>
        <v>1.9615945688178501E-5</v>
      </c>
      <c r="W197">
        <f t="shared" ca="1" si="305"/>
        <v>4.4289892400161124E-3</v>
      </c>
      <c r="X197" s="22">
        <f t="shared" ref="X197" ca="1" si="435">BSdelta(1,P197,Strike,W197*AnnualVarConvtr,Dividend,RiskFreeRate,G197/250)</f>
        <v>0</v>
      </c>
      <c r="Y197" s="22">
        <f t="shared" ca="1" si="311"/>
        <v>0</v>
      </c>
      <c r="Z197" s="22">
        <f t="shared" ca="1" si="312"/>
        <v>-7.4987778697510983</v>
      </c>
      <c r="AA197">
        <f t="shared" si="299"/>
        <v>0.73884103340948371</v>
      </c>
      <c r="AB197">
        <f t="shared" ref="AB197" ca="1" si="436">BSdelta(1,P197,Strike,AA197/AnnualVarConvtr,Dividend,RiskFreeRate,G197/250)</f>
        <v>0</v>
      </c>
      <c r="AC197">
        <f t="shared" ca="1" si="308"/>
        <v>0</v>
      </c>
      <c r="AD197">
        <f t="shared" ca="1" si="309"/>
        <v>-2.5925431191964754</v>
      </c>
    </row>
    <row r="198" spans="7:30" x14ac:dyDescent="0.25">
      <c r="G198" s="19">
        <v>57</v>
      </c>
      <c r="H198" s="19">
        <f t="shared" ca="1" si="358"/>
        <v>0.18500181288030071</v>
      </c>
      <c r="I198" s="19">
        <f t="shared" ca="1" si="358"/>
        <v>0.82315812175455394</v>
      </c>
      <c r="J198" s="19">
        <f t="shared" ref="J198:J254" ca="1" si="437">SQRT(-2*LN(H198))*COS(2*PI()*I198)</f>
        <v>0.81500830083055997</v>
      </c>
      <c r="K198" s="19">
        <f t="shared" ref="K198:K254" ca="1" si="438">SQRT(-2*LN(H198))*SIN(2*PI()*I198)</f>
        <v>-1.6463720049779094</v>
      </c>
      <c r="L198" s="19">
        <f t="array" aca="1" ref="L198:M198" ca="1">MMULT(J198:K198,TRANSPOSE($B$10:$C$11))</f>
        <v>0.81500830083055997</v>
      </c>
      <c r="M198" s="19">
        <f ca="1"/>
        <v>-1.732441305756282</v>
      </c>
      <c r="N198" s="20">
        <f t="shared" ref="N198:N261" ca="1" si="439">GetVariance(N197,Variance_Avg,Lambda,Eta,M198,"Daily")</f>
        <v>2.3877919951251067E-3</v>
      </c>
      <c r="O198" s="20">
        <f t="shared" ref="O198:O254" ca="1" si="440">GetStockReturns(O197,RiskFreeRate,N197,L198,"Daily")</f>
        <v>9.7317714132120578E-2</v>
      </c>
      <c r="P198" s="19">
        <f t="shared" ca="1" si="301"/>
        <v>3.804504745959598E-8</v>
      </c>
      <c r="Q198" s="19">
        <f ca="1">HCTrans(P198,Strike,RiskFreeRate,Dividend,Variance_T0*AnnualVarConvtr,(Simulation!G198)/250,0.5,Variance_Avg*AnnualVarConvtr,Lambda,SQRT(Simulation!N198),Rho,1,"Call")</f>
        <v>-1.5074690419441272E-5</v>
      </c>
      <c r="R198" s="19" t="e">
        <f t="shared" ref="R198:R254" ca="1" si="441">BSvol(1,P198,Strike,Q198,Dividend,RiskFreeRate,G198/250)</f>
        <v>#VALUE!</v>
      </c>
      <c r="S198" s="19" t="e">
        <f t="shared" ref="S198:S254" ca="1" si="442">BSdelta(1,P198,Strike,R198/AnnualVarConvtr,Dividend,RiskFreeRate,G198/250)</f>
        <v>#VALUE!</v>
      </c>
      <c r="T198" s="19" t="e">
        <f t="shared" ca="1" si="302"/>
        <v>#VALUE!</v>
      </c>
      <c r="U198" s="19" t="e">
        <f t="shared" ca="1" si="303"/>
        <v>#VALUE!</v>
      </c>
      <c r="V198" s="21">
        <f t="shared" ca="1" si="304"/>
        <v>1.3014763383522844E-5</v>
      </c>
      <c r="W198">
        <f t="shared" ca="1" si="305"/>
        <v>3.6075980074729563E-3</v>
      </c>
      <c r="X198" s="22">
        <f t="shared" ref="X198" ca="1" si="443">BSdelta(1,P198,Strike,W198*AnnualVarConvtr,Dividend,RiskFreeRate,G198/250)</f>
        <v>0</v>
      </c>
      <c r="Y198" s="22">
        <f t="shared" ca="1" si="311"/>
        <v>0</v>
      </c>
      <c r="Z198" s="22">
        <f t="shared" ca="1" si="312"/>
        <v>-7.4987778697138587</v>
      </c>
      <c r="AA198">
        <f t="shared" ref="AA198:AA240" si="444">$R$5</f>
        <v>0.73884103340948371</v>
      </c>
      <c r="AB198">
        <f t="shared" ref="AB198" ca="1" si="445">BSdelta(1,P198,Strike,AA198/AnnualVarConvtr,Dividend,RiskFreeRate,G198/250)</f>
        <v>0</v>
      </c>
      <c r="AC198">
        <f t="shared" ca="1" si="308"/>
        <v>0</v>
      </c>
      <c r="AD198">
        <f t="shared" ca="1" si="309"/>
        <v>-2.5925431191592363</v>
      </c>
    </row>
    <row r="199" spans="7:30" x14ac:dyDescent="0.25">
      <c r="G199" s="19">
        <v>56</v>
      </c>
      <c r="H199" s="19">
        <f t="shared" ca="1" si="358"/>
        <v>0.40141599001400852</v>
      </c>
      <c r="I199" s="19">
        <f t="shared" ca="1" si="358"/>
        <v>0.80683473942694461</v>
      </c>
      <c r="J199" s="19">
        <f t="shared" ca="1" si="437"/>
        <v>0.4722982865147814</v>
      </c>
      <c r="K199" s="19">
        <f t="shared" ca="1" si="438"/>
        <v>-1.2658784871230981</v>
      </c>
      <c r="L199" s="19">
        <f t="array" aca="1" ref="L199:M199" ca="1">MMULT(J199:K199,TRANSPOSE($B$10:$C$11))</f>
        <v>0.4722982865147814</v>
      </c>
      <c r="M199" s="19">
        <f ca="1"/>
        <v>-1.2214622141061104</v>
      </c>
      <c r="N199" s="20">
        <f t="shared" ca="1" si="439"/>
        <v>1.1732066920744706E-3</v>
      </c>
      <c r="O199" s="20">
        <f t="shared" ca="1" si="440"/>
        <v>9.8777350284951951E-2</v>
      </c>
      <c r="P199" s="19">
        <f t="shared" ref="P199:P254" ca="1" si="446">P198*EXP(O199)</f>
        <v>3.6062397919564266E-8</v>
      </c>
      <c r="Q199" s="19">
        <f ca="1">HCTrans(P199,Strike,RiskFreeRate,Dividend,Variance_T0*AnnualVarConvtr,(Simulation!G199)/250,0.5,Variance_Avg*AnnualVarConvtr,Lambda,SQRT(Simulation!N199),Rho,1,"Call")</f>
        <v>-1.5074632713021948E-5</v>
      </c>
      <c r="R199" s="19" t="e">
        <f t="shared" ca="1" si="441"/>
        <v>#VALUE!</v>
      </c>
      <c r="S199" s="19" t="e">
        <f t="shared" ca="1" si="442"/>
        <v>#VALUE!</v>
      </c>
      <c r="T199" s="19" t="e">
        <f t="shared" ref="T199:T254" ca="1" si="447">(S199-S198)*P199</f>
        <v>#VALUE!</v>
      </c>
      <c r="U199" s="19" t="e">
        <f t="shared" ref="U199:U254" ca="1" si="448">(Q199-Q198)+U198-T199</f>
        <v>#VALUE!</v>
      </c>
      <c r="V199" s="21">
        <f t="shared" ref="V199:V254" ca="1" si="449">(O199-O198)^2</f>
        <v>2.1305376986523707E-6</v>
      </c>
      <c r="W199">
        <f t="shared" ref="W199:W254" ca="1" si="450">SQRT(V199)</f>
        <v>1.4596361528313728E-3</v>
      </c>
      <c r="X199" s="22">
        <f t="shared" ref="X199" ca="1" si="451">BSdelta(1,P199,Strike,W199*AnnualVarConvtr,Dividend,RiskFreeRate,G199/250)</f>
        <v>0</v>
      </c>
      <c r="Y199" s="22">
        <f t="shared" ca="1" si="311"/>
        <v>0</v>
      </c>
      <c r="Z199" s="22">
        <f t="shared" ca="1" si="312"/>
        <v>-7.498777869656152</v>
      </c>
      <c r="AA199">
        <f t="shared" si="444"/>
        <v>0.73884103340948371</v>
      </c>
      <c r="AB199">
        <f t="shared" ref="AB199" ca="1" si="452">BSdelta(1,P199,Strike,AA199/AnnualVarConvtr,Dividend,RiskFreeRate,G199/250)</f>
        <v>0</v>
      </c>
      <c r="AC199">
        <f t="shared" ref="AC199:AC254" ca="1" si="453">(AB199-AB198)*P199</f>
        <v>0</v>
      </c>
      <c r="AD199">
        <f t="shared" ref="AD199:AD254" ca="1" si="454">(Q199-Q198)+AD198-AC199</f>
        <v>-2.59254311910153</v>
      </c>
    </row>
    <row r="200" spans="7:30" x14ac:dyDescent="0.25">
      <c r="G200" s="19">
        <v>55</v>
      </c>
      <c r="H200" s="19">
        <f t="shared" ca="1" si="358"/>
        <v>0.82330957548073225</v>
      </c>
      <c r="I200" s="19">
        <f t="shared" ca="1" si="358"/>
        <v>0.99675177977020302</v>
      </c>
      <c r="J200" s="19">
        <f t="shared" ca="1" si="437"/>
        <v>0.62344530081202243</v>
      </c>
      <c r="K200" s="19">
        <f t="shared" ca="1" si="438"/>
        <v>-1.2725767849456169E-2</v>
      </c>
      <c r="L200" s="19">
        <f t="array" aca="1" ref="L200:M200" ca="1">MMULT(J200:K200,TRANSPOSE($B$10:$C$11))</f>
        <v>0.62344530081202243</v>
      </c>
      <c r="M200" s="19">
        <f ca="1"/>
        <v>-0.45557588941094596</v>
      </c>
      <c r="N200" s="20">
        <f t="shared" ca="1" si="439"/>
        <v>8.5291009762405892E-4</v>
      </c>
      <c r="O200" s="20">
        <f t="shared" ca="1" si="440"/>
        <v>0.10012791567836742</v>
      </c>
      <c r="P200" s="19">
        <f t="shared" ca="1" si="446"/>
        <v>3.3771256662032958E-8</v>
      </c>
      <c r="Q200" s="19">
        <f ca="1">HCTrans(P200,Strike,RiskFreeRate,Dividend,Variance_T0*AnnualVarConvtr,(Simulation!G200)/250,0.5,Variance_Avg*AnnualVarConvtr,Lambda,SQRT(Simulation!N200),Rho,1,"Call")</f>
        <v>-1.507456242610356E-5</v>
      </c>
      <c r="R200" s="19" t="e">
        <f t="shared" ca="1" si="441"/>
        <v>#VALUE!</v>
      </c>
      <c r="S200" s="19" t="e">
        <f t="shared" ca="1" si="442"/>
        <v>#VALUE!</v>
      </c>
      <c r="T200" s="19" t="e">
        <f t="shared" ca="1" si="447"/>
        <v>#VALUE!</v>
      </c>
      <c r="U200" s="19" t="e">
        <f t="shared" ca="1" si="448"/>
        <v>#VALUE!</v>
      </c>
      <c r="V200" s="21">
        <f t="shared" ca="1" si="449"/>
        <v>1.8240268818914694E-6</v>
      </c>
      <c r="W200">
        <f t="shared" ca="1" si="450"/>
        <v>1.3505653934154649E-3</v>
      </c>
      <c r="X200" s="22">
        <f t="shared" ref="X200" ca="1" si="455">BSdelta(1,P200,Strike,W200*AnnualVarConvtr,Dividend,RiskFreeRate,G200/250)</f>
        <v>0</v>
      </c>
      <c r="Y200" s="22">
        <f t="shared" ref="Y200:Y254" ca="1" si="456">(X200-X199)*P200</f>
        <v>0</v>
      </c>
      <c r="Z200" s="22">
        <f t="shared" ref="Z200:Z254" ca="1" si="457">(Q200-Q199)+Z199-Y200</f>
        <v>-7.4987778695858651</v>
      </c>
      <c r="AA200">
        <f t="shared" si="444"/>
        <v>0.73884103340948371</v>
      </c>
      <c r="AB200">
        <f t="shared" ref="AB200" ca="1" si="458">BSdelta(1,P200,Strike,AA200/AnnualVarConvtr,Dividend,RiskFreeRate,G200/250)</f>
        <v>0</v>
      </c>
      <c r="AC200">
        <f t="shared" ca="1" si="453"/>
        <v>0</v>
      </c>
      <c r="AD200">
        <f t="shared" ca="1" si="454"/>
        <v>-2.5925431190312431</v>
      </c>
    </row>
    <row r="201" spans="7:30" x14ac:dyDescent="0.25">
      <c r="G201" s="19">
        <v>54</v>
      </c>
      <c r="H201" s="19">
        <f t="shared" ca="1" si="358"/>
        <v>0.51562830530037507</v>
      </c>
      <c r="I201" s="19">
        <f t="shared" ca="1" si="358"/>
        <v>0.26637952833548484</v>
      </c>
      <c r="J201" s="19">
        <f t="shared" ca="1" si="437"/>
        <v>-0.11824407156750281</v>
      </c>
      <c r="K201" s="19">
        <f t="shared" ca="1" si="438"/>
        <v>1.1448827725175985</v>
      </c>
      <c r="L201" s="19">
        <f t="array" aca="1" ref="L201:M201" ca="1">MMULT(J201:K201,TRANSPOSE($B$10:$C$11))</f>
        <v>-0.11824407156750281</v>
      </c>
      <c r="M201" s="19">
        <f ca="1"/>
        <v>0.88337732048049433</v>
      </c>
      <c r="N201" s="20">
        <f t="shared" ca="1" si="439"/>
        <v>1.6356280438592243E-3</v>
      </c>
      <c r="O201" s="20">
        <f t="shared" ca="1" si="440"/>
        <v>9.9909511471552442E-2</v>
      </c>
      <c r="P201" s="19">
        <f t="shared" ca="1" si="446"/>
        <v>3.1292152088399709E-8</v>
      </c>
      <c r="Q201" s="19">
        <f ca="1">HCTrans(P201,Strike,RiskFreeRate,Dividend,Variance_T0*AnnualVarConvtr,(Simulation!G201)/250,0.5,Variance_Avg*AnnualVarConvtr,Lambda,SQRT(Simulation!N201),Rho,1,"Call")</f>
        <v>-1.5074481658968264E-5</v>
      </c>
      <c r="R201" s="19" t="e">
        <f t="shared" ca="1" si="441"/>
        <v>#VALUE!</v>
      </c>
      <c r="S201" s="19" t="e">
        <f t="shared" ca="1" si="442"/>
        <v>#VALUE!</v>
      </c>
      <c r="T201" s="19" t="e">
        <f t="shared" ca="1" si="447"/>
        <v>#VALUE!</v>
      </c>
      <c r="U201" s="19" t="e">
        <f t="shared" ca="1" si="448"/>
        <v>#VALUE!</v>
      </c>
      <c r="V201" s="21">
        <f t="shared" ca="1" si="449"/>
        <v>4.7700397554477628E-8</v>
      </c>
      <c r="W201">
        <f t="shared" ca="1" si="450"/>
        <v>2.184042068149733E-4</v>
      </c>
      <c r="X201" s="22">
        <f t="shared" ref="X201" ca="1" si="459">BSdelta(1,P201,Strike,W201*AnnualVarConvtr,Dividend,RiskFreeRate,G201/250)</f>
        <v>0</v>
      </c>
      <c r="Y201" s="22">
        <f t="shared" ca="1" si="456"/>
        <v>0</v>
      </c>
      <c r="Z201" s="22">
        <f t="shared" ca="1" si="457"/>
        <v>-7.4987778695050977</v>
      </c>
      <c r="AA201">
        <f t="shared" si="444"/>
        <v>0.73884103340948371</v>
      </c>
      <c r="AB201">
        <f t="shared" ref="AB201" ca="1" si="460">BSdelta(1,P201,Strike,AA201/AnnualVarConvtr,Dividend,RiskFreeRate,G201/250)</f>
        <v>0</v>
      </c>
      <c r="AC201">
        <f t="shared" ca="1" si="453"/>
        <v>0</v>
      </c>
      <c r="AD201">
        <f t="shared" ca="1" si="454"/>
        <v>-2.5925431189504762</v>
      </c>
    </row>
    <row r="202" spans="7:30" x14ac:dyDescent="0.25">
      <c r="G202" s="19">
        <v>53</v>
      </c>
      <c r="H202" s="19">
        <f t="shared" ca="1" si="358"/>
        <v>0.38365730104531959</v>
      </c>
      <c r="I202" s="19">
        <f t="shared" ca="1" si="358"/>
        <v>0.99947107383654332</v>
      </c>
      <c r="J202" s="19">
        <f t="shared" ca="1" si="437"/>
        <v>1.3841928979080937</v>
      </c>
      <c r="K202" s="19">
        <f t="shared" ca="1" si="438"/>
        <v>-4.600162081961295E-3</v>
      </c>
      <c r="L202" s="19">
        <f t="array" aca="1" ref="L202:M202" ca="1">MMULT(J202:K202,TRANSPOSE($B$10:$C$11))</f>
        <v>1.3841928979080937</v>
      </c>
      <c r="M202" s="19">
        <f ca="1"/>
        <v>-0.9949832250375833</v>
      </c>
      <c r="N202" s="20">
        <f t="shared" ca="1" si="439"/>
        <v>8.2641831011789836E-4</v>
      </c>
      <c r="O202" s="20">
        <f t="shared" ca="1" si="440"/>
        <v>0.10345004642592462</v>
      </c>
      <c r="P202" s="19">
        <f t="shared" ca="1" si="446"/>
        <v>2.8831609500663689E-8</v>
      </c>
      <c r="Q202" s="19">
        <f ca="1">HCTrans(P202,Strike,RiskFreeRate,Dividend,Variance_T0*AnnualVarConvtr,(Simulation!G202)/250,0.5,Variance_Avg*AnnualVarConvtr,Lambda,SQRT(Simulation!N202),Rho,1,"Call")</f>
        <v>-1.5074396079791976E-5</v>
      </c>
      <c r="R202" s="19" t="e">
        <f t="shared" ca="1" si="441"/>
        <v>#VALUE!</v>
      </c>
      <c r="S202" s="19" t="e">
        <f t="shared" ca="1" si="442"/>
        <v>#VALUE!</v>
      </c>
      <c r="T202" s="19" t="e">
        <f t="shared" ca="1" si="447"/>
        <v>#VALUE!</v>
      </c>
      <c r="U202" s="19" t="e">
        <f t="shared" ca="1" si="448"/>
        <v>#VALUE!</v>
      </c>
      <c r="V202" s="21">
        <f t="shared" ca="1" si="449"/>
        <v>1.2535387763131189E-5</v>
      </c>
      <c r="W202">
        <f t="shared" ca="1" si="450"/>
        <v>3.5405349543721765E-3</v>
      </c>
      <c r="X202" s="22">
        <f t="shared" ref="X202" ca="1" si="461">BSdelta(1,P202,Strike,W202*AnnualVarConvtr,Dividend,RiskFreeRate,G202/250)</f>
        <v>0</v>
      </c>
      <c r="Y202" s="22">
        <f t="shared" ca="1" si="456"/>
        <v>0</v>
      </c>
      <c r="Z202" s="22">
        <f t="shared" ca="1" si="457"/>
        <v>-7.4987778694195182</v>
      </c>
      <c r="AA202">
        <f t="shared" si="444"/>
        <v>0.73884103340948371</v>
      </c>
      <c r="AB202">
        <f t="shared" ref="AB202" ca="1" si="462">BSdelta(1,P202,Strike,AA202/AnnualVarConvtr,Dividend,RiskFreeRate,G202/250)</f>
        <v>0</v>
      </c>
      <c r="AC202">
        <f t="shared" ca="1" si="453"/>
        <v>0</v>
      </c>
      <c r="AD202">
        <f t="shared" ca="1" si="454"/>
        <v>-2.5925431188648971</v>
      </c>
    </row>
    <row r="203" spans="7:30" x14ac:dyDescent="0.25">
      <c r="G203" s="19">
        <v>52</v>
      </c>
      <c r="H203" s="19">
        <f t="shared" ca="1" si="358"/>
        <v>9.559453476800206E-3</v>
      </c>
      <c r="I203" s="19">
        <f t="shared" ca="1" si="358"/>
        <v>0.41662188333026196</v>
      </c>
      <c r="J203" s="19">
        <f t="shared" ca="1" si="437"/>
        <v>-2.6406571802204404</v>
      </c>
      <c r="K203" s="19">
        <f t="shared" ca="1" si="438"/>
        <v>1.5255750060398887</v>
      </c>
      <c r="L203" s="19">
        <f t="array" aca="1" ref="L203:M203" ca="1">MMULT(J203:K203,TRANSPOSE($B$10:$C$11))</f>
        <v>-2.6406571802204404</v>
      </c>
      <c r="M203" s="19">
        <f ca="1"/>
        <v>2.9562523007077202</v>
      </c>
      <c r="N203" s="20">
        <f t="shared" ca="1" si="439"/>
        <v>4.2568769947568044E-3</v>
      </c>
      <c r="O203" s="20">
        <f t="shared" ca="1" si="440"/>
        <v>9.8648932801121733E-2</v>
      </c>
      <c r="P203" s="19">
        <f t="shared" ca="1" si="446"/>
        <v>2.7497646705393172E-8</v>
      </c>
      <c r="Q203" s="19">
        <f ca="1">HCTrans(P203,Strike,RiskFreeRate,Dividend,Variance_T0*AnnualVarConvtr,(Simulation!G203)/250,0.5,Variance_Avg*AnnualVarConvtr,Lambda,SQRT(Simulation!N203),Rho,1,"Call")</f>
        <v>-1.507434754007192E-5</v>
      </c>
      <c r="R203" s="19" t="e">
        <f t="shared" ca="1" si="441"/>
        <v>#VALUE!</v>
      </c>
      <c r="S203" s="19" t="e">
        <f t="shared" ca="1" si="442"/>
        <v>#VALUE!</v>
      </c>
      <c r="T203" s="19" t="e">
        <f t="shared" ca="1" si="447"/>
        <v>#VALUE!</v>
      </c>
      <c r="U203" s="19" t="e">
        <f t="shared" ca="1" si="448"/>
        <v>#VALUE!</v>
      </c>
      <c r="V203" s="21">
        <f t="shared" ca="1" si="449"/>
        <v>2.3050692038267906E-5</v>
      </c>
      <c r="W203">
        <f t="shared" ca="1" si="450"/>
        <v>4.8011136248028857E-3</v>
      </c>
      <c r="X203" s="22">
        <f t="shared" ref="X203" ca="1" si="463">BSdelta(1,P203,Strike,W203*AnnualVarConvtr,Dividend,RiskFreeRate,G203/250)</f>
        <v>0</v>
      </c>
      <c r="Y203" s="22">
        <f t="shared" ca="1" si="456"/>
        <v>0</v>
      </c>
      <c r="Z203" s="22">
        <f t="shared" ca="1" si="457"/>
        <v>-7.4987778693709783</v>
      </c>
      <c r="AA203">
        <f t="shared" si="444"/>
        <v>0.73884103340948371</v>
      </c>
      <c r="AB203">
        <f t="shared" ref="AB203" ca="1" si="464">BSdelta(1,P203,Strike,AA203/AnnualVarConvtr,Dividend,RiskFreeRate,G203/250)</f>
        <v>0</v>
      </c>
      <c r="AC203">
        <f t="shared" ca="1" si="453"/>
        <v>0</v>
      </c>
      <c r="AD203">
        <f t="shared" ca="1" si="454"/>
        <v>-2.5925431188163572</v>
      </c>
    </row>
    <row r="204" spans="7:30" x14ac:dyDescent="0.25">
      <c r="G204" s="19">
        <v>51</v>
      </c>
      <c r="H204" s="19">
        <f t="shared" ca="1" si="358"/>
        <v>0.32091314278388383</v>
      </c>
      <c r="I204" s="19">
        <f t="shared" ca="1" si="358"/>
        <v>9.6854400296990439E-2</v>
      </c>
      <c r="J204" s="19">
        <f t="shared" ca="1" si="437"/>
        <v>1.2370336192456863</v>
      </c>
      <c r="K204" s="19">
        <f t="shared" ca="1" si="438"/>
        <v>0.86192654921646672</v>
      </c>
      <c r="L204" s="19">
        <f t="array" aca="1" ref="L204:M204" ca="1">MMULT(J204:K204,TRANSPOSE($B$10:$C$11))</f>
        <v>1.2370336192456863</v>
      </c>
      <c r="M204" s="19">
        <f ca="1"/>
        <v>-0.28506575377549159</v>
      </c>
      <c r="N204" s="20">
        <f t="shared" ca="1" si="439"/>
        <v>3.8278221662650554E-3</v>
      </c>
      <c r="O204" s="20">
        <f t="shared" ca="1" si="440"/>
        <v>0.10375347794463742</v>
      </c>
      <c r="P204" s="19">
        <f t="shared" ca="1" si="446"/>
        <v>2.6177966854390084E-8</v>
      </c>
      <c r="Q204" s="19">
        <f ca="1">HCTrans(P204,Strike,RiskFreeRate,Dividend,Variance_T0*AnnualVarConvtr,(Simulation!G204)/250,0.5,Variance_Avg*AnnualVarConvtr,Lambda,SQRT(Simulation!N204),Rho,1,"Call")</f>
        <v>-1.5074297600038837E-5</v>
      </c>
      <c r="R204" s="19" t="e">
        <f t="shared" ca="1" si="441"/>
        <v>#VALUE!</v>
      </c>
      <c r="S204" s="19" t="e">
        <f t="shared" ca="1" si="442"/>
        <v>#VALUE!</v>
      </c>
      <c r="T204" s="19" t="e">
        <f t="shared" ca="1" si="447"/>
        <v>#VALUE!</v>
      </c>
      <c r="U204" s="19" t="e">
        <f t="shared" ca="1" si="448"/>
        <v>#VALUE!</v>
      </c>
      <c r="V204" s="21">
        <f t="shared" ca="1" si="449"/>
        <v>2.605638112218959E-5</v>
      </c>
      <c r="W204">
        <f t="shared" ca="1" si="450"/>
        <v>5.1045451435156874E-3</v>
      </c>
      <c r="X204" s="22">
        <f t="shared" ref="X204" ca="1" si="465">BSdelta(1,P204,Strike,W204*AnnualVarConvtr,Dividend,RiskFreeRate,G204/250)</f>
        <v>0</v>
      </c>
      <c r="Y204" s="22">
        <f t="shared" ca="1" si="456"/>
        <v>0</v>
      </c>
      <c r="Z204" s="22">
        <f t="shared" ca="1" si="457"/>
        <v>-7.4987778693210387</v>
      </c>
      <c r="AA204">
        <f t="shared" si="444"/>
        <v>0.73884103340948371</v>
      </c>
      <c r="AB204">
        <f t="shared" ref="AB204" ca="1" si="466">BSdelta(1,P204,Strike,AA204/AnnualVarConvtr,Dividend,RiskFreeRate,G204/250)</f>
        <v>0</v>
      </c>
      <c r="AC204">
        <f t="shared" ca="1" si="453"/>
        <v>0</v>
      </c>
      <c r="AD204">
        <f t="shared" ca="1" si="454"/>
        <v>-2.5925431187664172</v>
      </c>
    </row>
    <row r="205" spans="7:30" x14ac:dyDescent="0.25">
      <c r="G205" s="19">
        <v>50</v>
      </c>
      <c r="H205" s="19">
        <f t="shared" ca="1" si="358"/>
        <v>0.16366167465236603</v>
      </c>
      <c r="I205" s="19">
        <f t="shared" ca="1" si="358"/>
        <v>0.87438683580806476</v>
      </c>
      <c r="J205" s="19">
        <f t="shared" ca="1" si="437"/>
        <v>1.3401522057450184</v>
      </c>
      <c r="K205" s="19">
        <f t="shared" ca="1" si="438"/>
        <v>-1.3505183998339172</v>
      </c>
      <c r="L205" s="19">
        <f t="array" aca="1" ref="L205:M205" ca="1">MMULT(J205:K205,TRANSPOSE($B$10:$C$11))</f>
        <v>1.3401522057450184</v>
      </c>
      <c r="M205" s="19">
        <f ca="1"/>
        <v>-1.9023232577535321</v>
      </c>
      <c r="N205" s="20">
        <f t="shared" ca="1" si="439"/>
        <v>1.5029015630293797E-3</v>
      </c>
      <c r="O205" s="20">
        <f t="shared" ca="1" si="440"/>
        <v>0.1089974455199411</v>
      </c>
      <c r="P205" s="19">
        <f t="shared" ca="1" si="446"/>
        <v>2.5540855972661648E-8</v>
      </c>
      <c r="Q205" s="19">
        <f ca="1">HCTrans(P205,Strike,RiskFreeRate,Dividend,Variance_T0*AnnualVarConvtr,(Simulation!G205)/250,0.5,Variance_Avg*AnnualVarConvtr,Lambda,SQRT(Simulation!N205),Rho,1,"Call")</f>
        <v>-1.5074273195060736E-5</v>
      </c>
      <c r="R205" s="19" t="e">
        <f t="shared" ca="1" si="441"/>
        <v>#VALUE!</v>
      </c>
      <c r="S205" s="19" t="e">
        <f t="shared" ca="1" si="442"/>
        <v>#VALUE!</v>
      </c>
      <c r="T205" s="19" t="e">
        <f t="shared" ca="1" si="447"/>
        <v>#VALUE!</v>
      </c>
      <c r="U205" s="19" t="e">
        <f t="shared" ca="1" si="448"/>
        <v>#VALUE!</v>
      </c>
      <c r="V205" s="21">
        <f t="shared" ca="1" si="449"/>
        <v>2.7499195930836377E-5</v>
      </c>
      <c r="W205">
        <f t="shared" ca="1" si="450"/>
        <v>5.2439675753036818E-3</v>
      </c>
      <c r="X205" s="22">
        <f t="shared" ref="X205" ca="1" si="467">BSdelta(1,P205,Strike,W205*AnnualVarConvtr,Dividend,RiskFreeRate,G205/250)</f>
        <v>0</v>
      </c>
      <c r="Y205" s="22">
        <f t="shared" ca="1" si="456"/>
        <v>0</v>
      </c>
      <c r="Z205" s="22">
        <f t="shared" ca="1" si="457"/>
        <v>-7.4987778692966334</v>
      </c>
      <c r="AA205">
        <f t="shared" si="444"/>
        <v>0.73884103340948371</v>
      </c>
      <c r="AB205">
        <f t="shared" ref="AB205" ca="1" si="468">BSdelta(1,P205,Strike,AA205/AnnualVarConvtr,Dividend,RiskFreeRate,G205/250)</f>
        <v>0</v>
      </c>
      <c r="AC205">
        <f t="shared" ca="1" si="453"/>
        <v>0</v>
      </c>
      <c r="AD205">
        <f t="shared" ca="1" si="454"/>
        <v>-2.5925431187420123</v>
      </c>
    </row>
    <row r="206" spans="7:30" x14ac:dyDescent="0.25">
      <c r="G206" s="19">
        <v>49</v>
      </c>
      <c r="H206" s="19">
        <f t="shared" ca="1" si="358"/>
        <v>0.91164344310010637</v>
      </c>
      <c r="I206" s="19">
        <f t="shared" ca="1" si="358"/>
        <v>0.35078088655546869</v>
      </c>
      <c r="J206" s="19">
        <f t="shared" ca="1" si="437"/>
        <v>-0.25452895655549973</v>
      </c>
      <c r="K206" s="19">
        <f t="shared" ca="1" si="438"/>
        <v>0.34673861049386756</v>
      </c>
      <c r="L206" s="19">
        <f t="array" aca="1" ref="L206:M206" ca="1">MMULT(J206:K206,TRANSPOSE($B$10:$C$11))</f>
        <v>-0.25452895655549973</v>
      </c>
      <c r="M206" s="19">
        <f ca="1"/>
        <v>0.42425037612066163</v>
      </c>
      <c r="N206" s="20">
        <f t="shared" ca="1" si="439"/>
        <v>1.9626260009616169E-3</v>
      </c>
      <c r="O206" s="20">
        <f t="shared" ca="1" si="440"/>
        <v>0.10837337673424871</v>
      </c>
      <c r="P206" s="19">
        <f t="shared" ca="1" si="446"/>
        <v>2.4701513648543484E-8</v>
      </c>
      <c r="Q206" s="19">
        <f ca="1">HCTrans(P206,Strike,RiskFreeRate,Dividend,Variance_T0*AnnualVarConvtr,(Simulation!G206)/250,0.5,Variance_Avg*AnnualVarConvtr,Lambda,SQRT(Simulation!N206),Rho,1,"Call")</f>
        <v>-1.507423998175858E-5</v>
      </c>
      <c r="R206" s="19" t="e">
        <f t="shared" ca="1" si="441"/>
        <v>#VALUE!</v>
      </c>
      <c r="S206" s="19" t="e">
        <f t="shared" ca="1" si="442"/>
        <v>#VALUE!</v>
      </c>
      <c r="T206" s="19" t="e">
        <f t="shared" ca="1" si="447"/>
        <v>#VALUE!</v>
      </c>
      <c r="U206" s="19" t="e">
        <f t="shared" ca="1" si="448"/>
        <v>#VALUE!</v>
      </c>
      <c r="V206" s="21">
        <f t="shared" ca="1" si="449"/>
        <v>3.8946184927557611E-7</v>
      </c>
      <c r="W206">
        <f t="shared" ca="1" si="450"/>
        <v>6.2406878569239155E-4</v>
      </c>
      <c r="X206" s="22">
        <f t="shared" ref="X206" ca="1" si="469">BSdelta(1,P206,Strike,W206*AnnualVarConvtr,Dividend,RiskFreeRate,G206/250)</f>
        <v>0</v>
      </c>
      <c r="Y206" s="22">
        <f t="shared" ca="1" si="456"/>
        <v>0</v>
      </c>
      <c r="Z206" s="22">
        <f t="shared" ca="1" si="457"/>
        <v>-7.4987778692634199</v>
      </c>
      <c r="AA206">
        <f t="shared" si="444"/>
        <v>0.73884103340948371</v>
      </c>
      <c r="AB206">
        <f t="shared" ref="AB206" ca="1" si="470">BSdelta(1,P206,Strike,AA206/AnnualVarConvtr,Dividend,RiskFreeRate,G206/250)</f>
        <v>0</v>
      </c>
      <c r="AC206">
        <f t="shared" ca="1" si="453"/>
        <v>0</v>
      </c>
      <c r="AD206">
        <f t="shared" ca="1" si="454"/>
        <v>-2.5925431187087988</v>
      </c>
    </row>
    <row r="207" spans="7:30" x14ac:dyDescent="0.25">
      <c r="G207" s="19">
        <v>48</v>
      </c>
      <c r="H207" s="19">
        <f t="shared" ca="1" si="358"/>
        <v>3.563027988753642E-2</v>
      </c>
      <c r="I207" s="19">
        <f t="shared" ca="1" si="358"/>
        <v>8.0699141757611725E-2</v>
      </c>
      <c r="J207" s="19">
        <f t="shared" ca="1" si="437"/>
        <v>2.2575432166275058</v>
      </c>
      <c r="K207" s="19">
        <f t="shared" ca="1" si="438"/>
        <v>1.2540404750525993</v>
      </c>
      <c r="L207" s="19">
        <f t="array" aca="1" ref="L207:M207" ca="1">MMULT(J207:K207,TRANSPOSE($B$10:$C$11))</f>
        <v>2.2575432166275058</v>
      </c>
      <c r="M207" s="19">
        <f ca="1"/>
        <v>-0.7427272673028098</v>
      </c>
      <c r="N207" s="20">
        <f t="shared" ca="1" si="439"/>
        <v>1.2656762545571387E-3</v>
      </c>
      <c r="O207" s="20">
        <f t="shared" ca="1" si="440"/>
        <v>0.11469873083102324</v>
      </c>
      <c r="P207" s="19">
        <f t="shared" ca="1" si="446"/>
        <v>2.3729654087573238E-8</v>
      </c>
      <c r="Q207" s="19">
        <f ca="1">HCTrans(P207,Strike,RiskFreeRate,Dividend,Variance_T0*AnnualVarConvtr,(Simulation!G207)/250,0.5,Variance_Avg*AnnualVarConvtr,Lambda,SQRT(Simulation!N207),Rho,1,"Call")</f>
        <v>-1.5074200183161741E-5</v>
      </c>
      <c r="R207" s="19" t="e">
        <f t="shared" ca="1" si="441"/>
        <v>#VALUE!</v>
      </c>
      <c r="S207" s="19" t="e">
        <f t="shared" ca="1" si="442"/>
        <v>#VALUE!</v>
      </c>
      <c r="T207" s="19" t="e">
        <f t="shared" ca="1" si="447"/>
        <v>#VALUE!</v>
      </c>
      <c r="U207" s="19" t="e">
        <f t="shared" ca="1" si="448"/>
        <v>#VALUE!</v>
      </c>
      <c r="V207" s="21">
        <f t="shared" ca="1" si="449"/>
        <v>4.0010104449582255E-5</v>
      </c>
      <c r="W207">
        <f t="shared" ca="1" si="450"/>
        <v>6.3253540967745242E-3</v>
      </c>
      <c r="X207" s="22">
        <f t="shared" ref="X207" ca="1" si="471">BSdelta(1,P207,Strike,W207*AnnualVarConvtr,Dividend,RiskFreeRate,G207/250)</f>
        <v>0</v>
      </c>
      <c r="Y207" s="22">
        <f t="shared" ca="1" si="456"/>
        <v>0</v>
      </c>
      <c r="Z207" s="22">
        <f t="shared" ca="1" si="457"/>
        <v>-7.4987778692236216</v>
      </c>
      <c r="AA207">
        <f t="shared" si="444"/>
        <v>0.73884103340948371</v>
      </c>
      <c r="AB207">
        <f t="shared" ref="AB207" ca="1" si="472">BSdelta(1,P207,Strike,AA207/AnnualVarConvtr,Dividend,RiskFreeRate,G207/250)</f>
        <v>0</v>
      </c>
      <c r="AC207">
        <f t="shared" ca="1" si="453"/>
        <v>0</v>
      </c>
      <c r="AD207">
        <f t="shared" ca="1" si="454"/>
        <v>-2.5925431186690004</v>
      </c>
    </row>
    <row r="208" spans="7:30" x14ac:dyDescent="0.25">
      <c r="G208" s="19">
        <v>47</v>
      </c>
      <c r="H208" s="19">
        <f t="shared" ca="1" si="358"/>
        <v>0.20895847280449564</v>
      </c>
      <c r="I208" s="19">
        <f t="shared" ca="1" si="358"/>
        <v>0.56315913699449238</v>
      </c>
      <c r="J208" s="19">
        <f t="shared" ca="1" si="437"/>
        <v>-1.6320148498127929</v>
      </c>
      <c r="K208" s="19">
        <f t="shared" ca="1" si="438"/>
        <v>-0.68393494788661247</v>
      </c>
      <c r="L208" s="19">
        <f t="array" aca="1" ref="L208:M208" ca="1">MMULT(J208:K208,TRANSPOSE($B$10:$C$11))</f>
        <v>-1.6320148498127929</v>
      </c>
      <c r="M208" s="19">
        <f ca="1"/>
        <v>0.69223444893092934</v>
      </c>
      <c r="N208" s="20">
        <f t="shared" ca="1" si="439"/>
        <v>1.9722109308326547E-3</v>
      </c>
      <c r="O208" s="20">
        <f t="shared" ca="1" si="440"/>
        <v>0.11102662306574311</v>
      </c>
      <c r="P208" s="19">
        <f t="shared" ca="1" si="446"/>
        <v>2.3629309634929222E-8</v>
      </c>
      <c r="Q208" s="19">
        <f ca="1">HCTrans(P208,Strike,RiskFreeRate,Dividend,Variance_T0*AnnualVarConvtr,(Simulation!G208)/250,0.5,Variance_Avg*AnnualVarConvtr,Lambda,SQRT(Simulation!N208),Rho,1,"Call")</f>
        <v>-1.507419678118384E-5</v>
      </c>
      <c r="R208" s="19" t="e">
        <f t="shared" ca="1" si="441"/>
        <v>#VALUE!</v>
      </c>
      <c r="S208" s="19" t="e">
        <f t="shared" ca="1" si="442"/>
        <v>#VALUE!</v>
      </c>
      <c r="T208" s="19" t="e">
        <f t="shared" ca="1" si="447"/>
        <v>#VALUE!</v>
      </c>
      <c r="U208" s="19" t="e">
        <f t="shared" ca="1" si="448"/>
        <v>#VALUE!</v>
      </c>
      <c r="V208" s="21">
        <f t="shared" ca="1" si="449"/>
        <v>1.3484375439830592E-5</v>
      </c>
      <c r="W208">
        <f t="shared" ca="1" si="450"/>
        <v>3.6721077652801248E-3</v>
      </c>
      <c r="X208" s="22">
        <f t="shared" ref="X208" ca="1" si="473">BSdelta(1,P208,Strike,W208*AnnualVarConvtr,Dividend,RiskFreeRate,G208/250)</f>
        <v>0</v>
      </c>
      <c r="Y208" s="22">
        <f t="shared" ca="1" si="456"/>
        <v>0</v>
      </c>
      <c r="Z208" s="22">
        <f t="shared" ca="1" si="457"/>
        <v>-7.4987778692202198</v>
      </c>
      <c r="AA208">
        <f t="shared" si="444"/>
        <v>0.73884103340948371</v>
      </c>
      <c r="AB208">
        <f t="shared" ref="AB208" ca="1" si="474">BSdelta(1,P208,Strike,AA208/AnnualVarConvtr,Dividend,RiskFreeRate,G208/250)</f>
        <v>0</v>
      </c>
      <c r="AC208">
        <f t="shared" ca="1" si="453"/>
        <v>0</v>
      </c>
      <c r="AD208">
        <f t="shared" ca="1" si="454"/>
        <v>-2.5925431186655983</v>
      </c>
    </row>
    <row r="209" spans="7:30" x14ac:dyDescent="0.25">
      <c r="G209" s="19">
        <v>46</v>
      </c>
      <c r="H209" s="19">
        <f t="shared" ca="1" si="358"/>
        <v>0.72536495636220222</v>
      </c>
      <c r="I209" s="19">
        <f t="shared" ca="1" si="358"/>
        <v>0.71770286592641541</v>
      </c>
      <c r="J209" s="19">
        <f t="shared" ca="1" si="437"/>
        <v>-0.16150311586909866</v>
      </c>
      <c r="K209" s="19">
        <f t="shared" ca="1" si="438"/>
        <v>-0.78490602556131717</v>
      </c>
      <c r="L209" s="19">
        <f t="array" aca="1" ref="L209:M209" ca="1">MMULT(J209:K209,TRANSPOSE($B$10:$C$11))</f>
        <v>-0.16150311586909866</v>
      </c>
      <c r="M209" s="19">
        <f ca="1"/>
        <v>-0.43182332882398605</v>
      </c>
      <c r="N209" s="20">
        <f t="shared" ca="1" si="439"/>
        <v>1.5569076908568931E-3</v>
      </c>
      <c r="O209" s="20">
        <f t="shared" ca="1" si="440"/>
        <v>0.11057300788322091</v>
      </c>
      <c r="P209" s="19">
        <f t="shared" ca="1" si="446"/>
        <v>2.3153682546229165E-8</v>
      </c>
      <c r="Q209" s="19">
        <f ca="1">HCTrans(P209,Strike,RiskFreeRate,Dividend,Variance_T0*AnnualVarConvtr,(Simulation!G209)/250,0.5,Variance_Avg*AnnualVarConvtr,Lambda,SQRT(Simulation!N209),Rho,1,"Call")</f>
        <v>-1.5074177190494031E-5</v>
      </c>
      <c r="R209" s="19" t="e">
        <f t="shared" ca="1" si="441"/>
        <v>#VALUE!</v>
      </c>
      <c r="S209" s="19" t="e">
        <f t="shared" ca="1" si="442"/>
        <v>#VALUE!</v>
      </c>
      <c r="T209" s="19" t="e">
        <f t="shared" ca="1" si="447"/>
        <v>#VALUE!</v>
      </c>
      <c r="U209" s="19" t="e">
        <f t="shared" ca="1" si="448"/>
        <v>#VALUE!</v>
      </c>
      <c r="V209" s="21">
        <f t="shared" ca="1" si="449"/>
        <v>2.057667338146454E-7</v>
      </c>
      <c r="W209">
        <f t="shared" ca="1" si="450"/>
        <v>4.5361518252219624E-4</v>
      </c>
      <c r="X209" s="22">
        <f t="shared" ref="X209" ca="1" si="475">BSdelta(1,P209,Strike,W209*AnnualVarConvtr,Dividend,RiskFreeRate,G209/250)</f>
        <v>0</v>
      </c>
      <c r="Y209" s="22">
        <f t="shared" ca="1" si="456"/>
        <v>0</v>
      </c>
      <c r="Z209" s="22">
        <f t="shared" ca="1" si="457"/>
        <v>-7.4987778692006293</v>
      </c>
      <c r="AA209">
        <f t="shared" si="444"/>
        <v>0.73884103340948371</v>
      </c>
      <c r="AB209">
        <f t="shared" ref="AB209" ca="1" si="476">BSdelta(1,P209,Strike,AA209/AnnualVarConvtr,Dividend,RiskFreeRate,G209/250)</f>
        <v>0</v>
      </c>
      <c r="AC209">
        <f t="shared" ca="1" si="453"/>
        <v>0</v>
      </c>
      <c r="AD209">
        <f t="shared" ca="1" si="454"/>
        <v>-2.5925431186460077</v>
      </c>
    </row>
    <row r="210" spans="7:30" x14ac:dyDescent="0.25">
      <c r="G210" s="19">
        <v>45</v>
      </c>
      <c r="H210" s="19">
        <f t="shared" ca="1" si="358"/>
        <v>0.55858231932725344</v>
      </c>
      <c r="I210" s="19">
        <f t="shared" ca="1" si="358"/>
        <v>1.8333338040199321E-2</v>
      </c>
      <c r="J210" s="19">
        <f t="shared" ca="1" si="437"/>
        <v>1.0720634939610276</v>
      </c>
      <c r="K210" s="19">
        <f t="shared" ca="1" si="438"/>
        <v>0.12404201053939522</v>
      </c>
      <c r="L210" s="19">
        <f t="array" aca="1" ref="L210:M210" ca="1">MMULT(J210:K210,TRANSPOSE($B$10:$C$11))</f>
        <v>1.0720634939610276</v>
      </c>
      <c r="M210" s="19">
        <f ca="1"/>
        <v>-0.68160338808730758</v>
      </c>
      <c r="N210" s="20">
        <f t="shared" ca="1" si="439"/>
        <v>9.9637672283920883E-4</v>
      </c>
      <c r="O210" s="20">
        <f t="shared" ca="1" si="440"/>
        <v>0.11324836607050638</v>
      </c>
      <c r="P210" s="19">
        <f t="shared" ca="1" si="446"/>
        <v>2.2614253204236254E-8</v>
      </c>
      <c r="Q210" s="19">
        <f ca="1">HCTrans(P210,Strike,RiskFreeRate,Dividend,Variance_T0*AnnualVarConvtr,(Simulation!G210)/250,0.5,Variance_Avg*AnnualVarConvtr,Lambda,SQRT(Simulation!N210),Rho,1,"Call")</f>
        <v>-1.5074154430990602E-5</v>
      </c>
      <c r="R210" s="19" t="e">
        <f t="shared" ca="1" si="441"/>
        <v>#VALUE!</v>
      </c>
      <c r="S210" s="19" t="e">
        <f t="shared" ca="1" si="442"/>
        <v>#VALUE!</v>
      </c>
      <c r="T210" s="19" t="e">
        <f t="shared" ca="1" si="447"/>
        <v>#VALUE!</v>
      </c>
      <c r="U210" s="19" t="e">
        <f t="shared" ca="1" si="448"/>
        <v>#VALUE!</v>
      </c>
      <c r="V210" s="21">
        <f t="shared" ca="1" si="449"/>
        <v>7.1575414302753833E-6</v>
      </c>
      <c r="W210">
        <f t="shared" ca="1" si="450"/>
        <v>2.6753581872854676E-3</v>
      </c>
      <c r="X210" s="22">
        <f t="shared" ref="X210" ca="1" si="477">BSdelta(1,P210,Strike,W210*AnnualVarConvtr,Dividend,RiskFreeRate,G210/250)</f>
        <v>0</v>
      </c>
      <c r="Y210" s="22">
        <f t="shared" ca="1" si="456"/>
        <v>0</v>
      </c>
      <c r="Z210" s="22">
        <f t="shared" ca="1" si="457"/>
        <v>-7.4987778691778697</v>
      </c>
      <c r="AA210">
        <f t="shared" si="444"/>
        <v>0.73884103340948371</v>
      </c>
      <c r="AB210">
        <f t="shared" ref="AB210" ca="1" si="478">BSdelta(1,P210,Strike,AA210/AnnualVarConvtr,Dividend,RiskFreeRate,G210/250)</f>
        <v>0</v>
      </c>
      <c r="AC210">
        <f t="shared" ca="1" si="453"/>
        <v>0</v>
      </c>
      <c r="AD210">
        <f t="shared" ca="1" si="454"/>
        <v>-2.5925431186232482</v>
      </c>
    </row>
    <row r="211" spans="7:30" x14ac:dyDescent="0.25">
      <c r="G211" s="19">
        <v>44</v>
      </c>
      <c r="H211" s="19">
        <f t="shared" ca="1" si="358"/>
        <v>0.79803533920371927</v>
      </c>
      <c r="I211" s="19">
        <f t="shared" ca="1" si="358"/>
        <v>0.13510432392895799</v>
      </c>
      <c r="J211" s="19">
        <f t="shared" ca="1" si="437"/>
        <v>0.44388457691267141</v>
      </c>
      <c r="K211" s="19">
        <f t="shared" ca="1" si="438"/>
        <v>0.50415402207253401</v>
      </c>
      <c r="L211" s="19">
        <f t="array" aca="1" ref="L211:M211" ca="1">MMULT(J211:K211,TRANSPOSE($B$10:$C$11))</f>
        <v>0.44388457691267141</v>
      </c>
      <c r="M211" s="19">
        <f ca="1"/>
        <v>3.3648038485493803E-2</v>
      </c>
      <c r="N211" s="20">
        <f t="shared" ca="1" si="439"/>
        <v>1.0546594808195449E-3</v>
      </c>
      <c r="O211" s="20">
        <f t="shared" ca="1" si="440"/>
        <v>0.11413452544799248</v>
      </c>
      <c r="P211" s="19">
        <f t="shared" ca="1" si="446"/>
        <v>2.1939487493720224E-8</v>
      </c>
      <c r="Q211" s="19">
        <f ca="1">HCTrans(P211,Strike,RiskFreeRate,Dividend,Variance_T0*AnnualVarConvtr,(Simulation!G211)/250,0.5,Variance_Avg*AnnualVarConvtr,Lambda,SQRT(Simulation!N211),Rho,1,"Call")</f>
        <v>-1.5074125068816303E-5</v>
      </c>
      <c r="R211" s="19" t="e">
        <f t="shared" ca="1" si="441"/>
        <v>#VALUE!</v>
      </c>
      <c r="S211" s="19" t="e">
        <f t="shared" ca="1" si="442"/>
        <v>#VALUE!</v>
      </c>
      <c r="T211" s="19" t="e">
        <f t="shared" ca="1" si="447"/>
        <v>#VALUE!</v>
      </c>
      <c r="U211" s="19" t="e">
        <f t="shared" ca="1" si="448"/>
        <v>#VALUE!</v>
      </c>
      <c r="V211" s="21">
        <f t="shared" ca="1" si="449"/>
        <v>7.8527844230654415E-7</v>
      </c>
      <c r="W211">
        <f t="shared" ca="1" si="450"/>
        <v>8.8615937748609541E-4</v>
      </c>
      <c r="X211" s="22">
        <f t="shared" ref="X211" ca="1" si="479">BSdelta(1,P211,Strike,W211*AnnualVarConvtr,Dividend,RiskFreeRate,G211/250)</f>
        <v>0</v>
      </c>
      <c r="Y211" s="22">
        <f t="shared" ca="1" si="456"/>
        <v>0</v>
      </c>
      <c r="Z211" s="22">
        <f t="shared" ca="1" si="457"/>
        <v>-7.4987778691485074</v>
      </c>
      <c r="AA211">
        <f t="shared" si="444"/>
        <v>0.73884103340948371</v>
      </c>
      <c r="AB211">
        <f t="shared" ref="AB211" ca="1" si="480">BSdelta(1,P211,Strike,AA211/AnnualVarConvtr,Dividend,RiskFreeRate,G211/250)</f>
        <v>0</v>
      </c>
      <c r="AC211">
        <f t="shared" ca="1" si="453"/>
        <v>0</v>
      </c>
      <c r="AD211">
        <f t="shared" ca="1" si="454"/>
        <v>-2.5925431185938859</v>
      </c>
    </row>
    <row r="212" spans="7:30" x14ac:dyDescent="0.25">
      <c r="G212" s="19">
        <v>43</v>
      </c>
      <c r="H212" s="19">
        <f t="shared" ca="1" si="358"/>
        <v>0.14095359094697968</v>
      </c>
      <c r="I212" s="19">
        <f t="shared" ca="1" si="358"/>
        <v>0.23890627351239635</v>
      </c>
      <c r="J212" s="19">
        <f t="shared" ca="1" si="437"/>
        <v>0.13787127041675101</v>
      </c>
      <c r="K212" s="19">
        <f t="shared" ca="1" si="438"/>
        <v>1.9747507900492132</v>
      </c>
      <c r="L212" s="19">
        <f t="array" aca="1" ref="L212:M212" ca="1">MMULT(J212:K212,TRANSPOSE($B$10:$C$11))</f>
        <v>0.13787127041675101</v>
      </c>
      <c r="M212" s="19">
        <f ca="1"/>
        <v>1.2787758944922487</v>
      </c>
      <c r="N212" s="20">
        <f t="shared" ca="1" si="439"/>
        <v>2.3505203849555891E-3</v>
      </c>
      <c r="O212" s="20">
        <f t="shared" ca="1" si="440"/>
        <v>0.11441770370456025</v>
      </c>
      <c r="P212" s="19">
        <f t="shared" ca="1" si="446"/>
        <v>2.105381715726768E-8</v>
      </c>
      <c r="Q212" s="19">
        <f ca="1">HCTrans(P212,Strike,RiskFreeRate,Dividend,Variance_T0*AnnualVarConvtr,(Simulation!G212)/250,0.5,Variance_Avg*AnnualVarConvtr,Lambda,SQRT(Simulation!N212),Rho,1,"Call")</f>
        <v>-1.5074085087573887E-5</v>
      </c>
      <c r="R212" s="19" t="e">
        <f t="shared" ca="1" si="441"/>
        <v>#VALUE!</v>
      </c>
      <c r="S212" s="19" t="e">
        <f t="shared" ca="1" si="442"/>
        <v>#VALUE!</v>
      </c>
      <c r="T212" s="19" t="e">
        <f t="shared" ca="1" si="447"/>
        <v>#VALUE!</v>
      </c>
      <c r="U212" s="19" t="e">
        <f t="shared" ca="1" si="448"/>
        <v>#VALUE!</v>
      </c>
      <c r="V212" s="21">
        <f t="shared" ca="1" si="449"/>
        <v>8.0189924992765145E-8</v>
      </c>
      <c r="W212">
        <f t="shared" ca="1" si="450"/>
        <v>2.8317825656777595E-4</v>
      </c>
      <c r="X212" s="22">
        <f t="shared" ref="X212" ca="1" si="481">BSdelta(1,P212,Strike,W212*AnnualVarConvtr,Dividend,RiskFreeRate,G212/250)</f>
        <v>0</v>
      </c>
      <c r="Y212" s="22">
        <f t="shared" ca="1" si="456"/>
        <v>0</v>
      </c>
      <c r="Z212" s="22">
        <f t="shared" ca="1" si="457"/>
        <v>-7.4987778691085261</v>
      </c>
      <c r="AA212">
        <f t="shared" si="444"/>
        <v>0.73884103340948371</v>
      </c>
      <c r="AB212">
        <f t="shared" ref="AB212" ca="1" si="482">BSdelta(1,P212,Strike,AA212/AnnualVarConvtr,Dividend,RiskFreeRate,G212/250)</f>
        <v>0</v>
      </c>
      <c r="AC212">
        <f t="shared" ca="1" si="453"/>
        <v>0</v>
      </c>
      <c r="AD212">
        <f t="shared" ca="1" si="454"/>
        <v>-2.5925431185539045</v>
      </c>
    </row>
    <row r="213" spans="7:30" x14ac:dyDescent="0.25">
      <c r="G213" s="19">
        <v>42</v>
      </c>
      <c r="H213" s="19">
        <f t="shared" ca="1" si="358"/>
        <v>0.70215697473765726</v>
      </c>
      <c r="I213" s="19">
        <f t="shared" ca="1" si="358"/>
        <v>0.17841661974253298</v>
      </c>
      <c r="J213" s="19">
        <f t="shared" ca="1" si="437"/>
        <v>0.36561125366285296</v>
      </c>
      <c r="K213" s="19">
        <f t="shared" ca="1" si="438"/>
        <v>0.75731432683346955</v>
      </c>
      <c r="L213" s="19">
        <f t="array" aca="1" ref="L213:M213" ca="1">MMULT(J213:K213,TRANSPOSE($B$10:$C$11))</f>
        <v>0.36561125366285296</v>
      </c>
      <c r="M213" s="19">
        <f ca="1"/>
        <v>0.26633223523415533</v>
      </c>
      <c r="N213" s="20">
        <f t="shared" ca="1" si="439"/>
        <v>2.7026880463167265E-3</v>
      </c>
      <c r="O213" s="20">
        <f t="shared" ca="1" si="440"/>
        <v>0.11553877068627967</v>
      </c>
      <c r="P213" s="19">
        <f t="shared" ca="1" si="446"/>
        <v>2.0292067035881595E-8</v>
      </c>
      <c r="Q213" s="19">
        <f ca="1">HCTrans(P213,Strike,RiskFreeRate,Dividend,Variance_T0*AnnualVarConvtr,(Simulation!G213)/250,0.5,Variance_Avg*AnnualVarConvtr,Lambda,SQRT(Simulation!N213),Rho,1,"Call")</f>
        <v>-1.5074049695518801E-5</v>
      </c>
      <c r="R213" s="19" t="e">
        <f t="shared" ca="1" si="441"/>
        <v>#VALUE!</v>
      </c>
      <c r="S213" s="19" t="e">
        <f t="shared" ca="1" si="442"/>
        <v>#VALUE!</v>
      </c>
      <c r="T213" s="19" t="e">
        <f t="shared" ca="1" si="447"/>
        <v>#VALUE!</v>
      </c>
      <c r="U213" s="19" t="e">
        <f t="shared" ca="1" si="448"/>
        <v>#VALUE!</v>
      </c>
      <c r="V213" s="21">
        <f t="shared" ca="1" si="449"/>
        <v>1.2567911775014859E-6</v>
      </c>
      <c r="W213">
        <f t="shared" ca="1" si="450"/>
        <v>1.121066981719418E-3</v>
      </c>
      <c r="X213" s="22">
        <f t="shared" ref="X213" ca="1" si="483">BSdelta(1,P213,Strike,W213*AnnualVarConvtr,Dividend,RiskFreeRate,G213/250)</f>
        <v>0</v>
      </c>
      <c r="Y213" s="22">
        <f t="shared" ca="1" si="456"/>
        <v>0</v>
      </c>
      <c r="Z213" s="22">
        <f t="shared" ca="1" si="457"/>
        <v>-7.4987778690731339</v>
      </c>
      <c r="AA213">
        <f t="shared" si="444"/>
        <v>0.73884103340948371</v>
      </c>
      <c r="AB213">
        <f t="shared" ref="AB213" ca="1" si="484">BSdelta(1,P213,Strike,AA213/AnnualVarConvtr,Dividend,RiskFreeRate,G213/250)</f>
        <v>0</v>
      </c>
      <c r="AC213">
        <f t="shared" ca="1" si="453"/>
        <v>0</v>
      </c>
      <c r="AD213">
        <f t="shared" ca="1" si="454"/>
        <v>-2.5925431185185124</v>
      </c>
    </row>
    <row r="214" spans="7:30" x14ac:dyDescent="0.25">
      <c r="G214" s="19">
        <v>41</v>
      </c>
      <c r="H214" s="19">
        <f t="shared" ca="1" si="358"/>
        <v>0.65462458008745616</v>
      </c>
      <c r="I214" s="19">
        <f t="shared" ca="1" si="358"/>
        <v>5.8660891508577562E-2</v>
      </c>
      <c r="J214" s="19">
        <f t="shared" ca="1" si="437"/>
        <v>0.85871372671612889</v>
      </c>
      <c r="K214" s="19">
        <f t="shared" ca="1" si="438"/>
        <v>0.33165866674169142</v>
      </c>
      <c r="L214" s="19">
        <f t="array" aca="1" ref="L214:M214" ca="1">MMULT(J214:K214,TRANSPOSE($B$10:$C$11))</f>
        <v>0.85871372671612889</v>
      </c>
      <c r="M214" s="19">
        <f ca="1"/>
        <v>-0.38390758054306623</v>
      </c>
      <c r="N214" s="20">
        <f t="shared" ca="1" si="439"/>
        <v>2.2584806160442384E-3</v>
      </c>
      <c r="O214" s="20">
        <f t="shared" ca="1" si="440"/>
        <v>0.11836219637187027</v>
      </c>
      <c r="P214" s="19">
        <f t="shared" ca="1" si="446"/>
        <v>1.9951960317297698E-8</v>
      </c>
      <c r="Q214" s="19">
        <f ca="1">HCTrans(P214,Strike,RiskFreeRate,Dividend,Variance_T0*AnnualVarConvtr,(Simulation!G214)/250,0.5,Variance_Avg*AnnualVarConvtr,Lambda,SQRT(Simulation!N214),Rho,1,"Call")</f>
        <v>-1.5074034013031078E-5</v>
      </c>
      <c r="R214" s="19" t="e">
        <f t="shared" ca="1" si="441"/>
        <v>#VALUE!</v>
      </c>
      <c r="S214" s="19" t="e">
        <f t="shared" ca="1" si="442"/>
        <v>#VALUE!</v>
      </c>
      <c r="T214" s="19" t="e">
        <f t="shared" ca="1" si="447"/>
        <v>#VALUE!</v>
      </c>
      <c r="U214" s="19" t="e">
        <f t="shared" ca="1" si="448"/>
        <v>#VALUE!</v>
      </c>
      <c r="V214" s="21">
        <f t="shared" ca="1" si="449"/>
        <v>7.9717326020527648E-6</v>
      </c>
      <c r="W214">
        <f t="shared" ca="1" si="450"/>
        <v>2.8234256855906026E-3</v>
      </c>
      <c r="X214" s="22">
        <f t="shared" ref="X214" ca="1" si="485">BSdelta(1,P214,Strike,W214*AnnualVarConvtr,Dividend,RiskFreeRate,G214/250)</f>
        <v>0</v>
      </c>
      <c r="Y214" s="22">
        <f t="shared" ca="1" si="456"/>
        <v>0</v>
      </c>
      <c r="Z214" s="22">
        <f t="shared" ca="1" si="457"/>
        <v>-7.4987778690574514</v>
      </c>
      <c r="AA214">
        <f t="shared" si="444"/>
        <v>0.73884103340948371</v>
      </c>
      <c r="AB214">
        <f t="shared" ref="AB214" ca="1" si="486">BSdelta(1,P214,Strike,AA214/AnnualVarConvtr,Dividend,RiskFreeRate,G214/250)</f>
        <v>0</v>
      </c>
      <c r="AC214">
        <f t="shared" ca="1" si="453"/>
        <v>0</v>
      </c>
      <c r="AD214">
        <f t="shared" ca="1" si="454"/>
        <v>-2.5925431185028298</v>
      </c>
    </row>
    <row r="215" spans="7:30" x14ac:dyDescent="0.25">
      <c r="G215" s="19">
        <v>40</v>
      </c>
      <c r="H215" s="19">
        <f t="shared" ca="1" si="358"/>
        <v>0.84895251655043646</v>
      </c>
      <c r="I215" s="19">
        <f t="shared" ca="1" si="358"/>
        <v>6.8074676554223501E-2</v>
      </c>
      <c r="J215" s="19">
        <f t="shared" ca="1" si="437"/>
        <v>0.52072384016294715</v>
      </c>
      <c r="K215" s="19">
        <f t="shared" ca="1" si="438"/>
        <v>0.23738308304561351</v>
      </c>
      <c r="L215" s="19">
        <f t="array" aca="1" ref="L215:M215" ca="1">MMULT(J215:K215,TRANSPOSE($B$10:$C$11))</f>
        <v>0.52072384016294715</v>
      </c>
      <c r="M215" s="19">
        <f ca="1"/>
        <v>-0.20750325704235534</v>
      </c>
      <c r="N215" s="20">
        <f t="shared" ca="1" si="439"/>
        <v>2.0485297436481716E-3</v>
      </c>
      <c r="O215" s="20">
        <f t="shared" ca="1" si="440"/>
        <v>0.11992730916273649</v>
      </c>
      <c r="P215" s="19">
        <f t="shared" ca="1" si="446"/>
        <v>1.9332321541710174E-8</v>
      </c>
      <c r="Q215" s="19">
        <f ca="1">HCTrans(P215,Strike,RiskFreeRate,Dividend,Variance_T0*AnnualVarConvtr,(Simulation!G215)/250,0.5,Variance_Avg*AnnualVarConvtr,Lambda,SQRT(Simulation!N215),Rho,1,"Call")</f>
        <v>-1.5074004139161493E-5</v>
      </c>
      <c r="R215" s="19" t="e">
        <f t="shared" ca="1" si="441"/>
        <v>#VALUE!</v>
      </c>
      <c r="S215" s="19" t="e">
        <f t="shared" ca="1" si="442"/>
        <v>#VALUE!</v>
      </c>
      <c r="T215" s="19" t="e">
        <f t="shared" ca="1" si="447"/>
        <v>#VALUE!</v>
      </c>
      <c r="U215" s="19" t="e">
        <f t="shared" ca="1" si="448"/>
        <v>#VALUE!</v>
      </c>
      <c r="V215" s="21">
        <f t="shared" ca="1" si="449"/>
        <v>2.4495780481330267E-6</v>
      </c>
      <c r="W215">
        <f t="shared" ca="1" si="450"/>
        <v>1.5651127908662132E-3</v>
      </c>
      <c r="X215" s="22">
        <f t="shared" ref="X215" ca="1" si="487">BSdelta(1,P215,Strike,W215*AnnualVarConvtr,Dividend,RiskFreeRate,G215/250)</f>
        <v>0</v>
      </c>
      <c r="Y215" s="22">
        <f t="shared" ca="1" si="456"/>
        <v>0</v>
      </c>
      <c r="Z215" s="22">
        <f t="shared" ca="1" si="457"/>
        <v>-7.4987778690275775</v>
      </c>
      <c r="AA215">
        <f t="shared" si="444"/>
        <v>0.73884103340948371</v>
      </c>
      <c r="AB215">
        <f t="shared" ref="AB215" ca="1" si="488">BSdelta(1,P215,Strike,AA215/AnnualVarConvtr,Dividend,RiskFreeRate,G215/250)</f>
        <v>0</v>
      </c>
      <c r="AC215">
        <f t="shared" ca="1" si="453"/>
        <v>0</v>
      </c>
      <c r="AD215">
        <f t="shared" ca="1" si="454"/>
        <v>-2.5925431184729559</v>
      </c>
    </row>
    <row r="216" spans="7:30" x14ac:dyDescent="0.25">
      <c r="G216" s="19">
        <v>39</v>
      </c>
      <c r="H216" s="19">
        <f t="shared" ca="1" si="358"/>
        <v>0.37509700854522865</v>
      </c>
      <c r="I216" s="19">
        <f t="shared" ca="1" si="358"/>
        <v>0.83800673181596097</v>
      </c>
      <c r="J216" s="19">
        <f t="shared" ca="1" si="437"/>
        <v>0.73550890247552081</v>
      </c>
      <c r="K216" s="19">
        <f t="shared" ca="1" si="438"/>
        <v>-1.1917079543258557</v>
      </c>
      <c r="L216" s="19">
        <f t="array" aca="1" ref="L216:M216" ca="1">MMULT(J216:K216,TRANSPOSE($B$10:$C$11))</f>
        <v>0.73550890247552081</v>
      </c>
      <c r="M216" s="19">
        <f ca="1"/>
        <v>-1.358312214205037</v>
      </c>
      <c r="N216" s="20">
        <f t="shared" ca="1" si="439"/>
        <v>8.4488483469924913E-4</v>
      </c>
      <c r="O216" s="20">
        <f t="shared" ca="1" si="440"/>
        <v>0.1220327307252982</v>
      </c>
      <c r="P216" s="19">
        <f t="shared" ca="1" si="446"/>
        <v>1.8981630809955531E-8</v>
      </c>
      <c r="Q216" s="19">
        <f ca="1">HCTrans(P216,Strike,RiskFreeRate,Dividend,Variance_T0*AnnualVarConvtr,(Simulation!G216)/250,0.5,Variance_Avg*AnnualVarConvtr,Lambda,SQRT(Simulation!N216),Rho,1,"Call")</f>
        <v>-1.5073987242340127E-5</v>
      </c>
      <c r="R216" s="19" t="e">
        <f t="shared" ca="1" si="441"/>
        <v>#VALUE!</v>
      </c>
      <c r="S216" s="19" t="e">
        <f t="shared" ca="1" si="442"/>
        <v>#VALUE!</v>
      </c>
      <c r="T216" s="19" t="e">
        <f t="shared" ca="1" si="447"/>
        <v>#VALUE!</v>
      </c>
      <c r="U216" s="19" t="e">
        <f t="shared" ca="1" si="448"/>
        <v>#VALUE!</v>
      </c>
      <c r="V216" s="21">
        <f t="shared" ca="1" si="449"/>
        <v>4.4327999560998165E-6</v>
      </c>
      <c r="W216">
        <f t="shared" ca="1" si="450"/>
        <v>2.1054215625617156E-3</v>
      </c>
      <c r="X216" s="22">
        <f t="shared" ref="X216" ca="1" si="489">BSdelta(1,P216,Strike,W216*AnnualVarConvtr,Dividend,RiskFreeRate,G216/250)</f>
        <v>0</v>
      </c>
      <c r="Y216" s="22">
        <f t="shared" ca="1" si="456"/>
        <v>0</v>
      </c>
      <c r="Z216" s="22">
        <f t="shared" ca="1" si="457"/>
        <v>-7.4987778690106808</v>
      </c>
      <c r="AA216">
        <f t="shared" si="444"/>
        <v>0.73884103340948371</v>
      </c>
      <c r="AB216">
        <f t="shared" ref="AB216" ca="1" si="490">BSdelta(1,P216,Strike,AA216/AnnualVarConvtr,Dividend,RiskFreeRate,G216/250)</f>
        <v>0</v>
      </c>
      <c r="AC216">
        <f t="shared" ca="1" si="453"/>
        <v>0</v>
      </c>
      <c r="AD216">
        <f t="shared" ca="1" si="454"/>
        <v>-2.5925431184560592</v>
      </c>
    </row>
    <row r="217" spans="7:30" x14ac:dyDescent="0.25">
      <c r="G217" s="19">
        <v>38</v>
      </c>
      <c r="H217" s="19">
        <f t="shared" ca="1" si="358"/>
        <v>0.10978362621902982</v>
      </c>
      <c r="I217" s="19">
        <f t="shared" ca="1" si="358"/>
        <v>1.9095253817015267E-3</v>
      </c>
      <c r="J217" s="19">
        <f t="shared" ca="1" si="437"/>
        <v>2.1018686353311842</v>
      </c>
      <c r="K217" s="19">
        <f t="shared" ca="1" si="438"/>
        <v>2.5219223640500499E-2</v>
      </c>
      <c r="L217" s="19">
        <f t="array" aca="1" ref="L217:M217" ca="1">MMULT(J217:K217,TRANSPOSE($B$10:$C$11))</f>
        <v>2.1018686353311842</v>
      </c>
      <c r="M217" s="19">
        <f ca="1"/>
        <v>-1.4883962723496398</v>
      </c>
      <c r="N217" s="20">
        <f t="shared" ca="1" si="439"/>
        <v>1.4992175899909395E-4</v>
      </c>
      <c r="O217" s="20">
        <f t="shared" ca="1" si="440"/>
        <v>0.12589670585675702</v>
      </c>
      <c r="P217" s="19">
        <f t="shared" ca="1" si="446"/>
        <v>1.8403364631200518E-8</v>
      </c>
      <c r="Q217" s="19">
        <f ca="1">HCTrans(P217,Strike,RiskFreeRate,Dividend,Variance_T0*AnnualVarConvtr,(Simulation!G217)/250,0.5,Variance_Avg*AnnualVarConvtr,Lambda,SQRT(Simulation!N217),Rho,1,"Call")</f>
        <v>-1.5073958248091226E-5</v>
      </c>
      <c r="R217" s="19" t="e">
        <f t="shared" ca="1" si="441"/>
        <v>#VALUE!</v>
      </c>
      <c r="S217" s="19" t="e">
        <f t="shared" ca="1" si="442"/>
        <v>#VALUE!</v>
      </c>
      <c r="T217" s="19" t="e">
        <f t="shared" ca="1" si="447"/>
        <v>#VALUE!</v>
      </c>
      <c r="U217" s="19" t="e">
        <f t="shared" ca="1" si="448"/>
        <v>#VALUE!</v>
      </c>
      <c r="V217" s="21">
        <f t="shared" ca="1" si="449"/>
        <v>1.4930303816532217E-5</v>
      </c>
      <c r="W217">
        <f t="shared" ca="1" si="450"/>
        <v>3.8639751314588217E-3</v>
      </c>
      <c r="X217" s="22">
        <f t="shared" ref="X217" ca="1" si="491">BSdelta(1,P217,Strike,W217*AnnualVarConvtr,Dividend,RiskFreeRate,G217/250)</f>
        <v>0</v>
      </c>
      <c r="Y217" s="22">
        <f t="shared" ca="1" si="456"/>
        <v>0</v>
      </c>
      <c r="Z217" s="22">
        <f t="shared" ca="1" si="457"/>
        <v>-7.4987778689816862</v>
      </c>
      <c r="AA217">
        <f t="shared" si="444"/>
        <v>0.73884103340948371</v>
      </c>
      <c r="AB217">
        <f t="shared" ref="AB217" ca="1" si="492">BSdelta(1,P217,Strike,AA217/AnnualVarConvtr,Dividend,RiskFreeRate,G217/250)</f>
        <v>0</v>
      </c>
      <c r="AC217">
        <f t="shared" ca="1" si="453"/>
        <v>0</v>
      </c>
      <c r="AD217">
        <f t="shared" ca="1" si="454"/>
        <v>-2.5925431184270651</v>
      </c>
    </row>
    <row r="218" spans="7:30" x14ac:dyDescent="0.25">
      <c r="G218" s="19">
        <v>37</v>
      </c>
      <c r="H218" s="19">
        <f t="shared" ca="1" si="358"/>
        <v>0.7967764390589519</v>
      </c>
      <c r="I218" s="19">
        <f t="shared" ca="1" si="358"/>
        <v>6.3764872261745209E-2</v>
      </c>
      <c r="J218" s="19">
        <f t="shared" ca="1" si="437"/>
        <v>0.62068423046159005</v>
      </c>
      <c r="K218" s="19">
        <f t="shared" ca="1" si="438"/>
        <v>0.26289422067140272</v>
      </c>
      <c r="L218" s="19">
        <f t="array" aca="1" ref="L218:M218" ca="1">MMULT(J218:K218,TRANSPOSE($B$10:$C$11))</f>
        <v>0.62068423046159005</v>
      </c>
      <c r="M218" s="19">
        <f ca="1"/>
        <v>-0.26132863639826109</v>
      </c>
      <c r="N218" s="20">
        <f t="shared" ca="1" si="439"/>
        <v>1.1828391376117987E-4</v>
      </c>
      <c r="O218" s="20">
        <f t="shared" ca="1" si="440"/>
        <v>0.12637736038895631</v>
      </c>
      <c r="P218" s="19">
        <f t="shared" ca="1" si="446"/>
        <v>1.7804161645484885E-8</v>
      </c>
      <c r="Q218" s="19">
        <f ca="1">HCTrans(P218,Strike,RiskFreeRate,Dividend,Variance_T0*AnnualVarConvtr,(Simulation!G218)/250,0.5,Variance_Avg*AnnualVarConvtr,Lambda,SQRT(Simulation!N218),Rho,1,"Call")</f>
        <v>-1.5073927366434083E-5</v>
      </c>
      <c r="R218" s="19" t="e">
        <f t="shared" ca="1" si="441"/>
        <v>#VALUE!</v>
      </c>
      <c r="S218" s="19" t="e">
        <f t="shared" ca="1" si="442"/>
        <v>#VALUE!</v>
      </c>
      <c r="T218" s="19" t="e">
        <f t="shared" ca="1" si="447"/>
        <v>#VALUE!</v>
      </c>
      <c r="U218" s="19" t="e">
        <f t="shared" ca="1" si="448"/>
        <v>#VALUE!</v>
      </c>
      <c r="V218" s="21">
        <f t="shared" ca="1" si="449"/>
        <v>2.3102877932371031E-7</v>
      </c>
      <c r="W218">
        <f t="shared" ca="1" si="450"/>
        <v>4.8065453219928167E-4</v>
      </c>
      <c r="X218" s="22">
        <f t="shared" ref="X218" ca="1" si="493">BSdelta(1,P218,Strike,W218*AnnualVarConvtr,Dividend,RiskFreeRate,G218/250)</f>
        <v>0</v>
      </c>
      <c r="Y218" s="22">
        <f t="shared" ca="1" si="456"/>
        <v>0</v>
      </c>
      <c r="Z218" s="22">
        <f t="shared" ca="1" si="457"/>
        <v>-7.4987778689508042</v>
      </c>
      <c r="AA218">
        <f t="shared" si="444"/>
        <v>0.73884103340948371</v>
      </c>
      <c r="AB218">
        <f t="shared" ref="AB218" ca="1" si="494">BSdelta(1,P218,Strike,AA218/AnnualVarConvtr,Dividend,RiskFreeRate,G218/250)</f>
        <v>0</v>
      </c>
      <c r="AC218">
        <f t="shared" ca="1" si="453"/>
        <v>0</v>
      </c>
      <c r="AD218">
        <f t="shared" ca="1" si="454"/>
        <v>-2.5925431183961836</v>
      </c>
    </row>
    <row r="219" spans="7:30" x14ac:dyDescent="0.25">
      <c r="G219" s="19">
        <v>36</v>
      </c>
      <c r="H219" s="19">
        <f t="shared" ca="1" si="358"/>
        <v>0.2959257901708815</v>
      </c>
      <c r="I219" s="19">
        <f t="shared" ca="1" si="358"/>
        <v>0.53342532825547373</v>
      </c>
      <c r="J219" s="19">
        <f t="shared" ca="1" si="437"/>
        <v>-1.5262531792033414</v>
      </c>
      <c r="K219" s="19">
        <f t="shared" ca="1" si="438"/>
        <v>-0.32533730637234387</v>
      </c>
      <c r="L219" s="19">
        <f t="array" aca="1" ref="L219:M219" ca="1">MMULT(J219:K219,TRANSPOSE($B$10:$C$11))</f>
        <v>-1.5262531792033414</v>
      </c>
      <c r="M219" s="19">
        <f ca="1"/>
        <v>0.86660929764350003</v>
      </c>
      <c r="N219" s="20">
        <f t="shared" ca="1" si="439"/>
        <v>4.9899999673540046E-4</v>
      </c>
      <c r="O219" s="20">
        <f t="shared" ca="1" si="440"/>
        <v>0.12532752932241223</v>
      </c>
      <c r="P219" s="19">
        <f t="shared" ca="1" si="446"/>
        <v>1.7384385015457265E-8</v>
      </c>
      <c r="Q219" s="19">
        <f ca="1">HCTrans(P219,Strike,RiskFreeRate,Dividend,Variance_T0*AnnualVarConvtr,(Simulation!G219)/250,0.5,Variance_Avg*AnnualVarConvtr,Lambda,SQRT(Simulation!N219),Rho,1,"Call")</f>
        <v>-1.5073905463957572E-5</v>
      </c>
      <c r="R219" s="19" t="e">
        <f t="shared" ca="1" si="441"/>
        <v>#VALUE!</v>
      </c>
      <c r="S219" s="19" t="e">
        <f t="shared" ca="1" si="442"/>
        <v>#VALUE!</v>
      </c>
      <c r="T219" s="19" t="e">
        <f t="shared" ca="1" si="447"/>
        <v>#VALUE!</v>
      </c>
      <c r="U219" s="19" t="e">
        <f t="shared" ca="1" si="448"/>
        <v>#VALUE!</v>
      </c>
      <c r="V219" s="21">
        <f t="shared" ca="1" si="449"/>
        <v>1.102145268281074E-6</v>
      </c>
      <c r="W219">
        <f t="shared" ca="1" si="450"/>
        <v>1.0498310665440769E-3</v>
      </c>
      <c r="X219" s="22">
        <f t="shared" ref="X219" ca="1" si="495">BSdelta(1,P219,Strike,W219*AnnualVarConvtr,Dividend,RiskFreeRate,G219/250)</f>
        <v>0</v>
      </c>
      <c r="Y219" s="22">
        <f t="shared" ca="1" si="456"/>
        <v>0</v>
      </c>
      <c r="Z219" s="22">
        <f t="shared" ca="1" si="457"/>
        <v>-7.4987778689289017</v>
      </c>
      <c r="AA219">
        <f t="shared" si="444"/>
        <v>0.73884103340948371</v>
      </c>
      <c r="AB219">
        <f t="shared" ref="AB219" ca="1" si="496">BSdelta(1,P219,Strike,AA219/AnnualVarConvtr,Dividend,RiskFreeRate,G219/250)</f>
        <v>0</v>
      </c>
      <c r="AC219">
        <f t="shared" ca="1" si="453"/>
        <v>0</v>
      </c>
      <c r="AD219">
        <f t="shared" ca="1" si="454"/>
        <v>-2.5925431183742811</v>
      </c>
    </row>
    <row r="220" spans="7:30" x14ac:dyDescent="0.25">
      <c r="G220" s="19">
        <v>35</v>
      </c>
      <c r="H220" s="19">
        <f t="shared" ca="1" si="358"/>
        <v>0.88186088963442877</v>
      </c>
      <c r="I220" s="19">
        <f t="shared" ca="1" si="358"/>
        <v>0.51851653134647158</v>
      </c>
      <c r="J220" s="19">
        <f t="shared" ca="1" si="437"/>
        <v>-0.49805001068024202</v>
      </c>
      <c r="K220" s="19">
        <f t="shared" ca="1" si="438"/>
        <v>-5.8207393831207654E-2</v>
      </c>
      <c r="L220" s="19">
        <f t="array" aca="1" ref="L220:M220" ca="1">MMULT(J220:K220,TRANSPOSE($B$10:$C$11))</f>
        <v>-0.49805001068024202</v>
      </c>
      <c r="M220" s="19">
        <f ca="1"/>
        <v>0.31624810609537468</v>
      </c>
      <c r="N220" s="20">
        <f t="shared" ca="1" si="439"/>
        <v>7.2196133068320599E-4</v>
      </c>
      <c r="O220" s="20">
        <f t="shared" ca="1" si="440"/>
        <v>0.12462388494647689</v>
      </c>
      <c r="P220" s="19">
        <f t="shared" ca="1" si="446"/>
        <v>1.6560579292722639E-8</v>
      </c>
      <c r="Q220" s="19">
        <f ca="1">HCTrans(P220,Strike,RiskFreeRate,Dividend,Variance_T0*AnnualVarConvtr,(Simulation!G220)/250,0.5,Variance_Avg*AnnualVarConvtr,Lambda,SQRT(Simulation!N220),Rho,1,"Call")</f>
        <v>-1.507386037012282E-5</v>
      </c>
      <c r="R220" s="19" t="e">
        <f t="shared" ca="1" si="441"/>
        <v>#VALUE!</v>
      </c>
      <c r="S220" s="19" t="e">
        <f t="shared" ca="1" si="442"/>
        <v>#VALUE!</v>
      </c>
      <c r="T220" s="19" t="e">
        <f t="shared" ca="1" si="447"/>
        <v>#VALUE!</v>
      </c>
      <c r="U220" s="19" t="e">
        <f t="shared" ca="1" si="448"/>
        <v>#VALUE!</v>
      </c>
      <c r="V220" s="21">
        <f t="shared" ca="1" si="449"/>
        <v>4.9511540778543641E-7</v>
      </c>
      <c r="W220">
        <f t="shared" ca="1" si="450"/>
        <v>7.0364437593534168E-4</v>
      </c>
      <c r="X220" s="22">
        <f t="shared" ref="X220" ca="1" si="497">BSdelta(1,P220,Strike,W220*AnnualVarConvtr,Dividend,RiskFreeRate,G220/250)</f>
        <v>0</v>
      </c>
      <c r="Y220" s="22">
        <f t="shared" ca="1" si="456"/>
        <v>0</v>
      </c>
      <c r="Z220" s="22">
        <f t="shared" ca="1" si="457"/>
        <v>-7.498777868883808</v>
      </c>
      <c r="AA220">
        <f t="shared" si="444"/>
        <v>0.73884103340948371</v>
      </c>
      <c r="AB220">
        <f t="shared" ref="AB220" ca="1" si="498">BSdelta(1,P220,Strike,AA220/AnnualVarConvtr,Dividend,RiskFreeRate,G220/250)</f>
        <v>0</v>
      </c>
      <c r="AC220">
        <f t="shared" ca="1" si="453"/>
        <v>0</v>
      </c>
      <c r="AD220">
        <f t="shared" ca="1" si="454"/>
        <v>-2.5925431183291874</v>
      </c>
    </row>
    <row r="221" spans="7:30" x14ac:dyDescent="0.25">
      <c r="G221" s="19">
        <v>34</v>
      </c>
      <c r="H221" s="19">
        <f t="shared" ca="1" si="358"/>
        <v>0.52731107961805168</v>
      </c>
      <c r="I221" s="19">
        <f t="shared" ca="1" si="358"/>
        <v>0.9277842324939608</v>
      </c>
      <c r="J221" s="19">
        <f t="shared" ca="1" si="437"/>
        <v>1.0168613901586823</v>
      </c>
      <c r="K221" s="19">
        <f t="shared" ca="1" si="438"/>
        <v>-0.49590538873225731</v>
      </c>
      <c r="L221" s="19">
        <f t="array" aca="1" ref="L221:M221" ca="1">MMULT(J221:K221,TRANSPOSE($B$10:$C$11))</f>
        <v>1.0168613901586823</v>
      </c>
      <c r="M221" s="19">
        <f ca="1"/>
        <v>-1.0745183837527699</v>
      </c>
      <c r="N221" s="20">
        <f t="shared" ca="1" si="439"/>
        <v>2.2109286824822965E-4</v>
      </c>
      <c r="O221" s="20">
        <f t="shared" ca="1" si="440"/>
        <v>0.1263519047754357</v>
      </c>
      <c r="P221" s="19">
        <f t="shared" ca="1" si="446"/>
        <v>1.5635020488433913E-8</v>
      </c>
      <c r="Q221" s="19">
        <f ca="1">HCTrans(P221,Strike,RiskFreeRate,Dividend,Variance_T0*AnnualVarConvtr,(Simulation!G221)/250,0.5,Variance_Avg*AnnualVarConvtr,Lambda,SQRT(Simulation!N221),Rho,1,"Call")</f>
        <v>-1.5073807380990297E-5</v>
      </c>
      <c r="R221" s="19" t="e">
        <f t="shared" ca="1" si="441"/>
        <v>#VALUE!</v>
      </c>
      <c r="S221" s="19" t="e">
        <f t="shared" ca="1" si="442"/>
        <v>#VALUE!</v>
      </c>
      <c r="T221" s="19" t="e">
        <f t="shared" ca="1" si="447"/>
        <v>#VALUE!</v>
      </c>
      <c r="U221" s="19" t="e">
        <f t="shared" ca="1" si="448"/>
        <v>#VALUE!</v>
      </c>
      <c r="V221" s="21">
        <f t="shared" ca="1" si="449"/>
        <v>2.9860525292748543E-6</v>
      </c>
      <c r="W221">
        <f t="shared" ca="1" si="450"/>
        <v>1.7280198289588156E-3</v>
      </c>
      <c r="X221" s="22">
        <f t="shared" ref="X221" ca="1" si="499">BSdelta(1,P221,Strike,W221*AnnualVarConvtr,Dividend,RiskFreeRate,G221/250)</f>
        <v>0</v>
      </c>
      <c r="Y221" s="22">
        <f t="shared" ca="1" si="456"/>
        <v>0</v>
      </c>
      <c r="Z221" s="22">
        <f t="shared" ca="1" si="457"/>
        <v>-7.4987778688308193</v>
      </c>
      <c r="AA221">
        <f t="shared" si="444"/>
        <v>0.73884103340948371</v>
      </c>
      <c r="AB221">
        <f t="shared" ref="AB221" ca="1" si="500">BSdelta(1,P221,Strike,AA221/AnnualVarConvtr,Dividend,RiskFreeRate,G221/250)</f>
        <v>0</v>
      </c>
      <c r="AC221">
        <f t="shared" ca="1" si="453"/>
        <v>0</v>
      </c>
      <c r="AD221">
        <f t="shared" ca="1" si="454"/>
        <v>-2.5925431182761982</v>
      </c>
    </row>
    <row r="222" spans="7:30" x14ac:dyDescent="0.25">
      <c r="G222" s="19">
        <v>33</v>
      </c>
      <c r="H222" s="19">
        <f t="shared" ca="1" si="358"/>
        <v>0.76965504800732187</v>
      </c>
      <c r="I222" s="19">
        <f t="shared" ca="1" si="358"/>
        <v>0.49967394685581246</v>
      </c>
      <c r="J222" s="19">
        <f t="shared" ca="1" si="437"/>
        <v>-0.72361834594182317</v>
      </c>
      <c r="K222" s="19">
        <f t="shared" ca="1" si="438"/>
        <v>1.4824444806964213E-3</v>
      </c>
      <c r="L222" s="19">
        <f t="array" aca="1" ref="L222:M222" ca="1">MMULT(J222:K222,TRANSPOSE($B$10:$C$11))</f>
        <v>-0.72361834594182317</v>
      </c>
      <c r="M222" s="19">
        <f ca="1"/>
        <v>0.51950667900067393</v>
      </c>
      <c r="N222" s="20">
        <f t="shared" ca="1" si="439"/>
        <v>4.8724970071989518E-4</v>
      </c>
      <c r="O222" s="20">
        <f t="shared" ca="1" si="440"/>
        <v>0.12567140665247831</v>
      </c>
      <c r="P222" s="19">
        <f t="shared" ca="1" si="446"/>
        <v>1.464301215039559E-8</v>
      </c>
      <c r="Q222" s="19">
        <f ca="1">HCTrans(P222,Strike,RiskFreeRate,Dividend,Variance_T0*AnnualVarConvtr,(Simulation!G222)/250,0.5,Variance_Avg*AnnualVarConvtr,Lambda,SQRT(Simulation!N222),Rho,1,"Call")</f>
        <v>-1.507374764193812E-5</v>
      </c>
      <c r="R222" s="19" t="e">
        <f t="shared" ca="1" si="441"/>
        <v>#VALUE!</v>
      </c>
      <c r="S222" s="19" t="e">
        <f t="shared" ca="1" si="442"/>
        <v>#VALUE!</v>
      </c>
      <c r="T222" s="19" t="e">
        <f t="shared" ca="1" si="447"/>
        <v>#VALUE!</v>
      </c>
      <c r="U222" s="19" t="e">
        <f t="shared" ca="1" si="448"/>
        <v>#VALUE!</v>
      </c>
      <c r="V222" s="21">
        <f t="shared" ca="1" si="449"/>
        <v>4.6307769534853907E-7</v>
      </c>
      <c r="W222">
        <f t="shared" ca="1" si="450"/>
        <v>6.8049812295739587E-4</v>
      </c>
      <c r="X222" s="22">
        <f t="shared" ref="X222" ca="1" si="501">BSdelta(1,P222,Strike,W222*AnnualVarConvtr,Dividend,RiskFreeRate,G222/250)</f>
        <v>0</v>
      </c>
      <c r="Y222" s="22">
        <f t="shared" ca="1" si="456"/>
        <v>0</v>
      </c>
      <c r="Z222" s="22">
        <f t="shared" ca="1" si="457"/>
        <v>-7.4987778687710804</v>
      </c>
      <c r="AA222">
        <f t="shared" si="444"/>
        <v>0.73884103340948371</v>
      </c>
      <c r="AB222">
        <f t="shared" ref="AB222" ca="1" si="502">BSdelta(1,P222,Strike,AA222/AnnualVarConvtr,Dividend,RiskFreeRate,G222/250)</f>
        <v>0</v>
      </c>
      <c r="AC222">
        <f t="shared" ca="1" si="453"/>
        <v>0</v>
      </c>
      <c r="AD222">
        <f t="shared" ca="1" si="454"/>
        <v>-2.5925431182164593</v>
      </c>
    </row>
    <row r="223" spans="7:30" x14ac:dyDescent="0.25">
      <c r="G223" s="19">
        <v>32</v>
      </c>
      <c r="H223" s="19">
        <f t="shared" ref="H223:I254" ca="1" si="503">RAND()</f>
        <v>0.29696701452772645</v>
      </c>
      <c r="I223" s="19">
        <f t="shared" ca="1" si="503"/>
        <v>0.83822301370086194</v>
      </c>
      <c r="J223" s="19">
        <f t="shared" ca="1" si="437"/>
        <v>0.82023186139467918</v>
      </c>
      <c r="K223" s="19">
        <f t="shared" ca="1" si="438"/>
        <v>-1.3249483426307738</v>
      </c>
      <c r="L223" s="19">
        <f t="array" aca="1" ref="L223:M223" ca="1">MMULT(J223:K223,TRANSPOSE($B$10:$C$11))</f>
        <v>0.82023186139467918</v>
      </c>
      <c r="M223" s="19">
        <f ca="1"/>
        <v>-1.5119629891968529</v>
      </c>
      <c r="N223" s="20">
        <f t="shared" ca="1" si="439"/>
        <v>4.7277415499866475E-5</v>
      </c>
      <c r="O223" s="20">
        <f t="shared" ca="1" si="440"/>
        <v>0.12681650403343162</v>
      </c>
      <c r="P223" s="19">
        <f t="shared" ca="1" si="446"/>
        <v>1.3817733583119171E-8</v>
      </c>
      <c r="Q223" s="19">
        <f ca="1">HCTrans(P223,Strike,RiskFreeRate,Dividend,Variance_T0*AnnualVarConvtr,(Simulation!G223)/250,0.5,Variance_Avg*AnnualVarConvtr,Lambda,SQRT(Simulation!N223),Rho,1,"Call")</f>
        <v>-1.5073695547987537E-5</v>
      </c>
      <c r="R223" s="19" t="e">
        <f t="shared" ca="1" si="441"/>
        <v>#VALUE!</v>
      </c>
      <c r="S223" s="19" t="e">
        <f t="shared" ca="1" si="442"/>
        <v>#VALUE!</v>
      </c>
      <c r="T223" s="19" t="e">
        <f t="shared" ca="1" si="447"/>
        <v>#VALUE!</v>
      </c>
      <c r="U223" s="19" t="e">
        <f t="shared" ca="1" si="448"/>
        <v>#VALUE!</v>
      </c>
      <c r="V223" s="21">
        <f t="shared" ca="1" si="449"/>
        <v>1.3112480118661259E-6</v>
      </c>
      <c r="W223">
        <f t="shared" ca="1" si="450"/>
        <v>1.1450973809533083E-3</v>
      </c>
      <c r="X223" s="22">
        <f t="shared" ref="X223" ca="1" si="504">BSdelta(1,P223,Strike,W223*AnnualVarConvtr,Dividend,RiskFreeRate,G223/250)</f>
        <v>0</v>
      </c>
      <c r="Y223" s="22">
        <f t="shared" ca="1" si="456"/>
        <v>0</v>
      </c>
      <c r="Z223" s="22">
        <f t="shared" ca="1" si="457"/>
        <v>-7.4987778687189861</v>
      </c>
      <c r="AA223">
        <f t="shared" si="444"/>
        <v>0.73884103340948371</v>
      </c>
      <c r="AB223">
        <f t="shared" ref="AB223" ca="1" si="505">BSdelta(1,P223,Strike,AA223/AnnualVarConvtr,Dividend,RiskFreeRate,G223/250)</f>
        <v>0</v>
      </c>
      <c r="AC223">
        <f t="shared" ca="1" si="453"/>
        <v>0</v>
      </c>
      <c r="AD223">
        <f t="shared" ca="1" si="454"/>
        <v>-2.5925431181643654</v>
      </c>
    </row>
    <row r="224" spans="7:30" x14ac:dyDescent="0.25">
      <c r="G224" s="19">
        <v>31</v>
      </c>
      <c r="H224" s="19">
        <f t="shared" ca="1" si="503"/>
        <v>3.7949815743933746E-2</v>
      </c>
      <c r="I224" s="19">
        <f t="shared" ca="1" si="503"/>
        <v>0.8370142662581751</v>
      </c>
      <c r="J224" s="19">
        <f t="shared" ca="1" si="437"/>
        <v>1.3298497417994046</v>
      </c>
      <c r="K224" s="19">
        <f t="shared" ca="1" si="438"/>
        <v>-2.1850585632896093</v>
      </c>
      <c r="L224" s="19">
        <f t="array" aca="1" ref="L224:M224" ca="1">MMULT(J224:K224,TRANSPOSE($B$10:$C$11))</f>
        <v>1.3298497417994046</v>
      </c>
      <c r="M224" s="19">
        <f ca="1"/>
        <v>-2.4771059875654511</v>
      </c>
      <c r="N224" s="20">
        <f t="shared" ca="1" si="439"/>
        <v>5.8906083403820718E-4</v>
      </c>
      <c r="O224" s="20">
        <f t="shared" ca="1" si="440"/>
        <v>0.12739481234284991</v>
      </c>
      <c r="P224" s="19">
        <f t="shared" ca="1" si="446"/>
        <v>1.3408494462408314E-8</v>
      </c>
      <c r="Q224" s="19">
        <f ca="1">HCTrans(P224,Strike,RiskFreeRate,Dividend,Variance_T0*AnnualVarConvtr,(Simulation!G224)/250,0.5,Variance_Avg*AnnualVarConvtr,Lambda,SQRT(Simulation!N224),Rho,1,"Call")</f>
        <v>-1.5073669176128158E-5</v>
      </c>
      <c r="R224" s="19" t="e">
        <f t="shared" ca="1" si="441"/>
        <v>#VALUE!</v>
      </c>
      <c r="S224" s="19" t="e">
        <f t="shared" ca="1" si="442"/>
        <v>#VALUE!</v>
      </c>
      <c r="T224" s="19" t="e">
        <f t="shared" ca="1" si="447"/>
        <v>#VALUE!</v>
      </c>
      <c r="U224" s="19" t="e">
        <f t="shared" ca="1" si="448"/>
        <v>#VALUE!</v>
      </c>
      <c r="V224" s="21">
        <f t="shared" ca="1" si="449"/>
        <v>3.3444050074224775E-7</v>
      </c>
      <c r="W224">
        <f t="shared" ca="1" si="450"/>
        <v>5.7830830941829614E-4</v>
      </c>
      <c r="X224" s="22">
        <f t="shared" ref="X224" ca="1" si="506">BSdelta(1,P224,Strike,W224*AnnualVarConvtr,Dividend,RiskFreeRate,G224/250)</f>
        <v>0</v>
      </c>
      <c r="Y224" s="22">
        <f t="shared" ca="1" si="456"/>
        <v>0</v>
      </c>
      <c r="Z224" s="22">
        <f t="shared" ca="1" si="457"/>
        <v>-7.4987778686926143</v>
      </c>
      <c r="AA224">
        <f t="shared" si="444"/>
        <v>0.73884103340948371</v>
      </c>
      <c r="AB224">
        <f t="shared" ref="AB224" ca="1" si="507">BSdelta(1,P224,Strike,AA224/AnnualVarConvtr,Dividend,RiskFreeRate,G224/250)</f>
        <v>0</v>
      </c>
      <c r="AC224">
        <f t="shared" ca="1" si="453"/>
        <v>0</v>
      </c>
      <c r="AD224">
        <f t="shared" ca="1" si="454"/>
        <v>-2.5925431181379937</v>
      </c>
    </row>
    <row r="225" spans="7:30" x14ac:dyDescent="0.25">
      <c r="G225" s="19">
        <v>30</v>
      </c>
      <c r="H225" s="19">
        <f t="shared" ca="1" si="503"/>
        <v>0.64989225539877604</v>
      </c>
      <c r="I225" s="19">
        <f t="shared" ca="1" si="503"/>
        <v>0.36412714465295004</v>
      </c>
      <c r="J225" s="19">
        <f t="shared" ca="1" si="437"/>
        <v>-0.61012310236514244</v>
      </c>
      <c r="K225" s="19">
        <f t="shared" ca="1" si="438"/>
        <v>0.69974794138667062</v>
      </c>
      <c r="L225" s="19">
        <f t="array" aca="1" ref="L225:M225" ca="1">MMULT(J225:K225,TRANSPOSE($B$10:$C$11))</f>
        <v>-0.61012310236514244</v>
      </c>
      <c r="M225" s="19">
        <f ca="1"/>
        <v>0.92528833394559762</v>
      </c>
      <c r="N225" s="20">
        <f t="shared" ca="1" si="439"/>
        <v>1.3026388567223515E-3</v>
      </c>
      <c r="O225" s="20">
        <f t="shared" ca="1" si="440"/>
        <v>0.12645826973665145</v>
      </c>
      <c r="P225" s="19">
        <f t="shared" ca="1" si="446"/>
        <v>1.293906742283068E-8</v>
      </c>
      <c r="Q225" s="19">
        <f ca="1">HCTrans(P225,Strike,RiskFreeRate,Dividend,Variance_T0*AnnualVarConvtr,(Simulation!G225)/250,0.5,Variance_Avg*AnnualVarConvtr,Lambda,SQRT(Simulation!N225),Rho,1,"Call")</f>
        <v>-1.507363799541518E-5</v>
      </c>
      <c r="R225" s="19" t="e">
        <f t="shared" ca="1" si="441"/>
        <v>#VALUE!</v>
      </c>
      <c r="S225" s="19" t="e">
        <f t="shared" ca="1" si="442"/>
        <v>#VALUE!</v>
      </c>
      <c r="T225" s="19" t="e">
        <f t="shared" ca="1" si="447"/>
        <v>#VALUE!</v>
      </c>
      <c r="U225" s="19" t="e">
        <f t="shared" ca="1" si="448"/>
        <v>#VALUE!</v>
      </c>
      <c r="V225" s="21">
        <f t="shared" ca="1" si="449"/>
        <v>8.7711205322501306E-7</v>
      </c>
      <c r="W225">
        <f t="shared" ca="1" si="450"/>
        <v>9.3654260619846497E-4</v>
      </c>
      <c r="X225" s="22">
        <f t="shared" ref="X225" ca="1" si="508">BSdelta(1,P225,Strike,W225*AnnualVarConvtr,Dividend,RiskFreeRate,G225/250)</f>
        <v>0</v>
      </c>
      <c r="Y225" s="22">
        <f t="shared" ca="1" si="456"/>
        <v>0</v>
      </c>
      <c r="Z225" s="22">
        <f t="shared" ca="1" si="457"/>
        <v>-7.4987778686614339</v>
      </c>
      <c r="AA225">
        <f t="shared" si="444"/>
        <v>0.73884103340948371</v>
      </c>
      <c r="AB225">
        <f t="shared" ref="AB225" ca="1" si="509">BSdelta(1,P225,Strike,AA225/AnnualVarConvtr,Dividend,RiskFreeRate,G225/250)</f>
        <v>0</v>
      </c>
      <c r="AC225">
        <f t="shared" ca="1" si="453"/>
        <v>0</v>
      </c>
      <c r="AD225">
        <f t="shared" ca="1" si="454"/>
        <v>-2.5925431181068128</v>
      </c>
    </row>
    <row r="226" spans="7:30" x14ac:dyDescent="0.25">
      <c r="G226" s="19">
        <v>29</v>
      </c>
      <c r="H226" s="19">
        <f t="shared" ca="1" si="503"/>
        <v>0.3451445348630523</v>
      </c>
      <c r="I226" s="19">
        <f t="shared" ca="1" si="503"/>
        <v>0.5657113033340273</v>
      </c>
      <c r="J226" s="19">
        <f t="shared" ca="1" si="437"/>
        <v>-1.3360565861360321</v>
      </c>
      <c r="K226" s="19">
        <f t="shared" ca="1" si="438"/>
        <v>-0.58526644764850644</v>
      </c>
      <c r="L226" s="19">
        <f t="array" aca="1" ref="L226:M226" ca="1">MMULT(J226:K226,TRANSPOSE($B$10:$C$11))</f>
        <v>-1.3360565861360321</v>
      </c>
      <c r="M226" s="19">
        <f ca="1"/>
        <v>0.54901022509421349</v>
      </c>
      <c r="N226" s="20">
        <f t="shared" ca="1" si="439"/>
        <v>1.8642580994625855E-3</v>
      </c>
      <c r="O226" s="20">
        <f t="shared" ca="1" si="440"/>
        <v>0.12340850132211782</v>
      </c>
      <c r="P226" s="19">
        <f t="shared" ca="1" si="446"/>
        <v>1.2422439946087645E-8</v>
      </c>
      <c r="Q226" s="19">
        <f ca="1">HCTrans(P226,Strike,RiskFreeRate,Dividend,Variance_T0*AnnualVarConvtr,(Simulation!G226)/250,0.5,Variance_Avg*AnnualVarConvtr,Lambda,SQRT(Simulation!N226),Rho,1,"Call")</f>
        <v>-1.5073602512979971E-5</v>
      </c>
      <c r="R226" s="19" t="e">
        <f t="shared" ca="1" si="441"/>
        <v>#VALUE!</v>
      </c>
      <c r="S226" s="19" t="e">
        <f t="shared" ca="1" si="442"/>
        <v>#VALUE!</v>
      </c>
      <c r="T226" s="19" t="e">
        <f t="shared" ca="1" si="447"/>
        <v>#VALUE!</v>
      </c>
      <c r="U226" s="19" t="e">
        <f t="shared" ca="1" si="448"/>
        <v>#VALUE!</v>
      </c>
      <c r="V226" s="21">
        <f t="shared" ca="1" si="449"/>
        <v>9.3010873822869341E-6</v>
      </c>
      <c r="W226">
        <f t="shared" ca="1" si="450"/>
        <v>3.049768414533624E-3</v>
      </c>
      <c r="X226" s="22">
        <f t="shared" ref="X226" ca="1" si="510">BSdelta(1,P226,Strike,W226*AnnualVarConvtr,Dividend,RiskFreeRate,G226/250)</f>
        <v>0</v>
      </c>
      <c r="Y226" s="22">
        <f t="shared" ca="1" si="456"/>
        <v>0</v>
      </c>
      <c r="Z226" s="22">
        <f t="shared" ca="1" si="457"/>
        <v>-7.4987778686259512</v>
      </c>
      <c r="AA226">
        <f t="shared" si="444"/>
        <v>0.73884103340948371</v>
      </c>
      <c r="AB226">
        <f t="shared" ref="AB226" ca="1" si="511">BSdelta(1,P226,Strike,AA226/AnnualVarConvtr,Dividend,RiskFreeRate,G226/250)</f>
        <v>0</v>
      </c>
      <c r="AC226">
        <f t="shared" ca="1" si="453"/>
        <v>0</v>
      </c>
      <c r="AD226">
        <f t="shared" ca="1" si="454"/>
        <v>-2.5925431180713305</v>
      </c>
    </row>
    <row r="227" spans="7:30" x14ac:dyDescent="0.25">
      <c r="G227" s="19">
        <v>28</v>
      </c>
      <c r="H227" s="19">
        <f t="shared" ca="1" si="503"/>
        <v>0.1636605472630327</v>
      </c>
      <c r="I227" s="19">
        <f t="shared" ca="1" si="503"/>
        <v>0.3177756473378387</v>
      </c>
      <c r="J227" s="19">
        <f t="shared" ca="1" si="437"/>
        <v>-0.78595308345476123</v>
      </c>
      <c r="K227" s="19">
        <f t="shared" ca="1" si="438"/>
        <v>1.732685606386962</v>
      </c>
      <c r="L227" s="19">
        <f t="array" aca="1" ref="L227:M227" ca="1">MMULT(J227:K227,TRANSPOSE($B$10:$C$11))</f>
        <v>-0.78595308345476123</v>
      </c>
      <c r="M227" s="19">
        <f ca="1"/>
        <v>1.7718344966562833</v>
      </c>
      <c r="N227" s="20">
        <f t="shared" ca="1" si="439"/>
        <v>4.2394800480565981E-3</v>
      </c>
      <c r="O227" s="20">
        <f t="shared" ca="1" si="440"/>
        <v>0.12126225463858177</v>
      </c>
      <c r="P227" s="19">
        <f t="shared" ca="1" si="446"/>
        <v>1.1915206745481736E-8</v>
      </c>
      <c r="Q227" s="19">
        <f ca="1">HCTrans(P227,Strike,RiskFreeRate,Dividend,Variance_T0*AnnualVarConvtr,(Simulation!G227)/250,0.5,Variance_Avg*AnnualVarConvtr,Lambda,SQRT(Simulation!N227),Rho,1,"Call")</f>
        <v>-1.5073566516435765E-5</v>
      </c>
      <c r="R227" s="19" t="e">
        <f t="shared" ca="1" si="441"/>
        <v>#VALUE!</v>
      </c>
      <c r="S227" s="19" t="e">
        <f t="shared" ca="1" si="442"/>
        <v>#VALUE!</v>
      </c>
      <c r="T227" s="19" t="e">
        <f t="shared" ca="1" si="447"/>
        <v>#VALUE!</v>
      </c>
      <c r="U227" s="19" t="e">
        <f t="shared" ca="1" si="448"/>
        <v>#VALUE!</v>
      </c>
      <c r="V227" s="21">
        <f t="shared" ca="1" si="449"/>
        <v>4.6063748265895006E-6</v>
      </c>
      <c r="W227">
        <f t="shared" ca="1" si="450"/>
        <v>2.1462466835360516E-3</v>
      </c>
      <c r="X227" s="22">
        <f t="shared" ref="X227" ca="1" si="512">BSdelta(1,P227,Strike,W227*AnnualVarConvtr,Dividend,RiskFreeRate,G227/250)</f>
        <v>0</v>
      </c>
      <c r="Y227" s="22">
        <f t="shared" ca="1" si="456"/>
        <v>0</v>
      </c>
      <c r="Z227" s="22">
        <f t="shared" ca="1" si="457"/>
        <v>-7.4987778685899542</v>
      </c>
      <c r="AA227">
        <f t="shared" si="444"/>
        <v>0.73884103340948371</v>
      </c>
      <c r="AB227">
        <f t="shared" ref="AB227" ca="1" si="513">BSdelta(1,P227,Strike,AA227/AnnualVarConvtr,Dividend,RiskFreeRate,G227/250)</f>
        <v>0</v>
      </c>
      <c r="AC227">
        <f t="shared" ca="1" si="453"/>
        <v>0</v>
      </c>
      <c r="AD227">
        <f t="shared" ca="1" si="454"/>
        <v>-2.592543118035334</v>
      </c>
    </row>
    <row r="228" spans="7:30" x14ac:dyDescent="0.25">
      <c r="G228" s="19">
        <v>27</v>
      </c>
      <c r="H228" s="19">
        <f t="shared" ca="1" si="503"/>
        <v>0.7597609046876066</v>
      </c>
      <c r="I228" s="19">
        <f t="shared" ca="1" si="503"/>
        <v>0.57919006364753944</v>
      </c>
      <c r="J228" s="19">
        <f t="shared" ca="1" si="437"/>
        <v>-0.65140166396725119</v>
      </c>
      <c r="K228" s="19">
        <f t="shared" ca="1" si="438"/>
        <v>-0.35380624749724165</v>
      </c>
      <c r="L228" s="19">
        <f t="array" aca="1" ref="L228:M228" ca="1">MMULT(J228:K228,TRANSPOSE($B$10:$C$11))</f>
        <v>-0.65140166396725119</v>
      </c>
      <c r="M228" s="19">
        <f ca="1"/>
        <v>0.21991862114408003</v>
      </c>
      <c r="N228" s="20">
        <f t="shared" ca="1" si="439"/>
        <v>4.6127373189883978E-3</v>
      </c>
      <c r="O228" s="20">
        <f t="shared" ca="1" si="440"/>
        <v>0.11857978288752906</v>
      </c>
      <c r="P228" s="19">
        <f t="shared" ca="1" si="446"/>
        <v>1.1310875949819698E-8</v>
      </c>
      <c r="Q228" s="19">
        <f ca="1">HCTrans(P228,Strike,RiskFreeRate,Dividend,Variance_T0*AnnualVarConvtr,(Simulation!G228)/250,0.5,Variance_Avg*AnnualVarConvtr,Lambda,SQRT(Simulation!N228),Rho,1,"Call")</f>
        <v>-1.5073521836777067E-5</v>
      </c>
      <c r="R228" s="19" t="e">
        <f t="shared" ca="1" si="441"/>
        <v>#VALUE!</v>
      </c>
      <c r="S228" s="19" t="e">
        <f t="shared" ca="1" si="442"/>
        <v>#VALUE!</v>
      </c>
      <c r="T228" s="19" t="e">
        <f t="shared" ca="1" si="447"/>
        <v>#VALUE!</v>
      </c>
      <c r="U228" s="19" t="e">
        <f t="shared" ca="1" si="448"/>
        <v>#VALUE!</v>
      </c>
      <c r="V228" s="21">
        <f t="shared" ca="1" si="449"/>
        <v>7.1956546951958019E-6</v>
      </c>
      <c r="W228">
        <f t="shared" ca="1" si="450"/>
        <v>2.6824717510527119E-3</v>
      </c>
      <c r="X228" s="22">
        <f t="shared" ref="X228" ca="1" si="514">BSdelta(1,P228,Strike,W228*AnnualVarConvtr,Dividend,RiskFreeRate,G228/250)</f>
        <v>0</v>
      </c>
      <c r="Y228" s="22">
        <f t="shared" ca="1" si="456"/>
        <v>0</v>
      </c>
      <c r="Z228" s="22">
        <f t="shared" ca="1" si="457"/>
        <v>-7.4987778685452744</v>
      </c>
      <c r="AA228">
        <f t="shared" si="444"/>
        <v>0.73884103340948371</v>
      </c>
      <c r="AB228">
        <f t="shared" ref="AB228" ca="1" si="515">BSdelta(1,P228,Strike,AA228/AnnualVarConvtr,Dividend,RiskFreeRate,G228/250)</f>
        <v>0</v>
      </c>
      <c r="AC228">
        <f t="shared" ca="1" si="453"/>
        <v>0</v>
      </c>
      <c r="AD228">
        <f t="shared" ca="1" si="454"/>
        <v>-2.5925431179906542</v>
      </c>
    </row>
    <row r="229" spans="7:30" x14ac:dyDescent="0.25">
      <c r="G229" s="19">
        <v>26</v>
      </c>
      <c r="H229" s="19">
        <f t="shared" ca="1" si="503"/>
        <v>0.91146362269325532</v>
      </c>
      <c r="I229" s="19">
        <f t="shared" ca="1" si="503"/>
        <v>0.64684222717083772</v>
      </c>
      <c r="J229" s="19">
        <f t="shared" ca="1" si="437"/>
        <v>-0.2599554515331986</v>
      </c>
      <c r="K229" s="19">
        <f t="shared" ca="1" si="438"/>
        <v>-0.34326426131111892</v>
      </c>
      <c r="L229" s="19">
        <f t="array" aca="1" ref="L229:M229" ca="1">MMULT(J229:K229,TRANSPOSE($B$10:$C$11))</f>
        <v>-0.2599554515331986</v>
      </c>
      <c r="M229" s="19">
        <f ca="1"/>
        <v>-5.3198636584426584E-2</v>
      </c>
      <c r="N229" s="20">
        <f t="shared" ca="1" si="439"/>
        <v>4.5374665857304463E-3</v>
      </c>
      <c r="O229" s="20">
        <f t="shared" ca="1" si="440"/>
        <v>0.11746315547084482</v>
      </c>
      <c r="P229" s="19">
        <f t="shared" ca="1" si="446"/>
        <v>1.0778893595016732E-8</v>
      </c>
      <c r="Q229" s="19">
        <f ca="1">HCTrans(P229,Strike,RiskFreeRate,Dividend,Variance_T0*AnnualVarConvtr,(Simulation!G229)/250,0.5,Variance_Avg*AnnualVarConvtr,Lambda,SQRT(Simulation!N229),Rho,1,"Call")</f>
        <v>-1.5073480980167385E-5</v>
      </c>
      <c r="R229" s="19" t="e">
        <f t="shared" ca="1" si="441"/>
        <v>#VALUE!</v>
      </c>
      <c r="S229" s="19" t="e">
        <f t="shared" ca="1" si="442"/>
        <v>#VALUE!</v>
      </c>
      <c r="T229" s="19" t="e">
        <f t="shared" ca="1" si="447"/>
        <v>#VALUE!</v>
      </c>
      <c r="U229" s="19" t="e">
        <f t="shared" ca="1" si="448"/>
        <v>#VALUE!</v>
      </c>
      <c r="V229" s="21">
        <f t="shared" ca="1" si="449"/>
        <v>1.2468567876909143E-6</v>
      </c>
      <c r="W229">
        <f t="shared" ca="1" si="450"/>
        <v>1.1166274166842377E-3</v>
      </c>
      <c r="X229" s="22">
        <f t="shared" ref="X229" ca="1" si="516">BSdelta(1,P229,Strike,W229*AnnualVarConvtr,Dividend,RiskFreeRate,G229/250)</f>
        <v>0</v>
      </c>
      <c r="Y229" s="22">
        <f t="shared" ca="1" si="456"/>
        <v>0</v>
      </c>
      <c r="Z229" s="22">
        <f t="shared" ca="1" si="457"/>
        <v>-7.4987778685044182</v>
      </c>
      <c r="AA229">
        <f t="shared" si="444"/>
        <v>0.73884103340948371</v>
      </c>
      <c r="AB229">
        <f t="shared" ref="AB229" ca="1" si="517">BSdelta(1,P229,Strike,AA229/AnnualVarConvtr,Dividend,RiskFreeRate,G229/250)</f>
        <v>0</v>
      </c>
      <c r="AC229">
        <f t="shared" ca="1" si="453"/>
        <v>0</v>
      </c>
      <c r="AD229">
        <f t="shared" ca="1" si="454"/>
        <v>-2.5925431179497975</v>
      </c>
    </row>
    <row r="230" spans="7:30" x14ac:dyDescent="0.25">
      <c r="G230" s="19">
        <v>25</v>
      </c>
      <c r="H230" s="19">
        <f t="shared" ca="1" si="503"/>
        <v>0.44898991307988534</v>
      </c>
      <c r="I230" s="19">
        <f t="shared" ca="1" si="503"/>
        <v>0.28803144241171497</v>
      </c>
      <c r="J230" s="19">
        <f t="shared" ca="1" si="437"/>
        <v>-0.29953421298006594</v>
      </c>
      <c r="K230" s="19">
        <f t="shared" ca="1" si="438"/>
        <v>1.2295482783692238</v>
      </c>
      <c r="L230" s="19">
        <f t="array" aca="1" ref="L230:M230" ca="1">MMULT(J230:K230,TRANSPOSE($B$10:$C$11))</f>
        <v>-0.29953421298006594</v>
      </c>
      <c r="M230" s="19">
        <f ca="1"/>
        <v>1.0723332707662059</v>
      </c>
      <c r="N230" s="20">
        <f t="shared" ca="1" si="439"/>
        <v>6.4947848664837979E-3</v>
      </c>
      <c r="O230" s="20">
        <f t="shared" ca="1" si="440"/>
        <v>0.11618706004913067</v>
      </c>
      <c r="P230" s="19">
        <f t="shared" ca="1" si="446"/>
        <v>1.0198524470069953E-8</v>
      </c>
      <c r="Q230" s="19">
        <f ca="1">HCTrans(P230,Strike,RiskFreeRate,Dividend,Variance_T0*AnnualVarConvtr,(Simulation!G230)/250,0.5,Variance_Avg*AnnualVarConvtr,Lambda,SQRT(Simulation!N230),Rho,1,"Call")</f>
        <v>-1.5073434462794371E-5</v>
      </c>
      <c r="R230" s="19" t="e">
        <f t="shared" ca="1" si="441"/>
        <v>#VALUE!</v>
      </c>
      <c r="S230" s="19" t="e">
        <f t="shared" ca="1" si="442"/>
        <v>#VALUE!</v>
      </c>
      <c r="T230" s="19" t="e">
        <f t="shared" ca="1" si="447"/>
        <v>#VALUE!</v>
      </c>
      <c r="U230" s="19" t="e">
        <f t="shared" ca="1" si="448"/>
        <v>#VALUE!</v>
      </c>
      <c r="V230" s="21">
        <f t="shared" ca="1" si="449"/>
        <v>1.628419525319826E-6</v>
      </c>
      <c r="W230">
        <f t="shared" ca="1" si="450"/>
        <v>1.2760954217141546E-3</v>
      </c>
      <c r="X230" s="22">
        <f t="shared" ref="X230" ca="1" si="518">BSdelta(1,P230,Strike,W230*AnnualVarConvtr,Dividend,RiskFreeRate,G230/250)</f>
        <v>0</v>
      </c>
      <c r="Y230" s="22">
        <f t="shared" ca="1" si="456"/>
        <v>0</v>
      </c>
      <c r="Z230" s="22">
        <f t="shared" ca="1" si="457"/>
        <v>-7.4987778684579007</v>
      </c>
      <c r="AA230">
        <f t="shared" si="444"/>
        <v>0.73884103340948371</v>
      </c>
      <c r="AB230">
        <f t="shared" ref="AB230" ca="1" si="519">BSdelta(1,P230,Strike,AA230/AnnualVarConvtr,Dividend,RiskFreeRate,G230/250)</f>
        <v>0</v>
      </c>
      <c r="AC230">
        <f t="shared" ca="1" si="453"/>
        <v>0</v>
      </c>
      <c r="AD230">
        <f t="shared" ca="1" si="454"/>
        <v>-2.5925431179032801</v>
      </c>
    </row>
    <row r="231" spans="7:30" x14ac:dyDescent="0.25">
      <c r="G231" s="19">
        <v>24</v>
      </c>
      <c r="H231" s="19">
        <f t="shared" ca="1" si="503"/>
        <v>0.42753118233243415</v>
      </c>
      <c r="I231" s="19">
        <f t="shared" ca="1" si="503"/>
        <v>0.49053611320955937</v>
      </c>
      <c r="J231" s="19">
        <f t="shared" ca="1" si="437"/>
        <v>-1.3013278190766342</v>
      </c>
      <c r="K231" s="19">
        <f t="shared" ca="1" si="438"/>
        <v>7.7472650471263629E-2</v>
      </c>
      <c r="L231" s="19">
        <f t="array" aca="1" ref="L231:M231" ca="1">MMULT(J231:K231,TRANSPOSE($B$10:$C$11))</f>
        <v>-1.3013278190766342</v>
      </c>
      <c r="M231" s="19">
        <f ca="1"/>
        <v>0.9864453032688244</v>
      </c>
      <c r="N231" s="20">
        <f t="shared" ca="1" si="439"/>
        <v>8.5932812199286251E-3</v>
      </c>
      <c r="O231" s="20">
        <f t="shared" ca="1" si="440"/>
        <v>0.10955422656309444</v>
      </c>
      <c r="P231" s="19">
        <f t="shared" ca="1" si="446"/>
        <v>9.7180510400513485E-9</v>
      </c>
      <c r="Q231" s="19">
        <f ca="1">HCTrans(P231,Strike,RiskFreeRate,Dividend,Variance_T0*AnnualVarConvtr,(Simulation!G231)/250,0.5,Variance_Avg*AnnualVarConvtr,Lambda,SQRT(Simulation!N231),Rho,1,"Call")</f>
        <v>-1.5073394456699325E-5</v>
      </c>
      <c r="R231" s="19" t="e">
        <f t="shared" ca="1" si="441"/>
        <v>#VALUE!</v>
      </c>
      <c r="S231" s="19" t="e">
        <f t="shared" ca="1" si="442"/>
        <v>#VALUE!</v>
      </c>
      <c r="T231" s="19" t="e">
        <f t="shared" ca="1" si="447"/>
        <v>#VALUE!</v>
      </c>
      <c r="U231" s="19" t="e">
        <f t="shared" ca="1" si="448"/>
        <v>#VALUE!</v>
      </c>
      <c r="V231" s="21">
        <f t="shared" ca="1" si="449"/>
        <v>4.3994480053483523E-5</v>
      </c>
      <c r="W231">
        <f t="shared" ca="1" si="450"/>
        <v>6.6328334860362298E-3</v>
      </c>
      <c r="X231" s="22">
        <f t="shared" ref="X231" ca="1" si="520">BSdelta(1,P231,Strike,W231*AnnualVarConvtr,Dividend,RiskFreeRate,G231/250)</f>
        <v>0</v>
      </c>
      <c r="Y231" s="22">
        <f t="shared" ca="1" si="456"/>
        <v>0</v>
      </c>
      <c r="Z231" s="22">
        <f t="shared" ca="1" si="457"/>
        <v>-7.4987778684178945</v>
      </c>
      <c r="AA231">
        <f t="shared" si="444"/>
        <v>0.73884103340948371</v>
      </c>
      <c r="AB231">
        <f t="shared" ref="AB231" ca="1" si="521">BSdelta(1,P231,Strike,AA231/AnnualVarConvtr,Dividend,RiskFreeRate,G231/250)</f>
        <v>0</v>
      </c>
      <c r="AC231">
        <f t="shared" ca="1" si="453"/>
        <v>0</v>
      </c>
      <c r="AD231">
        <f t="shared" ca="1" si="454"/>
        <v>-2.5925431178632738</v>
      </c>
    </row>
    <row r="232" spans="7:30" x14ac:dyDescent="0.25">
      <c r="G232" s="19">
        <v>23</v>
      </c>
      <c r="H232" s="19">
        <f t="shared" ca="1" si="503"/>
        <v>0.21692545140003772</v>
      </c>
      <c r="I232" s="19">
        <f t="shared" ca="1" si="503"/>
        <v>0.28633195081066687</v>
      </c>
      <c r="J232" s="19">
        <f t="shared" ca="1" si="437"/>
        <v>-0.39563557600842203</v>
      </c>
      <c r="K232" s="19">
        <f t="shared" ca="1" si="438"/>
        <v>1.702902094601612</v>
      </c>
      <c r="L232" s="19">
        <f t="array" aca="1" ref="L232:M232" ca="1">MMULT(J232:K232,TRANSPOSE($B$10:$C$11))</f>
        <v>-0.39563557600842203</v>
      </c>
      <c r="M232" s="19">
        <f ca="1"/>
        <v>1.4713954092148382</v>
      </c>
      <c r="N232" s="20">
        <f t="shared" ca="1" si="439"/>
        <v>1.2255029314174042E-2</v>
      </c>
      <c r="O232" s="20">
        <f t="shared" ca="1" si="440"/>
        <v>0.10723467065428592</v>
      </c>
      <c r="P232" s="19">
        <f t="shared" ca="1" si="446"/>
        <v>9.2193216758104477E-9</v>
      </c>
      <c r="Q232" s="19">
        <f ca="1">HCTrans(P232,Strike,RiskFreeRate,Dividend,Variance_T0*AnnualVarConvtr,(Simulation!G232)/250,0.5,Variance_Avg*AnnualVarConvtr,Lambda,SQRT(Simulation!N232),Rho,1,"Call")</f>
        <v>-1.5073351201014425E-5</v>
      </c>
      <c r="R232" s="19" t="e">
        <f t="shared" ca="1" si="441"/>
        <v>#VALUE!</v>
      </c>
      <c r="S232" s="19" t="e">
        <f t="shared" ca="1" si="442"/>
        <v>#VALUE!</v>
      </c>
      <c r="T232" s="19" t="e">
        <f t="shared" ca="1" si="447"/>
        <v>#VALUE!</v>
      </c>
      <c r="U232" s="19" t="e">
        <f t="shared" ca="1" si="448"/>
        <v>#VALUE!</v>
      </c>
      <c r="V232" s="21">
        <f t="shared" ca="1" si="449"/>
        <v>5.3803396140884979E-6</v>
      </c>
      <c r="W232">
        <f t="shared" ca="1" si="450"/>
        <v>2.3195559088085155E-3</v>
      </c>
      <c r="X232" s="22">
        <f t="shared" ref="X232" ca="1" si="522">BSdelta(1,P232,Strike,W232*AnnualVarConvtr,Dividend,RiskFreeRate,G232/250)</f>
        <v>0</v>
      </c>
      <c r="Y232" s="22">
        <f t="shared" ca="1" si="456"/>
        <v>0</v>
      </c>
      <c r="Z232" s="22">
        <f t="shared" ca="1" si="457"/>
        <v>-7.4987778683746384</v>
      </c>
      <c r="AA232">
        <f t="shared" si="444"/>
        <v>0.73884103340948371</v>
      </c>
      <c r="AB232">
        <f t="shared" ref="AB232" ca="1" si="523">BSdelta(1,P232,Strike,AA232/AnnualVarConvtr,Dividend,RiskFreeRate,G232/250)</f>
        <v>0</v>
      </c>
      <c r="AC232">
        <f t="shared" ca="1" si="453"/>
        <v>0</v>
      </c>
      <c r="AD232">
        <f t="shared" ca="1" si="454"/>
        <v>-2.5925431178200182</v>
      </c>
    </row>
    <row r="233" spans="7:30" x14ac:dyDescent="0.25">
      <c r="G233" s="19">
        <v>22</v>
      </c>
      <c r="H233" s="19">
        <f t="shared" ca="1" si="503"/>
        <v>0.57870857779802232</v>
      </c>
      <c r="I233" s="19">
        <f t="shared" ca="1" si="503"/>
        <v>0.72985033551515921</v>
      </c>
      <c r="J233" s="19">
        <f t="shared" ca="1" si="437"/>
        <v>-0.13206209131216054</v>
      </c>
      <c r="K233" s="19">
        <f t="shared" ca="1" si="438"/>
        <v>-1.037531734455847</v>
      </c>
      <c r="L233" s="19">
        <f t="array" aca="1" ref="L233:M233" ca="1">MMULT(J233:K233,TRANSPOSE($B$10:$C$11))</f>
        <v>-0.13206209131216054</v>
      </c>
      <c r="M233" s="19">
        <f ca="1"/>
        <v>-0.62914625638371191</v>
      </c>
      <c r="N233" s="20">
        <f t="shared" ca="1" si="439"/>
        <v>1.0579120621603115E-2</v>
      </c>
      <c r="O233" s="20">
        <f t="shared" ca="1" si="440"/>
        <v>0.1063100462683606</v>
      </c>
      <c r="P233" s="19">
        <f t="shared" ca="1" si="446"/>
        <v>8.7814377716078906E-9</v>
      </c>
      <c r="Q233" s="19">
        <f ca="1">HCTrans(P233,Strike,RiskFreeRate,Dividend,Variance_T0*AnnualVarConvtr,(Simulation!G233)/250,0.5,Variance_Avg*AnnualVarConvtr,Lambda,SQRT(Simulation!N233),Rho,1,"Call")</f>
        <v>-1.5073311749803426E-5</v>
      </c>
      <c r="R233" s="19" t="e">
        <f t="shared" ca="1" si="441"/>
        <v>#VALUE!</v>
      </c>
      <c r="S233" s="19" t="e">
        <f t="shared" ca="1" si="442"/>
        <v>#VALUE!</v>
      </c>
      <c r="T233" s="19" t="e">
        <f t="shared" ca="1" si="447"/>
        <v>#VALUE!</v>
      </c>
      <c r="U233" s="19" t="e">
        <f t="shared" ca="1" si="448"/>
        <v>#VALUE!</v>
      </c>
      <c r="V233" s="21">
        <f t="shared" ca="1" si="449"/>
        <v>8.5493025504777204E-7</v>
      </c>
      <c r="W233">
        <f t="shared" ca="1" si="450"/>
        <v>9.2462438592531837E-4</v>
      </c>
      <c r="X233" s="22">
        <f t="shared" ref="X233" ca="1" si="524">BSdelta(1,P233,Strike,W233*AnnualVarConvtr,Dividend,RiskFreeRate,G233/250)</f>
        <v>0</v>
      </c>
      <c r="Y233" s="22">
        <f t="shared" ca="1" si="456"/>
        <v>0</v>
      </c>
      <c r="Z233" s="22">
        <f t="shared" ca="1" si="457"/>
        <v>-7.4987778683351873</v>
      </c>
      <c r="AA233">
        <f t="shared" si="444"/>
        <v>0.73884103340948371</v>
      </c>
      <c r="AB233">
        <f t="shared" ref="AB233" ca="1" si="525">BSdelta(1,P233,Strike,AA233/AnnualVarConvtr,Dividend,RiskFreeRate,G233/250)</f>
        <v>0</v>
      </c>
      <c r="AC233">
        <f t="shared" ca="1" si="453"/>
        <v>0</v>
      </c>
      <c r="AD233">
        <f t="shared" ca="1" si="454"/>
        <v>-2.5925431177805671</v>
      </c>
    </row>
    <row r="234" spans="7:30" x14ac:dyDescent="0.25">
      <c r="G234" s="19">
        <v>21</v>
      </c>
      <c r="H234" s="19">
        <f t="shared" ca="1" si="503"/>
        <v>4.5786258189373985E-2</v>
      </c>
      <c r="I234" s="19">
        <f t="shared" ca="1" si="503"/>
        <v>0.33494830773893625</v>
      </c>
      <c r="J234" s="19">
        <f t="shared" ca="1" si="437"/>
        <v>-1.2634864681436233</v>
      </c>
      <c r="K234" s="19">
        <f t="shared" ca="1" si="438"/>
        <v>2.1380235007245174</v>
      </c>
      <c r="L234" s="19">
        <f t="array" aca="1" ref="L234:M234" ca="1">MMULT(J234:K234,TRANSPOSE($B$10:$C$11))</f>
        <v>-1.2634864681436233</v>
      </c>
      <c r="M234" s="19">
        <f ca="1"/>
        <v>2.3967456495054478</v>
      </c>
      <c r="N234" s="20">
        <f t="shared" ca="1" si="439"/>
        <v>1.7468505467899811E-2</v>
      </c>
      <c r="O234" s="20">
        <f t="shared" ca="1" si="440"/>
        <v>9.8090925248236011E-2</v>
      </c>
      <c r="P234" s="19">
        <f t="shared" ca="1" si="446"/>
        <v>8.384209111748694E-9</v>
      </c>
      <c r="Q234" s="19">
        <f ca="1">HCTrans(P234,Strike,RiskFreeRate,Dividend,Variance_T0*AnnualVarConvtr,(Simulation!G234)/250,0.5,Variance_Avg*AnnualVarConvtr,Lambda,SQRT(Simulation!N234),Rho,1,"Call")</f>
        <v>-1.5073274649544794E-5</v>
      </c>
      <c r="R234" s="19" t="e">
        <f t="shared" ca="1" si="441"/>
        <v>#VALUE!</v>
      </c>
      <c r="S234" s="19" t="e">
        <f t="shared" ca="1" si="442"/>
        <v>#VALUE!</v>
      </c>
      <c r="T234" s="19" t="e">
        <f t="shared" ca="1" si="447"/>
        <v>#VALUE!</v>
      </c>
      <c r="U234" s="19" t="e">
        <f t="shared" ca="1" si="448"/>
        <v>#VALUE!</v>
      </c>
      <c r="V234" s="21">
        <f t="shared" ca="1" si="449"/>
        <v>6.7553950343453924E-5</v>
      </c>
      <c r="W234">
        <f t="shared" ca="1" si="450"/>
        <v>8.2191210201245923E-3</v>
      </c>
      <c r="X234" s="22">
        <f t="shared" ref="X234" ca="1" si="526">BSdelta(1,P234,Strike,W234*AnnualVarConvtr,Dividend,RiskFreeRate,G234/250)</f>
        <v>0</v>
      </c>
      <c r="Y234" s="22">
        <f t="shared" ca="1" si="456"/>
        <v>0</v>
      </c>
      <c r="Z234" s="22">
        <f t="shared" ca="1" si="457"/>
        <v>-7.4987778682980872</v>
      </c>
      <c r="AA234">
        <f t="shared" si="444"/>
        <v>0.73884103340948371</v>
      </c>
      <c r="AB234">
        <f t="shared" ref="AB234" ca="1" si="527">BSdelta(1,P234,Strike,AA234/AnnualVarConvtr,Dividend,RiskFreeRate,G234/250)</f>
        <v>0</v>
      </c>
      <c r="AC234">
        <f t="shared" ca="1" si="453"/>
        <v>0</v>
      </c>
      <c r="AD234">
        <f t="shared" ca="1" si="454"/>
        <v>-2.592543117743467</v>
      </c>
    </row>
    <row r="235" spans="7:30" x14ac:dyDescent="0.25">
      <c r="G235" s="19">
        <v>20</v>
      </c>
      <c r="H235" s="19">
        <f t="shared" ca="1" si="503"/>
        <v>0.72405476394728352</v>
      </c>
      <c r="I235" s="19">
        <f t="shared" ca="1" si="503"/>
        <v>0.14484454380489131</v>
      </c>
      <c r="J235" s="19">
        <f t="shared" ca="1" si="437"/>
        <v>0.49315343585943733</v>
      </c>
      <c r="K235" s="19">
        <f t="shared" ca="1" si="438"/>
        <v>0.6344889171544188</v>
      </c>
      <c r="L235" s="19">
        <f t="array" aca="1" ref="L235:M235" ca="1">MMULT(J235:K235,TRANSPOSE($B$10:$C$11))</f>
        <v>0.49315343585943733</v>
      </c>
      <c r="M235" s="19">
        <f ca="1"/>
        <v>8.9266841410019615E-2</v>
      </c>
      <c r="N235" s="20">
        <f t="shared" ca="1" si="439"/>
        <v>1.7703747322512491E-2</v>
      </c>
      <c r="O235" s="20">
        <f t="shared" ca="1" si="440"/>
        <v>0.10221322847227882</v>
      </c>
      <c r="P235" s="19">
        <f t="shared" ca="1" si="446"/>
        <v>7.7596890773773413E-9</v>
      </c>
      <c r="Q235" s="19">
        <f ca="1">HCTrans(P235,Strike,RiskFreeRate,Dividend,Variance_T0*AnnualVarConvtr,(Simulation!G235)/250,0.5,Variance_Avg*AnnualVarConvtr,Lambda,SQRT(Simulation!N235),Rho,1,"Call")</f>
        <v>-1.5073213005070206E-5</v>
      </c>
      <c r="R235" s="19" t="e">
        <f t="shared" ca="1" si="441"/>
        <v>#VALUE!</v>
      </c>
      <c r="S235" s="19" t="e">
        <f t="shared" ca="1" si="442"/>
        <v>#VALUE!</v>
      </c>
      <c r="T235" s="19" t="e">
        <f t="shared" ca="1" si="447"/>
        <v>#VALUE!</v>
      </c>
      <c r="U235" s="19" t="e">
        <f t="shared" ca="1" si="448"/>
        <v>#VALUE!</v>
      </c>
      <c r="V235" s="21">
        <f t="shared" ca="1" si="449"/>
        <v>1.6993383870953712E-5</v>
      </c>
      <c r="W235">
        <f t="shared" ca="1" si="450"/>
        <v>4.1223032240428059E-3</v>
      </c>
      <c r="X235" s="22">
        <f t="shared" ref="X235" ca="1" si="528">BSdelta(1,P235,Strike,W235*AnnualVarConvtr,Dividend,RiskFreeRate,G235/250)</f>
        <v>0</v>
      </c>
      <c r="Y235" s="22">
        <f t="shared" ca="1" si="456"/>
        <v>0</v>
      </c>
      <c r="Z235" s="22">
        <f t="shared" ca="1" si="457"/>
        <v>-7.4987778682364423</v>
      </c>
      <c r="AA235">
        <f t="shared" si="444"/>
        <v>0.73884103340948371</v>
      </c>
      <c r="AB235">
        <f t="shared" ref="AB235" ca="1" si="529">BSdelta(1,P235,Strike,AA235/AnnualVarConvtr,Dividend,RiskFreeRate,G235/250)</f>
        <v>0</v>
      </c>
      <c r="AC235">
        <f t="shared" ca="1" si="453"/>
        <v>0</v>
      </c>
      <c r="AD235">
        <f t="shared" ca="1" si="454"/>
        <v>-2.5925431176818226</v>
      </c>
    </row>
    <row r="236" spans="7:30" x14ac:dyDescent="0.25">
      <c r="G236" s="19">
        <v>19</v>
      </c>
      <c r="H236" s="19">
        <f t="shared" ca="1" si="503"/>
        <v>7.2973141921218176E-2</v>
      </c>
      <c r="I236" s="19">
        <f t="shared" ca="1" si="503"/>
        <v>0.13833946384702123</v>
      </c>
      <c r="J236" s="19">
        <f t="shared" ca="1" si="437"/>
        <v>1.4767939849715312</v>
      </c>
      <c r="K236" s="19">
        <f t="shared" ca="1" si="438"/>
        <v>1.7476862346519069</v>
      </c>
      <c r="L236" s="19">
        <f t="array" aca="1" ref="L236:M236" ca="1">MMULT(J236:K236,TRANSPOSE($B$10:$C$11))</f>
        <v>1.4767939849715312</v>
      </c>
      <c r="M236" s="19">
        <f ca="1"/>
        <v>0.16104046676841488</v>
      </c>
      <c r="N236" s="20">
        <f t="shared" ca="1" si="439"/>
        <v>1.817654963792522E-2</v>
      </c>
      <c r="O236" s="20">
        <f t="shared" ca="1" si="440"/>
        <v>0.11464069241357297</v>
      </c>
      <c r="P236" s="19">
        <f t="shared" ca="1" si="446"/>
        <v>7.1990531589318913E-9</v>
      </c>
      <c r="Q236" s="19">
        <f ca="1">HCTrans(P236,Strike,RiskFreeRate,Dividend,Variance_T0*AnnualVarConvtr,(Simulation!G236)/250,0.5,Variance_Avg*AnnualVarConvtr,Lambda,SQRT(Simulation!N236),Rho,1,"Call")</f>
        <v>-1.5073154327544059E-5</v>
      </c>
      <c r="R236" s="19" t="e">
        <f t="shared" ca="1" si="441"/>
        <v>#VALUE!</v>
      </c>
      <c r="S236" s="19" t="e">
        <f t="shared" ca="1" si="442"/>
        <v>#VALUE!</v>
      </c>
      <c r="T236" s="19" t="e">
        <f t="shared" ca="1" si="447"/>
        <v>#VALUE!</v>
      </c>
      <c r="U236" s="19" t="e">
        <f t="shared" ca="1" si="448"/>
        <v>#VALUE!</v>
      </c>
      <c r="V236" s="21">
        <f t="shared" ca="1" si="449"/>
        <v>1.5444186001216642E-4</v>
      </c>
      <c r="W236">
        <f t="shared" ca="1" si="450"/>
        <v>1.2427463941294153E-2</v>
      </c>
      <c r="X236" s="22">
        <f t="shared" ref="X236" ca="1" si="530">BSdelta(1,P236,Strike,W236*AnnualVarConvtr,Dividend,RiskFreeRate,G236/250)</f>
        <v>0</v>
      </c>
      <c r="Y236" s="22">
        <f t="shared" ca="1" si="456"/>
        <v>0</v>
      </c>
      <c r="Z236" s="22">
        <f t="shared" ca="1" si="457"/>
        <v>-7.4987778681777648</v>
      </c>
      <c r="AA236">
        <f t="shared" si="444"/>
        <v>0.73884103340948371</v>
      </c>
      <c r="AB236">
        <f t="shared" ref="AB236" ca="1" si="531">BSdelta(1,P236,Strike,AA236/AnnualVarConvtr,Dividend,RiskFreeRate,G236/250)</f>
        <v>0</v>
      </c>
      <c r="AC236">
        <f t="shared" ca="1" si="453"/>
        <v>0</v>
      </c>
      <c r="AD236">
        <f t="shared" ca="1" si="454"/>
        <v>-2.592543117623145</v>
      </c>
    </row>
    <row r="237" spans="7:30" x14ac:dyDescent="0.25">
      <c r="G237" s="19">
        <v>18</v>
      </c>
      <c r="H237" s="19">
        <f t="shared" ca="1" si="503"/>
        <v>0.33059006535500646</v>
      </c>
      <c r="I237" s="19">
        <f t="shared" ca="1" si="503"/>
        <v>0.31303663726668518</v>
      </c>
      <c r="J237" s="19">
        <f t="shared" ca="1" si="437"/>
        <v>-0.57401423160041865</v>
      </c>
      <c r="K237" s="19">
        <f t="shared" ca="1" si="438"/>
        <v>1.3726834852613747</v>
      </c>
      <c r="L237" s="19">
        <f t="array" aca="1" ref="L237:M237" ca="1">MMULT(J237:K237,TRANSPOSE($B$10:$C$11))</f>
        <v>-0.57401423160041865</v>
      </c>
      <c r="M237" s="19">
        <f ca="1"/>
        <v>1.3688474767515024</v>
      </c>
      <c r="N237" s="20">
        <f t="shared" ca="1" si="439"/>
        <v>2.2924375603432568E-2</v>
      </c>
      <c r="O237" s="20">
        <f t="shared" ca="1" si="440"/>
        <v>0.10974619189220253</v>
      </c>
      <c r="P237" s="19">
        <f t="shared" ca="1" si="446"/>
        <v>6.8105566955230891E-9</v>
      </c>
      <c r="Q237" s="19">
        <f ca="1">HCTrans(P237,Strike,RiskFreeRate,Dividend,Variance_T0*AnnualVarConvtr,(Simulation!G237)/250,0.5,Variance_Avg*AnnualVarConvtr,Lambda,SQRT(Simulation!N237),Rho,1,"Call")</f>
        <v>-1.5073111735537514E-5</v>
      </c>
      <c r="R237" s="19" t="e">
        <f t="shared" ca="1" si="441"/>
        <v>#VALUE!</v>
      </c>
      <c r="S237" s="19" t="e">
        <f t="shared" ca="1" si="442"/>
        <v>#VALUE!</v>
      </c>
      <c r="T237" s="19" t="e">
        <f t="shared" ca="1" si="447"/>
        <v>#VALUE!</v>
      </c>
      <c r="U237" s="19" t="e">
        <f t="shared" ca="1" si="448"/>
        <v>#VALUE!</v>
      </c>
      <c r="V237" s="21">
        <f t="shared" ca="1" si="449"/>
        <v>2.3956135353695536E-5</v>
      </c>
      <c r="W237">
        <f t="shared" ca="1" si="450"/>
        <v>4.8945005213704429E-3</v>
      </c>
      <c r="X237" s="22">
        <f t="shared" ref="X237" ca="1" si="532">BSdelta(1,P237,Strike,W237*AnnualVarConvtr,Dividend,RiskFreeRate,G237/250)</f>
        <v>0</v>
      </c>
      <c r="Y237" s="22">
        <f t="shared" ca="1" si="456"/>
        <v>0</v>
      </c>
      <c r="Z237" s="22">
        <f t="shared" ca="1" si="457"/>
        <v>-7.4987778681351731</v>
      </c>
      <c r="AA237">
        <f t="shared" si="444"/>
        <v>0.73884103340948371</v>
      </c>
      <c r="AB237">
        <f t="shared" ref="AB237" ca="1" si="533">BSdelta(1,P237,Strike,AA237/AnnualVarConvtr,Dividend,RiskFreeRate,G237/250)</f>
        <v>0</v>
      </c>
      <c r="AC237">
        <f t="shared" ca="1" si="453"/>
        <v>0</v>
      </c>
      <c r="AD237">
        <f t="shared" ca="1" si="454"/>
        <v>-2.5925431175805529</v>
      </c>
    </row>
    <row r="238" spans="7:30" x14ac:dyDescent="0.25">
      <c r="G238" s="19">
        <v>17</v>
      </c>
      <c r="H238" s="19">
        <f t="shared" ca="1" si="503"/>
        <v>0.64561114784581797</v>
      </c>
      <c r="I238" s="19">
        <f t="shared" ca="1" si="503"/>
        <v>0.25209687321320939</v>
      </c>
      <c r="J238" s="19">
        <f t="shared" ca="1" si="437"/>
        <v>-1.2324583050123895E-2</v>
      </c>
      <c r="K238" s="19">
        <f t="shared" ca="1" si="438"/>
        <v>0.9353950471139193</v>
      </c>
      <c r="L238" s="19">
        <f t="array" aca="1" ref="L238:M238" ca="1">MMULT(J238:K238,TRANSPOSE($B$10:$C$11))</f>
        <v>-1.2324583050123895E-2</v>
      </c>
      <c r="M238" s="19">
        <f ca="1"/>
        <v>0.66135007392263812</v>
      </c>
      <c r="N238" s="20">
        <f t="shared" ca="1" si="439"/>
        <v>2.5361251732954754E-2</v>
      </c>
      <c r="O238" s="20">
        <f t="shared" ca="1" si="440"/>
        <v>0.10962817314800855</v>
      </c>
      <c r="P238" s="19">
        <f t="shared" ca="1" si="446"/>
        <v>6.4015866780624172E-9</v>
      </c>
      <c r="Q238" s="19">
        <f ca="1">HCTrans(P238,Strike,RiskFreeRate,Dividend,Variance_T0*AnnualVarConvtr,(Simulation!G238)/250,0.5,Variance_Avg*AnnualVarConvtr,Lambda,SQRT(Simulation!N238),Rho,1,"Call")</f>
        <v>-1.507306474936379E-5</v>
      </c>
      <c r="R238" s="19" t="e">
        <f t="shared" ca="1" si="441"/>
        <v>#VALUE!</v>
      </c>
      <c r="S238" s="19" t="e">
        <f t="shared" ca="1" si="442"/>
        <v>#VALUE!</v>
      </c>
      <c r="T238" s="19" t="e">
        <f t="shared" ca="1" si="447"/>
        <v>#VALUE!</v>
      </c>
      <c r="U238" s="19" t="e">
        <f t="shared" ca="1" si="448"/>
        <v>#VALUE!</v>
      </c>
      <c r="V238" s="21">
        <f t="shared" ca="1" si="449"/>
        <v>1.3928423981124496E-8</v>
      </c>
      <c r="W238">
        <f t="shared" ca="1" si="450"/>
        <v>1.1801874419398173E-4</v>
      </c>
      <c r="X238" s="22">
        <f t="shared" ref="X238" ca="1" si="534">BSdelta(1,P238,Strike,W238*AnnualVarConvtr,Dividend,RiskFreeRate,G238/250)</f>
        <v>0</v>
      </c>
      <c r="Y238" s="22">
        <f t="shared" ca="1" si="456"/>
        <v>0</v>
      </c>
      <c r="Z238" s="22">
        <f t="shared" ca="1" si="457"/>
        <v>-7.4987778680881867</v>
      </c>
      <c r="AA238">
        <f t="shared" si="444"/>
        <v>0.73884103340948371</v>
      </c>
      <c r="AB238">
        <f t="shared" ref="AB238" ca="1" si="535">BSdelta(1,P238,Strike,AA238/AnnualVarConvtr,Dividend,RiskFreeRate,G238/250)</f>
        <v>0</v>
      </c>
      <c r="AC238">
        <f t="shared" ca="1" si="453"/>
        <v>0</v>
      </c>
      <c r="AD238">
        <f t="shared" ca="1" si="454"/>
        <v>-2.5925431175335669</v>
      </c>
    </row>
    <row r="239" spans="7:30" x14ac:dyDescent="0.25">
      <c r="G239" s="19">
        <v>16</v>
      </c>
      <c r="H239" s="19">
        <f t="shared" ca="1" si="503"/>
        <v>0.82306449021444172</v>
      </c>
      <c r="I239" s="19">
        <f t="shared" ca="1" si="503"/>
        <v>0.55051852901111376</v>
      </c>
      <c r="J239" s="19">
        <f t="shared" ca="1" si="437"/>
        <v>-0.59287770241667881</v>
      </c>
      <c r="K239" s="19">
        <f t="shared" ca="1" si="438"/>
        <v>-0.19477544220595727</v>
      </c>
      <c r="L239" s="19">
        <f t="array" aca="1" ref="L239:M239" ca="1">MMULT(J239:K239,TRANSPOSE($B$10:$C$11))</f>
        <v>-0.59287770241667881</v>
      </c>
      <c r="M239" s="19">
        <f ca="1"/>
        <v>0.28892403958922097</v>
      </c>
      <c r="N239" s="20">
        <f t="shared" ca="1" si="439"/>
        <v>2.6404928064017463E-2</v>
      </c>
      <c r="O239" s="20">
        <f t="shared" ca="1" si="440"/>
        <v>0.10365671414073629</v>
      </c>
      <c r="P239" s="19">
        <f t="shared" ca="1" si="446"/>
        <v>5.9391827278470128E-9</v>
      </c>
      <c r="Q239" s="19">
        <f ca="1">HCTrans(P239,Strike,RiskFreeRate,Dividend,Variance_T0*AnnualVarConvtr,(Simulation!G239)/250,0.5,Variance_Avg*AnnualVarConvtr,Lambda,SQRT(Simulation!N239),Rho,1,"Call")</f>
        <v>-1.5073008620712106E-5</v>
      </c>
      <c r="R239" s="19" t="e">
        <f t="shared" ca="1" si="441"/>
        <v>#VALUE!</v>
      </c>
      <c r="S239" s="19" t="e">
        <f t="shared" ca="1" si="442"/>
        <v>#VALUE!</v>
      </c>
      <c r="T239" s="19" t="e">
        <f t="shared" ca="1" si="447"/>
        <v>#VALUE!</v>
      </c>
      <c r="U239" s="19" t="e">
        <f t="shared" ca="1" si="448"/>
        <v>#VALUE!</v>
      </c>
      <c r="V239" s="21">
        <f t="shared" ca="1" si="449"/>
        <v>3.5658322675532896E-5</v>
      </c>
      <c r="W239">
        <f t="shared" ca="1" si="450"/>
        <v>5.9714590072722507E-3</v>
      </c>
      <c r="X239" s="22">
        <f t="shared" ref="X239" ca="1" si="536">BSdelta(1,P239,Strike,W239*AnnualVarConvtr,Dividend,RiskFreeRate,G239/250)</f>
        <v>0</v>
      </c>
      <c r="Y239" s="22">
        <f t="shared" ca="1" si="456"/>
        <v>0</v>
      </c>
      <c r="Z239" s="22">
        <f t="shared" ca="1" si="457"/>
        <v>-7.4987778680320583</v>
      </c>
      <c r="AA239">
        <f t="shared" si="444"/>
        <v>0.73884103340948371</v>
      </c>
      <c r="AB239">
        <f t="shared" ref="AB239" ca="1" si="537">BSdelta(1,P239,Strike,AA239/AnnualVarConvtr,Dividend,RiskFreeRate,G239/250)</f>
        <v>0</v>
      </c>
      <c r="AC239">
        <f t="shared" ca="1" si="453"/>
        <v>0</v>
      </c>
      <c r="AD239">
        <f t="shared" ca="1" si="454"/>
        <v>-2.5925431174774385</v>
      </c>
    </row>
    <row r="240" spans="7:30" x14ac:dyDescent="0.25">
      <c r="G240" s="19">
        <v>15</v>
      </c>
      <c r="H240" s="19">
        <f t="shared" ca="1" si="503"/>
        <v>0.26164832164458962</v>
      </c>
      <c r="I240" s="19">
        <f t="shared" ca="1" si="503"/>
        <v>0.71865124671617509</v>
      </c>
      <c r="J240" s="19">
        <f t="shared" ca="1" si="437"/>
        <v>-0.32046293757030903</v>
      </c>
      <c r="K240" s="19">
        <f t="shared" ca="1" si="438"/>
        <v>-1.6058678111924869</v>
      </c>
      <c r="L240" s="19">
        <f t="array" aca="1" ref="L240:M240" ca="1">MMULT(J240:K240,TRANSPOSE($B$10:$C$11))</f>
        <v>-0.32046293757030903</v>
      </c>
      <c r="M240" s="19">
        <f ca="1"/>
        <v>-0.89062096071233676</v>
      </c>
      <c r="N240" s="20">
        <f t="shared" ca="1" si="439"/>
        <v>2.2872895271865704E-2</v>
      </c>
      <c r="O240" s="20">
        <f t="shared" ca="1" si="440"/>
        <v>0.10036327001890759</v>
      </c>
      <c r="P240" s="19">
        <f t="shared" ca="1" si="446"/>
        <v>5.5541300505003026E-9</v>
      </c>
      <c r="Q240" s="19">
        <f ca="1">HCTrans(P240,Strike,RiskFreeRate,Dividend,Variance_T0*AnnualVarConvtr,(Simulation!G240)/250,0.5,Variance_Avg*AnnualVarConvtr,Lambda,SQRT(Simulation!N240),Rho,1,"Call")</f>
        <v>-1.5072959326367675E-5</v>
      </c>
      <c r="R240" s="19" t="e">
        <f t="shared" ca="1" si="441"/>
        <v>#VALUE!</v>
      </c>
      <c r="S240" s="19" t="e">
        <f t="shared" ca="1" si="442"/>
        <v>#VALUE!</v>
      </c>
      <c r="T240" s="19" t="e">
        <f t="shared" ca="1" si="447"/>
        <v>#VALUE!</v>
      </c>
      <c r="U240" s="19" t="e">
        <f t="shared" ca="1" si="448"/>
        <v>#VALUE!</v>
      </c>
      <c r="V240" s="21">
        <f t="shared" ca="1" si="449"/>
        <v>1.0846774183608059E-5</v>
      </c>
      <c r="W240">
        <f t="shared" ca="1" si="450"/>
        <v>3.2934441218287064E-3</v>
      </c>
      <c r="X240" s="22">
        <f t="shared" ref="X240" ca="1" si="538">BSdelta(1,P240,Strike,W240*AnnualVarConvtr,Dividend,RiskFreeRate,G240/250)</f>
        <v>0</v>
      </c>
      <c r="Y240" s="22">
        <f t="shared" ca="1" si="456"/>
        <v>0</v>
      </c>
      <c r="Z240" s="22">
        <f t="shared" ca="1" si="457"/>
        <v>-7.4987778679827644</v>
      </c>
      <c r="AA240">
        <f t="shared" si="444"/>
        <v>0.73884103340948371</v>
      </c>
      <c r="AB240">
        <f t="shared" ref="AB240" ca="1" si="539">BSdelta(1,P240,Strike,AA240/AnnualVarConvtr,Dividend,RiskFreeRate,G240/250)</f>
        <v>0</v>
      </c>
      <c r="AC240">
        <f t="shared" ca="1" si="453"/>
        <v>0</v>
      </c>
      <c r="AD240">
        <f t="shared" ca="1" si="454"/>
        <v>-2.5925431174281441</v>
      </c>
    </row>
    <row r="241" spans="7:30" x14ac:dyDescent="0.25">
      <c r="G241" s="19">
        <v>14</v>
      </c>
      <c r="H241" s="19">
        <f t="shared" ca="1" si="503"/>
        <v>0.38095340731652982</v>
      </c>
      <c r="I241" s="19">
        <f t="shared" ca="1" si="503"/>
        <v>0.36801364285371096</v>
      </c>
      <c r="J241" s="19">
        <f t="shared" ca="1" si="437"/>
        <v>-0.93832816365166949</v>
      </c>
      <c r="K241" s="19">
        <f t="shared" ca="1" si="438"/>
        <v>1.0245470516187809</v>
      </c>
      <c r="L241" s="19">
        <f t="array" aca="1" ref="L241:M241" ca="1">MMULT(J241:K241,TRANSPOSE($B$10:$C$11))</f>
        <v>-0.93832816365166949</v>
      </c>
      <c r="M241" s="19">
        <f ca="1"/>
        <v>1.3870229269330541</v>
      </c>
      <c r="N241" s="20">
        <f t="shared" ca="1" si="439"/>
        <v>2.8221799823624868E-2</v>
      </c>
      <c r="O241" s="20">
        <f t="shared" ca="1" si="440"/>
        <v>9.1388045568028445E-2</v>
      </c>
      <c r="P241" s="19">
        <f t="shared" ca="1" si="446"/>
        <v>5.2253588271235673E-9</v>
      </c>
      <c r="Q241" s="19">
        <f ca="1">HCTrans(P241,Strike,RiskFreeRate,Dividend,Variance_T0*AnnualVarConvtr,(Simulation!G241)/250,0.5,Variance_Avg*AnnualVarConvtr,Lambda,SQRT(Simulation!N241),Rho,1,"Call")</f>
        <v>-1.5072915173391966E-5</v>
      </c>
      <c r="R241" s="19" t="e">
        <f t="shared" ca="1" si="441"/>
        <v>#VALUE!</v>
      </c>
      <c r="S241" s="19" t="e">
        <f t="shared" ca="1" si="442"/>
        <v>#VALUE!</v>
      </c>
      <c r="T241" s="19" t="e">
        <f t="shared" ca="1" si="447"/>
        <v>#VALUE!</v>
      </c>
      <c r="U241" s="19" t="e">
        <f t="shared" ca="1" si="448"/>
        <v>#VALUE!</v>
      </c>
      <c r="V241" s="21">
        <f t="shared" ca="1" si="449"/>
        <v>8.0554653943658828E-5</v>
      </c>
      <c r="W241">
        <f t="shared" ca="1" si="450"/>
        <v>8.9752244508791434E-3</v>
      </c>
      <c r="X241" s="22">
        <f t="shared" ref="X241" ca="1" si="540">BSdelta(1,P241,Strike,W241*AnnualVarConvtr,Dividend,RiskFreeRate,G241/250)</f>
        <v>0</v>
      </c>
      <c r="Y241" s="22">
        <f t="shared" ca="1" si="456"/>
        <v>0</v>
      </c>
      <c r="Z241" s="22">
        <f t="shared" ca="1" si="457"/>
        <v>-7.4987778679386112</v>
      </c>
      <c r="AA241">
        <f>$R$5</f>
        <v>0.73884103340948371</v>
      </c>
      <c r="AB241">
        <f t="shared" ref="AB241" ca="1" si="541">BSdelta(1,P241,Strike,AA241/AnnualVarConvtr,Dividend,RiskFreeRate,G241/250)</f>
        <v>0</v>
      </c>
      <c r="AC241">
        <f t="shared" ca="1" si="453"/>
        <v>0</v>
      </c>
      <c r="AD241">
        <f t="shared" ca="1" si="454"/>
        <v>-2.592543117383991</v>
      </c>
    </row>
    <row r="242" spans="7:30" x14ac:dyDescent="0.25">
      <c r="G242" s="19">
        <v>13</v>
      </c>
      <c r="H242" s="19">
        <f t="shared" ca="1" si="503"/>
        <v>0.92034929687327593</v>
      </c>
      <c r="I242" s="19">
        <f t="shared" ca="1" si="503"/>
        <v>0.9884550116991081</v>
      </c>
      <c r="J242" s="19">
        <f t="shared" ca="1" si="437"/>
        <v>0.40636442648775206</v>
      </c>
      <c r="K242" s="19">
        <f t="shared" ca="1" si="438"/>
        <v>-2.952920330360146E-2</v>
      </c>
      <c r="L242" s="19">
        <f t="array" aca="1" ref="L242:M242" ca="1">MMULT(J242:K242,TRANSPOSE($B$10:$C$11))</f>
        <v>0.40636442648775206</v>
      </c>
      <c r="M242" s="19">
        <f ca="1"/>
        <v>-0.31175930262053231</v>
      </c>
      <c r="N242" s="20">
        <f t="shared" ca="1" si="439"/>
        <v>2.6839936436429596E-2</v>
      </c>
      <c r="O242" s="20">
        <f t="shared" ca="1" si="440"/>
        <v>9.5705602089088473E-2</v>
      </c>
      <c r="P242" s="19">
        <f t="shared" ca="1" si="446"/>
        <v>4.7505002494879853E-9</v>
      </c>
      <c r="Q242" s="19">
        <f ca="1">HCTrans(P242,Strike,RiskFreeRate,Dividend,Variance_T0*AnnualVarConvtr,(Simulation!G242)/250,0.5,Variance_Avg*AnnualVarConvtr,Lambda,SQRT(Simulation!N242),Rho,1,"Call")</f>
        <v>-1.507284714164559E-5</v>
      </c>
      <c r="R242" s="19" t="e">
        <f t="shared" ca="1" si="441"/>
        <v>#VALUE!</v>
      </c>
      <c r="S242" s="19" t="e">
        <f t="shared" ca="1" si="442"/>
        <v>#VALUE!</v>
      </c>
      <c r="T242" s="19" t="e">
        <f t="shared" ca="1" si="447"/>
        <v>#VALUE!</v>
      </c>
      <c r="U242" s="19" t="e">
        <f t="shared" ca="1" si="448"/>
        <v>#VALUE!</v>
      </c>
      <c r="V242" s="21">
        <f t="shared" ca="1" si="449"/>
        <v>1.8641294312547979E-5</v>
      </c>
      <c r="W242">
        <f t="shared" ca="1" si="450"/>
        <v>4.3175565210600286E-3</v>
      </c>
      <c r="X242" s="22">
        <f t="shared" ref="X242" ca="1" si="542">BSdelta(1,P242,Strike,W242*AnnualVarConvtr,Dividend,RiskFreeRate,G242/250)</f>
        <v>0</v>
      </c>
      <c r="Y242" s="22">
        <f t="shared" ca="1" si="456"/>
        <v>0</v>
      </c>
      <c r="Z242" s="22">
        <f t="shared" ca="1" si="457"/>
        <v>-7.4987778678705794</v>
      </c>
      <c r="AA242">
        <f t="shared" ref="AA242:AA254" si="543">$R$5</f>
        <v>0.73884103340948371</v>
      </c>
      <c r="AB242">
        <f t="shared" ref="AB242" ca="1" si="544">BSdelta(1,P242,Strike,AA242/AnnualVarConvtr,Dividend,RiskFreeRate,G242/250)</f>
        <v>0</v>
      </c>
      <c r="AC242">
        <f t="shared" ca="1" si="453"/>
        <v>0</v>
      </c>
      <c r="AD242">
        <f t="shared" ca="1" si="454"/>
        <v>-2.5925431173159592</v>
      </c>
    </row>
    <row r="243" spans="7:30" x14ac:dyDescent="0.25">
      <c r="G243" s="19">
        <v>12</v>
      </c>
      <c r="H243" s="19">
        <f t="shared" ca="1" si="503"/>
        <v>9.7866827665347045E-2</v>
      </c>
      <c r="I243" s="19">
        <f t="shared" ca="1" si="503"/>
        <v>0.91530390233205672</v>
      </c>
      <c r="J243" s="19">
        <f t="shared" ca="1" si="437"/>
        <v>1.8578439182619175</v>
      </c>
      <c r="K243" s="19">
        <f t="shared" ca="1" si="438"/>
        <v>-1.0939429724788752</v>
      </c>
      <c r="L243" s="19">
        <f t="array" aca="1" ref="L243:M243" ca="1">MMULT(J243:K243,TRANSPOSE($B$10:$C$11))</f>
        <v>1.8578439182619175</v>
      </c>
      <c r="M243" s="19">
        <f ca="1"/>
        <v>-2.0942656636947419</v>
      </c>
      <c r="N243" s="20">
        <f t="shared" ca="1" si="439"/>
        <v>1.898131130552564E-2</v>
      </c>
      <c r="O243" s="20">
        <f t="shared" ca="1" si="440"/>
        <v>0.11495556788914865</v>
      </c>
      <c r="P243" s="19">
        <f t="shared" ca="1" si="446"/>
        <v>4.3539898650195003E-9</v>
      </c>
      <c r="Q243" s="19">
        <f ca="1">HCTrans(P243,Strike,RiskFreeRate,Dividend,Variance_T0*AnnualVarConvtr,(Simulation!G243)/250,0.5,Variance_Avg*AnnualVarConvtr,Lambda,SQRT(Simulation!N243),Rho,1,"Call")</f>
        <v>-1.5072786283544236E-5</v>
      </c>
      <c r="R243" s="19" t="e">
        <f t="shared" ca="1" si="441"/>
        <v>#VALUE!</v>
      </c>
      <c r="S243" s="19" t="e">
        <f t="shared" ca="1" si="442"/>
        <v>#VALUE!</v>
      </c>
      <c r="T243" s="19" t="e">
        <f t="shared" ca="1" si="447"/>
        <v>#VALUE!</v>
      </c>
      <c r="U243" s="19" t="e">
        <f t="shared" ca="1" si="448"/>
        <v>#VALUE!</v>
      </c>
      <c r="V243" s="21">
        <f t="shared" ca="1" si="449"/>
        <v>3.7056118330348653E-4</v>
      </c>
      <c r="W243">
        <f t="shared" ca="1" si="450"/>
        <v>1.9249965800060179E-2</v>
      </c>
      <c r="X243" s="22">
        <f t="shared" ref="X243" ca="1" si="545">BSdelta(1,P243,Strike,W243*AnnualVarConvtr,Dividend,RiskFreeRate,G243/250)</f>
        <v>0</v>
      </c>
      <c r="Y243" s="22">
        <f t="shared" ca="1" si="456"/>
        <v>0</v>
      </c>
      <c r="Z243" s="22">
        <f t="shared" ca="1" si="457"/>
        <v>-7.4987778678097214</v>
      </c>
      <c r="AA243">
        <f t="shared" si="543"/>
        <v>0.73884103340948371</v>
      </c>
      <c r="AB243">
        <f t="shared" ref="AB243" ca="1" si="546">BSdelta(1,P243,Strike,AA243/AnnualVarConvtr,Dividend,RiskFreeRate,G243/250)</f>
        <v>0</v>
      </c>
      <c r="AC243">
        <f t="shared" ca="1" si="453"/>
        <v>0</v>
      </c>
      <c r="AD243">
        <f t="shared" ca="1" si="454"/>
        <v>-2.5925431172551012</v>
      </c>
    </row>
    <row r="244" spans="7:30" x14ac:dyDescent="0.25">
      <c r="G244" s="19">
        <v>11</v>
      </c>
      <c r="H244" s="19">
        <f t="shared" ca="1" si="503"/>
        <v>0.58949127155192427</v>
      </c>
      <c r="I244" s="19">
        <f t="shared" ca="1" si="503"/>
        <v>0.72787857723124549</v>
      </c>
      <c r="J244" s="19">
        <f t="shared" ca="1" si="437"/>
        <v>-0.14243911028510162</v>
      </c>
      <c r="K244" s="19">
        <f t="shared" ca="1" si="438"/>
        <v>-1.0181855583071464</v>
      </c>
      <c r="L244" s="19">
        <f t="array" aca="1" ref="L244:M244" ca="1">MMULT(J244:K244,TRANSPOSE($B$10:$C$11))</f>
        <v>-0.14243911028510162</v>
      </c>
      <c r="M244" s="19">
        <f ca="1"/>
        <v>-0.60821547954153465</v>
      </c>
      <c r="N244" s="20">
        <f t="shared" ca="1" si="439"/>
        <v>1.6918952527826003E-2</v>
      </c>
      <c r="O244" s="20">
        <f t="shared" ca="1" si="440"/>
        <v>0.11371442336963208</v>
      </c>
      <c r="P244" s="19">
        <f t="shared" ca="1" si="446"/>
        <v>3.9537928751827374E-9</v>
      </c>
      <c r="Q244" s="19">
        <f ca="1">HCTrans(P244,Strike,RiskFreeRate,Dividend,Variance_T0*AnnualVarConvtr,(Simulation!G244)/250,0.5,Variance_Avg*AnnualVarConvtr,Lambda,SQRT(Simulation!N244),Rho,1,"Call")</f>
        <v>-1.5072720350095167E-5</v>
      </c>
      <c r="R244" s="19" t="e">
        <f t="shared" ca="1" si="441"/>
        <v>#VALUE!</v>
      </c>
      <c r="S244" s="19" t="e">
        <f t="shared" ca="1" si="442"/>
        <v>#VALUE!</v>
      </c>
      <c r="T244" s="19" t="e">
        <f t="shared" ca="1" si="447"/>
        <v>#VALUE!</v>
      </c>
      <c r="U244" s="19" t="e">
        <f t="shared" ca="1" si="448"/>
        <v>#VALUE!</v>
      </c>
      <c r="V244" s="21">
        <f t="shared" ca="1" si="449"/>
        <v>1.540439718326013E-6</v>
      </c>
      <c r="W244">
        <f t="shared" ca="1" si="450"/>
        <v>1.2411445195165682E-3</v>
      </c>
      <c r="X244" s="22">
        <f t="shared" ref="X244" ca="1" si="547">BSdelta(1,P244,Strike,W244*AnnualVarConvtr,Dividend,RiskFreeRate,G244/250)</f>
        <v>0</v>
      </c>
      <c r="Y244" s="22">
        <f t="shared" ca="1" si="456"/>
        <v>0</v>
      </c>
      <c r="Z244" s="22">
        <f t="shared" ca="1" si="457"/>
        <v>-7.4987778677437884</v>
      </c>
      <c r="AA244">
        <f t="shared" si="543"/>
        <v>0.73884103340948371</v>
      </c>
      <c r="AB244">
        <f t="shared" ref="AB244" ca="1" si="548">BSdelta(1,P244,Strike,AA244/AnnualVarConvtr,Dividend,RiskFreeRate,G244/250)</f>
        <v>0</v>
      </c>
      <c r="AC244">
        <f t="shared" ca="1" si="453"/>
        <v>0</v>
      </c>
      <c r="AD244">
        <f t="shared" ca="1" si="454"/>
        <v>-2.5925431171891677</v>
      </c>
    </row>
    <row r="245" spans="7:30" x14ac:dyDescent="0.25">
      <c r="G245" s="19">
        <v>10</v>
      </c>
      <c r="H245" s="19">
        <f t="shared" ca="1" si="503"/>
        <v>0.35798637151205592</v>
      </c>
      <c r="I245" s="19">
        <f t="shared" ca="1" si="503"/>
        <v>0.75799996040896234</v>
      </c>
      <c r="J245" s="19">
        <f t="shared" ca="1" si="437"/>
        <v>7.2017836884335884E-2</v>
      </c>
      <c r="K245" s="19">
        <f t="shared" ca="1" si="438"/>
        <v>-1.4315495641390736</v>
      </c>
      <c r="L245" s="19">
        <f t="array" aca="1" ref="L245:M245" ca="1">MMULT(J245:K245,TRANSPOSE($B$10:$C$11))</f>
        <v>7.2017836884335884E-2</v>
      </c>
      <c r="M245" s="19">
        <f ca="1"/>
        <v>-1.0502312766801367</v>
      </c>
      <c r="N245" s="20">
        <f t="shared" ca="1" si="439"/>
        <v>1.3682769217300295E-2</v>
      </c>
      <c r="O245" s="20">
        <f t="shared" ca="1" si="440"/>
        <v>0.11430688032776015</v>
      </c>
      <c r="P245" s="19">
        <f t="shared" ca="1" si="446"/>
        <v>3.7187103985413187E-9</v>
      </c>
      <c r="Q245" s="19">
        <f ca="1">HCTrans(P245,Strike,RiskFreeRate,Dividend,Variance_T0*AnnualVarConvtr,(Simulation!G245)/250,0.5,Variance_Avg*AnnualVarConvtr,Lambda,SQRT(Simulation!N245),Rho,1,"Call")</f>
        <v>-1.5072679421518529E-5</v>
      </c>
      <c r="R245" s="19" t="e">
        <f t="shared" ca="1" si="441"/>
        <v>#VALUE!</v>
      </c>
      <c r="S245" s="19" t="e">
        <f t="shared" ca="1" si="442"/>
        <v>#VALUE!</v>
      </c>
      <c r="T245" s="19" t="e">
        <f t="shared" ca="1" si="447"/>
        <v>#VALUE!</v>
      </c>
      <c r="U245" s="19" t="e">
        <f t="shared" ca="1" si="448"/>
        <v>#VALUE!</v>
      </c>
      <c r="V245" s="21">
        <f t="shared" ca="1" si="449"/>
        <v>3.5100524723436341E-7</v>
      </c>
      <c r="W245">
        <f t="shared" ca="1" si="450"/>
        <v>5.9245695812806809E-4</v>
      </c>
      <c r="X245" s="22">
        <f t="shared" ref="X245" ca="1" si="549">BSdelta(1,P245,Strike,W245*AnnualVarConvtr,Dividend,RiskFreeRate,G245/250)</f>
        <v>0</v>
      </c>
      <c r="Y245" s="22">
        <f t="shared" ca="1" si="456"/>
        <v>0</v>
      </c>
      <c r="Z245" s="22">
        <f t="shared" ca="1" si="457"/>
        <v>-7.4987778677028603</v>
      </c>
      <c r="AA245">
        <f t="shared" si="543"/>
        <v>0.73884103340948371</v>
      </c>
      <c r="AB245">
        <f t="shared" ref="AB245" ca="1" si="550">BSdelta(1,P245,Strike,AA245/AnnualVarConvtr,Dividend,RiskFreeRate,G245/250)</f>
        <v>0</v>
      </c>
      <c r="AC245">
        <f t="shared" ca="1" si="453"/>
        <v>0</v>
      </c>
      <c r="AD245">
        <f t="shared" ca="1" si="454"/>
        <v>-2.5925431171482392</v>
      </c>
    </row>
    <row r="246" spans="7:30" x14ac:dyDescent="0.25">
      <c r="G246" s="19">
        <v>9</v>
      </c>
      <c r="H246" s="19">
        <f t="shared" ca="1" si="503"/>
        <v>0.46865056400871841</v>
      </c>
      <c r="I246" s="19">
        <f t="shared" ca="1" si="503"/>
        <v>2.6580832011943167E-3</v>
      </c>
      <c r="J246" s="19">
        <f t="shared" ca="1" si="437"/>
        <v>1.2310048519135885</v>
      </c>
      <c r="K246" s="19">
        <f t="shared" ca="1" si="438"/>
        <v>2.0561206074915555E-2</v>
      </c>
      <c r="L246" s="19">
        <f t="array" aca="1" ref="L246:M246" ca="1">MMULT(J246:K246,TRANSPOSE($B$10:$C$11))</f>
        <v>1.2310048519135885</v>
      </c>
      <c r="M246" s="19">
        <f ca="1"/>
        <v>-0.86767174445590556</v>
      </c>
      <c r="N246" s="20">
        <f t="shared" ca="1" si="439"/>
        <v>1.1272072418751476E-2</v>
      </c>
      <c r="O246" s="20">
        <f t="shared" ca="1" si="440"/>
        <v>0.12341391020374605</v>
      </c>
      <c r="P246" s="19">
        <f t="shared" ca="1" si="446"/>
        <v>3.5313051589304247E-9</v>
      </c>
      <c r="Q246" s="19">
        <f ca="1">HCTrans(P246,Strike,RiskFreeRate,Dividend,Variance_T0*AnnualVarConvtr,(Simulation!G246)/250,0.5,Variance_Avg*AnnualVarConvtr,Lambda,SQRT(Simulation!N246),Rho,1,"Call")</f>
        <v>-1.5072645445798729E-5</v>
      </c>
      <c r="R246" s="19" t="e">
        <f t="shared" ca="1" si="441"/>
        <v>#VALUE!</v>
      </c>
      <c r="S246" s="19" t="e">
        <f t="shared" ca="1" si="442"/>
        <v>#VALUE!</v>
      </c>
      <c r="T246" s="19" t="e">
        <f t="shared" ca="1" si="447"/>
        <v>#VALUE!</v>
      </c>
      <c r="U246" s="19" t="e">
        <f t="shared" ca="1" si="448"/>
        <v>#VALUE!</v>
      </c>
      <c r="V246" s="21">
        <f t="shared" ca="1" si="449"/>
        <v>8.2937993162099716E-5</v>
      </c>
      <c r="W246">
        <f t="shared" ca="1" si="450"/>
        <v>9.1070298759858975E-3</v>
      </c>
      <c r="X246" s="22">
        <f t="shared" ref="X246" ca="1" si="551">BSdelta(1,P246,Strike,W246*AnnualVarConvtr,Dividend,RiskFreeRate,G246/250)</f>
        <v>0</v>
      </c>
      <c r="Y246" s="22">
        <f t="shared" ca="1" si="456"/>
        <v>0</v>
      </c>
      <c r="Z246" s="22">
        <f t="shared" ca="1" si="457"/>
        <v>-7.4987778676688848</v>
      </c>
      <c r="AA246">
        <f t="shared" si="543"/>
        <v>0.73884103340948371</v>
      </c>
      <c r="AB246">
        <f t="shared" ref="AB246" ca="1" si="552">BSdelta(1,P246,Strike,AA246/AnnualVarConvtr,Dividend,RiskFreeRate,G246/250)</f>
        <v>0</v>
      </c>
      <c r="AC246">
        <f t="shared" ca="1" si="453"/>
        <v>0</v>
      </c>
      <c r="AD246">
        <f t="shared" ca="1" si="454"/>
        <v>-2.5925431171142632</v>
      </c>
    </row>
    <row r="247" spans="7:30" x14ac:dyDescent="0.25">
      <c r="G247" s="19">
        <v>8</v>
      </c>
      <c r="H247" s="19">
        <f t="shared" ca="1" si="503"/>
        <v>0.41618951572134755</v>
      </c>
      <c r="I247" s="19">
        <f t="shared" ca="1" si="503"/>
        <v>0.84028471720611941</v>
      </c>
      <c r="J247" s="19">
        <f t="shared" ca="1" si="437"/>
        <v>0.71148472860547041</v>
      </c>
      <c r="K247" s="19">
        <f t="shared" ca="1" si="438"/>
        <v>-1.1166998668421113</v>
      </c>
      <c r="L247" s="19">
        <f t="array" aca="1" ref="L247:M247" ca="1">MMULT(J247:K247,TRANSPOSE($B$10:$C$11))</f>
        <v>0.71148472860547041</v>
      </c>
      <c r="M247" s="19">
        <f ca="1"/>
        <v>-1.2887742200526104</v>
      </c>
      <c r="N247" s="20">
        <f t="shared" ca="1" si="439"/>
        <v>8.144233297307929E-3</v>
      </c>
      <c r="O247" s="20">
        <f t="shared" ca="1" si="440"/>
        <v>0.12819137464829783</v>
      </c>
      <c r="P247" s="19">
        <f t="shared" ca="1" si="446"/>
        <v>3.3993647955680196E-9</v>
      </c>
      <c r="Q247" s="19">
        <f ca="1">HCTrans(P247,Strike,RiskFreeRate,Dividend,Variance_T0*AnnualVarConvtr,(Simulation!G247)/250,0.5,Variance_Avg*AnnualVarConvtr,Lambda,SQRT(Simulation!N247),Rho,1,"Call")</f>
        <v>-1.5072620839015282E-5</v>
      </c>
      <c r="R247" s="19" t="e">
        <f t="shared" ca="1" si="441"/>
        <v>#VALUE!</v>
      </c>
      <c r="S247" s="19" t="e">
        <f t="shared" ca="1" si="442"/>
        <v>#VALUE!</v>
      </c>
      <c r="T247" s="19" t="e">
        <f t="shared" ca="1" si="447"/>
        <v>#VALUE!</v>
      </c>
      <c r="U247" s="19" t="e">
        <f t="shared" ca="1" si="448"/>
        <v>#VALUE!</v>
      </c>
      <c r="V247" s="21">
        <f t="shared" ca="1" si="449"/>
        <v>2.2824166518956444E-5</v>
      </c>
      <c r="W247">
        <f t="shared" ca="1" si="450"/>
        <v>4.7774644445517794E-3</v>
      </c>
      <c r="X247" s="22">
        <f t="shared" ref="X247" ca="1" si="553">BSdelta(1,P247,Strike,W247*AnnualVarConvtr,Dividend,RiskFreeRate,G247/250)</f>
        <v>0</v>
      </c>
      <c r="Y247" s="22">
        <f t="shared" ca="1" si="456"/>
        <v>0</v>
      </c>
      <c r="Z247" s="22">
        <f t="shared" ca="1" si="457"/>
        <v>-7.4987778676442778</v>
      </c>
      <c r="AA247">
        <f t="shared" si="543"/>
        <v>0.73884103340948371</v>
      </c>
      <c r="AB247">
        <f t="shared" ref="AB247" ca="1" si="554">BSdelta(1,P247,Strike,AA247/AnnualVarConvtr,Dividend,RiskFreeRate,G247/250)</f>
        <v>0</v>
      </c>
      <c r="AC247">
        <f t="shared" ca="1" si="453"/>
        <v>0</v>
      </c>
      <c r="AD247">
        <f t="shared" ca="1" si="454"/>
        <v>-2.5925431170896562</v>
      </c>
    </row>
    <row r="248" spans="7:30" x14ac:dyDescent="0.25">
      <c r="G248" s="19">
        <v>7</v>
      </c>
      <c r="H248" s="19">
        <f t="shared" ca="1" si="503"/>
        <v>0.87722768815736463</v>
      </c>
      <c r="I248" s="19">
        <f t="shared" ca="1" si="503"/>
        <v>0.62936216721627203</v>
      </c>
      <c r="J248" s="19">
        <f t="shared" ca="1" si="437"/>
        <v>-0.35186920545053196</v>
      </c>
      <c r="K248" s="19">
        <f t="shared" ca="1" si="438"/>
        <v>-0.37170614688882475</v>
      </c>
      <c r="L248" s="19">
        <f t="array" aca="1" ref="L248:M248" ca="1">MMULT(J248:K248,TRANSPOSE($B$10:$C$11))</f>
        <v>-0.35186920545053196</v>
      </c>
      <c r="M248" s="19">
        <f ca="1"/>
        <v>-7.183124134948482E-3</v>
      </c>
      <c r="N248" s="20">
        <f t="shared" ca="1" si="439"/>
        <v>8.1225228965551583E-3</v>
      </c>
      <c r="O248" s="20">
        <f t="shared" ca="1" si="440"/>
        <v>0.12618303871426481</v>
      </c>
      <c r="P248" s="19">
        <f t="shared" ca="1" si="446"/>
        <v>3.3581139894315088E-9</v>
      </c>
      <c r="Q248" s="19">
        <f ca="1">HCTrans(P248,Strike,RiskFreeRate,Dividend,Variance_T0*AnnualVarConvtr,(Simulation!G248)/250,0.5,Variance_Avg*AnnualVarConvtr,Lambda,SQRT(Simulation!N248),Rho,1,"Call")</f>
        <v>-1.5072613373445301E-5</v>
      </c>
      <c r="R248" s="19" t="e">
        <f t="shared" ca="1" si="441"/>
        <v>#VALUE!</v>
      </c>
      <c r="S248" s="19" t="e">
        <f t="shared" ca="1" si="442"/>
        <v>#VALUE!</v>
      </c>
      <c r="T248" s="19" t="e">
        <f t="shared" ca="1" si="447"/>
        <v>#VALUE!</v>
      </c>
      <c r="U248" s="19" t="e">
        <f t="shared" ca="1" si="448"/>
        <v>#VALUE!</v>
      </c>
      <c r="V248" s="21">
        <f t="shared" ca="1" si="449"/>
        <v>4.0334132239282731E-6</v>
      </c>
      <c r="W248">
        <f t="shared" ca="1" si="450"/>
        <v>2.0083359340330176E-3</v>
      </c>
      <c r="X248" s="22">
        <f t="shared" ref="X248" ca="1" si="555">BSdelta(1,P248,Strike,W248*AnnualVarConvtr,Dividend,RiskFreeRate,G248/250)</f>
        <v>0</v>
      </c>
      <c r="Y248" s="22">
        <f t="shared" ca="1" si="456"/>
        <v>0</v>
      </c>
      <c r="Z248" s="22">
        <f t="shared" ca="1" si="457"/>
        <v>-7.4987778676368126</v>
      </c>
      <c r="AA248">
        <f t="shared" si="543"/>
        <v>0.73884103340948371</v>
      </c>
      <c r="AB248">
        <f t="shared" ref="AB248" ca="1" si="556">BSdelta(1,P248,Strike,AA248/AnnualVarConvtr,Dividend,RiskFreeRate,G248/250)</f>
        <v>0</v>
      </c>
      <c r="AC248">
        <f t="shared" ca="1" si="453"/>
        <v>0</v>
      </c>
      <c r="AD248">
        <f t="shared" ca="1" si="454"/>
        <v>-2.5925431170821907</v>
      </c>
    </row>
    <row r="249" spans="7:30" x14ac:dyDescent="0.25">
      <c r="G249" s="19">
        <v>6</v>
      </c>
      <c r="H249" s="19">
        <f t="shared" ca="1" si="503"/>
        <v>0.56497617430819158</v>
      </c>
      <c r="I249" s="19">
        <f t="shared" ca="1" si="503"/>
        <v>0.60779841683097591</v>
      </c>
      <c r="J249" s="19">
        <f t="shared" ca="1" si="437"/>
        <v>-0.83272737500872585</v>
      </c>
      <c r="K249" s="19">
        <f t="shared" ca="1" si="438"/>
        <v>-0.66970781322367712</v>
      </c>
      <c r="L249" s="19">
        <f t="array" aca="1" ref="L249:M249" ca="1">MMULT(J249:K249,TRANSPOSE($B$10:$C$11))</f>
        <v>-0.83272737500872585</v>
      </c>
      <c r="M249" s="19">
        <f ca="1"/>
        <v>0.12946963872139206</v>
      </c>
      <c r="N249" s="20">
        <f t="shared" ca="1" si="439"/>
        <v>8.4054486074194301E-3</v>
      </c>
      <c r="O249" s="20">
        <f t="shared" ca="1" si="440"/>
        <v>0.12143648598668881</v>
      </c>
      <c r="P249" s="19">
        <f t="shared" ca="1" si="446"/>
        <v>3.3914318280667646E-9</v>
      </c>
      <c r="Q249" s="19">
        <f ca="1">HCTrans(P249,Strike,RiskFreeRate,Dividend,Variance_T0*AnnualVarConvtr,(Simulation!G249)/250,0.5,Variance_Avg*AnnualVarConvtr,Lambda,SQRT(Simulation!N249),Rho,1,"Call")</f>
        <v>-1.5072620415375748E-5</v>
      </c>
      <c r="R249" s="19" t="e">
        <f t="shared" ca="1" si="441"/>
        <v>#VALUE!</v>
      </c>
      <c r="S249" s="19" t="e">
        <f t="shared" ca="1" si="442"/>
        <v>#VALUE!</v>
      </c>
      <c r="T249" s="19" t="e">
        <f t="shared" ca="1" si="447"/>
        <v>#VALUE!</v>
      </c>
      <c r="U249" s="19" t="e">
        <f t="shared" ca="1" si="448"/>
        <v>#VALUE!</v>
      </c>
      <c r="V249" s="21">
        <f t="shared" ca="1" si="449"/>
        <v>2.2529762795659171E-5</v>
      </c>
      <c r="W249">
        <f t="shared" ca="1" si="450"/>
        <v>4.7465527275760006E-3</v>
      </c>
      <c r="X249" s="22">
        <f t="shared" ref="X249" ca="1" si="557">BSdelta(1,P249,Strike,W249*AnnualVarConvtr,Dividend,RiskFreeRate,G249/250)</f>
        <v>0</v>
      </c>
      <c r="Y249" s="22">
        <f t="shared" ca="1" si="456"/>
        <v>0</v>
      </c>
      <c r="Z249" s="22">
        <f t="shared" ca="1" si="457"/>
        <v>-7.498777867643855</v>
      </c>
      <c r="AA249">
        <f t="shared" si="543"/>
        <v>0.73884103340948371</v>
      </c>
      <c r="AB249">
        <f t="shared" ref="AB249" ca="1" si="558">BSdelta(1,P249,Strike,AA249/AnnualVarConvtr,Dividend,RiskFreeRate,G249/250)</f>
        <v>0</v>
      </c>
      <c r="AC249">
        <f t="shared" ca="1" si="453"/>
        <v>0</v>
      </c>
      <c r="AD249">
        <f t="shared" ca="1" si="454"/>
        <v>-2.5925431170892326</v>
      </c>
    </row>
    <row r="250" spans="7:30" x14ac:dyDescent="0.25">
      <c r="G250" s="19">
        <v>5</v>
      </c>
      <c r="H250" s="19">
        <f t="shared" ca="1" si="503"/>
        <v>0.6698963250803549</v>
      </c>
      <c r="I250" s="19">
        <f t="shared" ca="1" si="503"/>
        <v>0.9239712958467079</v>
      </c>
      <c r="J250" s="19">
        <f t="shared" ca="1" si="437"/>
        <v>0.7949268034529815</v>
      </c>
      <c r="K250" s="19">
        <f t="shared" ca="1" si="438"/>
        <v>-0.4115288709979919</v>
      </c>
      <c r="L250" s="19">
        <f t="array" aca="1" ref="L250:M250" ca="1">MMULT(J250:K250,TRANSPOSE($B$10:$C$11))</f>
        <v>0.7949268034529815</v>
      </c>
      <c r="M250" s="19">
        <f ca="1"/>
        <v>-0.85664228279474519</v>
      </c>
      <c r="N250" s="20">
        <f t="shared" ca="1" si="439"/>
        <v>6.5827687487299436E-3</v>
      </c>
      <c r="O250" s="20">
        <f t="shared" ca="1" si="440"/>
        <v>0.12604581368340723</v>
      </c>
      <c r="P250" s="19">
        <f t="shared" ca="1" si="446"/>
        <v>3.4363084957191733E-9</v>
      </c>
      <c r="Q250" s="19">
        <f ca="1">HCTrans(P250,Strike,RiskFreeRate,Dividend,Variance_T0*AnnualVarConvtr,(Simulation!G250)/250,0.5,Variance_Avg*AnnualVarConvtr,Lambda,SQRT(Simulation!N250),Rho,1,"Call")</f>
        <v>-1.5072629635522815E-5</v>
      </c>
      <c r="R250" s="19" t="e">
        <f t="shared" ca="1" si="441"/>
        <v>#VALUE!</v>
      </c>
      <c r="S250" s="19" t="e">
        <f t="shared" ca="1" si="442"/>
        <v>#VALUE!</v>
      </c>
      <c r="T250" s="19" t="e">
        <f t="shared" ca="1" si="447"/>
        <v>#VALUE!</v>
      </c>
      <c r="U250" s="19" t="e">
        <f t="shared" ca="1" si="448"/>
        <v>#VALUE!</v>
      </c>
      <c r="V250" s="21">
        <f t="shared" ca="1" si="449"/>
        <v>2.1245901815735492E-5</v>
      </c>
      <c r="W250">
        <f t="shared" ca="1" si="450"/>
        <v>4.6093276967184155E-3</v>
      </c>
      <c r="X250" s="22">
        <f t="shared" ref="X250" ca="1" si="559">BSdelta(1,P250,Strike,W250*AnnualVarConvtr,Dividend,RiskFreeRate,G250/250)</f>
        <v>0</v>
      </c>
      <c r="Y250" s="22">
        <f t="shared" ca="1" si="456"/>
        <v>0</v>
      </c>
      <c r="Z250" s="22">
        <f t="shared" ca="1" si="457"/>
        <v>-7.4987778676530752</v>
      </c>
      <c r="AA250">
        <f t="shared" si="543"/>
        <v>0.73884103340948371</v>
      </c>
      <c r="AB250">
        <f t="shared" ref="AB250" ca="1" si="560">BSdelta(1,P250,Strike,AA250/AnnualVarConvtr,Dividend,RiskFreeRate,G250/250)</f>
        <v>0</v>
      </c>
      <c r="AC250">
        <f t="shared" ca="1" si="453"/>
        <v>0</v>
      </c>
      <c r="AD250">
        <f t="shared" ca="1" si="454"/>
        <v>-2.5925431170984528</v>
      </c>
    </row>
    <row r="251" spans="7:30" x14ac:dyDescent="0.25">
      <c r="G251" s="19">
        <v>4</v>
      </c>
      <c r="H251" s="19">
        <f t="shared" ca="1" si="503"/>
        <v>0.55106927048233723</v>
      </c>
      <c r="I251" s="19">
        <f t="shared" ca="1" si="503"/>
        <v>0.44227212429778473</v>
      </c>
      <c r="J251" s="19">
        <f t="shared" ca="1" si="437"/>
        <v>-1.0206623981049121</v>
      </c>
      <c r="K251" s="19">
        <f t="shared" ca="1" si="438"/>
        <v>0.3873471170013123</v>
      </c>
      <c r="L251" s="19">
        <f t="array" aca="1" ref="L251:M251" ca="1">MMULT(J251:K251,TRANSPOSE($B$10:$C$11))</f>
        <v>-1.0206623981049121</v>
      </c>
      <c r="M251" s="19">
        <f ca="1"/>
        <v>1.0015129569288832</v>
      </c>
      <c r="N251" s="20">
        <f t="shared" ca="1" si="439"/>
        <v>8.7284363258178753E-3</v>
      </c>
      <c r="O251" s="20">
        <f t="shared" ca="1" si="440"/>
        <v>0.1208084056457846</v>
      </c>
      <c r="P251" s="19">
        <f t="shared" ca="1" si="446"/>
        <v>3.4528393358223502E-9</v>
      </c>
      <c r="Q251" s="19">
        <f ca="1">HCTrans(P251,Strike,RiskFreeRate,Dividend,Variance_T0*AnnualVarConvtr,(Simulation!G251)/250,0.5,Variance_Avg*AnnualVarConvtr,Lambda,SQRT(Simulation!N251),Rho,1,"Call")</f>
        <v>-1.5072633364884415E-5</v>
      </c>
      <c r="R251" s="19" t="e">
        <f t="shared" ca="1" si="441"/>
        <v>#VALUE!</v>
      </c>
      <c r="S251" s="19" t="e">
        <f t="shared" ca="1" si="442"/>
        <v>#VALUE!</v>
      </c>
      <c r="T251" s="19" t="e">
        <f t="shared" ca="1" si="447"/>
        <v>#VALUE!</v>
      </c>
      <c r="U251" s="19" t="e">
        <f t="shared" ca="1" si="448"/>
        <v>#VALUE!</v>
      </c>
      <c r="V251" s="21">
        <f t="shared" ca="1" si="449"/>
        <v>2.7430442952554088E-5</v>
      </c>
      <c r="W251">
        <f t="shared" ca="1" si="450"/>
        <v>5.2374080376226262E-3</v>
      </c>
      <c r="X251" s="22">
        <f t="shared" ref="X251" ca="1" si="561">BSdelta(1,P251,Strike,W251*AnnualVarConvtr,Dividend,RiskFreeRate,G251/250)</f>
        <v>0</v>
      </c>
      <c r="Y251" s="22">
        <f t="shared" ca="1" si="456"/>
        <v>0</v>
      </c>
      <c r="Z251" s="22">
        <f t="shared" ca="1" si="457"/>
        <v>-7.4987778676568047</v>
      </c>
      <c r="AA251">
        <f t="shared" si="543"/>
        <v>0.73884103340948371</v>
      </c>
      <c r="AB251">
        <f t="shared" ref="AB251" ca="1" si="562">BSdelta(1,P251,Strike,AA251/AnnualVarConvtr,Dividend,RiskFreeRate,G251/250)</f>
        <v>0</v>
      </c>
      <c r="AC251">
        <f t="shared" ca="1" si="453"/>
        <v>0</v>
      </c>
      <c r="AD251">
        <f t="shared" ca="1" si="454"/>
        <v>-2.5925431171021822</v>
      </c>
    </row>
    <row r="252" spans="7:30" x14ac:dyDescent="0.25">
      <c r="G252" s="19">
        <v>3</v>
      </c>
      <c r="H252" s="19">
        <f t="shared" ca="1" si="503"/>
        <v>0.62143173284392317</v>
      </c>
      <c r="I252" s="19">
        <f t="shared" ca="1" si="503"/>
        <v>0.75837158147088046</v>
      </c>
      <c r="J252" s="19">
        <f t="shared" ca="1" si="437"/>
        <v>5.1284013001029048E-2</v>
      </c>
      <c r="K252" s="19">
        <f t="shared" ca="1" si="438"/>
        <v>-0.97407822235985486</v>
      </c>
      <c r="L252" s="19">
        <f t="array" aca="1" ref="L252:M252" ca="1">MMULT(J252:K252,TRANSPOSE($B$10:$C$11))</f>
        <v>5.1284013001029048E-2</v>
      </c>
      <c r="M252" s="19">
        <f ca="1"/>
        <v>-0.71624938918595282</v>
      </c>
      <c r="N252" s="20">
        <f t="shared" ca="1" si="439"/>
        <v>7.1558180367200198E-3</v>
      </c>
      <c r="O252" s="20">
        <f t="shared" ca="1" si="440"/>
        <v>0.12111143187479442</v>
      </c>
      <c r="P252" s="19">
        <f t="shared" ca="1" si="446"/>
        <v>3.4295678567278701E-9</v>
      </c>
      <c r="Q252" s="19">
        <f ca="1">HCTrans(P252,Strike,RiskFreeRate,Dividend,Variance_T0*AnnualVarConvtr,(Simulation!G252)/250,0.5,Variance_Avg*AnnualVarConvtr,Lambda,SQRT(Simulation!N252),Rho,1,"Call")</f>
        <v>-1.5072629457543708E-5</v>
      </c>
      <c r="R252" s="19" t="e">
        <f t="shared" ca="1" si="441"/>
        <v>#VALUE!</v>
      </c>
      <c r="S252" s="19" t="e">
        <f t="shared" ca="1" si="442"/>
        <v>#VALUE!</v>
      </c>
      <c r="T252" s="19" t="e">
        <f t="shared" ca="1" si="447"/>
        <v>#VALUE!</v>
      </c>
      <c r="U252" s="19" t="e">
        <f t="shared" ca="1" si="448"/>
        <v>#VALUE!</v>
      </c>
      <c r="V252" s="21">
        <f t="shared" ca="1" si="449"/>
        <v>9.1824895467913632E-8</v>
      </c>
      <c r="W252">
        <f t="shared" ca="1" si="450"/>
        <v>3.030262290098229E-4</v>
      </c>
      <c r="X252" s="22">
        <f t="shared" ref="X252" ca="1" si="563">BSdelta(1,P252,Strike,W252*AnnualVarConvtr,Dividend,RiskFreeRate,G252/250)</f>
        <v>0</v>
      </c>
      <c r="Y252" s="22">
        <f t="shared" ca="1" si="456"/>
        <v>0</v>
      </c>
      <c r="Z252" s="22">
        <f t="shared" ca="1" si="457"/>
        <v>-7.4987778676528976</v>
      </c>
      <c r="AA252">
        <f t="shared" si="543"/>
        <v>0.73884103340948371</v>
      </c>
      <c r="AB252">
        <f t="shared" ref="AB252" ca="1" si="564">BSdelta(1,P252,Strike,AA252/AnnualVarConvtr,Dividend,RiskFreeRate,G252/250)</f>
        <v>0</v>
      </c>
      <c r="AC252">
        <f t="shared" ca="1" si="453"/>
        <v>0</v>
      </c>
      <c r="AD252">
        <f t="shared" ca="1" si="454"/>
        <v>-2.5925431170982747</v>
      </c>
    </row>
    <row r="253" spans="7:30" x14ac:dyDescent="0.25">
      <c r="G253" s="19">
        <v>2</v>
      </c>
      <c r="H253" s="19">
        <f t="shared" ca="1" si="503"/>
        <v>0.70257002658771905</v>
      </c>
      <c r="I253" s="19">
        <f t="shared" ca="1" si="503"/>
        <v>2.7768557692903872E-2</v>
      </c>
      <c r="J253" s="19">
        <f t="shared" ca="1" si="437"/>
        <v>0.82749336442529964</v>
      </c>
      <c r="K253" s="19">
        <f t="shared" ca="1" si="438"/>
        <v>0.14585997862883712</v>
      </c>
      <c r="L253" s="19">
        <f t="array" aca="1" ref="L253:M253" ca="1">MMULT(J253:K253,TRANSPOSE($B$10:$C$11))</f>
        <v>0.82749336442529964</v>
      </c>
      <c r="M253" s="19">
        <f ca="1"/>
        <v>-0.49114895737656145</v>
      </c>
      <c r="N253" s="20">
        <f t="shared" ca="1" si="439"/>
        <v>6.1727415377701277E-3</v>
      </c>
      <c r="O253" s="20">
        <f t="shared" ca="1" si="440"/>
        <v>0.12553858108868571</v>
      </c>
      <c r="P253" s="19">
        <f t="shared" ca="1" si="446"/>
        <v>3.4315872212062214E-9</v>
      </c>
      <c r="Q253" s="19">
        <f ca="1">HCTrans(P253,Strike,RiskFreeRate,Dividend,Variance_T0*AnnualVarConvtr,(Simulation!G253)/250,0.5,Variance_Avg*AnnualVarConvtr,Lambda,SQRT(Simulation!N253),Rho,1,"Call")</f>
        <v>-1.5072630405344409E-5</v>
      </c>
      <c r="R253" s="19" t="e">
        <f t="shared" ca="1" si="441"/>
        <v>#VALUE!</v>
      </c>
      <c r="S253" s="19" t="e">
        <f t="shared" ca="1" si="442"/>
        <v>#VALUE!</v>
      </c>
      <c r="T253" s="19" t="e">
        <f t="shared" ca="1" si="447"/>
        <v>#VALUE!</v>
      </c>
      <c r="U253" s="19" t="e">
        <f t="shared" ca="1" si="448"/>
        <v>#VALUE!</v>
      </c>
      <c r="V253" s="21">
        <f t="shared" ca="1" si="449"/>
        <v>1.9599650162058221E-5</v>
      </c>
      <c r="W253">
        <f t="shared" ca="1" si="450"/>
        <v>4.4271492138912849E-3</v>
      </c>
      <c r="X253" s="22">
        <f t="shared" ref="X253" ca="1" si="565">BSdelta(1,P253,Strike,W253*AnnualVarConvtr,Dividend,RiskFreeRate,G253/250)</f>
        <v>0</v>
      </c>
      <c r="Y253" s="22">
        <f t="shared" ca="1" si="456"/>
        <v>0</v>
      </c>
      <c r="Z253" s="22">
        <f t="shared" ca="1" si="457"/>
        <v>-7.4987778676538452</v>
      </c>
      <c r="AA253">
        <f t="shared" si="543"/>
        <v>0.73884103340948371</v>
      </c>
      <c r="AB253">
        <f t="shared" ref="AB253" ca="1" si="566">BSdelta(1,P253,Strike,AA253/AnnualVarConvtr,Dividend,RiskFreeRate,G253/250)</f>
        <v>0</v>
      </c>
      <c r="AC253">
        <f t="shared" ca="1" si="453"/>
        <v>0</v>
      </c>
      <c r="AD253">
        <f t="shared" ca="1" si="454"/>
        <v>-2.5925431170992224</v>
      </c>
    </row>
    <row r="254" spans="7:30" x14ac:dyDescent="0.25">
      <c r="G254" s="19">
        <v>1</v>
      </c>
      <c r="H254" s="19">
        <f t="shared" ca="1" si="503"/>
        <v>0.22306712043644816</v>
      </c>
      <c r="I254" s="19">
        <f t="shared" ca="1" si="503"/>
        <v>0.21427248074219185</v>
      </c>
      <c r="J254" s="19">
        <f t="shared" ca="1" si="437"/>
        <v>0.38559428241685034</v>
      </c>
      <c r="K254" s="19">
        <f t="shared" ca="1" si="438"/>
        <v>1.6887516626132075</v>
      </c>
      <c r="L254" s="19">
        <f t="array" aca="1" ref="L254:M254" ca="1">MMULT(J254:K254,TRANSPOSE($B$10:$C$11))</f>
        <v>0.38559428241685034</v>
      </c>
      <c r="M254" s="19">
        <f ca="1"/>
        <v>0.90177305696117749</v>
      </c>
      <c r="N254" s="20">
        <f t="shared" ca="1" si="439"/>
        <v>8.036851238924508E-3</v>
      </c>
      <c r="O254" s="20">
        <f t="shared" ca="1" si="440"/>
        <v>0.12745459927787689</v>
      </c>
      <c r="P254" s="19">
        <f t="shared" ca="1" si="446"/>
        <v>3.4935768765772945E-9</v>
      </c>
      <c r="Q254" s="19">
        <f ca="1">HCTrans(P254,Strike,RiskFreeRate,Dividend,Variance_T0*AnnualVarConvtr,(Simulation!G254)/250,0.5,Variance_Avg*AnnualVarConvtr,Lambda,SQRT(Simulation!N254),Rho,1,"Call")</f>
        <v>-1.5072642814230019E-5</v>
      </c>
      <c r="R254" s="19" t="e">
        <f t="shared" ca="1" si="441"/>
        <v>#VALUE!</v>
      </c>
      <c r="S254" s="19" t="e">
        <f t="shared" ca="1" si="442"/>
        <v>#VALUE!</v>
      </c>
      <c r="T254" s="19" t="e">
        <f t="shared" ca="1" si="447"/>
        <v>#VALUE!</v>
      </c>
      <c r="U254" s="19" t="e">
        <f t="shared" ca="1" si="448"/>
        <v>#VALUE!</v>
      </c>
      <c r="V254" s="21">
        <f t="shared" ca="1" si="449"/>
        <v>3.6711257013114564E-6</v>
      </c>
      <c r="W254">
        <f t="shared" ca="1" si="450"/>
        <v>1.9160181891911821E-3</v>
      </c>
      <c r="X254" s="22">
        <f t="shared" ref="X254" ca="1" si="567">BSdelta(1,P254,Strike,W254*AnnualVarConvtr,Dividend,RiskFreeRate,G254/250)</f>
        <v>0</v>
      </c>
      <c r="Y254" s="22">
        <f t="shared" ca="1" si="456"/>
        <v>0</v>
      </c>
      <c r="Z254" s="22">
        <f t="shared" ca="1" si="457"/>
        <v>-7.498777867666254</v>
      </c>
      <c r="AA254">
        <f t="shared" si="543"/>
        <v>0.73884103340948371</v>
      </c>
      <c r="AB254">
        <f t="shared" ref="AB254" ca="1" si="568">BSdelta(1,P254,Strike,AA254/AnnualVarConvtr,Dividend,RiskFreeRate,G254/250)</f>
        <v>0</v>
      </c>
      <c r="AC254">
        <f t="shared" ca="1" si="453"/>
        <v>0</v>
      </c>
      <c r="AD254">
        <f t="shared" ca="1" si="454"/>
        <v>-2.5925431171116311</v>
      </c>
    </row>
  </sheetData>
  <mergeCells count="6">
    <mergeCell ref="G1:AD1"/>
    <mergeCell ref="G2:M2"/>
    <mergeCell ref="N2:P2"/>
    <mergeCell ref="R2:U2"/>
    <mergeCell ref="V2:Z2"/>
    <mergeCell ref="AA2:AD2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34" sqref="D34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Inputs</vt:lpstr>
      <vt:lpstr>Simulation</vt:lpstr>
      <vt:lpstr>Graph</vt:lpstr>
      <vt:lpstr>AnnualVarConvtr</vt:lpstr>
      <vt:lpstr>Dividend</vt:lpstr>
      <vt:lpstr>Eta</vt:lpstr>
      <vt:lpstr>Lambda</vt:lpstr>
      <vt:lpstr>Rho</vt:lpstr>
      <vt:lpstr>RiskFreeRate</vt:lpstr>
      <vt:lpstr>StockPrice_T0</vt:lpstr>
      <vt:lpstr>Strike</vt:lpstr>
      <vt:lpstr>Variance_Avg</vt:lpstr>
      <vt:lpstr>Variance_T0</vt:lpstr>
    </vt:vector>
  </TitlesOfParts>
  <Company>Barclays Capital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siluvaie</dc:creator>
  <cp:lastModifiedBy>Edwin</cp:lastModifiedBy>
  <dcterms:created xsi:type="dcterms:W3CDTF">2014-12-23T13:54:23Z</dcterms:created>
  <dcterms:modified xsi:type="dcterms:W3CDTF">2015-01-05T00:21:18Z</dcterms:modified>
</cp:coreProperties>
</file>