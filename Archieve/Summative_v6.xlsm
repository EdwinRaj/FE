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05" windowWidth="19155" windowHeight="11760" activeTab="1"/>
  </bookViews>
  <sheets>
    <sheet name="Inputs" sheetId="4" r:id="rId1"/>
    <sheet name="Simulation" sheetId="5" r:id="rId2"/>
    <sheet name="Graph" sheetId="6" r:id="rId3"/>
  </sheets>
  <functionGroups builtInGroupCount="17"/>
  <definedNames>
    <definedName name="AnnualVarConvtr">Inputs!$H$4</definedName>
    <definedName name="Dividend">Inputs!$C$10</definedName>
    <definedName name="Eta">Inputs!$C$6</definedName>
    <definedName name="Lambda">Inputs!$C$8</definedName>
    <definedName name="Rho">Inputs!$C$7</definedName>
    <definedName name="RiskFreeRate">Inputs!$C$9</definedName>
    <definedName name="StockPrice_T0">Inputs!$C$11</definedName>
    <definedName name="Strike">Inputs!$C$12</definedName>
    <definedName name="Variance_Avg">Inputs!$C$4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6" i="5" l="1"/>
  <c r="Q7" i="5"/>
  <c r="Q5" i="5"/>
  <c r="R5" i="5" s="1"/>
  <c r="F4" i="5" l="1"/>
  <c r="N5" i="5" l="1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K150" i="5" s="1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B6" i="5"/>
  <c r="W5" i="5"/>
  <c r="V5" i="5"/>
  <c r="I5" i="5"/>
  <c r="H5" i="5"/>
  <c r="C5" i="4"/>
  <c r="H4" i="4"/>
  <c r="B10" i="5" a="1"/>
  <c r="J198" i="5" l="1"/>
  <c r="J214" i="5"/>
  <c r="J238" i="5"/>
  <c r="J144" i="5"/>
  <c r="J168" i="5"/>
  <c r="K65" i="5"/>
  <c r="K73" i="5"/>
  <c r="K101" i="5"/>
  <c r="K105" i="5"/>
  <c r="K19" i="5"/>
  <c r="J31" i="5"/>
  <c r="J39" i="5"/>
  <c r="J63" i="5"/>
  <c r="J71" i="5"/>
  <c r="J79" i="5"/>
  <c r="K83" i="5"/>
  <c r="K99" i="5"/>
  <c r="J105" i="5"/>
  <c r="K41" i="5"/>
  <c r="J20" i="5"/>
  <c r="K28" i="5"/>
  <c r="J40" i="5"/>
  <c r="J44" i="5"/>
  <c r="J48" i="5"/>
  <c r="K56" i="5"/>
  <c r="K60" i="5"/>
  <c r="K232" i="5"/>
  <c r="K119" i="5"/>
  <c r="J127" i="5"/>
  <c r="J131" i="5"/>
  <c r="K135" i="5"/>
  <c r="J215" i="5"/>
  <c r="J239" i="5"/>
  <c r="J176" i="5"/>
  <c r="J240" i="5"/>
  <c r="J145" i="5"/>
  <c r="K214" i="5"/>
  <c r="K120" i="5"/>
  <c r="J140" i="5"/>
  <c r="J184" i="5"/>
  <c r="K188" i="5"/>
  <c r="J192" i="5"/>
  <c r="J200" i="5"/>
  <c r="K212" i="5"/>
  <c r="J137" i="5"/>
  <c r="K160" i="5"/>
  <c r="J216" i="5"/>
  <c r="J220" i="5"/>
  <c r="J228" i="5"/>
  <c r="J248" i="5"/>
  <c r="J167" i="5"/>
  <c r="J114" i="5"/>
  <c r="K115" i="5"/>
  <c r="K9" i="5"/>
  <c r="J17" i="5"/>
  <c r="K21" i="5"/>
  <c r="K33" i="5"/>
  <c r="J72" i="5"/>
  <c r="K96" i="5"/>
  <c r="J112" i="5"/>
  <c r="J116" i="5"/>
  <c r="J120" i="5"/>
  <c r="K139" i="5"/>
  <c r="J166" i="5"/>
  <c r="K236" i="5"/>
  <c r="K240" i="5"/>
  <c r="J135" i="5"/>
  <c r="K252" i="5"/>
  <c r="J51" i="5"/>
  <c r="K6" i="5"/>
  <c r="K14" i="5"/>
  <c r="J117" i="5"/>
  <c r="J151" i="5"/>
  <c r="K155" i="5"/>
  <c r="J163" i="5"/>
  <c r="J175" i="5"/>
  <c r="J182" i="5"/>
  <c r="J180" i="5"/>
  <c r="K246" i="5"/>
  <c r="K102" i="5"/>
  <c r="K121" i="5"/>
  <c r="J125" i="5"/>
  <c r="K129" i="5"/>
  <c r="J152" i="5"/>
  <c r="J160" i="5"/>
  <c r="J179" i="5"/>
  <c r="J207" i="5"/>
  <c r="J218" i="5"/>
  <c r="K222" i="5"/>
  <c r="K17" i="5"/>
  <c r="K117" i="5"/>
  <c r="K167" i="5"/>
  <c r="K10" i="5"/>
  <c r="K57" i="5"/>
  <c r="J60" i="5"/>
  <c r="K76" i="5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J185" i="5"/>
  <c r="J225" i="5"/>
  <c r="J241" i="5"/>
  <c r="J106" i="5"/>
  <c r="J164" i="5"/>
  <c r="K182" i="5"/>
  <c r="K85" i="5"/>
  <c r="J187" i="5"/>
  <c r="J227" i="5"/>
  <c r="J251" i="5"/>
  <c r="K131" i="5"/>
  <c r="K142" i="5"/>
  <c r="K186" i="5"/>
  <c r="K202" i="5"/>
  <c r="K218" i="5"/>
  <c r="K234" i="5"/>
  <c r="K250" i="5"/>
  <c r="K36" i="5"/>
  <c r="J68" i="5"/>
  <c r="J111" i="5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J13" i="5"/>
  <c r="K16" i="5"/>
  <c r="J18" i="5"/>
  <c r="J52" i="5"/>
  <c r="K91" i="5"/>
  <c r="J113" i="5"/>
  <c r="K126" i="5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AA7" i="5"/>
  <c r="AA8" i="5"/>
  <c r="AA5" i="5"/>
  <c r="AA6" i="5"/>
  <c r="C10" i="5"/>
  <c r="B11" i="5"/>
  <c r="C11" i="5"/>
  <c r="B10" i="5"/>
  <c r="J103" i="5"/>
  <c r="K5" i="5"/>
  <c r="K11" i="5"/>
  <c r="K13" i="5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K108" i="5"/>
  <c r="K130" i="5"/>
  <c r="J130" i="5"/>
  <c r="J27" i="5"/>
  <c r="K27" i="5"/>
  <c r="J134" i="5"/>
  <c r="K134" i="5"/>
  <c r="J26" i="5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J141" i="5"/>
  <c r="K141" i="5"/>
  <c r="J157" i="5"/>
  <c r="K157" i="5"/>
  <c r="K151" i="5"/>
  <c r="K158" i="5"/>
  <c r="K180" i="5"/>
  <c r="K183" i="5"/>
  <c r="J165" i="5"/>
  <c r="K165" i="5"/>
  <c r="S5" i="5"/>
  <c r="AB5" i="5"/>
  <c r="L39" i="5" l="1" a="1"/>
  <c r="L39" i="5" s="1"/>
  <c r="L59" i="5" a="1"/>
  <c r="L59" i="5" s="1"/>
  <c r="L13" i="5" a="1"/>
  <c r="L13" i="5" s="1"/>
  <c r="L175" i="5" a="1"/>
  <c r="L175" i="5" s="1"/>
  <c r="L113" i="5" a="1"/>
  <c r="L113" i="5" s="1"/>
  <c r="L68" i="5" a="1"/>
  <c r="L68" i="5" s="1"/>
  <c r="L10" i="5" a="1"/>
  <c r="M10" i="5" s="1"/>
  <c r="B16" i="5" a="1"/>
  <c r="C17" i="5" s="1"/>
  <c r="L124" i="5" a="1"/>
  <c r="L56" i="5" a="1"/>
  <c r="M56" i="5" s="1"/>
  <c r="L241" i="5" a="1"/>
  <c r="L241" i="5" s="1"/>
  <c r="L129" i="5" a="1"/>
  <c r="L129" i="5" s="1"/>
  <c r="L180" i="5" a="1"/>
  <c r="M180" i="5" s="1"/>
  <c r="L76" i="5" a="1"/>
  <c r="L76" i="5" s="1"/>
  <c r="L75" i="5" a="1"/>
  <c r="L75" i="5" s="1"/>
  <c r="L126" i="5" a="1"/>
  <c r="M126" i="5" s="1"/>
  <c r="L111" i="5" a="1"/>
  <c r="L111" i="5" s="1"/>
  <c r="L26" i="5" a="1"/>
  <c r="L26" i="5" s="1"/>
  <c r="L187" i="5" a="1"/>
  <c r="M187" i="5" s="1"/>
  <c r="L159" i="5" a="1"/>
  <c r="M159" i="5" s="1"/>
  <c r="L92" i="5" a="1"/>
  <c r="L92" i="5" s="1"/>
  <c r="L54" i="5" a="1"/>
  <c r="L54" i="5" s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M78" i="5" s="1"/>
  <c r="B17" i="5"/>
  <c r="L151" i="5" a="1"/>
  <c r="L151" i="5" s="1"/>
  <c r="L135" i="5" a="1"/>
  <c r="L135" i="5" s="1"/>
  <c r="L81" i="5" a="1"/>
  <c r="L81" i="5" s="1"/>
  <c r="L100" i="5" a="1"/>
  <c r="L100" i="5" s="1"/>
  <c r="L229" i="5" a="1"/>
  <c r="L229" i="5" s="1"/>
  <c r="L46" i="5" a="1"/>
  <c r="L46" i="5" s="1"/>
  <c r="L11" i="5" a="1"/>
  <c r="M11" i="5" s="1"/>
  <c r="L36" i="5" a="1"/>
  <c r="L36" i="5" s="1"/>
  <c r="L154" i="5" a="1"/>
  <c r="L154" i="5" s="1"/>
  <c r="L108" i="5" a="1"/>
  <c r="L108" i="5" s="1"/>
  <c r="L43" i="5" a="1"/>
  <c r="M43" i="5" s="1"/>
  <c r="L5" i="5" a="1"/>
  <c r="L53" i="5" a="1"/>
  <c r="L53" i="5" s="1"/>
  <c r="L218" i="5" a="1"/>
  <c r="M218" i="5" s="1"/>
  <c r="L51" i="5" a="1"/>
  <c r="L51" i="5" s="1"/>
  <c r="L24" i="5" a="1"/>
  <c r="L24" i="5" s="1"/>
  <c r="L21" i="5" a="1"/>
  <c r="L21" i="5" s="1"/>
  <c r="L65" i="5" a="1"/>
  <c r="M65" i="5" s="1"/>
  <c r="L249" i="5" a="1"/>
  <c r="M249" i="5" s="1"/>
  <c r="L25" i="5" a="1"/>
  <c r="M25" i="5" s="1"/>
  <c r="L153" i="5" a="1"/>
  <c r="L153" i="5" s="1"/>
  <c r="L70" i="5" a="1"/>
  <c r="M70" i="5" s="1"/>
  <c r="L141" i="5" a="1"/>
  <c r="L141" i="5" s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M31" i="5" s="1"/>
  <c r="T5" i="5"/>
  <c r="U5" i="5" s="1"/>
  <c r="AC5" i="5"/>
  <c r="AD5" i="5" s="1"/>
  <c r="L170" i="5" a="1"/>
  <c r="L15" i="5" a="1"/>
  <c r="L213" i="5" a="1"/>
  <c r="L188" i="5" a="1"/>
  <c r="L228" i="5" a="1"/>
  <c r="L41" i="5" a="1"/>
  <c r="L89" i="5" a="1"/>
  <c r="L33" i="5" a="1"/>
  <c r="M39" i="5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24" i="5"/>
  <c r="M124" i="5"/>
  <c r="M113" i="5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M68" i="5" l="1"/>
  <c r="M13" i="5"/>
  <c r="M175" i="5"/>
  <c r="M229" i="5"/>
  <c r="L10" i="5"/>
  <c r="M153" i="5"/>
  <c r="B16" i="5"/>
  <c r="C16" i="5"/>
  <c r="M59" i="5"/>
  <c r="L56" i="5"/>
  <c r="M53" i="5"/>
  <c r="M241" i="5"/>
  <c r="M75" i="5"/>
  <c r="L126" i="5"/>
  <c r="M129" i="5"/>
  <c r="L25" i="5"/>
  <c r="L78" i="5"/>
  <c r="L180" i="5"/>
  <c r="M92" i="5"/>
  <c r="M26" i="5"/>
  <c r="M76" i="5"/>
  <c r="M54" i="5"/>
  <c r="L65" i="5"/>
  <c r="L187" i="5"/>
  <c r="L159" i="5"/>
  <c r="M111" i="5"/>
  <c r="M100" i="5"/>
  <c r="M51" i="5"/>
  <c r="M141" i="5"/>
  <c r="M140" i="5"/>
  <c r="L70" i="5"/>
  <c r="L11" i="5"/>
  <c r="L31" i="5"/>
  <c r="M36" i="5"/>
  <c r="M38" i="5"/>
  <c r="M16" i="5"/>
  <c r="M40" i="5"/>
  <c r="M151" i="5"/>
  <c r="M42" i="5"/>
  <c r="L43" i="5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O6" i="5"/>
  <c r="N6" i="5"/>
  <c r="O7" i="5"/>
  <c r="V7" i="5" l="1"/>
  <c r="W7" i="5" s="1"/>
  <c r="P6" i="5"/>
  <c r="R6" i="5" s="1"/>
  <c r="V6" i="5"/>
  <c r="W6" i="5" s="1"/>
  <c r="B14" i="5"/>
  <c r="P7" i="5" l="1"/>
  <c r="R7" i="5" s="1"/>
  <c r="AB6" i="5"/>
  <c r="N7" i="5"/>
  <c r="X6" i="5"/>
  <c r="AB7" i="5"/>
  <c r="X7" i="5"/>
  <c r="O8" i="5"/>
  <c r="N8" i="5"/>
  <c r="O9" i="5"/>
  <c r="N9" i="5"/>
  <c r="N10" i="5"/>
  <c r="O10" i="5"/>
  <c r="N11" i="5"/>
  <c r="O11" i="5"/>
  <c r="O12" i="5"/>
  <c r="N12" i="5"/>
  <c r="N13" i="5"/>
  <c r="O13" i="5"/>
  <c r="N14" i="5"/>
  <c r="O14" i="5"/>
  <c r="O15" i="5"/>
  <c r="N15" i="5"/>
  <c r="N16" i="5"/>
  <c r="O16" i="5"/>
  <c r="O17" i="5"/>
  <c r="N17" i="5"/>
  <c r="O18" i="5"/>
  <c r="N18" i="5"/>
  <c r="O19" i="5"/>
  <c r="N19" i="5"/>
  <c r="O20" i="5"/>
  <c r="N20" i="5"/>
  <c r="N21" i="5"/>
  <c r="O21" i="5"/>
  <c r="N22" i="5"/>
  <c r="O22" i="5"/>
  <c r="O23" i="5"/>
  <c r="N23" i="5"/>
  <c r="N24" i="5"/>
  <c r="O24" i="5"/>
  <c r="O25" i="5"/>
  <c r="N25" i="5"/>
  <c r="N26" i="5"/>
  <c r="O26" i="5"/>
  <c r="N27" i="5"/>
  <c r="O27" i="5"/>
  <c r="N28" i="5"/>
  <c r="O28" i="5"/>
  <c r="N29" i="5"/>
  <c r="O29" i="5"/>
  <c r="O30" i="5"/>
  <c r="N30" i="5"/>
  <c r="N31" i="5"/>
  <c r="O31" i="5"/>
  <c r="O32" i="5"/>
  <c r="N32" i="5"/>
  <c r="N33" i="5"/>
  <c r="O33" i="5"/>
  <c r="N34" i="5"/>
  <c r="O34" i="5"/>
  <c r="O35" i="5"/>
  <c r="N35" i="5"/>
  <c r="N36" i="5"/>
  <c r="O36" i="5"/>
  <c r="O37" i="5"/>
  <c r="N37" i="5"/>
  <c r="O38" i="5"/>
  <c r="N38" i="5"/>
  <c r="O39" i="5"/>
  <c r="N39" i="5"/>
  <c r="O40" i="5"/>
  <c r="N40" i="5"/>
  <c r="O41" i="5"/>
  <c r="N41" i="5"/>
  <c r="O42" i="5"/>
  <c r="N42" i="5"/>
  <c r="N43" i="5"/>
  <c r="O43" i="5"/>
  <c r="N44" i="5"/>
  <c r="O44" i="5"/>
  <c r="N45" i="5"/>
  <c r="O45" i="5"/>
  <c r="N46" i="5"/>
  <c r="O46" i="5"/>
  <c r="O47" i="5"/>
  <c r="N47" i="5"/>
  <c r="O48" i="5"/>
  <c r="N48" i="5"/>
  <c r="N49" i="5"/>
  <c r="O49" i="5"/>
  <c r="O50" i="5"/>
  <c r="N50" i="5"/>
  <c r="O51" i="5"/>
  <c r="N51" i="5"/>
  <c r="O52" i="5"/>
  <c r="N52" i="5"/>
  <c r="O53" i="5"/>
  <c r="N53" i="5"/>
  <c r="N54" i="5"/>
  <c r="O54" i="5"/>
  <c r="O55" i="5"/>
  <c r="N55" i="5"/>
  <c r="O56" i="5"/>
  <c r="N56" i="5"/>
  <c r="N57" i="5"/>
  <c r="O57" i="5"/>
  <c r="N58" i="5"/>
  <c r="O58" i="5"/>
  <c r="O59" i="5"/>
  <c r="N59" i="5"/>
  <c r="N60" i="5"/>
  <c r="O60" i="5"/>
  <c r="N61" i="5"/>
  <c r="O61" i="5"/>
  <c r="O62" i="5"/>
  <c r="N62" i="5"/>
  <c r="O63" i="5"/>
  <c r="N63" i="5"/>
  <c r="O64" i="5"/>
  <c r="N64" i="5"/>
  <c r="O65" i="5"/>
  <c r="N65" i="5"/>
  <c r="N66" i="5"/>
  <c r="O66" i="5"/>
  <c r="O67" i="5"/>
  <c r="N67" i="5"/>
  <c r="N68" i="5"/>
  <c r="O68" i="5"/>
  <c r="N69" i="5"/>
  <c r="O69" i="5"/>
  <c r="O70" i="5"/>
  <c r="N70" i="5"/>
  <c r="O71" i="5"/>
  <c r="N71" i="5"/>
  <c r="N72" i="5"/>
  <c r="O72" i="5"/>
  <c r="N73" i="5"/>
  <c r="O73" i="5"/>
  <c r="N74" i="5"/>
  <c r="O74" i="5"/>
  <c r="N75" i="5"/>
  <c r="O75" i="5"/>
  <c r="N76" i="5"/>
  <c r="O76" i="5"/>
  <c r="N77" i="5"/>
  <c r="O77" i="5"/>
  <c r="N78" i="5"/>
  <c r="O78" i="5"/>
  <c r="O79" i="5"/>
  <c r="N79" i="5"/>
  <c r="O80" i="5"/>
  <c r="N80" i="5"/>
  <c r="N81" i="5"/>
  <c r="O81" i="5"/>
  <c r="N82" i="5"/>
  <c r="O82" i="5"/>
  <c r="N83" i="5"/>
  <c r="O83" i="5"/>
  <c r="N84" i="5"/>
  <c r="O84" i="5"/>
  <c r="O85" i="5"/>
  <c r="N85" i="5"/>
  <c r="O86" i="5"/>
  <c r="N86" i="5"/>
  <c r="O87" i="5"/>
  <c r="N87" i="5"/>
  <c r="O88" i="5"/>
  <c r="N88" i="5"/>
  <c r="N89" i="5"/>
  <c r="O89" i="5"/>
  <c r="O90" i="5"/>
  <c r="N90" i="5"/>
  <c r="N91" i="5"/>
  <c r="O91" i="5"/>
  <c r="N92" i="5"/>
  <c r="O92" i="5"/>
  <c r="O93" i="5"/>
  <c r="N93" i="5"/>
  <c r="N94" i="5"/>
  <c r="O94" i="5"/>
  <c r="O95" i="5"/>
  <c r="N95" i="5"/>
  <c r="N96" i="5"/>
  <c r="O96" i="5"/>
  <c r="N97" i="5"/>
  <c r="O97" i="5"/>
  <c r="N98" i="5"/>
  <c r="O98" i="5"/>
  <c r="N99" i="5"/>
  <c r="O99" i="5"/>
  <c r="N100" i="5"/>
  <c r="O100" i="5"/>
  <c r="N101" i="5"/>
  <c r="O101" i="5"/>
  <c r="O102" i="5"/>
  <c r="N102" i="5"/>
  <c r="O103" i="5"/>
  <c r="N103" i="5"/>
  <c r="N104" i="5"/>
  <c r="O104" i="5"/>
  <c r="N105" i="5"/>
  <c r="O105" i="5"/>
  <c r="O106" i="5"/>
  <c r="N106" i="5"/>
  <c r="O107" i="5"/>
  <c r="N107" i="5"/>
  <c r="N108" i="5"/>
  <c r="O108" i="5"/>
  <c r="O109" i="5"/>
  <c r="N109" i="5"/>
  <c r="N110" i="5"/>
  <c r="O110" i="5"/>
  <c r="O111" i="5"/>
  <c r="N111" i="5"/>
  <c r="O112" i="5"/>
  <c r="N112" i="5"/>
  <c r="N113" i="5"/>
  <c r="O113" i="5"/>
  <c r="N114" i="5"/>
  <c r="O114" i="5"/>
  <c r="O115" i="5"/>
  <c r="N115" i="5"/>
  <c r="N116" i="5"/>
  <c r="O116" i="5"/>
  <c r="N117" i="5"/>
  <c r="O117" i="5"/>
  <c r="N118" i="5"/>
  <c r="O118" i="5"/>
  <c r="O119" i="5"/>
  <c r="N119" i="5"/>
  <c r="O120" i="5"/>
  <c r="N120" i="5"/>
  <c r="O121" i="5"/>
  <c r="N121" i="5"/>
  <c r="O122" i="5"/>
  <c r="N122" i="5"/>
  <c r="O123" i="5"/>
  <c r="N123" i="5"/>
  <c r="O124" i="5"/>
  <c r="N124" i="5"/>
  <c r="O125" i="5"/>
  <c r="N125" i="5"/>
  <c r="O126" i="5"/>
  <c r="N126" i="5"/>
  <c r="O127" i="5"/>
  <c r="N127" i="5"/>
  <c r="N128" i="5"/>
  <c r="O128" i="5"/>
  <c r="N129" i="5"/>
  <c r="O129" i="5"/>
  <c r="O130" i="5"/>
  <c r="N130" i="5"/>
  <c r="N131" i="5"/>
  <c r="O131" i="5"/>
  <c r="N132" i="5"/>
  <c r="O132" i="5"/>
  <c r="N133" i="5"/>
  <c r="O133" i="5"/>
  <c r="N134" i="5"/>
  <c r="O134" i="5"/>
  <c r="O135" i="5"/>
  <c r="N135" i="5"/>
  <c r="O136" i="5"/>
  <c r="N136" i="5"/>
  <c r="O137" i="5"/>
  <c r="N137" i="5"/>
  <c r="O138" i="5"/>
  <c r="N138" i="5"/>
  <c r="O139" i="5"/>
  <c r="N139" i="5"/>
  <c r="O140" i="5"/>
  <c r="N140" i="5"/>
  <c r="N141" i="5"/>
  <c r="O141" i="5"/>
  <c r="N142" i="5"/>
  <c r="O142" i="5"/>
  <c r="N143" i="5"/>
  <c r="O143" i="5"/>
  <c r="O144" i="5"/>
  <c r="N144" i="5"/>
  <c r="O145" i="5"/>
  <c r="N145" i="5"/>
  <c r="O146" i="5"/>
  <c r="N146" i="5"/>
  <c r="O147" i="5"/>
  <c r="N147" i="5"/>
  <c r="O148" i="5"/>
  <c r="N148" i="5"/>
  <c r="N149" i="5"/>
  <c r="O149" i="5"/>
  <c r="N150" i="5"/>
  <c r="O150" i="5"/>
  <c r="O151" i="5"/>
  <c r="N151" i="5"/>
  <c r="O152" i="5"/>
  <c r="N152" i="5"/>
  <c r="N153" i="5"/>
  <c r="O153" i="5"/>
  <c r="N154" i="5"/>
  <c r="O154" i="5"/>
  <c r="N155" i="5"/>
  <c r="O155" i="5"/>
  <c r="N156" i="5"/>
  <c r="O156" i="5"/>
  <c r="N157" i="5"/>
  <c r="O157" i="5"/>
  <c r="O158" i="5"/>
  <c r="N158" i="5"/>
  <c r="N159" i="5"/>
  <c r="O159" i="5"/>
  <c r="O160" i="5"/>
  <c r="N160" i="5"/>
  <c r="O161" i="5"/>
  <c r="N161" i="5"/>
  <c r="O162" i="5"/>
  <c r="N162" i="5"/>
  <c r="O163" i="5"/>
  <c r="N163" i="5"/>
  <c r="N164" i="5"/>
  <c r="O164" i="5"/>
  <c r="O165" i="5"/>
  <c r="N165" i="5"/>
  <c r="N166" i="5"/>
  <c r="O166" i="5"/>
  <c r="N167" i="5"/>
  <c r="O167" i="5"/>
  <c r="N168" i="5"/>
  <c r="O168" i="5"/>
  <c r="O169" i="5"/>
  <c r="N169" i="5"/>
  <c r="O170" i="5"/>
  <c r="N170" i="5"/>
  <c r="O171" i="5"/>
  <c r="N171" i="5"/>
  <c r="N172" i="5"/>
  <c r="O172" i="5"/>
  <c r="N173" i="5"/>
  <c r="O173" i="5"/>
  <c r="N174" i="5"/>
  <c r="O174" i="5"/>
  <c r="N175" i="5"/>
  <c r="O175" i="5"/>
  <c r="N176" i="5"/>
  <c r="O176" i="5"/>
  <c r="N177" i="5"/>
  <c r="O177" i="5"/>
  <c r="O178" i="5"/>
  <c r="N178" i="5"/>
  <c r="O179" i="5"/>
  <c r="N179" i="5"/>
  <c r="O180" i="5"/>
  <c r="N180" i="5"/>
  <c r="O181" i="5"/>
  <c r="N181" i="5"/>
  <c r="O182" i="5"/>
  <c r="N182" i="5"/>
  <c r="O183" i="5"/>
  <c r="N183" i="5"/>
  <c r="N184" i="5"/>
  <c r="O184" i="5"/>
  <c r="N185" i="5"/>
  <c r="O185" i="5"/>
  <c r="N186" i="5"/>
  <c r="O186" i="5"/>
  <c r="N187" i="5"/>
  <c r="O187" i="5"/>
  <c r="N188" i="5"/>
  <c r="O188" i="5"/>
  <c r="N189" i="5"/>
  <c r="O189" i="5"/>
  <c r="N190" i="5"/>
  <c r="O190" i="5"/>
  <c r="O191" i="5"/>
  <c r="N191" i="5"/>
  <c r="N192" i="5"/>
  <c r="O192" i="5"/>
  <c r="O193" i="5"/>
  <c r="N193" i="5"/>
  <c r="N194" i="5"/>
  <c r="O194" i="5"/>
  <c r="N195" i="5"/>
  <c r="O195" i="5"/>
  <c r="O196" i="5"/>
  <c r="N196" i="5"/>
  <c r="N197" i="5"/>
  <c r="O197" i="5"/>
  <c r="O198" i="5"/>
  <c r="N198" i="5"/>
  <c r="O199" i="5"/>
  <c r="N199" i="5"/>
  <c r="O200" i="5"/>
  <c r="N200" i="5"/>
  <c r="N201" i="5"/>
  <c r="O201" i="5"/>
  <c r="N202" i="5"/>
  <c r="O202" i="5"/>
  <c r="N203" i="5"/>
  <c r="O203" i="5"/>
  <c r="O204" i="5"/>
  <c r="N204" i="5"/>
  <c r="N205" i="5"/>
  <c r="O205" i="5"/>
  <c r="O206" i="5"/>
  <c r="N206" i="5"/>
  <c r="O207" i="5"/>
  <c r="N207" i="5"/>
  <c r="N208" i="5"/>
  <c r="O208" i="5"/>
  <c r="O209" i="5"/>
  <c r="N209" i="5"/>
  <c r="N210" i="5"/>
  <c r="O210" i="5"/>
  <c r="N211" i="5"/>
  <c r="O211" i="5"/>
  <c r="N212" i="5"/>
  <c r="O212" i="5"/>
  <c r="O213" i="5"/>
  <c r="N213" i="5"/>
  <c r="O214" i="5"/>
  <c r="N214" i="5"/>
  <c r="O215" i="5"/>
  <c r="N215" i="5"/>
  <c r="O216" i="5"/>
  <c r="N216" i="5"/>
  <c r="O217" i="5"/>
  <c r="N217" i="5"/>
  <c r="O218" i="5"/>
  <c r="N218" i="5"/>
  <c r="N219" i="5"/>
  <c r="O219" i="5"/>
  <c r="O220" i="5"/>
  <c r="N220" i="5"/>
  <c r="N221" i="5"/>
  <c r="O221" i="5"/>
  <c r="O222" i="5"/>
  <c r="N222" i="5"/>
  <c r="O223" i="5"/>
  <c r="N223" i="5"/>
  <c r="N224" i="5"/>
  <c r="O224" i="5"/>
  <c r="N225" i="5"/>
  <c r="O225" i="5"/>
  <c r="N226" i="5"/>
  <c r="O226" i="5"/>
  <c r="O227" i="5"/>
  <c r="N227" i="5"/>
  <c r="N228" i="5"/>
  <c r="O228" i="5"/>
  <c r="N229" i="5"/>
  <c r="O229" i="5"/>
  <c r="N230" i="5"/>
  <c r="O230" i="5"/>
  <c r="O231" i="5"/>
  <c r="N231" i="5"/>
  <c r="N232" i="5"/>
  <c r="O232" i="5"/>
  <c r="O233" i="5"/>
  <c r="N233" i="5"/>
  <c r="N234" i="5"/>
  <c r="O234" i="5"/>
  <c r="O235" i="5"/>
  <c r="N235" i="5"/>
  <c r="N236" i="5"/>
  <c r="O236" i="5"/>
  <c r="N237" i="5"/>
  <c r="O237" i="5"/>
  <c r="O238" i="5"/>
  <c r="N238" i="5"/>
  <c r="O239" i="5"/>
  <c r="N239" i="5"/>
  <c r="O240" i="5"/>
  <c r="N240" i="5"/>
  <c r="O241" i="5"/>
  <c r="N241" i="5"/>
  <c r="O242" i="5"/>
  <c r="N242" i="5"/>
  <c r="O243" i="5"/>
  <c r="N243" i="5"/>
  <c r="O244" i="5"/>
  <c r="N244" i="5"/>
  <c r="O245" i="5"/>
  <c r="N245" i="5"/>
  <c r="O246" i="5"/>
  <c r="N246" i="5"/>
  <c r="O247" i="5"/>
  <c r="N247" i="5"/>
  <c r="N248" i="5"/>
  <c r="O248" i="5"/>
  <c r="N249" i="5"/>
  <c r="O249" i="5"/>
  <c r="N250" i="5"/>
  <c r="O250" i="5"/>
  <c r="O251" i="5"/>
  <c r="N251" i="5"/>
  <c r="O252" i="5"/>
  <c r="N252" i="5"/>
  <c r="O253" i="5"/>
  <c r="N253" i="5"/>
  <c r="N254" i="5"/>
  <c r="O254" i="5"/>
  <c r="V8" i="5" l="1"/>
  <c r="W8" i="5" s="1"/>
  <c r="Y6" i="5"/>
  <c r="Z6" i="5" s="1"/>
  <c r="AC6" i="5"/>
  <c r="AD6" i="5" s="1"/>
  <c r="P8" i="5"/>
  <c r="R8" i="5" s="1"/>
  <c r="P9" i="5"/>
  <c r="R9" i="5" s="1"/>
  <c r="AC7" i="5"/>
  <c r="Y7" i="5"/>
  <c r="Q8" i="5"/>
  <c r="AB8" i="5"/>
  <c r="Q9" i="5"/>
  <c r="S6" i="5"/>
  <c r="X8" i="5"/>
  <c r="T6" i="5" l="1"/>
  <c r="U6" i="5" s="1"/>
  <c r="Z7" i="5"/>
  <c r="AD7" i="5"/>
  <c r="P10" i="5"/>
  <c r="R10" i="5" s="1"/>
  <c r="AC8" i="5"/>
  <c r="AD8" i="5" s="1"/>
  <c r="Y8" i="5"/>
  <c r="Z8" i="5" s="1"/>
  <c r="Q10" i="5"/>
  <c r="S7" i="5"/>
  <c r="S9" i="5"/>
  <c r="S8" i="5"/>
  <c r="T7" i="5" l="1"/>
  <c r="U7" i="5" s="1"/>
  <c r="U8" i="5" s="1"/>
  <c r="U9" i="5" s="1"/>
  <c r="T8" i="5"/>
  <c r="T9" i="5"/>
  <c r="P11" i="5"/>
  <c r="R11" i="5" s="1"/>
  <c r="Q11" i="5"/>
  <c r="S10" i="5"/>
  <c r="T10" i="5" l="1"/>
  <c r="U10" i="5"/>
  <c r="P12" i="5"/>
  <c r="R12" i="5" s="1"/>
  <c r="S11" i="5"/>
  <c r="Q12" i="5"/>
  <c r="T11" i="5" l="1"/>
  <c r="U11" i="5"/>
  <c r="P13" i="5"/>
  <c r="R13" i="5" s="1"/>
  <c r="S12" i="5"/>
  <c r="Q13" i="5"/>
  <c r="T12" i="5" l="1"/>
  <c r="U12" i="5"/>
  <c r="P14" i="5"/>
  <c r="R14" i="5" s="1"/>
  <c r="S13" i="5"/>
  <c r="Q14" i="5"/>
  <c r="T13" i="5" l="1"/>
  <c r="U13" i="5"/>
  <c r="P15" i="5"/>
  <c r="R15" i="5" s="1"/>
  <c r="S14" i="5"/>
  <c r="Q15" i="5"/>
  <c r="T14" i="5" l="1"/>
  <c r="U14" i="5" s="1"/>
  <c r="P16" i="5"/>
  <c r="R16" i="5" s="1"/>
  <c r="Q16" i="5"/>
  <c r="S15" i="5"/>
  <c r="T15" i="5" l="1"/>
  <c r="U15" i="5"/>
  <c r="P17" i="5"/>
  <c r="R17" i="5" s="1"/>
  <c r="Q17" i="5"/>
  <c r="S16" i="5"/>
  <c r="T16" i="5" l="1"/>
  <c r="U16" i="5"/>
  <c r="P18" i="5"/>
  <c r="R18" i="5" s="1"/>
  <c r="Q18" i="5"/>
  <c r="S17" i="5"/>
  <c r="T17" i="5" l="1"/>
  <c r="U17" i="5" s="1"/>
  <c r="P19" i="5"/>
  <c r="R19" i="5" s="1"/>
  <c r="S18" i="5"/>
  <c r="Q19" i="5"/>
  <c r="T18" i="5" l="1"/>
  <c r="U18" i="5" s="1"/>
  <c r="P20" i="5"/>
  <c r="R20" i="5" s="1"/>
  <c r="Q20" i="5"/>
  <c r="S19" i="5"/>
  <c r="T19" i="5" l="1"/>
  <c r="U19" i="5" s="1"/>
  <c r="P21" i="5"/>
  <c r="R21" i="5" s="1"/>
  <c r="S20" i="5"/>
  <c r="Q21" i="5"/>
  <c r="T20" i="5" l="1"/>
  <c r="U20" i="5"/>
  <c r="P22" i="5"/>
  <c r="R22" i="5" s="1"/>
  <c r="S21" i="5"/>
  <c r="Q22" i="5"/>
  <c r="T21" i="5" l="1"/>
  <c r="U21" i="5" s="1"/>
  <c r="P23" i="5"/>
  <c r="R23" i="5" s="1"/>
  <c r="Q23" i="5"/>
  <c r="S22" i="5"/>
  <c r="T22" i="5" l="1"/>
  <c r="U22" i="5" s="1"/>
  <c r="P24" i="5"/>
  <c r="R24" i="5" s="1"/>
  <c r="Q24" i="5"/>
  <c r="S23" i="5"/>
  <c r="T23" i="5" l="1"/>
  <c r="U23" i="5" s="1"/>
  <c r="P25" i="5"/>
  <c r="R25" i="5" s="1"/>
  <c r="Q25" i="5"/>
  <c r="S24" i="5"/>
  <c r="T24" i="5" l="1"/>
  <c r="U24" i="5" s="1"/>
  <c r="P26" i="5"/>
  <c r="R26" i="5" s="1"/>
  <c r="S25" i="5"/>
  <c r="Q26" i="5"/>
  <c r="T25" i="5" l="1"/>
  <c r="U25" i="5" s="1"/>
  <c r="P27" i="5"/>
  <c r="R27" i="5" s="1"/>
  <c r="S26" i="5"/>
  <c r="Q27" i="5"/>
  <c r="T26" i="5" l="1"/>
  <c r="U26" i="5"/>
  <c r="P28" i="5"/>
  <c r="R28" i="5" s="1"/>
  <c r="S27" i="5"/>
  <c r="Q28" i="5"/>
  <c r="T27" i="5" l="1"/>
  <c r="U27" i="5" s="1"/>
  <c r="P29" i="5"/>
  <c r="R29" i="5" s="1"/>
  <c r="Q29" i="5"/>
  <c r="S28" i="5"/>
  <c r="T28" i="5" l="1"/>
  <c r="U28" i="5" s="1"/>
  <c r="P30" i="5"/>
  <c r="R30" i="5" s="1"/>
  <c r="Q30" i="5"/>
  <c r="S29" i="5"/>
  <c r="T29" i="5" l="1"/>
  <c r="U29" i="5"/>
  <c r="P31" i="5"/>
  <c r="R31" i="5" s="1"/>
  <c r="S30" i="5"/>
  <c r="Q31" i="5"/>
  <c r="T30" i="5" l="1"/>
  <c r="U30" i="5" s="1"/>
  <c r="P32" i="5"/>
  <c r="R32" i="5" s="1"/>
  <c r="Q32" i="5"/>
  <c r="S31" i="5"/>
  <c r="T31" i="5" l="1"/>
  <c r="U31" i="5"/>
  <c r="P33" i="5"/>
  <c r="R33" i="5" s="1"/>
  <c r="S32" i="5"/>
  <c r="Q33" i="5"/>
  <c r="T32" i="5" l="1"/>
  <c r="U32" i="5" s="1"/>
  <c r="P34" i="5"/>
  <c r="R34" i="5" s="1"/>
  <c r="Q34" i="5"/>
  <c r="S33" i="5"/>
  <c r="T33" i="5" l="1"/>
  <c r="U33" i="5"/>
  <c r="P35" i="5"/>
  <c r="R35" i="5" s="1"/>
  <c r="S34" i="5"/>
  <c r="Q35" i="5"/>
  <c r="T34" i="5" l="1"/>
  <c r="U34" i="5"/>
  <c r="P36" i="5"/>
  <c r="R36" i="5" s="1"/>
  <c r="S35" i="5"/>
  <c r="Q36" i="5"/>
  <c r="T35" i="5" l="1"/>
  <c r="U35" i="5"/>
  <c r="P37" i="5"/>
  <c r="R37" i="5" s="1"/>
  <c r="Q37" i="5"/>
  <c r="S36" i="5"/>
  <c r="T36" i="5" l="1"/>
  <c r="U36" i="5"/>
  <c r="P38" i="5"/>
  <c r="R38" i="5" s="1"/>
  <c r="Q38" i="5"/>
  <c r="S37" i="5"/>
  <c r="T37" i="5" l="1"/>
  <c r="U37" i="5"/>
  <c r="P39" i="5"/>
  <c r="R39" i="5" s="1"/>
  <c r="S38" i="5"/>
  <c r="Q39" i="5"/>
  <c r="T38" i="5" l="1"/>
  <c r="U38" i="5"/>
  <c r="P40" i="5"/>
  <c r="R40" i="5" s="1"/>
  <c r="Q40" i="5"/>
  <c r="S39" i="5"/>
  <c r="T39" i="5" l="1"/>
  <c r="U39" i="5"/>
  <c r="P41" i="5"/>
  <c r="R41" i="5" s="1"/>
  <c r="S40" i="5"/>
  <c r="Q41" i="5"/>
  <c r="T40" i="5" l="1"/>
  <c r="U40" i="5"/>
  <c r="P42" i="5"/>
  <c r="R42" i="5" s="1"/>
  <c r="Q42" i="5"/>
  <c r="S41" i="5"/>
  <c r="T41" i="5" l="1"/>
  <c r="U41" i="5"/>
  <c r="P43" i="5"/>
  <c r="R43" i="5" s="1"/>
  <c r="S42" i="5"/>
  <c r="Q43" i="5"/>
  <c r="T42" i="5" l="1"/>
  <c r="U42" i="5" s="1"/>
  <c r="P44" i="5"/>
  <c r="R44" i="5" s="1"/>
  <c r="Q44" i="5"/>
  <c r="S43" i="5"/>
  <c r="T43" i="5" l="1"/>
  <c r="U43" i="5" s="1"/>
  <c r="P45" i="5"/>
  <c r="R45" i="5" s="1"/>
  <c r="S44" i="5"/>
  <c r="Q45" i="5"/>
  <c r="T44" i="5" l="1"/>
  <c r="U44" i="5"/>
  <c r="P46" i="5"/>
  <c r="R46" i="5" s="1"/>
  <c r="Q46" i="5"/>
  <c r="S45" i="5"/>
  <c r="T45" i="5" l="1"/>
  <c r="U45" i="5"/>
  <c r="P47" i="5"/>
  <c r="R47" i="5" s="1"/>
  <c r="S46" i="5"/>
  <c r="Q47" i="5"/>
  <c r="T46" i="5" l="1"/>
  <c r="U46" i="5"/>
  <c r="P48" i="5"/>
  <c r="R48" i="5" s="1"/>
  <c r="S47" i="5"/>
  <c r="Q48" i="5"/>
  <c r="T47" i="5" l="1"/>
  <c r="U47" i="5"/>
  <c r="P49" i="5"/>
  <c r="R49" i="5" s="1"/>
  <c r="Q49" i="5"/>
  <c r="S48" i="5"/>
  <c r="T48" i="5" l="1"/>
  <c r="U48" i="5"/>
  <c r="P50" i="5"/>
  <c r="R50" i="5" s="1"/>
  <c r="S49" i="5"/>
  <c r="Q50" i="5"/>
  <c r="T49" i="5" l="1"/>
  <c r="U49" i="5"/>
  <c r="P51" i="5"/>
  <c r="R51" i="5" s="1"/>
  <c r="S50" i="5"/>
  <c r="Q51" i="5"/>
  <c r="T50" i="5" l="1"/>
  <c r="U50" i="5"/>
  <c r="P52" i="5"/>
  <c r="R52" i="5" s="1"/>
  <c r="S51" i="5"/>
  <c r="Q52" i="5"/>
  <c r="T51" i="5" l="1"/>
  <c r="U51" i="5" s="1"/>
  <c r="P53" i="5"/>
  <c r="R53" i="5" s="1"/>
  <c r="S52" i="5"/>
  <c r="Q53" i="5"/>
  <c r="T52" i="5" l="1"/>
  <c r="U52" i="5" s="1"/>
  <c r="P54" i="5"/>
  <c r="R54" i="5" s="1"/>
  <c r="S53" i="5"/>
  <c r="Q54" i="5"/>
  <c r="T53" i="5" l="1"/>
  <c r="U53" i="5"/>
  <c r="P55" i="5"/>
  <c r="R55" i="5" s="1"/>
  <c r="Q55" i="5"/>
  <c r="S54" i="5"/>
  <c r="T54" i="5" l="1"/>
  <c r="U54" i="5" s="1"/>
  <c r="P56" i="5"/>
  <c r="R56" i="5" s="1"/>
  <c r="S55" i="5"/>
  <c r="Q56" i="5"/>
  <c r="T55" i="5" l="1"/>
  <c r="U55" i="5"/>
  <c r="P57" i="5"/>
  <c r="R57" i="5" s="1"/>
  <c r="Q57" i="5"/>
  <c r="S56" i="5"/>
  <c r="T56" i="5" l="1"/>
  <c r="U56" i="5" s="1"/>
  <c r="P58" i="5"/>
  <c r="R58" i="5" s="1"/>
  <c r="S57" i="5"/>
  <c r="Q58" i="5"/>
  <c r="T57" i="5" l="1"/>
  <c r="U57" i="5"/>
  <c r="P59" i="5"/>
  <c r="R59" i="5" s="1"/>
  <c r="Q59" i="5"/>
  <c r="S58" i="5"/>
  <c r="T58" i="5" l="1"/>
  <c r="U58" i="5"/>
  <c r="P60" i="5"/>
  <c r="R60" i="5" s="1"/>
  <c r="S59" i="5"/>
  <c r="Q60" i="5"/>
  <c r="T59" i="5" l="1"/>
  <c r="U59" i="5"/>
  <c r="P61" i="5"/>
  <c r="R61" i="5" s="1"/>
  <c r="Q61" i="5"/>
  <c r="S60" i="5"/>
  <c r="T60" i="5" l="1"/>
  <c r="U60" i="5"/>
  <c r="P62" i="5"/>
  <c r="R62" i="5" s="1"/>
  <c r="S61" i="5"/>
  <c r="Q62" i="5"/>
  <c r="T61" i="5" l="1"/>
  <c r="U61" i="5"/>
  <c r="P63" i="5"/>
  <c r="R63" i="5" s="1"/>
  <c r="Q63" i="5"/>
  <c r="S62" i="5"/>
  <c r="T62" i="5" l="1"/>
  <c r="U62" i="5"/>
  <c r="P64" i="5"/>
  <c r="R64" i="5" s="1"/>
  <c r="S63" i="5"/>
  <c r="Q64" i="5"/>
  <c r="T63" i="5" l="1"/>
  <c r="U63" i="5" s="1"/>
  <c r="P65" i="5"/>
  <c r="R65" i="5" s="1"/>
  <c r="S64" i="5"/>
  <c r="Q65" i="5"/>
  <c r="T64" i="5" l="1"/>
  <c r="U64" i="5"/>
  <c r="P66" i="5"/>
  <c r="R66" i="5" s="1"/>
  <c r="Q66" i="5"/>
  <c r="S65" i="5"/>
  <c r="T65" i="5" l="1"/>
  <c r="U65" i="5"/>
  <c r="P67" i="5"/>
  <c r="R67" i="5" s="1"/>
  <c r="Q67" i="5"/>
  <c r="S66" i="5"/>
  <c r="T66" i="5" l="1"/>
  <c r="U66" i="5"/>
  <c r="P68" i="5"/>
  <c r="R68" i="5" s="1"/>
  <c r="S67" i="5"/>
  <c r="Q68" i="5"/>
  <c r="T67" i="5" l="1"/>
  <c r="U67" i="5"/>
  <c r="P69" i="5"/>
  <c r="R69" i="5" s="1"/>
  <c r="Q69" i="5"/>
  <c r="S68" i="5"/>
  <c r="T68" i="5" l="1"/>
  <c r="U68" i="5"/>
  <c r="P70" i="5"/>
  <c r="R70" i="5" s="1"/>
  <c r="Q70" i="5"/>
  <c r="S69" i="5"/>
  <c r="T69" i="5" l="1"/>
  <c r="U69" i="5"/>
  <c r="U70" i="5" s="1"/>
  <c r="P71" i="5"/>
  <c r="R71" i="5" s="1"/>
  <c r="S70" i="5"/>
  <c r="T70" i="5" s="1"/>
  <c r="Q71" i="5"/>
  <c r="U71" i="5" s="1"/>
  <c r="S71" i="5"/>
  <c r="T71" i="5" s="1"/>
  <c r="P72" i="5" l="1"/>
  <c r="R72" i="5" s="1"/>
  <c r="Q72" i="5"/>
  <c r="U72" i="5" s="1"/>
  <c r="S72" i="5"/>
  <c r="T72" i="5" s="1"/>
  <c r="P73" i="5" l="1"/>
  <c r="R73" i="5" s="1"/>
  <c r="Q73" i="5"/>
  <c r="U73" i="5" s="1"/>
  <c r="S73" i="5"/>
  <c r="T73" i="5" s="1"/>
  <c r="P74" i="5" l="1"/>
  <c r="R74" i="5" s="1"/>
  <c r="Q74" i="5"/>
  <c r="U74" i="5" s="1"/>
  <c r="S74" i="5"/>
  <c r="T74" i="5" s="1"/>
  <c r="P75" i="5" l="1"/>
  <c r="R75" i="5" s="1"/>
  <c r="Q75" i="5"/>
  <c r="U75" i="5" s="1"/>
  <c r="S75" i="5"/>
  <c r="T75" i="5" s="1"/>
  <c r="P76" i="5" l="1"/>
  <c r="R76" i="5" s="1"/>
  <c r="Q76" i="5"/>
  <c r="U76" i="5" s="1"/>
  <c r="S76" i="5"/>
  <c r="T76" i="5" s="1"/>
  <c r="P77" i="5" l="1"/>
  <c r="R77" i="5" s="1"/>
  <c r="Q77" i="5"/>
  <c r="U77" i="5" s="1"/>
  <c r="S77" i="5"/>
  <c r="T77" i="5" s="1"/>
  <c r="P78" i="5" l="1"/>
  <c r="R78" i="5" s="1"/>
  <c r="Q78" i="5"/>
  <c r="U78" i="5" s="1"/>
  <c r="S78" i="5"/>
  <c r="T78" i="5" s="1"/>
  <c r="P79" i="5" l="1"/>
  <c r="R79" i="5" s="1"/>
  <c r="Q79" i="5"/>
  <c r="U79" i="5" s="1"/>
  <c r="S79" i="5"/>
  <c r="T79" i="5" s="1"/>
  <c r="P80" i="5" l="1"/>
  <c r="R80" i="5" s="1"/>
  <c r="Q80" i="5"/>
  <c r="U80" i="5" s="1"/>
  <c r="S80" i="5"/>
  <c r="T80" i="5" s="1"/>
  <c r="P81" i="5" l="1"/>
  <c r="R81" i="5" s="1"/>
  <c r="Q81" i="5"/>
  <c r="U81" i="5" s="1"/>
  <c r="S81" i="5"/>
  <c r="T81" i="5" s="1"/>
  <c r="P82" i="5" l="1"/>
  <c r="R82" i="5" s="1"/>
  <c r="Q82" i="5"/>
  <c r="U82" i="5" s="1"/>
  <c r="S82" i="5"/>
  <c r="T82" i="5" s="1"/>
  <c r="P83" i="5" l="1"/>
  <c r="R83" i="5" s="1"/>
  <c r="Q83" i="5"/>
  <c r="U83" i="5" s="1"/>
  <c r="S83" i="5"/>
  <c r="T83" i="5" s="1"/>
  <c r="P84" i="5" l="1"/>
  <c r="R84" i="5" s="1"/>
  <c r="Q84" i="5"/>
  <c r="U84" i="5" s="1"/>
  <c r="S84" i="5"/>
  <c r="T84" i="5" s="1"/>
  <c r="P85" i="5" l="1"/>
  <c r="R85" i="5" s="1"/>
  <c r="Q85" i="5"/>
  <c r="U85" i="5" s="1"/>
  <c r="S85" i="5"/>
  <c r="T85" i="5" s="1"/>
  <c r="P86" i="5" l="1"/>
  <c r="R86" i="5" s="1"/>
  <c r="Q86" i="5"/>
  <c r="U86" i="5" s="1"/>
  <c r="S86" i="5"/>
  <c r="T86" i="5" s="1"/>
  <c r="P87" i="5" l="1"/>
  <c r="R87" i="5" s="1"/>
  <c r="Q87" i="5"/>
  <c r="U87" i="5" s="1"/>
  <c r="S87" i="5"/>
  <c r="T87" i="5" s="1"/>
  <c r="P88" i="5" l="1"/>
  <c r="R88" i="5" s="1"/>
  <c r="Q88" i="5"/>
  <c r="U88" i="5" s="1"/>
  <c r="S88" i="5"/>
  <c r="T88" i="5" s="1"/>
  <c r="P89" i="5" l="1"/>
  <c r="R89" i="5" s="1"/>
  <c r="Q89" i="5"/>
  <c r="U89" i="5" s="1"/>
  <c r="S89" i="5"/>
  <c r="T89" i="5" s="1"/>
  <c r="P90" i="5" l="1"/>
  <c r="R90" i="5" s="1"/>
  <c r="Q90" i="5"/>
  <c r="U90" i="5" s="1"/>
  <c r="S90" i="5"/>
  <c r="T90" i="5" s="1"/>
  <c r="P91" i="5" l="1"/>
  <c r="R91" i="5" s="1"/>
  <c r="Q91" i="5"/>
  <c r="U91" i="5" s="1"/>
  <c r="S91" i="5"/>
  <c r="T91" i="5" s="1"/>
  <c r="P92" i="5" l="1"/>
  <c r="R92" i="5" s="1"/>
  <c r="Q92" i="5"/>
  <c r="U92" i="5" s="1"/>
  <c r="S92" i="5"/>
  <c r="T92" i="5" s="1"/>
  <c r="P93" i="5" l="1"/>
  <c r="R93" i="5" s="1"/>
  <c r="Q93" i="5"/>
  <c r="U93" i="5" s="1"/>
  <c r="S93" i="5"/>
  <c r="T93" i="5" s="1"/>
  <c r="P94" i="5" l="1"/>
  <c r="R94" i="5" s="1"/>
  <c r="Q94" i="5"/>
  <c r="U94" i="5" s="1"/>
  <c r="S94" i="5"/>
  <c r="T94" i="5" s="1"/>
  <c r="P95" i="5" l="1"/>
  <c r="R95" i="5" s="1"/>
  <c r="Q95" i="5"/>
  <c r="U95" i="5" s="1"/>
  <c r="S95" i="5"/>
  <c r="T95" i="5" s="1"/>
  <c r="P96" i="5" l="1"/>
  <c r="R96" i="5" s="1"/>
  <c r="Q96" i="5"/>
  <c r="U96" i="5" s="1"/>
  <c r="S96" i="5"/>
  <c r="T96" i="5" s="1"/>
  <c r="P97" i="5" l="1"/>
  <c r="R97" i="5" s="1"/>
  <c r="Q97" i="5"/>
  <c r="U97" i="5" s="1"/>
  <c r="S97" i="5"/>
  <c r="T97" i="5" s="1"/>
  <c r="P98" i="5" l="1"/>
  <c r="R98" i="5" s="1"/>
  <c r="Q98" i="5"/>
  <c r="U98" i="5" s="1"/>
  <c r="S98" i="5"/>
  <c r="T98" i="5" s="1"/>
  <c r="P99" i="5" l="1"/>
  <c r="R99" i="5" s="1"/>
  <c r="Q99" i="5"/>
  <c r="U99" i="5" s="1"/>
  <c r="S99" i="5"/>
  <c r="T99" i="5" s="1"/>
  <c r="P100" i="5" l="1"/>
  <c r="R100" i="5" s="1"/>
  <c r="Q100" i="5"/>
  <c r="U100" i="5" s="1"/>
  <c r="S100" i="5"/>
  <c r="T100" i="5" s="1"/>
  <c r="P101" i="5" l="1"/>
  <c r="R101" i="5" s="1"/>
  <c r="Q101" i="5"/>
  <c r="U101" i="5" s="1"/>
  <c r="S101" i="5"/>
  <c r="T101" i="5" s="1"/>
  <c r="P102" i="5" l="1"/>
  <c r="R102" i="5" s="1"/>
  <c r="Q102" i="5"/>
  <c r="U102" i="5" s="1"/>
  <c r="S102" i="5"/>
  <c r="T102" i="5" s="1"/>
  <c r="P103" i="5" l="1"/>
  <c r="R103" i="5" s="1"/>
  <c r="Q103" i="5"/>
  <c r="U103" i="5" s="1"/>
  <c r="S103" i="5"/>
  <c r="T103" i="5" s="1"/>
  <c r="P104" i="5" l="1"/>
  <c r="R104" i="5" s="1"/>
  <c r="Q104" i="5"/>
  <c r="U104" i="5" s="1"/>
  <c r="S104" i="5"/>
  <c r="T104" i="5" s="1"/>
  <c r="P105" i="5" l="1"/>
  <c r="R105" i="5" s="1"/>
  <c r="Q105" i="5"/>
  <c r="U105" i="5" s="1"/>
  <c r="S105" i="5"/>
  <c r="T105" i="5" s="1"/>
  <c r="P106" i="5" l="1"/>
  <c r="R106" i="5" s="1"/>
  <c r="Q106" i="5"/>
  <c r="U106" i="5" s="1"/>
  <c r="S106" i="5"/>
  <c r="T106" i="5" s="1"/>
  <c r="P107" i="5" l="1"/>
  <c r="R107" i="5" s="1"/>
  <c r="Q107" i="5"/>
  <c r="U107" i="5" s="1"/>
  <c r="S107" i="5"/>
  <c r="T107" i="5" s="1"/>
  <c r="P108" i="5" l="1"/>
  <c r="R108" i="5" s="1"/>
  <c r="Q108" i="5"/>
  <c r="U108" i="5" s="1"/>
  <c r="S108" i="5"/>
  <c r="T108" i="5" s="1"/>
  <c r="P109" i="5" l="1"/>
  <c r="R109" i="5" s="1"/>
  <c r="Q109" i="5"/>
  <c r="U109" i="5" s="1"/>
  <c r="S109" i="5"/>
  <c r="T109" i="5" s="1"/>
  <c r="P110" i="5" l="1"/>
  <c r="R110" i="5" s="1"/>
  <c r="Q110" i="5"/>
  <c r="U110" i="5" s="1"/>
  <c r="S110" i="5"/>
  <c r="T110" i="5" s="1"/>
  <c r="P111" i="5" l="1"/>
  <c r="R111" i="5" s="1"/>
  <c r="Q111" i="5"/>
  <c r="U111" i="5" s="1"/>
  <c r="S111" i="5"/>
  <c r="T111" i="5" s="1"/>
  <c r="P112" i="5" l="1"/>
  <c r="R112" i="5" s="1"/>
  <c r="Q112" i="5"/>
  <c r="U112" i="5" s="1"/>
  <c r="S112" i="5"/>
  <c r="T112" i="5" s="1"/>
  <c r="P113" i="5" l="1"/>
  <c r="R113" i="5" s="1"/>
  <c r="Q113" i="5"/>
  <c r="U113" i="5" s="1"/>
  <c r="S113" i="5"/>
  <c r="T113" i="5" s="1"/>
  <c r="P114" i="5" l="1"/>
  <c r="R114" i="5" s="1"/>
  <c r="Q114" i="5"/>
  <c r="U114" i="5" s="1"/>
  <c r="S114" i="5"/>
  <c r="T114" i="5" s="1"/>
  <c r="P115" i="5" l="1"/>
  <c r="R115" i="5" s="1"/>
  <c r="Q115" i="5"/>
  <c r="U115" i="5" s="1"/>
  <c r="S115" i="5"/>
  <c r="T115" i="5" s="1"/>
  <c r="P116" i="5" l="1"/>
  <c r="R116" i="5" s="1"/>
  <c r="Q116" i="5"/>
  <c r="U116" i="5" s="1"/>
  <c r="S116" i="5"/>
  <c r="T116" i="5" s="1"/>
  <c r="P117" i="5" l="1"/>
  <c r="R117" i="5" s="1"/>
  <c r="Q117" i="5"/>
  <c r="U117" i="5" s="1"/>
  <c r="S117" i="5"/>
  <c r="T117" i="5" s="1"/>
  <c r="P118" i="5" l="1"/>
  <c r="R118" i="5" s="1"/>
  <c r="Q118" i="5"/>
  <c r="U118" i="5" s="1"/>
  <c r="S118" i="5"/>
  <c r="T118" i="5" s="1"/>
  <c r="P119" i="5" l="1"/>
  <c r="R119" i="5" s="1"/>
  <c r="Q119" i="5"/>
  <c r="U119" i="5" s="1"/>
  <c r="S119" i="5"/>
  <c r="T119" i="5" s="1"/>
  <c r="P120" i="5" l="1"/>
  <c r="R120" i="5" s="1"/>
  <c r="Q120" i="5"/>
  <c r="U120" i="5" s="1"/>
  <c r="S120" i="5"/>
  <c r="T120" i="5" s="1"/>
  <c r="P121" i="5" l="1"/>
  <c r="R121" i="5" s="1"/>
  <c r="Q121" i="5"/>
  <c r="U121" i="5" s="1"/>
  <c r="S121" i="5"/>
  <c r="T121" i="5" s="1"/>
  <c r="P122" i="5" l="1"/>
  <c r="R122" i="5" s="1"/>
  <c r="Q122" i="5"/>
  <c r="U122" i="5" s="1"/>
  <c r="S122" i="5"/>
  <c r="T122" i="5" s="1"/>
  <c r="P123" i="5" l="1"/>
  <c r="R123" i="5" s="1"/>
  <c r="Q123" i="5"/>
  <c r="U123" i="5" s="1"/>
  <c r="S123" i="5"/>
  <c r="T123" i="5" s="1"/>
  <c r="P124" i="5" l="1"/>
  <c r="R124" i="5" s="1"/>
  <c r="Q124" i="5"/>
  <c r="U124" i="5" s="1"/>
  <c r="S124" i="5"/>
  <c r="T124" i="5" s="1"/>
  <c r="P125" i="5" l="1"/>
  <c r="R125" i="5" s="1"/>
  <c r="Q125" i="5"/>
  <c r="U125" i="5" s="1"/>
  <c r="S125" i="5"/>
  <c r="T125" i="5" s="1"/>
  <c r="P126" i="5" l="1"/>
  <c r="R126" i="5" s="1"/>
  <c r="Q126" i="5"/>
  <c r="U126" i="5" s="1"/>
  <c r="S126" i="5"/>
  <c r="T126" i="5" s="1"/>
  <c r="P127" i="5" l="1"/>
  <c r="R127" i="5" s="1"/>
  <c r="Q127" i="5"/>
  <c r="U127" i="5" s="1"/>
  <c r="S127" i="5"/>
  <c r="T127" i="5" s="1"/>
  <c r="P128" i="5" l="1"/>
  <c r="R128" i="5" s="1"/>
  <c r="Q128" i="5"/>
  <c r="U128" i="5" s="1"/>
  <c r="S128" i="5"/>
  <c r="T128" i="5" s="1"/>
  <c r="P129" i="5" l="1"/>
  <c r="R129" i="5" s="1"/>
  <c r="Q129" i="5"/>
  <c r="U129" i="5" s="1"/>
  <c r="S129" i="5"/>
  <c r="T129" i="5" s="1"/>
  <c r="P130" i="5" l="1"/>
  <c r="R130" i="5" s="1"/>
  <c r="Q130" i="5"/>
  <c r="U130" i="5" s="1"/>
  <c r="S130" i="5"/>
  <c r="T130" i="5" s="1"/>
  <c r="P131" i="5" l="1"/>
  <c r="R131" i="5" s="1"/>
  <c r="Q131" i="5"/>
  <c r="U131" i="5" s="1"/>
  <c r="S131" i="5"/>
  <c r="T131" i="5" s="1"/>
  <c r="P132" i="5" l="1"/>
  <c r="R132" i="5" s="1"/>
  <c r="Q132" i="5"/>
  <c r="U132" i="5" s="1"/>
  <c r="S132" i="5"/>
  <c r="T132" i="5" s="1"/>
  <c r="P133" i="5" l="1"/>
  <c r="R133" i="5" s="1"/>
  <c r="Q133" i="5"/>
  <c r="U133" i="5" s="1"/>
  <c r="S133" i="5"/>
  <c r="T133" i="5" s="1"/>
  <c r="P134" i="5" l="1"/>
  <c r="R134" i="5" s="1"/>
  <c r="Q134" i="5"/>
  <c r="U134" i="5" s="1"/>
  <c r="S134" i="5"/>
  <c r="T134" i="5" s="1"/>
  <c r="P135" i="5" l="1"/>
  <c r="R135" i="5" s="1"/>
  <c r="Q135" i="5"/>
  <c r="U135" i="5" s="1"/>
  <c r="S135" i="5"/>
  <c r="T135" i="5" s="1"/>
  <c r="P136" i="5" l="1"/>
  <c r="R136" i="5" s="1"/>
  <c r="Q136" i="5"/>
  <c r="U136" i="5" s="1"/>
  <c r="S136" i="5"/>
  <c r="T136" i="5" s="1"/>
  <c r="P137" i="5" l="1"/>
  <c r="R137" i="5" s="1"/>
  <c r="Q137" i="5"/>
  <c r="U137" i="5" s="1"/>
  <c r="S137" i="5"/>
  <c r="T137" i="5" s="1"/>
  <c r="P138" i="5" l="1"/>
  <c r="R138" i="5" s="1"/>
  <c r="Q138" i="5"/>
  <c r="U138" i="5" s="1"/>
  <c r="S138" i="5"/>
  <c r="T138" i="5" s="1"/>
  <c r="P139" i="5" l="1"/>
  <c r="R139" i="5" s="1"/>
  <c r="Q139" i="5"/>
  <c r="U139" i="5" s="1"/>
  <c r="S139" i="5"/>
  <c r="T139" i="5" s="1"/>
  <c r="P140" i="5" l="1"/>
  <c r="R140" i="5" s="1"/>
  <c r="Q140" i="5"/>
  <c r="U140" i="5" s="1"/>
  <c r="S140" i="5"/>
  <c r="T140" i="5" s="1"/>
  <c r="P141" i="5" l="1"/>
  <c r="R141" i="5" s="1"/>
  <c r="Q141" i="5"/>
  <c r="U141" i="5" s="1"/>
  <c r="S141" i="5"/>
  <c r="T141" i="5" s="1"/>
  <c r="P142" i="5" l="1"/>
  <c r="R142" i="5" s="1"/>
  <c r="Q142" i="5"/>
  <c r="U142" i="5" s="1"/>
  <c r="S142" i="5"/>
  <c r="T142" i="5" s="1"/>
  <c r="P143" i="5" l="1"/>
  <c r="R143" i="5" s="1"/>
  <c r="Q143" i="5"/>
  <c r="U143" i="5" s="1"/>
  <c r="S143" i="5"/>
  <c r="T143" i="5" s="1"/>
  <c r="P144" i="5" l="1"/>
  <c r="R144" i="5" s="1"/>
  <c r="Q144" i="5"/>
  <c r="U144" i="5" s="1"/>
  <c r="S144" i="5"/>
  <c r="T144" i="5" s="1"/>
  <c r="P145" i="5" l="1"/>
  <c r="R145" i="5" s="1"/>
  <c r="Q145" i="5"/>
  <c r="U145" i="5" s="1"/>
  <c r="S145" i="5"/>
  <c r="T145" i="5" s="1"/>
  <c r="P146" i="5" l="1"/>
  <c r="R146" i="5" s="1"/>
  <c r="Q146" i="5"/>
  <c r="U146" i="5" s="1"/>
  <c r="S146" i="5"/>
  <c r="T146" i="5" s="1"/>
  <c r="P147" i="5" l="1"/>
  <c r="R147" i="5" s="1"/>
  <c r="Q147" i="5"/>
  <c r="U147" i="5" s="1"/>
  <c r="S147" i="5"/>
  <c r="T147" i="5" s="1"/>
  <c r="P148" i="5" l="1"/>
  <c r="R148" i="5" s="1"/>
  <c r="Q148" i="5"/>
  <c r="U148" i="5" s="1"/>
  <c r="S148" i="5"/>
  <c r="T148" i="5" s="1"/>
  <c r="P149" i="5" l="1"/>
  <c r="R149" i="5" s="1"/>
  <c r="Q149" i="5"/>
  <c r="U149" i="5" s="1"/>
  <c r="S149" i="5"/>
  <c r="T149" i="5" s="1"/>
  <c r="P150" i="5" l="1"/>
  <c r="R150" i="5" s="1"/>
  <c r="Q150" i="5"/>
  <c r="U150" i="5" s="1"/>
  <c r="S150" i="5"/>
  <c r="T150" i="5" s="1"/>
  <c r="P151" i="5" l="1"/>
  <c r="R151" i="5" s="1"/>
  <c r="Q151" i="5"/>
  <c r="U151" i="5" s="1"/>
  <c r="S151" i="5"/>
  <c r="T151" i="5" s="1"/>
  <c r="P152" i="5" l="1"/>
  <c r="R152" i="5" s="1"/>
  <c r="Q152" i="5"/>
  <c r="U152" i="5" s="1"/>
  <c r="S152" i="5"/>
  <c r="T152" i="5" s="1"/>
  <c r="P153" i="5" l="1"/>
  <c r="R153" i="5" s="1"/>
  <c r="Q153" i="5"/>
  <c r="U153" i="5" s="1"/>
  <c r="S153" i="5"/>
  <c r="T153" i="5" s="1"/>
  <c r="P154" i="5" l="1"/>
  <c r="R154" i="5" s="1"/>
  <c r="Q154" i="5"/>
  <c r="U154" i="5" s="1"/>
  <c r="S154" i="5"/>
  <c r="T154" i="5" s="1"/>
  <c r="P155" i="5" l="1"/>
  <c r="R155" i="5" s="1"/>
  <c r="Q155" i="5"/>
  <c r="U155" i="5" s="1"/>
  <c r="S155" i="5"/>
  <c r="T155" i="5" s="1"/>
  <c r="P156" i="5" l="1"/>
  <c r="R156" i="5" s="1"/>
  <c r="Q156" i="5"/>
  <c r="U156" i="5" s="1"/>
  <c r="S156" i="5"/>
  <c r="T156" i="5" s="1"/>
  <c r="P157" i="5" l="1"/>
  <c r="R157" i="5" s="1"/>
  <c r="Q157" i="5"/>
  <c r="U157" i="5" s="1"/>
  <c r="S157" i="5"/>
  <c r="T157" i="5" s="1"/>
  <c r="P158" i="5" l="1"/>
  <c r="R158" i="5" s="1"/>
  <c r="Q158" i="5"/>
  <c r="U158" i="5" s="1"/>
  <c r="S158" i="5"/>
  <c r="T158" i="5" s="1"/>
  <c r="P159" i="5" l="1"/>
  <c r="R159" i="5" s="1"/>
  <c r="Q159" i="5"/>
  <c r="U159" i="5" s="1"/>
  <c r="S159" i="5"/>
  <c r="T159" i="5" s="1"/>
  <c r="P160" i="5" l="1"/>
  <c r="R160" i="5" s="1"/>
  <c r="Q160" i="5"/>
  <c r="U160" i="5" s="1"/>
  <c r="S160" i="5"/>
  <c r="T160" i="5" s="1"/>
  <c r="P161" i="5" l="1"/>
  <c r="R161" i="5" s="1"/>
  <c r="Q161" i="5"/>
  <c r="U161" i="5" s="1"/>
  <c r="S161" i="5"/>
  <c r="T161" i="5" s="1"/>
  <c r="P162" i="5" l="1"/>
  <c r="R162" i="5" s="1"/>
  <c r="Q162" i="5"/>
  <c r="U162" i="5" s="1"/>
  <c r="S162" i="5"/>
  <c r="T162" i="5" s="1"/>
  <c r="P163" i="5" l="1"/>
  <c r="R163" i="5" s="1"/>
  <c r="Q163" i="5"/>
  <c r="U163" i="5" s="1"/>
  <c r="S163" i="5"/>
  <c r="T163" i="5" s="1"/>
  <c r="P164" i="5" l="1"/>
  <c r="R164" i="5" s="1"/>
  <c r="Q164" i="5"/>
  <c r="U164" i="5" s="1"/>
  <c r="S164" i="5"/>
  <c r="T164" i="5" s="1"/>
  <c r="P165" i="5" l="1"/>
  <c r="R165" i="5" s="1"/>
  <c r="Q165" i="5"/>
  <c r="U165" i="5" s="1"/>
  <c r="S165" i="5"/>
  <c r="T165" i="5" s="1"/>
  <c r="P166" i="5" l="1"/>
  <c r="R166" i="5" s="1"/>
  <c r="Q166" i="5"/>
  <c r="U166" i="5" s="1"/>
  <c r="S166" i="5"/>
  <c r="T166" i="5" s="1"/>
  <c r="P167" i="5" l="1"/>
  <c r="R167" i="5" s="1"/>
  <c r="Q167" i="5"/>
  <c r="U167" i="5" s="1"/>
  <c r="S167" i="5"/>
  <c r="T167" i="5" s="1"/>
  <c r="P168" i="5" l="1"/>
  <c r="R168" i="5" s="1"/>
  <c r="Q168" i="5"/>
  <c r="U168" i="5" s="1"/>
  <c r="S168" i="5"/>
  <c r="T168" i="5" s="1"/>
  <c r="P169" i="5" l="1"/>
  <c r="R169" i="5" s="1"/>
  <c r="Q169" i="5"/>
  <c r="U169" i="5" s="1"/>
  <c r="S169" i="5"/>
  <c r="T169" i="5" s="1"/>
  <c r="P170" i="5" l="1"/>
  <c r="R170" i="5" s="1"/>
  <c r="Q170" i="5"/>
  <c r="U170" i="5" s="1"/>
  <c r="S170" i="5"/>
  <c r="T170" i="5" s="1"/>
  <c r="P171" i="5" l="1"/>
  <c r="R171" i="5" s="1"/>
  <c r="Q171" i="5"/>
  <c r="U171" i="5" s="1"/>
  <c r="S171" i="5"/>
  <c r="T171" i="5" s="1"/>
  <c r="P172" i="5" l="1"/>
  <c r="R172" i="5" s="1"/>
  <c r="Q172" i="5"/>
  <c r="U172" i="5" s="1"/>
  <c r="S172" i="5"/>
  <c r="T172" i="5" s="1"/>
  <c r="P173" i="5" l="1"/>
  <c r="R173" i="5" s="1"/>
  <c r="Q173" i="5"/>
  <c r="U173" i="5" s="1"/>
  <c r="S173" i="5"/>
  <c r="T173" i="5" s="1"/>
  <c r="P174" i="5" l="1"/>
  <c r="R174" i="5" s="1"/>
  <c r="Q174" i="5"/>
  <c r="U174" i="5" s="1"/>
  <c r="S174" i="5"/>
  <c r="T174" i="5" s="1"/>
  <c r="P175" i="5" l="1"/>
  <c r="R175" i="5" s="1"/>
  <c r="Q175" i="5"/>
  <c r="U175" i="5" s="1"/>
  <c r="S175" i="5"/>
  <c r="T175" i="5" s="1"/>
  <c r="P176" i="5" l="1"/>
  <c r="R176" i="5" s="1"/>
  <c r="Q176" i="5"/>
  <c r="U176" i="5" s="1"/>
  <c r="S176" i="5"/>
  <c r="T176" i="5" s="1"/>
  <c r="P177" i="5" l="1"/>
  <c r="R177" i="5" s="1"/>
  <c r="Q177" i="5"/>
  <c r="U177" i="5" s="1"/>
  <c r="S177" i="5"/>
  <c r="T177" i="5" s="1"/>
  <c r="P178" i="5" l="1"/>
  <c r="R178" i="5" s="1"/>
  <c r="Q178" i="5"/>
  <c r="U178" i="5" s="1"/>
  <c r="S178" i="5"/>
  <c r="T178" i="5" s="1"/>
  <c r="P179" i="5" l="1"/>
  <c r="R179" i="5" s="1"/>
  <c r="Q179" i="5"/>
  <c r="U179" i="5" s="1"/>
  <c r="S179" i="5"/>
  <c r="T179" i="5" s="1"/>
  <c r="P180" i="5" l="1"/>
  <c r="R180" i="5" s="1"/>
  <c r="Q180" i="5"/>
  <c r="U180" i="5" s="1"/>
  <c r="S180" i="5"/>
  <c r="T180" i="5" s="1"/>
  <c r="P181" i="5" l="1"/>
  <c r="R181" i="5" s="1"/>
  <c r="Q181" i="5"/>
  <c r="U181" i="5" s="1"/>
  <c r="S181" i="5"/>
  <c r="T181" i="5" s="1"/>
  <c r="P182" i="5" l="1"/>
  <c r="R182" i="5" s="1"/>
  <c r="Q182" i="5"/>
  <c r="U182" i="5" s="1"/>
  <c r="S182" i="5"/>
  <c r="T182" i="5" s="1"/>
  <c r="P183" i="5" l="1"/>
  <c r="R183" i="5" s="1"/>
  <c r="Q183" i="5"/>
  <c r="U183" i="5" s="1"/>
  <c r="S183" i="5"/>
  <c r="T183" i="5" s="1"/>
  <c r="P184" i="5" l="1"/>
  <c r="R184" i="5" s="1"/>
  <c r="Q184" i="5"/>
  <c r="U184" i="5" s="1"/>
  <c r="S184" i="5"/>
  <c r="T184" i="5" s="1"/>
  <c r="P185" i="5" l="1"/>
  <c r="R185" i="5" s="1"/>
  <c r="Q185" i="5"/>
  <c r="U185" i="5" s="1"/>
  <c r="S185" i="5"/>
  <c r="T185" i="5" s="1"/>
  <c r="P186" i="5" l="1"/>
  <c r="R186" i="5" s="1"/>
  <c r="Q186" i="5"/>
  <c r="U186" i="5" s="1"/>
  <c r="S186" i="5"/>
  <c r="T186" i="5" s="1"/>
  <c r="P187" i="5" l="1"/>
  <c r="R187" i="5" s="1"/>
  <c r="Q187" i="5"/>
  <c r="U187" i="5" s="1"/>
  <c r="S187" i="5"/>
  <c r="T187" i="5" s="1"/>
  <c r="P188" i="5" l="1"/>
  <c r="R188" i="5" s="1"/>
  <c r="Q188" i="5"/>
  <c r="U188" i="5" s="1"/>
  <c r="S188" i="5"/>
  <c r="T188" i="5" s="1"/>
  <c r="P189" i="5" l="1"/>
  <c r="R189" i="5" s="1"/>
  <c r="Q189" i="5"/>
  <c r="U189" i="5" s="1"/>
  <c r="S189" i="5"/>
  <c r="T189" i="5" s="1"/>
  <c r="P190" i="5" l="1"/>
  <c r="R190" i="5" s="1"/>
  <c r="Q190" i="5"/>
  <c r="U190" i="5" s="1"/>
  <c r="S190" i="5"/>
  <c r="T190" i="5" s="1"/>
  <c r="P191" i="5" l="1"/>
  <c r="R191" i="5" s="1"/>
  <c r="Q191" i="5"/>
  <c r="U191" i="5" s="1"/>
  <c r="S191" i="5"/>
  <c r="T191" i="5" s="1"/>
  <c r="P192" i="5" l="1"/>
  <c r="R192" i="5" s="1"/>
  <c r="Q192" i="5"/>
  <c r="U192" i="5" s="1"/>
  <c r="S192" i="5"/>
  <c r="T192" i="5" s="1"/>
  <c r="P193" i="5" l="1"/>
  <c r="R193" i="5" s="1"/>
  <c r="Q193" i="5"/>
  <c r="U193" i="5" s="1"/>
  <c r="S193" i="5"/>
  <c r="T193" i="5" s="1"/>
  <c r="P194" i="5" l="1"/>
  <c r="R194" i="5" s="1"/>
  <c r="Q194" i="5"/>
  <c r="U194" i="5" s="1"/>
  <c r="S194" i="5"/>
  <c r="T194" i="5" s="1"/>
  <c r="P195" i="5" l="1"/>
  <c r="R195" i="5" s="1"/>
  <c r="Q195" i="5"/>
  <c r="U195" i="5" s="1"/>
  <c r="S195" i="5"/>
  <c r="T195" i="5" s="1"/>
  <c r="P196" i="5" l="1"/>
  <c r="R196" i="5" s="1"/>
  <c r="Q196" i="5"/>
  <c r="U196" i="5" s="1"/>
  <c r="S196" i="5"/>
  <c r="T196" i="5" s="1"/>
  <c r="P197" i="5" l="1"/>
  <c r="R197" i="5" s="1"/>
  <c r="Q197" i="5"/>
  <c r="U197" i="5" s="1"/>
  <c r="S197" i="5"/>
  <c r="T197" i="5" s="1"/>
  <c r="P198" i="5" l="1"/>
  <c r="R198" i="5" s="1"/>
  <c r="Q198" i="5"/>
  <c r="U198" i="5" s="1"/>
  <c r="S198" i="5"/>
  <c r="T198" i="5" s="1"/>
  <c r="P199" i="5" l="1"/>
  <c r="R199" i="5" s="1"/>
  <c r="Q199" i="5"/>
  <c r="U199" i="5" s="1"/>
  <c r="S199" i="5"/>
  <c r="T199" i="5" s="1"/>
  <c r="P200" i="5" l="1"/>
  <c r="R200" i="5" s="1"/>
  <c r="Q200" i="5"/>
  <c r="U200" i="5" s="1"/>
  <c r="S200" i="5"/>
  <c r="T200" i="5" s="1"/>
  <c r="P201" i="5" l="1"/>
  <c r="R201" i="5" s="1"/>
  <c r="Q201" i="5"/>
  <c r="U201" i="5" s="1"/>
  <c r="S201" i="5"/>
  <c r="T201" i="5" s="1"/>
  <c r="P202" i="5" l="1"/>
  <c r="R202" i="5" s="1"/>
  <c r="Q202" i="5"/>
  <c r="U202" i="5" s="1"/>
  <c r="S202" i="5"/>
  <c r="T202" i="5" s="1"/>
  <c r="P203" i="5" l="1"/>
  <c r="R203" i="5" s="1"/>
  <c r="Q203" i="5"/>
  <c r="U203" i="5" s="1"/>
  <c r="S203" i="5"/>
  <c r="T203" i="5" s="1"/>
  <c r="P204" i="5" l="1"/>
  <c r="R204" i="5" s="1"/>
  <c r="Q204" i="5"/>
  <c r="U204" i="5" s="1"/>
  <c r="S204" i="5"/>
  <c r="T204" i="5" s="1"/>
  <c r="P205" i="5" l="1"/>
  <c r="R205" i="5" s="1"/>
  <c r="Q205" i="5"/>
  <c r="U205" i="5" s="1"/>
  <c r="S205" i="5"/>
  <c r="T205" i="5" s="1"/>
  <c r="P206" i="5" l="1"/>
  <c r="R206" i="5" s="1"/>
  <c r="Q206" i="5"/>
  <c r="U206" i="5" s="1"/>
  <c r="S206" i="5"/>
  <c r="T206" i="5" s="1"/>
  <c r="P207" i="5" l="1"/>
  <c r="R207" i="5" s="1"/>
  <c r="Q207" i="5"/>
  <c r="U207" i="5" s="1"/>
  <c r="S207" i="5"/>
  <c r="T207" i="5" s="1"/>
  <c r="P208" i="5" l="1"/>
  <c r="R208" i="5" s="1"/>
  <c r="Q208" i="5"/>
  <c r="U208" i="5" s="1"/>
  <c r="S208" i="5"/>
  <c r="T208" i="5" s="1"/>
  <c r="P209" i="5" l="1"/>
  <c r="R209" i="5" s="1"/>
  <c r="Q209" i="5"/>
  <c r="U209" i="5" s="1"/>
  <c r="S209" i="5"/>
  <c r="T209" i="5" s="1"/>
  <c r="P210" i="5" l="1"/>
  <c r="R210" i="5" s="1"/>
  <c r="Q210" i="5"/>
  <c r="U210" i="5" s="1"/>
  <c r="S210" i="5"/>
  <c r="T210" i="5" s="1"/>
  <c r="P211" i="5" l="1"/>
  <c r="R211" i="5" s="1"/>
  <c r="Q211" i="5"/>
  <c r="U211" i="5" s="1"/>
  <c r="S211" i="5"/>
  <c r="T211" i="5" s="1"/>
  <c r="P212" i="5" l="1"/>
  <c r="R212" i="5" s="1"/>
  <c r="Q212" i="5"/>
  <c r="U212" i="5" s="1"/>
  <c r="S212" i="5"/>
  <c r="T212" i="5" s="1"/>
  <c r="P213" i="5" l="1"/>
  <c r="R213" i="5" s="1"/>
  <c r="Q213" i="5"/>
  <c r="U213" i="5" s="1"/>
  <c r="S213" i="5"/>
  <c r="T213" i="5" s="1"/>
  <c r="P214" i="5" l="1"/>
  <c r="R214" i="5" s="1"/>
  <c r="Q214" i="5"/>
  <c r="U214" i="5" s="1"/>
  <c r="S214" i="5"/>
  <c r="T214" i="5" s="1"/>
  <c r="P215" i="5" l="1"/>
  <c r="R215" i="5" s="1"/>
  <c r="Q215" i="5"/>
  <c r="U215" i="5" s="1"/>
  <c r="S215" i="5"/>
  <c r="T215" i="5" s="1"/>
  <c r="P216" i="5" l="1"/>
  <c r="R216" i="5" s="1"/>
  <c r="Q216" i="5"/>
  <c r="U216" i="5" s="1"/>
  <c r="S216" i="5"/>
  <c r="T216" i="5" s="1"/>
  <c r="P217" i="5" l="1"/>
  <c r="R217" i="5" s="1"/>
  <c r="Q217" i="5"/>
  <c r="U217" i="5" s="1"/>
  <c r="S217" i="5"/>
  <c r="T217" i="5" s="1"/>
  <c r="P218" i="5" l="1"/>
  <c r="R218" i="5" s="1"/>
  <c r="Q218" i="5"/>
  <c r="U218" i="5" s="1"/>
  <c r="S218" i="5"/>
  <c r="T218" i="5" s="1"/>
  <c r="P219" i="5" l="1"/>
  <c r="R219" i="5" s="1"/>
  <c r="Q219" i="5"/>
  <c r="U219" i="5" s="1"/>
  <c r="S219" i="5"/>
  <c r="T219" i="5" s="1"/>
  <c r="P220" i="5" l="1"/>
  <c r="R220" i="5" s="1"/>
  <c r="Q220" i="5"/>
  <c r="U220" i="5" s="1"/>
  <c r="S220" i="5"/>
  <c r="T220" i="5" s="1"/>
  <c r="P221" i="5" l="1"/>
  <c r="R221" i="5" s="1"/>
  <c r="Q221" i="5"/>
  <c r="U221" i="5" s="1"/>
  <c r="S221" i="5"/>
  <c r="T221" i="5" s="1"/>
  <c r="P222" i="5" l="1"/>
  <c r="R222" i="5" s="1"/>
  <c r="Q222" i="5"/>
  <c r="U222" i="5" s="1"/>
  <c r="S222" i="5"/>
  <c r="T222" i="5" s="1"/>
  <c r="P223" i="5" l="1"/>
  <c r="R223" i="5" s="1"/>
  <c r="Q223" i="5"/>
  <c r="U223" i="5" s="1"/>
  <c r="S223" i="5"/>
  <c r="T223" i="5" s="1"/>
  <c r="P224" i="5" l="1"/>
  <c r="R224" i="5" s="1"/>
  <c r="Q224" i="5"/>
  <c r="U224" i="5" s="1"/>
  <c r="S224" i="5"/>
  <c r="T224" i="5" s="1"/>
  <c r="P225" i="5" l="1"/>
  <c r="R225" i="5" s="1"/>
  <c r="Q225" i="5"/>
  <c r="U225" i="5" s="1"/>
  <c r="S225" i="5"/>
  <c r="T225" i="5" s="1"/>
  <c r="P226" i="5" l="1"/>
  <c r="R226" i="5" s="1"/>
  <c r="Q226" i="5"/>
  <c r="U226" i="5" s="1"/>
  <c r="S226" i="5"/>
  <c r="T226" i="5" s="1"/>
  <c r="P227" i="5" l="1"/>
  <c r="R227" i="5" s="1"/>
  <c r="Q227" i="5"/>
  <c r="U227" i="5" s="1"/>
  <c r="S227" i="5"/>
  <c r="T227" i="5" s="1"/>
  <c r="P228" i="5" l="1"/>
  <c r="R228" i="5" s="1"/>
  <c r="Q228" i="5"/>
  <c r="U228" i="5" s="1"/>
  <c r="S228" i="5"/>
  <c r="T228" i="5" s="1"/>
  <c r="P229" i="5" l="1"/>
  <c r="R229" i="5" s="1"/>
  <c r="Q229" i="5"/>
  <c r="U229" i="5" s="1"/>
  <c r="S229" i="5"/>
  <c r="T229" i="5" s="1"/>
  <c r="P230" i="5" l="1"/>
  <c r="R230" i="5" s="1"/>
  <c r="Q230" i="5"/>
  <c r="U230" i="5" s="1"/>
  <c r="S230" i="5"/>
  <c r="T230" i="5" s="1"/>
  <c r="P231" i="5" l="1"/>
  <c r="R231" i="5" s="1"/>
  <c r="Q231" i="5"/>
  <c r="U231" i="5" s="1"/>
  <c r="S231" i="5"/>
  <c r="T231" i="5" s="1"/>
  <c r="P232" i="5" l="1"/>
  <c r="R232" i="5" s="1"/>
  <c r="Q232" i="5"/>
  <c r="U232" i="5" s="1"/>
  <c r="S232" i="5"/>
  <c r="T232" i="5" s="1"/>
  <c r="P233" i="5" l="1"/>
  <c r="R233" i="5" s="1"/>
  <c r="Q233" i="5"/>
  <c r="U233" i="5" s="1"/>
  <c r="S233" i="5"/>
  <c r="T233" i="5" s="1"/>
  <c r="P234" i="5" l="1"/>
  <c r="R234" i="5" s="1"/>
  <c r="Q234" i="5"/>
  <c r="U234" i="5" s="1"/>
  <c r="S234" i="5"/>
  <c r="T234" i="5" s="1"/>
  <c r="P235" i="5" l="1"/>
  <c r="R235" i="5" s="1"/>
  <c r="Q235" i="5"/>
  <c r="U235" i="5" s="1"/>
  <c r="S235" i="5"/>
  <c r="T235" i="5" s="1"/>
  <c r="P236" i="5" l="1"/>
  <c r="R236" i="5" s="1"/>
  <c r="Q236" i="5"/>
  <c r="U236" i="5" s="1"/>
  <c r="S236" i="5"/>
  <c r="T236" i="5" s="1"/>
  <c r="P237" i="5" l="1"/>
  <c r="R237" i="5" s="1"/>
  <c r="Q237" i="5"/>
  <c r="U237" i="5" s="1"/>
  <c r="S237" i="5"/>
  <c r="T237" i="5" s="1"/>
  <c r="P238" i="5" l="1"/>
  <c r="R238" i="5" s="1"/>
  <c r="Q238" i="5"/>
  <c r="U238" i="5" s="1"/>
  <c r="S238" i="5"/>
  <c r="T238" i="5" s="1"/>
  <c r="P239" i="5" l="1"/>
  <c r="R239" i="5" s="1"/>
  <c r="Q239" i="5"/>
  <c r="U239" i="5" s="1"/>
  <c r="S239" i="5"/>
  <c r="T239" i="5" s="1"/>
  <c r="P240" i="5" l="1"/>
  <c r="R240" i="5" s="1"/>
  <c r="Q240" i="5"/>
  <c r="U240" i="5" s="1"/>
  <c r="S240" i="5"/>
  <c r="T240" i="5" s="1"/>
  <c r="P241" i="5" l="1"/>
  <c r="R241" i="5" s="1"/>
  <c r="Q241" i="5"/>
  <c r="U241" i="5" s="1"/>
  <c r="S241" i="5"/>
  <c r="T241" i="5" s="1"/>
  <c r="P242" i="5" l="1"/>
  <c r="R242" i="5" s="1"/>
  <c r="Q242" i="5"/>
  <c r="U242" i="5" s="1"/>
  <c r="S242" i="5"/>
  <c r="T242" i="5" s="1"/>
  <c r="P243" i="5" l="1"/>
  <c r="R243" i="5" s="1"/>
  <c r="Q243" i="5"/>
  <c r="U243" i="5" s="1"/>
  <c r="S243" i="5"/>
  <c r="T243" i="5" s="1"/>
  <c r="P244" i="5" l="1"/>
  <c r="R244" i="5" s="1"/>
  <c r="Q244" i="5"/>
  <c r="U244" i="5" s="1"/>
  <c r="S244" i="5"/>
  <c r="T244" i="5" s="1"/>
  <c r="P245" i="5" l="1"/>
  <c r="R245" i="5" s="1"/>
  <c r="Q245" i="5"/>
  <c r="U245" i="5" s="1"/>
  <c r="S245" i="5"/>
  <c r="T245" i="5" s="1"/>
  <c r="P246" i="5" l="1"/>
  <c r="R246" i="5" s="1"/>
  <c r="Q246" i="5"/>
  <c r="U246" i="5" s="1"/>
  <c r="S246" i="5"/>
  <c r="T246" i="5" s="1"/>
  <c r="P247" i="5" l="1"/>
  <c r="R247" i="5" s="1"/>
  <c r="Q247" i="5"/>
  <c r="U247" i="5" s="1"/>
  <c r="S247" i="5"/>
  <c r="T247" i="5" s="1"/>
  <c r="P248" i="5" l="1"/>
  <c r="R248" i="5" s="1"/>
  <c r="Q248" i="5"/>
  <c r="U248" i="5" s="1"/>
  <c r="S248" i="5"/>
  <c r="T248" i="5" s="1"/>
  <c r="P249" i="5" l="1"/>
  <c r="R249" i="5" s="1"/>
  <c r="Q249" i="5"/>
  <c r="U249" i="5" s="1"/>
  <c r="S249" i="5"/>
  <c r="T249" i="5" s="1"/>
  <c r="P250" i="5" l="1"/>
  <c r="R250" i="5" s="1"/>
  <c r="Q250" i="5"/>
  <c r="U250" i="5" s="1"/>
  <c r="S250" i="5"/>
  <c r="T250" i="5" s="1"/>
  <c r="P251" i="5" l="1"/>
  <c r="R251" i="5" s="1"/>
  <c r="Q251" i="5"/>
  <c r="U251" i="5" s="1"/>
  <c r="S251" i="5"/>
  <c r="T251" i="5" s="1"/>
  <c r="P252" i="5" l="1"/>
  <c r="R252" i="5" s="1"/>
  <c r="Q252" i="5"/>
  <c r="U252" i="5" s="1"/>
  <c r="S252" i="5"/>
  <c r="T252" i="5" s="1"/>
  <c r="P253" i="5" l="1"/>
  <c r="R253" i="5" s="1"/>
  <c r="Q253" i="5"/>
  <c r="U253" i="5" s="1"/>
  <c r="S253" i="5"/>
  <c r="T253" i="5" s="1"/>
  <c r="P254" i="5" l="1"/>
  <c r="R254" i="5" s="1"/>
  <c r="Q254" i="5"/>
  <c r="U254" i="5" s="1"/>
  <c r="S254" i="5"/>
  <c r="T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<sst xmlns="http://schemas.openxmlformats.org/spreadsheetml/2006/main" count="58" uniqueCount="49">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</sst>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66" formatCode="0.000000000000000"/>
    <numFmt numFmtId="167" formatCode="0.000000000000000000"/>
    <numFmt numFmtId="168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0" fontId="1" fillId="2" borderId="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-26.142344578669412</c:v>
                </c:pt>
                <c:pt idx="66">
                  <c:v>-26.142344578669412</c:v>
                </c:pt>
                <c:pt idx="67">
                  <c:v>-26.142344578669412</c:v>
                </c:pt>
                <c:pt idx="68">
                  <c:v>-26.142344578669412</c:v>
                </c:pt>
                <c:pt idx="69">
                  <c:v>-26.142344578669412</c:v>
                </c:pt>
                <c:pt idx="70">
                  <c:v>-26.142344578669412</c:v>
                </c:pt>
                <c:pt idx="71">
                  <c:v>-26.142344578669412</c:v>
                </c:pt>
                <c:pt idx="72">
                  <c:v>-26.142344578669412</c:v>
                </c:pt>
                <c:pt idx="73">
                  <c:v>-26.142344578669412</c:v>
                </c:pt>
                <c:pt idx="74">
                  <c:v>-26.142344578669412</c:v>
                </c:pt>
                <c:pt idx="75">
                  <c:v>-26.142344578669412</c:v>
                </c:pt>
                <c:pt idx="76">
                  <c:v>-26.142344578669412</c:v>
                </c:pt>
                <c:pt idx="77">
                  <c:v>-26.142344578669412</c:v>
                </c:pt>
                <c:pt idx="78">
                  <c:v>-26.142344578669412</c:v>
                </c:pt>
                <c:pt idx="79">
                  <c:v>-26.142344578669412</c:v>
                </c:pt>
                <c:pt idx="80">
                  <c:v>-26.142344578669412</c:v>
                </c:pt>
                <c:pt idx="81">
                  <c:v>-26.142344578669412</c:v>
                </c:pt>
                <c:pt idx="82">
                  <c:v>-26.142344578669412</c:v>
                </c:pt>
                <c:pt idx="83">
                  <c:v>-26.142344578669412</c:v>
                </c:pt>
                <c:pt idx="84">
                  <c:v>-26.142344578669412</c:v>
                </c:pt>
                <c:pt idx="85">
                  <c:v>-26.142344578669412</c:v>
                </c:pt>
                <c:pt idx="86">
                  <c:v>-26.142344578669412</c:v>
                </c:pt>
                <c:pt idx="87">
                  <c:v>-26.142344578669412</c:v>
                </c:pt>
                <c:pt idx="88">
                  <c:v>-26.142344578669412</c:v>
                </c:pt>
                <c:pt idx="89">
                  <c:v>-26.142344578669412</c:v>
                </c:pt>
                <c:pt idx="90">
                  <c:v>-26.142344578669412</c:v>
                </c:pt>
                <c:pt idx="91">
                  <c:v>-26.142344578669412</c:v>
                </c:pt>
                <c:pt idx="92">
                  <c:v>-26.142344578669412</c:v>
                </c:pt>
                <c:pt idx="93">
                  <c:v>-26.142344578669412</c:v>
                </c:pt>
                <c:pt idx="94">
                  <c:v>-26.142344578669412</c:v>
                </c:pt>
                <c:pt idx="95">
                  <c:v>-26.142344578669412</c:v>
                </c:pt>
                <c:pt idx="96">
                  <c:v>-26.142344578669412</c:v>
                </c:pt>
                <c:pt idx="97">
                  <c:v>-26.142344578669412</c:v>
                </c:pt>
                <c:pt idx="98">
                  <c:v>-26.142344578669412</c:v>
                </c:pt>
                <c:pt idx="99">
                  <c:v>-26.142344578669412</c:v>
                </c:pt>
                <c:pt idx="100">
                  <c:v>-26.142344578669412</c:v>
                </c:pt>
                <c:pt idx="101">
                  <c:v>-26.142344578669412</c:v>
                </c:pt>
                <c:pt idx="102">
                  <c:v>-26.142344578669412</c:v>
                </c:pt>
                <c:pt idx="103">
                  <c:v>-26.142344578669412</c:v>
                </c:pt>
                <c:pt idx="104">
                  <c:v>-26.142344578669412</c:v>
                </c:pt>
                <c:pt idx="105">
                  <c:v>-26.142344578669412</c:v>
                </c:pt>
                <c:pt idx="106">
                  <c:v>-26.142344578669412</c:v>
                </c:pt>
                <c:pt idx="107">
                  <c:v>-26.142344578669412</c:v>
                </c:pt>
                <c:pt idx="108">
                  <c:v>-26.142344578669412</c:v>
                </c:pt>
                <c:pt idx="109">
                  <c:v>-26.142344578669412</c:v>
                </c:pt>
                <c:pt idx="110">
                  <c:v>-26.142344578669412</c:v>
                </c:pt>
                <c:pt idx="111">
                  <c:v>-26.142344578669412</c:v>
                </c:pt>
                <c:pt idx="112">
                  <c:v>-26.142344578669412</c:v>
                </c:pt>
                <c:pt idx="113">
                  <c:v>-26.142344578669412</c:v>
                </c:pt>
                <c:pt idx="114">
                  <c:v>-26.142344578669412</c:v>
                </c:pt>
                <c:pt idx="115">
                  <c:v>-26.142344578669412</c:v>
                </c:pt>
                <c:pt idx="116">
                  <c:v>-26.142344578669412</c:v>
                </c:pt>
                <c:pt idx="117">
                  <c:v>-26.142344578669412</c:v>
                </c:pt>
                <c:pt idx="118">
                  <c:v>-26.142344578669412</c:v>
                </c:pt>
                <c:pt idx="119">
                  <c:v>-26.142344578669412</c:v>
                </c:pt>
                <c:pt idx="120">
                  <c:v>-26.142344578669412</c:v>
                </c:pt>
                <c:pt idx="121">
                  <c:v>-26.142344578669412</c:v>
                </c:pt>
                <c:pt idx="122">
                  <c:v>-26.142344578669412</c:v>
                </c:pt>
                <c:pt idx="123">
                  <c:v>-26.142344578669412</c:v>
                </c:pt>
                <c:pt idx="124">
                  <c:v>-26.142344578669412</c:v>
                </c:pt>
                <c:pt idx="125">
                  <c:v>-26.142344578669412</c:v>
                </c:pt>
                <c:pt idx="126">
                  <c:v>-26.142344578669412</c:v>
                </c:pt>
                <c:pt idx="127">
                  <c:v>-26.142344578669412</c:v>
                </c:pt>
                <c:pt idx="128">
                  <c:v>-26.142344578669412</c:v>
                </c:pt>
                <c:pt idx="129">
                  <c:v>-26.142344578669412</c:v>
                </c:pt>
                <c:pt idx="130">
                  <c:v>-26.142344578669412</c:v>
                </c:pt>
                <c:pt idx="131">
                  <c:v>-26.142344578669412</c:v>
                </c:pt>
                <c:pt idx="132">
                  <c:v>-26.142344578669412</c:v>
                </c:pt>
                <c:pt idx="133">
                  <c:v>-26.142344578669412</c:v>
                </c:pt>
                <c:pt idx="134">
                  <c:v>-26.142344578669412</c:v>
                </c:pt>
                <c:pt idx="135">
                  <c:v>-26.142344578669412</c:v>
                </c:pt>
                <c:pt idx="136">
                  <c:v>-26.142344578669412</c:v>
                </c:pt>
                <c:pt idx="137">
                  <c:v>-26.142344578669412</c:v>
                </c:pt>
                <c:pt idx="138">
                  <c:v>-26.142344578669412</c:v>
                </c:pt>
                <c:pt idx="139">
                  <c:v>-26.142344578669412</c:v>
                </c:pt>
                <c:pt idx="140">
                  <c:v>-26.142344578669412</c:v>
                </c:pt>
                <c:pt idx="141">
                  <c:v>-26.142344578669412</c:v>
                </c:pt>
                <c:pt idx="142">
                  <c:v>-26.142344578669412</c:v>
                </c:pt>
                <c:pt idx="143">
                  <c:v>-26.142344578669412</c:v>
                </c:pt>
                <c:pt idx="144">
                  <c:v>-26.142344578669412</c:v>
                </c:pt>
                <c:pt idx="145">
                  <c:v>-26.142344578669412</c:v>
                </c:pt>
                <c:pt idx="146">
                  <c:v>-26.142344578669412</c:v>
                </c:pt>
                <c:pt idx="147">
                  <c:v>-26.142344578669412</c:v>
                </c:pt>
                <c:pt idx="148">
                  <c:v>-26.142344578669412</c:v>
                </c:pt>
                <c:pt idx="149">
                  <c:v>-26.142344578669412</c:v>
                </c:pt>
                <c:pt idx="150">
                  <c:v>-26.142344578669412</c:v>
                </c:pt>
                <c:pt idx="151">
                  <c:v>-26.142344578669412</c:v>
                </c:pt>
                <c:pt idx="152">
                  <c:v>-26.142344578669412</c:v>
                </c:pt>
                <c:pt idx="153">
                  <c:v>-26.142344578669412</c:v>
                </c:pt>
                <c:pt idx="154">
                  <c:v>-26.142344578669412</c:v>
                </c:pt>
                <c:pt idx="155">
                  <c:v>-26.142344578669412</c:v>
                </c:pt>
                <c:pt idx="156">
                  <c:v>-26.142344578669412</c:v>
                </c:pt>
                <c:pt idx="157">
                  <c:v>-26.142344578669412</c:v>
                </c:pt>
                <c:pt idx="158">
                  <c:v>-26.142344578669412</c:v>
                </c:pt>
                <c:pt idx="159">
                  <c:v>-26.142344578669412</c:v>
                </c:pt>
                <c:pt idx="160">
                  <c:v>-26.142344578669412</c:v>
                </c:pt>
                <c:pt idx="161">
                  <c:v>-26.142344578669412</c:v>
                </c:pt>
                <c:pt idx="162">
                  <c:v>-26.142344578669412</c:v>
                </c:pt>
                <c:pt idx="163">
                  <c:v>-26.142344578669412</c:v>
                </c:pt>
                <c:pt idx="164">
                  <c:v>-26.142344578669412</c:v>
                </c:pt>
                <c:pt idx="165">
                  <c:v>-26.142344578669412</c:v>
                </c:pt>
                <c:pt idx="166">
                  <c:v>-26.142344578669412</c:v>
                </c:pt>
                <c:pt idx="167">
                  <c:v>-26.142344578669412</c:v>
                </c:pt>
                <c:pt idx="168">
                  <c:v>-26.142344578669412</c:v>
                </c:pt>
                <c:pt idx="169">
                  <c:v>-26.142344578669412</c:v>
                </c:pt>
                <c:pt idx="170">
                  <c:v>-26.142344578669412</c:v>
                </c:pt>
                <c:pt idx="171">
                  <c:v>-26.142344578669412</c:v>
                </c:pt>
                <c:pt idx="172">
                  <c:v>-26.142344578669412</c:v>
                </c:pt>
                <c:pt idx="173">
                  <c:v>-26.142344578669412</c:v>
                </c:pt>
                <c:pt idx="174">
                  <c:v>-26.142344578669412</c:v>
                </c:pt>
                <c:pt idx="175">
                  <c:v>-26.142344578669412</c:v>
                </c:pt>
                <c:pt idx="176">
                  <c:v>-26.142344578669412</c:v>
                </c:pt>
                <c:pt idx="177">
                  <c:v>-26.142344578669412</c:v>
                </c:pt>
                <c:pt idx="178">
                  <c:v>-26.142344578669412</c:v>
                </c:pt>
                <c:pt idx="179">
                  <c:v>-26.142344578669412</c:v>
                </c:pt>
                <c:pt idx="180">
                  <c:v>-26.142344578669412</c:v>
                </c:pt>
                <c:pt idx="181">
                  <c:v>-26.142344578669412</c:v>
                </c:pt>
                <c:pt idx="182">
                  <c:v>-26.142344578669412</c:v>
                </c:pt>
                <c:pt idx="183">
                  <c:v>-26.142344578669412</c:v>
                </c:pt>
                <c:pt idx="184">
                  <c:v>-26.142344578669412</c:v>
                </c:pt>
                <c:pt idx="185">
                  <c:v>-26.142344578669412</c:v>
                </c:pt>
                <c:pt idx="186">
                  <c:v>-26.142344578669412</c:v>
                </c:pt>
                <c:pt idx="187">
                  <c:v>-26.142344578669412</c:v>
                </c:pt>
                <c:pt idx="188">
                  <c:v>-26.142344578669412</c:v>
                </c:pt>
                <c:pt idx="189">
                  <c:v>-26.142344578669412</c:v>
                </c:pt>
                <c:pt idx="190">
                  <c:v>-26.142344578669412</c:v>
                </c:pt>
                <c:pt idx="191">
                  <c:v>-26.142344578669412</c:v>
                </c:pt>
                <c:pt idx="192">
                  <c:v>-26.142344578669412</c:v>
                </c:pt>
                <c:pt idx="193">
                  <c:v>-26.142344578669412</c:v>
                </c:pt>
                <c:pt idx="194">
                  <c:v>-26.142344578669412</c:v>
                </c:pt>
                <c:pt idx="195">
                  <c:v>-26.142344578669412</c:v>
                </c:pt>
                <c:pt idx="196">
                  <c:v>-26.142344578669412</c:v>
                </c:pt>
                <c:pt idx="197">
                  <c:v>-26.142344578669412</c:v>
                </c:pt>
                <c:pt idx="198">
                  <c:v>-26.142344578669412</c:v>
                </c:pt>
                <c:pt idx="199">
                  <c:v>-26.142344578669412</c:v>
                </c:pt>
                <c:pt idx="200">
                  <c:v>-26.142344578669412</c:v>
                </c:pt>
                <c:pt idx="201">
                  <c:v>-26.142344578669412</c:v>
                </c:pt>
                <c:pt idx="202">
                  <c:v>-26.142344578669412</c:v>
                </c:pt>
                <c:pt idx="203">
                  <c:v>-26.142344578669412</c:v>
                </c:pt>
                <c:pt idx="204">
                  <c:v>-26.142344578669412</c:v>
                </c:pt>
                <c:pt idx="205">
                  <c:v>-26.142344578669412</c:v>
                </c:pt>
                <c:pt idx="206">
                  <c:v>-26.142344578669412</c:v>
                </c:pt>
                <c:pt idx="207">
                  <c:v>-26.142344578669412</c:v>
                </c:pt>
                <c:pt idx="208">
                  <c:v>-26.142344578669412</c:v>
                </c:pt>
                <c:pt idx="209">
                  <c:v>-26.142344578669412</c:v>
                </c:pt>
                <c:pt idx="210">
                  <c:v>-26.142344578669412</c:v>
                </c:pt>
                <c:pt idx="211">
                  <c:v>-26.142344578669412</c:v>
                </c:pt>
                <c:pt idx="212">
                  <c:v>-26.142344578669412</c:v>
                </c:pt>
                <c:pt idx="213">
                  <c:v>-26.142344578669412</c:v>
                </c:pt>
                <c:pt idx="214">
                  <c:v>-26.142344578669412</c:v>
                </c:pt>
                <c:pt idx="215">
                  <c:v>-26.142344578669412</c:v>
                </c:pt>
                <c:pt idx="216">
                  <c:v>-26.142344578669412</c:v>
                </c:pt>
                <c:pt idx="217">
                  <c:v>-26.142344578669412</c:v>
                </c:pt>
                <c:pt idx="218">
                  <c:v>-26.142344578669412</c:v>
                </c:pt>
                <c:pt idx="219">
                  <c:v>-26.142344578669412</c:v>
                </c:pt>
                <c:pt idx="220">
                  <c:v>-26.142344578669412</c:v>
                </c:pt>
                <c:pt idx="221">
                  <c:v>-26.142344578669412</c:v>
                </c:pt>
                <c:pt idx="222">
                  <c:v>-26.142344578669412</c:v>
                </c:pt>
                <c:pt idx="223">
                  <c:v>-26.142344578669412</c:v>
                </c:pt>
                <c:pt idx="224">
                  <c:v>-26.142344578669412</c:v>
                </c:pt>
                <c:pt idx="225">
                  <c:v>-26.142344578669412</c:v>
                </c:pt>
                <c:pt idx="226">
                  <c:v>-26.142344578669412</c:v>
                </c:pt>
                <c:pt idx="227">
                  <c:v>-26.142344578669412</c:v>
                </c:pt>
                <c:pt idx="228">
                  <c:v>-26.142344578669412</c:v>
                </c:pt>
                <c:pt idx="229">
                  <c:v>-26.142344578669412</c:v>
                </c:pt>
                <c:pt idx="230">
                  <c:v>-26.142344578669412</c:v>
                </c:pt>
                <c:pt idx="231">
                  <c:v>-26.142344578669412</c:v>
                </c:pt>
                <c:pt idx="232">
                  <c:v>-26.142344578669412</c:v>
                </c:pt>
                <c:pt idx="233">
                  <c:v>-26.142344578669412</c:v>
                </c:pt>
                <c:pt idx="234">
                  <c:v>-26.142344578669412</c:v>
                </c:pt>
                <c:pt idx="235">
                  <c:v>-26.142344578669412</c:v>
                </c:pt>
                <c:pt idx="236">
                  <c:v>-26.142344578669412</c:v>
                </c:pt>
                <c:pt idx="237">
                  <c:v>-26.142344578669412</c:v>
                </c:pt>
                <c:pt idx="238">
                  <c:v>-26.142344578669412</c:v>
                </c:pt>
                <c:pt idx="239">
                  <c:v>-26.142344578669412</c:v>
                </c:pt>
                <c:pt idx="240">
                  <c:v>-26.142344578669412</c:v>
                </c:pt>
                <c:pt idx="241">
                  <c:v>-26.142344578669412</c:v>
                </c:pt>
                <c:pt idx="242">
                  <c:v>-26.142344578669412</c:v>
                </c:pt>
                <c:pt idx="243">
                  <c:v>-26.142344578669412</c:v>
                </c:pt>
                <c:pt idx="244">
                  <c:v>-26.142344578669412</c:v>
                </c:pt>
                <c:pt idx="245">
                  <c:v>-26.142344578669412</c:v>
                </c:pt>
                <c:pt idx="246">
                  <c:v>-26.142344578669412</c:v>
                </c:pt>
                <c:pt idx="247">
                  <c:v>-26.142344578669412</c:v>
                </c:pt>
                <c:pt idx="248">
                  <c:v>-26.142344578669412</c:v>
                </c:pt>
                <c:pt idx="249">
                  <c:v>-26.142344578669412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81792"/>
        <c:axId val="90071616"/>
      </c:lineChart>
      <c:catAx>
        <c:axId val="964817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071616"/>
        <c:crosses val="autoZero"/>
        <c:auto val="1"/>
        <c:lblAlgn val="ctr"/>
        <c:lblOffset val="100"/>
        <c:noMultiLvlLbl val="0"/>
      </c:catAx>
      <c:valAx>
        <c:axId val="9007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48179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H4" sqref="H4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topLeftCell="B1" workbookViewId="0">
      <pane ySplit="3" topLeftCell="A4" activePane="bottomLeft" state="frozen"/>
      <selection pane="bottomLeft" activeCell="R11" sqref="R11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18" max="18" width="12" bestFit="1" customWidth="1"/>
    <col min="22" max="22" width="12" customWidth="1"/>
    <col min="26" max="26" width="10.28515625" customWidth="1"/>
  </cols>
  <sheetData>
    <row r="1" spans="1:30" x14ac:dyDescent="0.25">
      <c r="A1" s="8"/>
      <c r="B1" s="8"/>
      <c r="C1" s="8"/>
      <c r="G1" s="27" t="s">
        <v>16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x14ac:dyDescent="0.25">
      <c r="A2" s="8"/>
      <c r="B2" s="8"/>
      <c r="C2" s="8"/>
      <c r="G2" s="27" t="s">
        <v>17</v>
      </c>
      <c r="H2" s="27"/>
      <c r="I2" s="27"/>
      <c r="J2" s="27"/>
      <c r="K2" s="27"/>
      <c r="L2" s="27"/>
      <c r="M2" s="27"/>
      <c r="N2" s="27" t="s">
        <v>18</v>
      </c>
      <c r="O2" s="27"/>
      <c r="P2" s="27"/>
      <c r="Q2" s="9" t="s">
        <v>19</v>
      </c>
      <c r="R2" s="27" t="s">
        <v>20</v>
      </c>
      <c r="S2" s="27"/>
      <c r="T2" s="27"/>
      <c r="U2" s="27"/>
      <c r="V2" s="27" t="s">
        <v>21</v>
      </c>
      <c r="W2" s="27"/>
      <c r="X2" s="27"/>
      <c r="Y2" s="27"/>
      <c r="Z2" s="27"/>
      <c r="AA2" s="27" t="s">
        <v>22</v>
      </c>
      <c r="AB2" s="27"/>
      <c r="AC2" s="27"/>
      <c r="AD2" s="27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F4">
        <f>Variance_T0*AnnualVarConvtr</f>
        <v>0.55972314584980309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/>
      <c r="G5" s="19">
        <v>250</v>
      </c>
      <c r="H5" s="25">
        <f ca="1">RAND()</f>
        <v>0.2181810403623563</v>
      </c>
      <c r="I5" s="26">
        <f ca="1">RAND()</f>
        <v>0.9111621962339439</v>
      </c>
      <c r="J5" s="24">
        <f ca="1">SQRT(-2*LN(H5))*COS(2*PI()*I5)</f>
        <v>1.4801006084700039</v>
      </c>
      <c r="K5" s="24">
        <f ca="1">SQRT(-2*LN(H5))*SIN(2*PI()*I5)</f>
        <v>-0.92420906169551753</v>
      </c>
      <c r="L5" s="19">
        <f t="array" aca="1" ref="L5:M5" ca="1">MMULT(J5:K5,TRANSPOSE($B$10:$C$11))</f>
        <v>1.4801006084700039</v>
      </c>
      <c r="M5" s="19">
        <f ca="1"/>
        <v>-1.7052083971042213</v>
      </c>
      <c r="N5" s="20">
        <f>Variance_T0</f>
        <v>3.5400000000000001E-2</v>
      </c>
      <c r="O5" s="20">
        <v>0</v>
      </c>
      <c r="P5" s="19">
        <v>100</v>
      </c>
      <c r="Q5" s="19">
        <f ca="1">HCTrans(P5,Strike,RiskFreeRate,Dividend,Variance_T0*AnnualVarConvtr,(Simulation!G5)/250,0.5,Variance_Avg*AnnualVarConvtr,Lambda,SQRT(Simulation!N5),Rho,1,"Call")</f>
        <v>28.818569228825197</v>
      </c>
      <c r="R5" s="19">
        <f ca="1">BSvol(1,P5,Strike,Q5,Dividend,RiskFreeRate,G5/250)</f>
        <v>0.73884103340948371</v>
      </c>
      <c r="S5" s="19" t="e">
        <f ca="1">BSdelta(1,P5,Strike,R5/AnnualVarConvtr,Dividend,RiskFreeRate,G5/250)</f>
        <v>#VALUE!</v>
      </c>
      <c r="T5" s="19" t="e">
        <f ca="1">(S5)*P5</f>
        <v>#VALUE!</v>
      </c>
      <c r="U5" s="19" t="e">
        <f ca="1">Q5-T5</f>
        <v>#VALUE!</v>
      </c>
      <c r="V5" s="21">
        <f>(O5-O4)^2</f>
        <v>0</v>
      </c>
      <c r="W5">
        <f>SQRT(V5)</f>
        <v>0</v>
      </c>
      <c r="X5">
        <v>0</v>
      </c>
      <c r="AA5" t="e">
        <f ca="1">$R$5</f>
        <v>#VALUE!</v>
      </c>
      <c r="AB5" t="e">
        <f t="shared" ref="AB5" ca="1" si="0">BSdelta(1,P5,Strike,AA5/AnnualVarConvtr,Dividend,RiskFreeRate,G5/250)</f>
        <v>#VALUE!</v>
      </c>
      <c r="AC5" t="e">
        <f ca="1">AB5*P5</f>
        <v>#VALUE!</v>
      </c>
      <c r="AD5" t="e">
        <f ca="1">Q5-AC5</f>
        <v>#VALUE!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1">RAND()</f>
        <v>0.83469759309147951</v>
      </c>
      <c r="I6" s="19">
        <f t="shared" ca="1" si="1"/>
        <v>0.44316582687444861</v>
      </c>
      <c r="J6" s="19">
        <f t="shared" ref="J6:J69" ca="1" si="2">SQRT(-2*LN(H6))*COS(2*PI()*I6)</f>
        <v>-0.56321861432155162</v>
      </c>
      <c r="K6" s="19">
        <f t="shared" ref="K6:K69" ca="1" si="3">SQRT(-2*LN(H6))*SIN(2*PI()*I6)</f>
        <v>0.2101341473042565</v>
      </c>
      <c r="L6" s="19">
        <f t="array" aca="1" ref="L6:M6" ca="1">MMULT(J6:K6,TRANSPOSE($B$10:$C$11))</f>
        <v>-0.56321861432155162</v>
      </c>
      <c r="M6" s="19">
        <f ca="1"/>
        <v>0.55013300576994628</v>
      </c>
      <c r="N6" s="20">
        <f t="shared" ref="N6:N69" ca="1" si="4">GetVariance(N5,Variance_Avg,Lambda,Eta,M6,"Daily")</f>
        <v>3.7833200391003734E-2</v>
      </c>
      <c r="O6" s="20">
        <f t="shared" ref="O6:O69" ca="1" si="5">GetStockReturns(O5,RiskFreeRate,N5,L6,"Daily")</f>
        <v>-6.7728648597719255E-3</v>
      </c>
      <c r="P6" s="19">
        <f ca="1">P5*EXP(O6)</f>
        <v>99.325001929652032</v>
      </c>
      <c r="Q6" s="19">
        <f ca="1">HCTrans(P6,Strike,RiskFreeRate,Dividend,Variance_T0*AnnualVarConvtr,(Simulation!G6)/250,0.5,Variance_Avg*AnnualVarConvtr,Lambda,SQRT(Simulation!N6),Rho,1,"Call")</f>
        <v>28.818569228825197</v>
      </c>
      <c r="R6" s="19">
        <f ca="1">BlackScholesImpliedVolatility(P6,Strike,RiskFreeRate,G6/250,Dividend,Q6,0.01,"call")</f>
        <v>0.75180287236760734</v>
      </c>
      <c r="S6" s="19" t="e">
        <f t="shared" ref="S6:S8" ca="1" si="6">BSdelta(1,P6,Strike,R6/AnnualVarConvtr,Dividend,RiskFreeRate,G6/250)</f>
        <v>#VALUE!</v>
      </c>
      <c r="T6" s="19" t="e">
        <f ca="1">(S6-S5)*P6</f>
        <v>#VALUE!</v>
      </c>
      <c r="U6" s="19" t="e">
        <f ca="1">(Q6-Q5)+U5-T6</f>
        <v>#VALUE!</v>
      </c>
      <c r="V6" s="21">
        <f ca="1">(O6-O5)^2</f>
        <v>4.5871698408733382E-5</v>
      </c>
      <c r="W6">
        <f ca="1">SQRT(V6)</f>
        <v>6.7728648597719255E-3</v>
      </c>
      <c r="X6" s="22">
        <f t="shared" ref="X6" ca="1" si="7">BSdelta(1,P6,Strike,W6*AnnualVarConvtr,Dividend,RiskFreeRate,G6/250)</f>
        <v>0.49603640504152885</v>
      </c>
      <c r="Y6" s="22">
        <f ca="1">X6*P6</f>
        <v>49.268816887927507</v>
      </c>
      <c r="Z6" s="22" t="e">
        <f ca="1">Q6-Y6</f>
        <v>#VALUE!</v>
      </c>
      <c r="AA6" t="e">
        <f t="shared" ref="AA6:AA8" ca="1" si="8">$R$5</f>
        <v>#VALUE!</v>
      </c>
      <c r="AB6" t="e">
        <f t="shared" ref="AB6" ca="1" si="9">BSdelta(1,P6,Strike,AA6/AnnualVarConvtr,Dividend,RiskFreeRate,G6/250)</f>
        <v>#VALUE!</v>
      </c>
      <c r="AC6" t="e">
        <f ca="1">(AB6-AB5)*P6</f>
        <v>#VALUE!</v>
      </c>
      <c r="AD6" t="e">
        <f ca="1">(Q6-Q5)+AD5-AC6</f>
        <v>#VALUE!</v>
      </c>
    </row>
    <row r="7" spans="1:30" x14ac:dyDescent="0.25">
      <c r="G7" s="19">
        <v>248</v>
      </c>
      <c r="H7" s="19">
        <f t="shared" ca="1" si="1"/>
        <v>8.1544425881134197E-2</v>
      </c>
      <c r="I7" s="19">
        <f t="shared" ca="1" si="1"/>
        <v>0.72228103405450661</v>
      </c>
      <c r="J7" s="19">
        <f t="shared" ca="1" si="2"/>
        <v>-0.38798706728314247</v>
      </c>
      <c r="K7" s="19">
        <f t="shared" ca="1" si="3"/>
        <v>-2.2051486671988414</v>
      </c>
      <c r="L7" s="19">
        <f t="array" aca="1" ref="L7:M7" ca="1">MMULT(J7:K7,TRANSPOSE($B$10:$C$11))</f>
        <v>-0.38798706728314247</v>
      </c>
      <c r="M7" s="19">
        <f ca="1"/>
        <v>-1.260290511008505</v>
      </c>
      <c r="N7" s="20">
        <f t="shared" ca="1" si="4"/>
        <v>3.1897924433128479E-2</v>
      </c>
      <c r="O7" s="20">
        <f t="shared" ca="1" si="5"/>
        <v>-1.16214471994751E-2</v>
      </c>
      <c r="P7" s="19">
        <f t="shared" ref="P7:P70" ca="1" si="10">P6*EXP(O7)</f>
        <v>98.177383076326549</v>
      </c>
      <c r="Q7" s="19">
        <f ca="1">HCTrans(P7,Strike,RiskFreeRate,Dividend,Variance_T0*AnnualVarConvtr,(Simulation!G7)/250,0.5,Variance_Avg*AnnualVarConvtr,Lambda,SQRT(Simulation!N7),Rho,1,"Call")</f>
        <v>28.818569228825197</v>
      </c>
      <c r="R7" s="19">
        <f ca="1">BlackScholesImpliedVolatility(P7,Strike,RiskFreeRate,G7/250,Dividend,Q7,0.01,"call")</f>
        <v>0.75180287236760734</v>
      </c>
      <c r="S7" s="19" t="e">
        <f t="shared" ca="1" si="6"/>
        <v>#VALUE!</v>
      </c>
      <c r="T7" s="19" t="e">
        <f t="shared" ref="T7:T8" ca="1" si="11">(S7-S6)*P7</f>
        <v>#VALUE!</v>
      </c>
      <c r="U7" s="19" t="e">
        <f t="shared" ref="U7:U8" ca="1" si="12">(Q7-Q6)+U6-T7</f>
        <v>#VALUE!</v>
      </c>
      <c r="V7" s="21">
        <f t="shared" ref="V7:V8" ca="1" si="13">(O7-O6)^2</f>
        <v>2.3508750704881507E-5</v>
      </c>
      <c r="W7">
        <f t="shared" ref="W7:W8" ca="1" si="14">SQRT(V7)</f>
        <v>4.8485823397031742E-3</v>
      </c>
      <c r="X7" s="22">
        <f t="shared" ref="X7" ca="1" si="15">BSdelta(1,P7,Strike,W7*AnnualVarConvtr,Dividend,RiskFreeRate,G7/250)</f>
        <v>0.41967474574788</v>
      </c>
      <c r="Y7" s="22">
        <f ca="1">(X7-X6)*P7</f>
        <v>-7.4969878768164948</v>
      </c>
      <c r="Z7" s="22" t="e">
        <f ca="1">(Q7-Q6)+Z6-Y7</f>
        <v>#VALUE!</v>
      </c>
      <c r="AA7" t="e">
        <f t="shared" ca="1" si="8"/>
        <v>#VALUE!</v>
      </c>
      <c r="AB7" t="e">
        <f t="shared" ref="AB7" ca="1" si="16">BSdelta(1,P7,Strike,AA7/AnnualVarConvtr,Dividend,RiskFreeRate,G7/250)</f>
        <v>#VALUE!</v>
      </c>
      <c r="AC7" t="e">
        <f t="shared" ref="AC7:AC8" ca="1" si="17">(AB7-AB6)*P7</f>
        <v>#VALUE!</v>
      </c>
      <c r="AD7" t="e">
        <f t="shared" ref="AD7:AD8" ca="1" si="18">(Q7-Q6)+AD6-AC7</f>
        <v>#VALUE!</v>
      </c>
    </row>
    <row r="8" spans="1:30" x14ac:dyDescent="0.25">
      <c r="G8" s="19">
        <v>247</v>
      </c>
      <c r="H8" s="19">
        <f t="shared" ca="1" si="1"/>
        <v>0.72137872976546624</v>
      </c>
      <c r="I8" s="19">
        <f t="shared" ca="1" si="1"/>
        <v>0.79907257144666088</v>
      </c>
      <c r="J8" s="19">
        <f t="shared" ca="1" si="2"/>
        <v>0.24526328873608191</v>
      </c>
      <c r="K8" s="19">
        <f t="shared" ca="1" si="3"/>
        <v>-0.77008305423205203</v>
      </c>
      <c r="L8" s="19">
        <f t="array" aca="1" ref="L8:M8" ca="1">MMULT(J8:K8,TRANSPOSE($B$10:$C$11))</f>
        <v>0.24526328873608191</v>
      </c>
      <c r="M8" s="19">
        <f ca="1"/>
        <v>-0.71293114426904425</v>
      </c>
      <c r="N8" s="20">
        <f t="shared" ca="1" si="4"/>
        <v>2.8720421207581292E-2</v>
      </c>
      <c r="O8" s="20">
        <f t="shared" ca="1" si="5"/>
        <v>-8.9148349024141364E-3</v>
      </c>
      <c r="P8" s="19">
        <f t="shared" ca="1" si="10"/>
        <v>97.306037636209254</v>
      </c>
      <c r="Q8" s="19">
        <f ca="1">HCTrans(P8,Strike,RiskFreeRate,Dividend,Variance_T0*AnnualVarConvtr,(Simulation!G8)/250,0.5,Variance_Avg*AnnualVarConvtr,Lambda,SQRT(Simulation!N8),Rho,1,"Call")</f>
        <v>26.949904549922095</v>
      </c>
      <c r="R8" s="19">
        <f ca="1">BlackScholesImpliedVolatility(P8,Strike,RiskFreeRate,G8/250,Dividend,Q8,0.01,"call")</f>
        <v>0.75180287236760734</v>
      </c>
      <c r="S8" s="19">
        <f t="shared" ca="1" si="6"/>
        <v>0.28621343452525894</v>
      </c>
      <c r="T8" s="19" t="e">
        <f t="shared" ca="1" si="11"/>
        <v>#VALUE!</v>
      </c>
      <c r="U8" s="19" t="e">
        <f t="shared" ca="1" si="12"/>
        <v>#VALUE!</v>
      </c>
      <c r="V8" s="21">
        <f t="shared" ca="1" si="13"/>
        <v>7.3257501266016237E-6</v>
      </c>
      <c r="W8">
        <f t="shared" ca="1" si="14"/>
        <v>2.7066122970609632E-3</v>
      </c>
      <c r="X8" s="22">
        <f t="shared" ref="X8" ca="1" si="19">BSdelta(1,P8,Strike,W8*AnnualVarConvtr,Dividend,RiskFreeRate,G8/250)</f>
        <v>0.26738896466761375</v>
      </c>
      <c r="Y8" s="22">
        <f t="shared" ref="Y8" ca="1" si="20">(X8-X7)*P8</f>
        <v>-14.818325945255911</v>
      </c>
      <c r="Z8" s="22" t="e">
        <f t="shared" ref="Z8" ca="1" si="21">(Q8-Q7)+Z7-Y8</f>
        <v>#VALUE!</v>
      </c>
      <c r="AA8" t="e">
        <f t="shared" ca="1" si="8"/>
        <v>#VALUE!</v>
      </c>
      <c r="AB8" t="e">
        <f t="shared" ref="AB8" ca="1" si="22">BSdelta(1,P8,Strike,AA8/AnnualVarConvtr,Dividend,RiskFreeRate,G8/250)</f>
        <v>#VALUE!</v>
      </c>
      <c r="AC8" t="e">
        <f t="shared" ca="1" si="17"/>
        <v>#VALUE!</v>
      </c>
      <c r="AD8" t="e">
        <f t="shared" ca="1" si="18"/>
        <v>#VALUE!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1"/>
        <v>0.95777457207419936</v>
      </c>
      <c r="I9" s="19">
        <f t="shared" ca="1" si="1"/>
        <v>0.11267314721184984</v>
      </c>
      <c r="J9" s="19">
        <f t="shared" ca="1" si="2"/>
        <v>0.22315719790105973</v>
      </c>
      <c r="K9" s="19">
        <f t="shared" ca="1" si="3"/>
        <v>0.19101451358988528</v>
      </c>
      <c r="L9" s="19">
        <f t="array" aca="1" ref="L9:M9" ca="1">MMULT(J9:K9,TRANSPOSE($B$10:$C$11))</f>
        <v>0.22315719790105973</v>
      </c>
      <c r="M9" s="19">
        <f ca="1"/>
        <v>-2.6642873357791558E-2</v>
      </c>
      <c r="N9" s="20">
        <f t="shared" ca="1" si="4"/>
        <v>2.8494912469981423E-2</v>
      </c>
      <c r="O9" s="20">
        <f t="shared" ca="1" si="5"/>
        <v>-6.5804127619168516E-3</v>
      </c>
      <c r="P9" s="19">
        <f t="shared" ca="1" si="10"/>
        <v>96.667825895654033</v>
      </c>
      <c r="Q9" s="19">
        <f ca="1">HCTrans(P9,Strike,RiskFreeRate,Dividend,Variance_T0*AnnualVarConvtr,(Simulation!G9)/250,0.5,Variance_Avg*AnnualVarConvtr,Lambda,SQRT(Simulation!N9),Rho,1,"Call")</f>
        <v>26.490336396997847</v>
      </c>
      <c r="R9" s="19">
        <f ca="1">BlackScholesImpliedVolatility(P9,Strike,RiskFreeRate,G9/250,Dividend,Q9,0.01,"call")</f>
        <v>0.75180287236760734</v>
      </c>
      <c r="S9" s="19">
        <f t="shared" ref="S9:S72" ca="1" si="23">BSdelta(1,P9,Strike,R9/AnnualVarConvtr,Dividend,RiskFreeRate,G9/250)</f>
        <v>0.23955048457946396</v>
      </c>
      <c r="T9" s="19">
        <f t="shared" ref="T9:T72" ca="1" si="24">(S9-S8)*P9</f>
        <v>-4.5108059211377283</v>
      </c>
      <c r="U9" s="19" t="e">
        <f t="shared" ref="U9:U72" ca="1" si="25">(Q9-Q8)+U8-T9</f>
        <v>#VALUE!</v>
      </c>
      <c r="V9" s="21"/>
      <c r="X9" s="22"/>
      <c r="Y9" s="22"/>
      <c r="Z9" s="22"/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1"/>
        <v>0.49326961748757026</v>
      </c>
      <c r="I10" s="19">
        <f t="shared" ca="1" si="1"/>
        <v>0.11659129673743485</v>
      </c>
      <c r="J10" s="19">
        <f t="shared" ca="1" si="2"/>
        <v>0.88387510154730087</v>
      </c>
      <c r="K10" s="19">
        <f t="shared" ca="1" si="3"/>
        <v>0.79508712152434546</v>
      </c>
      <c r="L10" s="19">
        <f t="array" aca="1" ref="L10:M10" ca="1">MMULT(J10:K10,TRANSPOSE($B$10:$C$11))</f>
        <v>0.88387510154730087</v>
      </c>
      <c r="M10" s="19">
        <f ca="1"/>
        <v>-7.8653997794974284E-2</v>
      </c>
      <c r="N10" s="20">
        <f t="shared" ca="1" si="4"/>
        <v>2.8056576906571058E-2</v>
      </c>
      <c r="O10" s="20">
        <f t="shared" ca="1" si="5"/>
        <v>2.7989586830072942E-3</v>
      </c>
      <c r="P10" s="19">
        <f t="shared" ca="1" si="10"/>
        <v>96.938774155917102</v>
      </c>
      <c r="Q10" s="19">
        <f ca="1">HCTrans(P10,Strike,RiskFreeRate,Dividend,Variance_T0*AnnualVarConvtr,(Simulation!G10)/250,0.5,Variance_Avg*AnnualVarConvtr,Lambda,SQRT(Simulation!N10),Rho,1,"Call")</f>
        <v>26.611513170634694</v>
      </c>
      <c r="R10" s="19">
        <f ca="1">BlackScholesImpliedVolatility(P10,Strike,RiskFreeRate,G10/250,Dividend,Q10,0.01,"call")</f>
        <v>0.75180287236760734</v>
      </c>
      <c r="S10" s="19">
        <f t="shared" ca="1" si="23"/>
        <v>0.25828718683307744</v>
      </c>
      <c r="T10" s="19">
        <f t="shared" ca="1" si="24"/>
        <v>1.8163129481897007</v>
      </c>
      <c r="U10" s="19" t="e">
        <f t="shared" ca="1" si="25"/>
        <v>#VALUE!</v>
      </c>
      <c r="V10" s="21"/>
      <c r="X10" s="22"/>
      <c r="Y10" s="22"/>
      <c r="Z10" s="22"/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1"/>
        <v>0.8663054069497893</v>
      </c>
      <c r="I11" s="19">
        <f t="shared" ca="1" si="1"/>
        <v>0.21471891701436074</v>
      </c>
      <c r="J11" s="19">
        <f t="shared" ca="1" si="2"/>
        <v>0.11779499159089582</v>
      </c>
      <c r="K11" s="19">
        <f t="shared" ca="1" si="3"/>
        <v>0.52264699110345514</v>
      </c>
      <c r="L11" s="19">
        <f t="array" aca="1" ref="L11:M11" ca="1">MMULT(J11:K11,TRANSPOSE($B$10:$C$11))</f>
        <v>0.11779499159089582</v>
      </c>
      <c r="M11" s="19">
        <f ca="1"/>
        <v>0.28019168284501128</v>
      </c>
      <c r="N11" s="20">
        <f t="shared" ca="1" si="4"/>
        <v>2.9107791206981135E-2</v>
      </c>
      <c r="O11" s="20">
        <f t="shared" ca="1" si="5"/>
        <v>3.99072937499246E-3</v>
      </c>
      <c r="P11" s="19">
        <f t="shared" ca="1" si="10"/>
        <v>97.326403517009766</v>
      </c>
      <c r="Q11" s="19">
        <f ca="1">HCTrans(P11,Strike,RiskFreeRate,Dividend,Variance_T0*AnnualVarConvtr,(Simulation!G11)/250,0.5,Variance_Avg*AnnualVarConvtr,Lambda,SQRT(Simulation!N11),Rho,1,"Call")</f>
        <v>26.798146942456739</v>
      </c>
      <c r="R11" s="19">
        <f ca="1">BlackScholesImpliedVolatility(P11,Strike,RiskFreeRate,G11/250,Dividend,Q11,0.01,"call")</f>
        <v>0.75180287236760734</v>
      </c>
      <c r="S11" s="19">
        <f t="shared" ca="1" si="23"/>
        <v>0.2864817180442556</v>
      </c>
      <c r="T11" s="19">
        <f t="shared" ca="1" si="24"/>
        <v>2.7440723216320508</v>
      </c>
      <c r="U11" s="19" t="e">
        <f t="shared" ca="1" si="25"/>
        <v>#VALUE!</v>
      </c>
      <c r="V11" s="21"/>
      <c r="X11" s="22"/>
      <c r="Y11" s="22"/>
      <c r="Z11" s="22"/>
    </row>
    <row r="12" spans="1:30" x14ac:dyDescent="0.25">
      <c r="G12" s="19">
        <v>243</v>
      </c>
      <c r="H12" s="19">
        <f t="shared" ca="1" si="1"/>
        <v>0.7819041096472622</v>
      </c>
      <c r="I12" s="19">
        <f t="shared" ca="1" si="1"/>
        <v>0.75928045796456145</v>
      </c>
      <c r="J12" s="19">
        <f t="shared" ca="1" si="2"/>
        <v>4.0879552977160484E-2</v>
      </c>
      <c r="K12" s="19">
        <f t="shared" ca="1" si="3"/>
        <v>-0.70026794723755714</v>
      </c>
      <c r="L12" s="19">
        <f t="array" aca="1" ref="L12:M12" ca="1">MMULT(J12:K12,TRANSPOSE($B$10:$C$11))</f>
        <v>4.0879552977160484E-2</v>
      </c>
      <c r="M12" s="19">
        <f ca="1"/>
        <v>-0.51778808017810674</v>
      </c>
      <c r="N12" s="20">
        <f t="shared" ca="1" si="4"/>
        <v>2.6865015514397683E-2</v>
      </c>
      <c r="O12" s="20">
        <f t="shared" ca="1" si="5"/>
        <v>4.3736175520855724E-3</v>
      </c>
      <c r="P12" s="19">
        <f t="shared" ca="1" si="10"/>
        <v>97.753004197805637</v>
      </c>
      <c r="Q12" s="19">
        <f ca="1">HCTrans(P12,Strike,RiskFreeRate,Dividend,Variance_T0*AnnualVarConvtr,(Simulation!G12)/250,0.5,Variance_Avg*AnnualVarConvtr,Lambda,SQRT(Simulation!N12),Rho,1,"Call")</f>
        <v>27.030224398145592</v>
      </c>
      <c r="R12" s="19">
        <f ca="1">BlackScholesImpliedVolatility(P12,Strike,RiskFreeRate,G12/250,Dividend,Q12,0.01,"call")</f>
        <v>0.75180287236760734</v>
      </c>
      <c r="S12" s="19">
        <f t="shared" ca="1" si="23"/>
        <v>0.31928758360478349</v>
      </c>
      <c r="T12" s="19">
        <f t="shared" ca="1" si="24"/>
        <v>3.2068719138509305</v>
      </c>
      <c r="U12" s="19" t="e">
        <f t="shared" ca="1" si="25"/>
        <v>#VALUE!</v>
      </c>
      <c r="V12" s="21"/>
      <c r="X12" s="22"/>
      <c r="Y12" s="22"/>
      <c r="Z12" s="22"/>
    </row>
    <row r="13" spans="1:30" x14ac:dyDescent="0.25">
      <c r="G13" s="19">
        <v>242</v>
      </c>
      <c r="H13" s="19">
        <f t="shared" ca="1" si="1"/>
        <v>0.73723885423512159</v>
      </c>
      <c r="I13" s="19">
        <f t="shared" ca="1" si="1"/>
        <v>0.94143255051736618</v>
      </c>
      <c r="J13" s="19">
        <f t="shared" ca="1" si="2"/>
        <v>0.7285499436395797</v>
      </c>
      <c r="K13" s="19">
        <f t="shared" ca="1" si="3"/>
        <v>-0.28089442585675245</v>
      </c>
      <c r="L13" s="19">
        <f t="array" aca="1" ref="L13:M13" ca="1">MMULT(J13:K13,TRANSPOSE($B$10:$C$11))</f>
        <v>0.7285499436395797</v>
      </c>
      <c r="M13" s="19">
        <f ca="1"/>
        <v>-0.7179543601239442</v>
      </c>
      <c r="N13" s="20">
        <f t="shared" ca="1" si="4"/>
        <v>2.395196164544685E-2</v>
      </c>
      <c r="O13" s="20">
        <f t="shared" ca="1" si="5"/>
        <v>1.1872250808728869E-2</v>
      </c>
      <c r="P13" s="19">
        <f t="shared" ca="1" si="10"/>
        <v>98.920468884889985</v>
      </c>
      <c r="Q13" s="19">
        <f ca="1">HCTrans(P13,Strike,RiskFreeRate,Dividend,Variance_T0*AnnualVarConvtr,(Simulation!G13)/250,0.5,Variance_Avg*AnnualVarConvtr,Lambda,SQRT(Simulation!N13),Rho,1,"Call")</f>
        <v>27.744313992653261</v>
      </c>
      <c r="R13" s="19">
        <f ca="1">BlackScholesImpliedVolatility(P13,Strike,RiskFreeRate,G13/250,Dividend,Q13,0.01,"call")</f>
        <v>0.75180287236760734</v>
      </c>
      <c r="S13" s="19">
        <f t="shared" ca="1" si="23"/>
        <v>0.41584975933817275</v>
      </c>
      <c r="T13" s="19">
        <f t="shared" ca="1" si="24"/>
        <v>9.5519757000920116</v>
      </c>
      <c r="U13" s="19" t="e">
        <f t="shared" ca="1" si="25"/>
        <v>#VALUE!</v>
      </c>
      <c r="V13" s="21"/>
      <c r="X13" s="22"/>
      <c r="Y13" s="22"/>
      <c r="Z13" s="22"/>
    </row>
    <row r="14" spans="1:30" x14ac:dyDescent="0.25">
      <c r="A14" s="1" t="s">
        <v>48</v>
      </c>
      <c r="B14">
        <f ca="1">CORREL(L5:L254,M5:M254)</f>
        <v>-0.70962807970684028</v>
      </c>
      <c r="G14" s="19">
        <v>241</v>
      </c>
      <c r="H14" s="19">
        <f t="shared" ca="1" si="1"/>
        <v>6.0198797776886526E-2</v>
      </c>
      <c r="I14" s="19">
        <f t="shared" ca="1" si="1"/>
        <v>0.43963751885883928</v>
      </c>
      <c r="J14" s="19">
        <f t="shared" ca="1" si="2"/>
        <v>-2.2022252775617108</v>
      </c>
      <c r="K14" s="19">
        <f t="shared" ca="1" si="3"/>
        <v>0.87772981125687011</v>
      </c>
      <c r="L14" s="19">
        <f t="array" aca="1" ref="L14:M14" ca="1">MMULT(J14:K14,TRANSPOSE($B$10:$C$11))</f>
        <v>-2.2022252775617108</v>
      </c>
      <c r="M14" s="19">
        <f ca="1"/>
        <v>2.19018739738741</v>
      </c>
      <c r="N14" s="20">
        <f t="shared" ca="1" si="4"/>
        <v>3.289483573872358E-2</v>
      </c>
      <c r="O14" s="20">
        <f t="shared" ca="1" si="5"/>
        <v>-9.7313606582346904E-3</v>
      </c>
      <c r="P14" s="19">
        <f t="shared" ca="1" si="10"/>
        <v>97.962506822707311</v>
      </c>
      <c r="Q14" s="19">
        <f ca="1">HCTrans(P14,Strike,RiskFreeRate,Dividend,Variance_T0*AnnualVarConvtr,(Simulation!G14)/250,0.5,Variance_Avg*AnnualVarConvtr,Lambda,SQRT(Simulation!N14),Rho,1,"Call")</f>
        <v>27.019830721323075</v>
      </c>
      <c r="R14" s="19">
        <f ca="1">BlackScholesImpliedVolatility(P14,Strike,RiskFreeRate,G14/250,Dividend,Q14,0.01,"call")</f>
        <v>0.75180287236760734</v>
      </c>
      <c r="S14" s="19">
        <f t="shared" ca="1" si="23"/>
        <v>0.33513757530250299</v>
      </c>
      <c r="T14" s="19">
        <f t="shared" ca="1" si="24"/>
        <v>-7.9067678792699079</v>
      </c>
      <c r="U14" s="19" t="e">
        <f t="shared" ca="1" si="25"/>
        <v>#VALUE!</v>
      </c>
      <c r="V14" s="21"/>
      <c r="X14" s="22"/>
      <c r="Y14" s="22"/>
      <c r="Z14" s="22"/>
    </row>
    <row r="15" spans="1:30" x14ac:dyDescent="0.25">
      <c r="G15" s="19">
        <v>240</v>
      </c>
      <c r="H15" s="19">
        <f t="shared" ca="1" si="1"/>
        <v>0.86182080876221601</v>
      </c>
      <c r="I15" s="19">
        <f t="shared" ca="1" si="1"/>
        <v>0.12366190792809617</v>
      </c>
      <c r="J15" s="19">
        <f t="shared" ca="1" si="2"/>
        <v>0.38885512498349922</v>
      </c>
      <c r="K15" s="19">
        <f t="shared" ca="1" si="3"/>
        <v>0.3823709044404594</v>
      </c>
      <c r="L15" s="19">
        <f t="array" aca="1" ref="L15:M15" ca="1">MMULT(J15:K15,TRANSPOSE($B$10:$C$11))</f>
        <v>0.38885512498349922</v>
      </c>
      <c r="M15" s="19">
        <f ca="1"/>
        <v>-1.1877690010163533E-2</v>
      </c>
      <c r="N15" s="20">
        <f t="shared" ca="1" si="4"/>
        <v>3.2705003203854895E-2</v>
      </c>
      <c r="O15" s="20">
        <f t="shared" ca="1" si="5"/>
        <v>-5.3366694312338824E-3</v>
      </c>
      <c r="P15" s="19">
        <f t="shared" ca="1" si="10"/>
        <v>97.441105817003361</v>
      </c>
      <c r="Q15" s="19">
        <f ca="1">HCTrans(P15,Strike,RiskFreeRate,Dividend,Variance_T0*AnnualVarConvtr,(Simulation!G15)/250,0.5,Variance_Avg*AnnualVarConvtr,Lambda,SQRT(Simulation!N15),Rho,1,"Call")</f>
        <v>26.632215730830495</v>
      </c>
      <c r="R15" s="19">
        <f ca="1">BlackScholesImpliedVolatility(P15,Strike,RiskFreeRate,G15/250,Dividend,Q15,0.01,"call")</f>
        <v>0.75180287236760734</v>
      </c>
      <c r="S15" s="19">
        <f t="shared" ca="1" si="23"/>
        <v>0.29342552853913584</v>
      </c>
      <c r="T15" s="19">
        <f t="shared" ca="1" si="24"/>
        <v>-4.0644679625130511</v>
      </c>
      <c r="U15" s="19" t="e">
        <f t="shared" ca="1" si="25"/>
        <v>#VALUE!</v>
      </c>
      <c r="V15" s="21"/>
      <c r="X15" s="22"/>
      <c r="Y15" s="22"/>
      <c r="Z15" s="22"/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1"/>
        <v>0.27550856183995254</v>
      </c>
      <c r="I16" s="19">
        <f t="shared" ca="1" si="1"/>
        <v>0.97602263698402303</v>
      </c>
      <c r="J16" s="19">
        <f t="shared" ca="1" si="2"/>
        <v>1.5875126015779899</v>
      </c>
      <c r="K16" s="19">
        <f t="shared" ca="1" si="3"/>
        <v>-0.24099146594271889</v>
      </c>
      <c r="L16" s="19">
        <f t="array" aca="1" ref="L16:M16" ca="1">MMULT(J16:K16,TRANSPOSE($B$10:$C$11))</f>
        <v>1.5875126015779899</v>
      </c>
      <c r="M16" s="19">
        <f ca="1"/>
        <v>-1.3055653147946482</v>
      </c>
      <c r="N16" s="20">
        <f t="shared" ca="1" si="4"/>
        <v>2.7035811784956277E-2</v>
      </c>
      <c r="O16" s="20">
        <f t="shared" ca="1" si="5"/>
        <v>1.2755346234866896E-2</v>
      </c>
      <c r="P16" s="19">
        <f t="shared" ca="1" si="10"/>
        <v>98.691961448187811</v>
      </c>
      <c r="Q16" s="19">
        <f ca="1">HCTrans(P16,Strike,RiskFreeRate,Dividend,Variance_T0*AnnualVarConvtr,(Simulation!G16)/250,0.5,Variance_Avg*AnnualVarConvtr,Lambda,SQRT(Simulation!N16),Rho,1,"Call")</f>
        <v>27.412211688419887</v>
      </c>
      <c r="R16" s="19">
        <f ca="1">BlackScholesImpliedVolatility(P16,Strike,RiskFreeRate,G16/250,Dividend,Q16,0.01,"call")</f>
        <v>0.75180287236760734</v>
      </c>
      <c r="S16" s="19">
        <f t="shared" ca="1" si="23"/>
        <v>0.3955581272541201</v>
      </c>
      <c r="T16" s="19">
        <f t="shared" ca="1" si="24"/>
        <v>10.079666494982462</v>
      </c>
      <c r="U16" s="19" t="e">
        <f t="shared" ca="1" si="25"/>
        <v>#VALUE!</v>
      </c>
      <c r="V16" s="21"/>
      <c r="X16" s="22"/>
      <c r="Y16" s="22"/>
      <c r="Z16" s="22"/>
    </row>
    <row r="17" spans="2:26" x14ac:dyDescent="0.25">
      <c r="B17">
        <v>0</v>
      </c>
      <c r="C17">
        <v>0.69758709133698849</v>
      </c>
      <c r="G17" s="19">
        <v>238</v>
      </c>
      <c r="H17" s="19">
        <f t="shared" ca="1" si="1"/>
        <v>0.51612463981645862</v>
      </c>
      <c r="I17" s="19">
        <f t="shared" ca="1" si="1"/>
        <v>0.2031881678396239</v>
      </c>
      <c r="J17" s="19">
        <f t="shared" ca="1" si="2"/>
        <v>0.33343015084439204</v>
      </c>
      <c r="K17" s="19">
        <f t="shared" ca="1" si="3"/>
        <v>1.1007444389059005</v>
      </c>
      <c r="L17" s="19">
        <f t="array" aca="1" ref="L17:M17" ca="1">MMULT(J17:K17,TRANSPOSE($B$10:$C$11))</f>
        <v>0.33343015084439204</v>
      </c>
      <c r="M17" s="19">
        <f ca="1"/>
        <v>0.52896240836172559</v>
      </c>
      <c r="N17" s="20">
        <f t="shared" ca="1" si="4"/>
        <v>2.9104551578644632E-2</v>
      </c>
      <c r="O17" s="20">
        <f t="shared" ca="1" si="5"/>
        <v>1.6168679616376174E-2</v>
      </c>
      <c r="P17" s="19">
        <f t="shared" ca="1" si="10"/>
        <v>100.3006502948725</v>
      </c>
      <c r="Q17" s="19">
        <f ca="1">HCTrans(P17,Strike,RiskFreeRate,Dividend,Variance_T0*AnnualVarConvtr,(Simulation!G17)/250,0.5,Variance_Avg*AnnualVarConvtr,Lambda,SQRT(Simulation!N17),Rho,1,"Call")</f>
        <v>28.388008945628584</v>
      </c>
      <c r="R17" s="19">
        <f ca="1">BlackScholesImpliedVolatility(P17,Strike,RiskFreeRate,G17/250,Dividend,Q17,0.01,"call")</f>
        <v>0.75180287236760734</v>
      </c>
      <c r="S17" s="19">
        <f t="shared" ca="1" si="23"/>
        <v>0.53528642713481067</v>
      </c>
      <c r="T17" s="19">
        <f t="shared" ca="1" si="24"/>
        <v>14.01483934263022</v>
      </c>
      <c r="U17" s="19" t="e">
        <f t="shared" ca="1" si="25"/>
        <v>#VALUE!</v>
      </c>
      <c r="V17" s="21"/>
      <c r="X17" s="22"/>
      <c r="Y17" s="22"/>
      <c r="Z17" s="22"/>
    </row>
    <row r="18" spans="2:26" x14ac:dyDescent="0.25">
      <c r="G18" s="19">
        <v>237</v>
      </c>
      <c r="H18" s="19">
        <f t="shared" ca="1" si="1"/>
        <v>8.4734993867398578E-2</v>
      </c>
      <c r="I18" s="19">
        <f t="shared" ca="1" si="1"/>
        <v>0.6156097067546199</v>
      </c>
      <c r="J18" s="19">
        <f t="shared" ca="1" si="2"/>
        <v>-1.6609655613982566</v>
      </c>
      <c r="K18" s="19">
        <f t="shared" ca="1" si="3"/>
        <v>-1.4756851383917775</v>
      </c>
      <c r="L18" s="19">
        <f t="array" aca="1" ref="L18:M18" ca="1">MMULT(J18:K18,TRANSPOSE($B$10:$C$11))</f>
        <v>-1.6609655613982566</v>
      </c>
      <c r="M18" s="19">
        <f ca="1"/>
        <v>0.16066292132190951</v>
      </c>
      <c r="N18" s="20">
        <f t="shared" ca="1" si="4"/>
        <v>2.9663575096765444E-2</v>
      </c>
      <c r="O18" s="20">
        <f t="shared" ca="1" si="5"/>
        <v>-1.810894264407016E-3</v>
      </c>
      <c r="P18" s="19">
        <f t="shared" ca="1" si="10"/>
        <v>100.11918078317782</v>
      </c>
      <c r="Q18" s="19">
        <f ca="1">HCTrans(P18,Strike,RiskFreeRate,Dividend,Variance_T0*AnnualVarConvtr,(Simulation!G18)/250,0.5,Variance_Avg*AnnualVarConvtr,Lambda,SQRT(Simulation!N18),Rho,1,"Call")</f>
        <v>28.210598393435959</v>
      </c>
      <c r="R18" s="19">
        <f ca="1">BlackScholesImpliedVolatility(P18,Strike,RiskFreeRate,G18/250,Dividend,Q18,0.01,"call")</f>
        <v>0.75180287236760734</v>
      </c>
      <c r="S18" s="19">
        <f t="shared" ca="1" si="23"/>
        <v>0.51950961390391925</v>
      </c>
      <c r="T18" s="19">
        <f t="shared" ca="1" si="24"/>
        <v>-1.5795616160460497</v>
      </c>
      <c r="U18" s="19" t="e">
        <f t="shared" ca="1" si="25"/>
        <v>#VALUE!</v>
      </c>
      <c r="V18" s="21"/>
      <c r="X18" s="22"/>
      <c r="Y18" s="22"/>
      <c r="Z18" s="22"/>
    </row>
    <row r="19" spans="2:26" x14ac:dyDescent="0.25">
      <c r="G19" s="19">
        <v>236</v>
      </c>
      <c r="H19" s="19">
        <f t="shared" ca="1" si="1"/>
        <v>0.80873012510768938</v>
      </c>
      <c r="I19" s="19">
        <f t="shared" ca="1" si="1"/>
        <v>0.3522983538558857</v>
      </c>
      <c r="J19" s="19">
        <f t="shared" ca="1" si="2"/>
        <v>-0.39057214409998392</v>
      </c>
      <c r="K19" s="19">
        <f t="shared" ca="1" si="3"/>
        <v>0.52156822837241201</v>
      </c>
      <c r="L19" s="19">
        <f t="array" aca="1" ref="L19:M19" ca="1">MMULT(J19:K19,TRANSPOSE($B$10:$C$11))</f>
        <v>-0.39057214409998392</v>
      </c>
      <c r="M19" s="19">
        <f ca="1"/>
        <v>0.64368420461173548</v>
      </c>
      <c r="N19" s="20">
        <f t="shared" ca="1" si="4"/>
        <v>3.2324333551296158E-2</v>
      </c>
      <c r="O19" s="20">
        <f t="shared" ca="1" si="5"/>
        <v>-6.1246673326242609E-3</v>
      </c>
      <c r="P19" s="19">
        <f t="shared" ca="1" si="10"/>
        <v>99.507858092293873</v>
      </c>
      <c r="Q19" s="19">
        <f ca="1">HCTrans(P19,Strike,RiskFreeRate,Dividend,Variance_T0*AnnualVarConvtr,(Simulation!G19)/250,0.5,Variance_Avg*AnnualVarConvtr,Lambda,SQRT(Simulation!N19),Rho,1,"Call")</f>
        <v>27.74298501553001</v>
      </c>
      <c r="R19" s="19">
        <f ca="1">BlackScholesImpliedVolatility(P19,Strike,RiskFreeRate,G19/250,Dividend,Q19,0.01,"call")</f>
        <v>0.75180287236760734</v>
      </c>
      <c r="S19" s="19">
        <f t="shared" ca="1" si="23"/>
        <v>0.4657903940130399</v>
      </c>
      <c r="T19" s="19">
        <f t="shared" ca="1" si="24"/>
        <v>-5.3454845097303529</v>
      </c>
      <c r="U19" s="19" t="e">
        <f t="shared" ca="1" si="25"/>
        <v>#VALUE!</v>
      </c>
      <c r="V19" s="21"/>
      <c r="X19" s="22"/>
      <c r="Y19" s="22"/>
      <c r="Z19" s="22"/>
    </row>
    <row r="20" spans="2:26" x14ac:dyDescent="0.25">
      <c r="G20" s="19">
        <v>235</v>
      </c>
      <c r="H20" s="19">
        <f t="shared" ca="1" si="1"/>
        <v>0.36944619683605118</v>
      </c>
      <c r="I20" s="19">
        <f t="shared" ca="1" si="1"/>
        <v>0.9998011999989963</v>
      </c>
      <c r="J20" s="19">
        <f t="shared" ca="1" si="2"/>
        <v>1.4112041711330725</v>
      </c>
      <c r="K20" s="19">
        <f t="shared" ca="1" si="3"/>
        <v>-1.7627321595871546E-3</v>
      </c>
      <c r="L20" s="19">
        <f t="array" aca="1" ref="L20:M20" ca="1">MMULT(J20:K20,TRANSPOSE($B$10:$C$11))</f>
        <v>1.4112041711330725</v>
      </c>
      <c r="M20" s="19">
        <f ca="1"/>
        <v>-1.0123574478168589</v>
      </c>
      <c r="N20" s="20">
        <f t="shared" ca="1" si="4"/>
        <v>2.7881401005224307E-2</v>
      </c>
      <c r="O20" s="20">
        <f t="shared" ca="1" si="5"/>
        <v>9.8573434865730641E-3</v>
      </c>
      <c r="P20" s="19">
        <f t="shared" ca="1" si="10"/>
        <v>100.4935916042939</v>
      </c>
      <c r="Q20" s="19">
        <f ca="1">HCTrans(P20,Strike,RiskFreeRate,Dividend,Variance_T0*AnnualVarConvtr,(Simulation!G20)/250,0.5,Variance_Avg*AnnualVarConvtr,Lambda,SQRT(Simulation!N20),Rho,1,"Call")</f>
        <v>28.351883108150858</v>
      </c>
      <c r="R20" s="19">
        <f ca="1">BlackScholesImpliedVolatility(P20,Strike,RiskFreeRate,G20/250,Dividend,Q20,0.01,"call")</f>
        <v>0.75180287236760734</v>
      </c>
      <c r="S20" s="19">
        <f t="shared" ca="1" si="23"/>
        <v>0.55217183550442761</v>
      </c>
      <c r="T20" s="19">
        <f t="shared" ca="1" si="24"/>
        <v>8.6807813034257251</v>
      </c>
      <c r="U20" s="19" t="e">
        <f t="shared" ca="1" si="25"/>
        <v>#VALUE!</v>
      </c>
      <c r="V20" s="21"/>
      <c r="X20" s="22"/>
      <c r="Y20" s="22"/>
      <c r="Z20" s="22"/>
    </row>
    <row r="21" spans="2:26" x14ac:dyDescent="0.25">
      <c r="G21" s="19">
        <v>234</v>
      </c>
      <c r="H21" s="19">
        <f t="shared" ca="1" si="1"/>
        <v>0.35798498886389107</v>
      </c>
      <c r="I21" s="19">
        <f t="shared" ca="1" si="1"/>
        <v>0.14300375527405418</v>
      </c>
      <c r="J21" s="19">
        <f t="shared" ca="1" si="2"/>
        <v>0.89265427413785658</v>
      </c>
      <c r="K21" s="19">
        <f t="shared" ca="1" si="3"/>
        <v>1.1214708176676245</v>
      </c>
      <c r="L21" s="19">
        <f t="array" aca="1" ref="L21:M21" ca="1">MMULT(J21:K21,TRANSPOSE($B$10:$C$11))</f>
        <v>0.89265427413785658</v>
      </c>
      <c r="M21" s="19">
        <f ca="1"/>
        <v>0.14273677829629805</v>
      </c>
      <c r="N21" s="20">
        <f t="shared" ca="1" si="4"/>
        <v>2.8358421531748487E-2</v>
      </c>
      <c r="O21" s="20">
        <f t="shared" ca="1" si="5"/>
        <v>1.9228517165680303E-2</v>
      </c>
      <c r="P21" s="19">
        <f t="shared" ca="1" si="10"/>
        <v>102.44463204907332</v>
      </c>
      <c r="Q21" s="19">
        <f ca="1">HCTrans(P21,Strike,RiskFreeRate,Dividend,Variance_T0*AnnualVarConvtr,(Simulation!G21)/250,0.5,Variance_Avg*AnnualVarConvtr,Lambda,SQRT(Simulation!N21),Rho,1,"Call")</f>
        <v>29.575487548492916</v>
      </c>
      <c r="R21" s="19">
        <f ca="1">BlackScholesImpliedVolatility(P21,Strike,RiskFreeRate,G21/250,Dividend,Q21,0.01,"call")</f>
        <v>0.75180287236760734</v>
      </c>
      <c r="S21" s="19">
        <f t="shared" ca="1" si="23"/>
        <v>0.71069842600653477</v>
      </c>
      <c r="T21" s="19">
        <f t="shared" ca="1" si="24"/>
        <v>16.24019823398249</v>
      </c>
      <c r="U21" s="19" t="e">
        <f t="shared" ca="1" si="25"/>
        <v>#VALUE!</v>
      </c>
      <c r="V21" s="21"/>
      <c r="X21" s="22"/>
      <c r="Y21" s="22"/>
      <c r="Z21" s="22"/>
    </row>
    <row r="22" spans="2:26" x14ac:dyDescent="0.25">
      <c r="G22" s="19">
        <v>233</v>
      </c>
      <c r="H22" s="19">
        <f t="shared" ca="1" si="1"/>
        <v>5.9307571145841509E-2</v>
      </c>
      <c r="I22" s="19">
        <f t="shared" ca="1" si="1"/>
        <v>2.0022183477781397E-3</v>
      </c>
      <c r="J22" s="19">
        <f t="shared" ca="1" si="2"/>
        <v>2.3767924731543646</v>
      </c>
      <c r="K22" s="19">
        <f t="shared" ca="1" si="3"/>
        <v>2.990236102168008E-2</v>
      </c>
      <c r="L22" s="19">
        <f t="array" aca="1" ref="L22:M22" ca="1">MMULT(J22:K22,TRANSPOSE($B$10:$C$11))</f>
        <v>2.3767924731543646</v>
      </c>
      <c r="M22" s="19">
        <f ca="1"/>
        <v>-1.68211230596588</v>
      </c>
      <c r="N22" s="20">
        <f t="shared" ca="1" si="4"/>
        <v>2.1724952518780549E-2</v>
      </c>
      <c r="O22" s="20">
        <f t="shared" ca="1" si="5"/>
        <v>4.4485888351708296E-2</v>
      </c>
      <c r="P22" s="19">
        <f t="shared" ca="1" si="10"/>
        <v>107.1048612077815</v>
      </c>
      <c r="Q22" s="19">
        <f ca="1">HCTrans(P22,Strike,RiskFreeRate,Dividend,Variance_T0*AnnualVarConvtr,(Simulation!G22)/250,0.5,Variance_Avg*AnnualVarConvtr,Lambda,SQRT(Simulation!N22),Rho,1,"Call")</f>
        <v>32.687774056527715</v>
      </c>
      <c r="R22" s="19">
        <f ca="1">BlackScholesImpliedVolatility(P22,Strike,RiskFreeRate,G22/250,Dividend,Q22,0.01,"call")</f>
        <v>0.75180287236760734</v>
      </c>
      <c r="S22" s="19">
        <f t="shared" ca="1" si="23"/>
        <v>0.93769820852861718</v>
      </c>
      <c r="T22" s="19">
        <f t="shared" ca="1" si="24"/>
        <v>24.312780201224221</v>
      </c>
      <c r="U22" s="19" t="e">
        <f t="shared" ca="1" si="25"/>
        <v>#VALUE!</v>
      </c>
      <c r="V22" s="21"/>
      <c r="X22" s="22"/>
      <c r="Y22" s="22"/>
      <c r="Z22" s="22"/>
    </row>
    <row r="23" spans="2:26" x14ac:dyDescent="0.25">
      <c r="G23" s="19">
        <v>232</v>
      </c>
      <c r="H23" s="19">
        <f t="shared" ca="1" si="1"/>
        <v>2.8535362267698261E-2</v>
      </c>
      <c r="I23" s="19">
        <f t="shared" ca="1" si="1"/>
        <v>0.68627258864621865</v>
      </c>
      <c r="J23" s="19">
        <f t="shared" ca="1" si="2"/>
        <v>-1.039612931870789</v>
      </c>
      <c r="K23" s="19">
        <f t="shared" ca="1" si="3"/>
        <v>-2.4561000205452919</v>
      </c>
      <c r="L23" s="19">
        <f t="array" aca="1" ref="L23:M23" ca="1">MMULT(J23:K23,TRANSPOSE($B$10:$C$11))</f>
        <v>-1.039612931870789</v>
      </c>
      <c r="M23" s="19">
        <f ca="1"/>
        <v>-0.96846100367948751</v>
      </c>
      <c r="N23" s="20">
        <f t="shared" ca="1" si="4"/>
        <v>1.8287959252136526E-2</v>
      </c>
      <c r="O23" s="20">
        <f t="shared" ca="1" si="5"/>
        <v>3.4751159665666116E-2</v>
      </c>
      <c r="P23" s="19">
        <f t="shared" ca="1" si="10"/>
        <v>110.89230726261798</v>
      </c>
      <c r="Q23" s="19">
        <f ca="1">HCTrans(P23,Strike,RiskFreeRate,Dividend,Variance_T0*AnnualVarConvtr,(Simulation!G23)/250,0.5,Variance_Avg*AnnualVarConvtr,Lambda,SQRT(Simulation!N23),Rho,1,"Call")</f>
        <v>35.265239668965108</v>
      </c>
      <c r="R23" s="19">
        <f ca="1">BlackScholesImpliedVolatility(P23,Strike,RiskFreeRate,G23/250,Dividend,Q23,0.01,"call")</f>
        <v>0.75180287236760734</v>
      </c>
      <c r="S23" s="19">
        <f t="shared" ca="1" si="23"/>
        <v>0.9893554300314864</v>
      </c>
      <c r="T23" s="19">
        <f t="shared" ca="1" si="24"/>
        <v>5.7283884792292898</v>
      </c>
      <c r="U23" s="19" t="e">
        <f t="shared" ca="1" si="25"/>
        <v>#VALUE!</v>
      </c>
      <c r="V23" s="21"/>
      <c r="X23" s="22"/>
      <c r="Y23" s="22"/>
      <c r="Z23" s="22"/>
    </row>
    <row r="24" spans="2:26" x14ac:dyDescent="0.25">
      <c r="G24" s="19">
        <v>231</v>
      </c>
      <c r="H24" s="19">
        <f t="shared" ca="1" si="1"/>
        <v>0.2595212763760083</v>
      </c>
      <c r="I24" s="19">
        <f t="shared" ca="1" si="1"/>
        <v>0.14239183399133271</v>
      </c>
      <c r="J24" s="19">
        <f t="shared" ca="1" si="2"/>
        <v>1.0278371404126028</v>
      </c>
      <c r="K24" s="19">
        <f t="shared" ca="1" si="3"/>
        <v>1.2811650918153554</v>
      </c>
      <c r="L24" s="19">
        <f t="array" aca="1" ref="L24:M24" ca="1">MMULT(J24:K24,TRANSPOSE($B$10:$C$11))</f>
        <v>1.0278371404126028</v>
      </c>
      <c r="M24" s="19">
        <f ca="1"/>
        <v>0.1572789188163296</v>
      </c>
      <c r="N24" s="20">
        <f t="shared" ca="1" si="4"/>
        <v>1.8753610078011924E-2</v>
      </c>
      <c r="O24" s="20">
        <f t="shared" ca="1" si="5"/>
        <v>4.35055563185393E-2</v>
      </c>
      <c r="P24" s="19">
        <f t="shared" ca="1" si="10"/>
        <v>115.82322216169014</v>
      </c>
      <c r="Q24" s="19">
        <f ca="1">HCTrans(P24,Strike,RiskFreeRate,Dividend,Variance_T0*AnnualVarConvtr,(Simulation!G24)/250,0.5,Variance_Avg*AnnualVarConvtr,Lambda,SQRT(Simulation!N24),Rho,1,"Call")</f>
        <v>38.706876482239636</v>
      </c>
      <c r="R24" s="19">
        <f ca="1">BlackScholesImpliedVolatility(P24,Strike,RiskFreeRate,G24/250,Dividend,Q24,0.01,"call")</f>
        <v>0.75180287236760734</v>
      </c>
      <c r="S24" s="19">
        <f t="shared" ca="1" si="23"/>
        <v>0.99945293675771252</v>
      </c>
      <c r="T24" s="19">
        <f t="shared" ca="1" si="24"/>
        <v>1.1695257648308477</v>
      </c>
      <c r="U24" s="19" t="e">
        <f t="shared" ca="1" si="25"/>
        <v>#VALUE!</v>
      </c>
      <c r="V24" s="21"/>
      <c r="X24" s="22"/>
      <c r="Y24" s="22"/>
      <c r="Z24" s="22"/>
    </row>
    <row r="25" spans="2:26" x14ac:dyDescent="0.25">
      <c r="G25" s="19">
        <v>230</v>
      </c>
      <c r="H25" s="19">
        <f t="shared" ca="1" si="1"/>
        <v>0.7021583445226085</v>
      </c>
      <c r="I25" s="19">
        <f t="shared" ca="1" si="1"/>
        <v>0.52645374504150477</v>
      </c>
      <c r="J25" s="19">
        <f t="shared" ca="1" si="2"/>
        <v>-0.82935776976973885</v>
      </c>
      <c r="K25" s="19">
        <f t="shared" ca="1" si="3"/>
        <v>-0.13913434698070251</v>
      </c>
      <c r="L25" s="19">
        <f t="array" aca="1" ref="L25:M25" ca="1">MMULT(J25:K25,TRANSPOSE($B$10:$C$11))</f>
        <v>-0.82935776976973885</v>
      </c>
      <c r="M25" s="19">
        <f ca="1"/>
        <v>0.49717651762467829</v>
      </c>
      <c r="N25" s="20">
        <f t="shared" ca="1" si="4"/>
        <v>2.0398170120339728E-2</v>
      </c>
      <c r="O25" s="20">
        <f t="shared" ca="1" si="5"/>
        <v>3.6284908711833312E-2</v>
      </c>
      <c r="P25" s="19">
        <f t="shared" ca="1" si="10"/>
        <v>120.10303393992298</v>
      </c>
      <c r="Q25" s="19">
        <f ca="1">HCTrans(P25,Strike,RiskFreeRate,Dividend,Variance_T0*AnnualVarConvtr,(Simulation!G25)/250,0.5,Variance_Avg*AnnualVarConvtr,Lambda,SQRT(Simulation!N25),Rho,1,"Call")</f>
        <v>41.763005671391113</v>
      </c>
      <c r="R25" s="19">
        <f ca="1">BlackScholesImpliedVolatility(P25,Strike,RiskFreeRate,G25/250,Dividend,Q25,0.01,"call")</f>
        <v>0.75180287236760734</v>
      </c>
      <c r="S25" s="19">
        <f t="shared" ca="1" si="23"/>
        <v>0.99997657770632231</v>
      </c>
      <c r="T25" s="19">
        <f t="shared" ca="1" si="24"/>
        <v>6.2890866623215524E-2</v>
      </c>
      <c r="U25" s="19" t="e">
        <f t="shared" ca="1" si="25"/>
        <v>#VALUE!</v>
      </c>
      <c r="V25" s="21"/>
      <c r="X25" s="22"/>
      <c r="Y25" s="22"/>
      <c r="Z25" s="22"/>
    </row>
    <row r="26" spans="2:26" x14ac:dyDescent="0.25">
      <c r="G26" s="19">
        <v>229</v>
      </c>
      <c r="H26" s="19">
        <f t="shared" ca="1" si="1"/>
        <v>0.49378942538389414</v>
      </c>
      <c r="I26" s="19">
        <f t="shared" ca="1" si="1"/>
        <v>0.1996309442757449</v>
      </c>
      <c r="J26" s="19">
        <f t="shared" ca="1" si="2"/>
        <v>0.3697243788585684</v>
      </c>
      <c r="K26" s="19">
        <f t="shared" ca="1" si="3"/>
        <v>1.1289801228671899</v>
      </c>
      <c r="L26" s="19">
        <f t="array" aca="1" ref="L26:M26" ca="1">MMULT(J26:K26,TRANSPOSE($B$10:$C$11))</f>
        <v>0.3697243788585684</v>
      </c>
      <c r="M26" s="19">
        <f ca="1"/>
        <v>0.52265444263603467</v>
      </c>
      <c r="N26" s="20">
        <f t="shared" ca="1" si="4"/>
        <v>2.2198804740322303E-2</v>
      </c>
      <c r="O26" s="20">
        <f t="shared" ca="1" si="5"/>
        <v>3.9583783394632553E-2</v>
      </c>
      <c r="P26" s="19">
        <f t="shared" ca="1" si="10"/>
        <v>124.95251360216731</v>
      </c>
      <c r="Q26" s="19">
        <f ca="1">HCTrans(P26,Strike,RiskFreeRate,Dividend,Variance_T0*AnnualVarConvtr,(Simulation!G26)/250,0.5,Variance_Avg*AnnualVarConvtr,Lambda,SQRT(Simulation!N26),Rho,1,"Call")</f>
        <v>45.320409226505362</v>
      </c>
      <c r="R26" s="19">
        <f ca="1">BlackScholesImpliedVolatility(P26,Strike,RiskFreeRate,G26/250,Dividend,Q26,0.01,"call")</f>
        <v>0.75180287236760734</v>
      </c>
      <c r="S26" s="19">
        <f t="shared" ca="1" si="23"/>
        <v>0.99999962988750579</v>
      </c>
      <c r="T26" s="19">
        <f t="shared" ca="1" si="24"/>
        <v>2.8804279828884742E-3</v>
      </c>
      <c r="U26" s="19" t="e">
        <f t="shared" ca="1" si="25"/>
        <v>#VALUE!</v>
      </c>
      <c r="V26" s="21"/>
      <c r="X26" s="22"/>
      <c r="Y26" s="22"/>
      <c r="Z26" s="22"/>
    </row>
    <row r="27" spans="2:26" x14ac:dyDescent="0.25">
      <c r="G27" s="19">
        <v>228</v>
      </c>
      <c r="H27" s="19">
        <f t="shared" ca="1" si="1"/>
        <v>0.10687367641203849</v>
      </c>
      <c r="I27" s="19">
        <f t="shared" ca="1" si="1"/>
        <v>0.33814768976696297</v>
      </c>
      <c r="J27" s="19">
        <f t="shared" ca="1" si="2"/>
        <v>-1.1122885265585407</v>
      </c>
      <c r="K27" s="19">
        <f t="shared" ca="1" si="3"/>
        <v>1.7986188329347486</v>
      </c>
      <c r="L27" s="19">
        <f t="array" aca="1" ref="L27:M27" ca="1">MMULT(J27:K27,TRANSPOSE($B$10:$C$11))</f>
        <v>-1.1122885265585407</v>
      </c>
      <c r="M27" s="19">
        <f ca="1"/>
        <v>2.0516480093700746</v>
      </c>
      <c r="N27" s="20">
        <f t="shared" ca="1" si="4"/>
        <v>3.024655123370134E-2</v>
      </c>
      <c r="O27" s="20">
        <f t="shared" ca="1" si="5"/>
        <v>2.9058155847037703E-2</v>
      </c>
      <c r="P27" s="19">
        <f t="shared" ca="1" si="10"/>
        <v>128.63667140061779</v>
      </c>
      <c r="Q27" s="19">
        <f ca="1">HCTrans(P27,Strike,RiskFreeRate,Dividend,Variance_T0*AnnualVarConvtr,(Simulation!G27)/250,0.5,Variance_Avg*AnnualVarConvtr,Lambda,SQRT(Simulation!N27),Rho,1,"Call")</f>
        <v>48.059281028451807</v>
      </c>
      <c r="R27" s="19">
        <f ca="1">BlackScholesImpliedVolatility(P27,Strike,RiskFreeRate,G27/250,Dividend,Q27,0.01,"call")</f>
        <v>0.75180287236760734</v>
      </c>
      <c r="S27" s="19">
        <f t="shared" ca="1" si="23"/>
        <v>0.99999998937043444</v>
      </c>
      <c r="T27" s="19">
        <f t="shared" ca="1" si="24"/>
        <v>4.6242687366476334E-5</v>
      </c>
      <c r="U27" s="19" t="e">
        <f t="shared" ca="1" si="25"/>
        <v>#VALUE!</v>
      </c>
      <c r="V27" s="21"/>
      <c r="X27" s="22"/>
      <c r="Y27" s="22"/>
      <c r="Z27" s="22"/>
    </row>
    <row r="28" spans="2:26" x14ac:dyDescent="0.25">
      <c r="G28" s="19">
        <v>227</v>
      </c>
      <c r="H28" s="19">
        <f t="shared" ca="1" si="1"/>
        <v>0.94998314099453507</v>
      </c>
      <c r="I28" s="19">
        <f t="shared" ca="1" si="1"/>
        <v>0.53911717082393695</v>
      </c>
      <c r="J28" s="19">
        <f t="shared" ca="1" si="2"/>
        <v>-0.31071966598865342</v>
      </c>
      <c r="K28" s="19">
        <f t="shared" ca="1" si="3"/>
        <v>-7.7944665635439309E-2</v>
      </c>
      <c r="L28" s="19">
        <f t="array" aca="1" ref="L28:M28" ca="1">MMULT(J28:K28,TRANSPOSE($B$10:$C$11))</f>
        <v>-0.31071966598865342</v>
      </c>
      <c r="M28" s="19">
        <f ca="1"/>
        <v>0.16825744809500995</v>
      </c>
      <c r="N28" s="20">
        <f t="shared" ca="1" si="4"/>
        <v>3.0845341437640804E-2</v>
      </c>
      <c r="O28" s="20">
        <f t="shared" ca="1" si="5"/>
        <v>2.557994126052367E-2</v>
      </c>
      <c r="P28" s="19">
        <f t="shared" ca="1" si="10"/>
        <v>131.96963668993109</v>
      </c>
      <c r="Q28" s="19">
        <f ca="1">HCTrans(P28,Strike,RiskFreeRate,Dividend,Variance_T0*AnnualVarConvtr,(Simulation!G28)/250,0.5,Variance_Avg*AnnualVarConvtr,Lambda,SQRT(Simulation!N28),Rho,1,"Call")</f>
        <v>50.580779543027504</v>
      </c>
      <c r="R28" s="19">
        <f ca="1">BlackScholesImpliedVolatility(P28,Strike,RiskFreeRate,G28/250,Dividend,Q28,0.01,"call")</f>
        <v>0.75180287236760734</v>
      </c>
      <c r="S28" s="19">
        <f t="shared" ca="1" si="23"/>
        <v>0.99999999966990394</v>
      </c>
      <c r="T28" s="19">
        <f t="shared" ca="1" si="24"/>
        <v>1.359217247946225E-6</v>
      </c>
      <c r="U28" s="19" t="e">
        <f t="shared" ca="1" si="25"/>
        <v>#VALUE!</v>
      </c>
      <c r="V28" s="21"/>
      <c r="X28" s="22"/>
      <c r="Y28" s="22"/>
      <c r="Z28" s="22"/>
    </row>
    <row r="29" spans="2:26" x14ac:dyDescent="0.25">
      <c r="G29" s="19">
        <v>226</v>
      </c>
      <c r="H29" s="19">
        <f t="shared" ca="1" si="1"/>
        <v>0.77417462851319396</v>
      </c>
      <c r="I29" s="19">
        <f t="shared" ca="1" si="1"/>
        <v>0.16035808182854216</v>
      </c>
      <c r="J29" s="19">
        <f t="shared" ca="1" si="2"/>
        <v>0.38201471597212633</v>
      </c>
      <c r="K29" s="19">
        <f t="shared" ca="1" si="3"/>
        <v>0.60496312449048195</v>
      </c>
      <c r="L29" s="19">
        <f t="array" aca="1" ref="L29:M29" ca="1">MMULT(J29:K29,TRANSPOSE($B$10:$C$11))</f>
        <v>0.38201471597212633</v>
      </c>
      <c r="M29" s="19">
        <f ca="1"/>
        <v>0.14830092238542325</v>
      </c>
      <c r="N29" s="20">
        <f t="shared" ca="1" si="4"/>
        <v>3.1361133364564739E-2</v>
      </c>
      <c r="O29" s="20">
        <f t="shared" ca="1" si="5"/>
        <v>2.9761561739881658E-2</v>
      </c>
      <c r="P29" s="19">
        <f t="shared" ca="1" si="10"/>
        <v>135.95628942517988</v>
      </c>
      <c r="Q29" s="19">
        <f ca="1">HCTrans(P29,Strike,RiskFreeRate,Dividend,Variance_T0*AnnualVarConvtr,(Simulation!G29)/250,0.5,Variance_Avg*AnnualVarConvtr,Lambda,SQRT(Simulation!N29),Rho,1,"Call")</f>
        <v>53.655205829469267</v>
      </c>
      <c r="R29" s="19">
        <f ca="1">BlackScholesImpliedVolatility(P29,Strike,RiskFreeRate,G29/250,Dividend,Q29,0.01,"call")</f>
        <v>0.75180287236760734</v>
      </c>
      <c r="S29" s="19">
        <f t="shared" ca="1" si="23"/>
        <v>0.99999999999610267</v>
      </c>
      <c r="T29" s="19">
        <f t="shared" ca="1" si="24"/>
        <v>4.4348769583683024E-8</v>
      </c>
      <c r="U29" s="19" t="e">
        <f t="shared" ca="1" si="25"/>
        <v>#VALUE!</v>
      </c>
      <c r="V29" s="21"/>
      <c r="X29" s="22"/>
      <c r="Y29" s="22"/>
      <c r="Z29" s="22"/>
    </row>
    <row r="30" spans="2:26" x14ac:dyDescent="0.25">
      <c r="G30" s="19">
        <v>225</v>
      </c>
      <c r="H30" s="19">
        <f t="shared" ca="1" si="1"/>
        <v>0.93001985855269131</v>
      </c>
      <c r="I30" s="19">
        <f t="shared" ca="1" si="1"/>
        <v>0.97672401970863376</v>
      </c>
      <c r="J30" s="19">
        <f t="shared" ca="1" si="2"/>
        <v>0.37685187018529581</v>
      </c>
      <c r="K30" s="19">
        <f t="shared" ca="1" si="3"/>
        <v>-5.5509886493709089E-2</v>
      </c>
      <c r="L30" s="19">
        <f t="array" aca="1" ref="L30:M30" ca="1">MMULT(J30:K30,TRANSPOSE($B$10:$C$11))</f>
        <v>0.37685187018529581</v>
      </c>
      <c r="M30" s="19">
        <f ca="1"/>
        <v>-0.30873734524735735</v>
      </c>
      <c r="N30" s="20">
        <f t="shared" ca="1" si="4"/>
        <v>2.9905924523434949E-2</v>
      </c>
      <c r="O30" s="20">
        <f t="shared" ca="1" si="5"/>
        <v>3.3919656688280862E-2</v>
      </c>
      <c r="P30" s="19">
        <f t="shared" ca="1" si="10"/>
        <v>140.64698372875415</v>
      </c>
      <c r="Q30" s="19">
        <f ca="1">HCTrans(P30,Strike,RiskFreeRate,Dividend,Variance_T0*AnnualVarConvtr,(Simulation!G30)/250,0.5,Variance_Avg*AnnualVarConvtr,Lambda,SQRT(Simulation!N30),Rho,1,"Call")</f>
        <v>57.342684530606746</v>
      </c>
      <c r="R30" s="19">
        <f ca="1">BlackScholesImpliedVolatility(P30,Strike,RiskFreeRate,G30/250,Dividend,Q30,0.01,"call")</f>
        <v>0.75180287236760734</v>
      </c>
      <c r="S30" s="19">
        <f t="shared" ca="1" si="23"/>
        <v>0.99999999999998546</v>
      </c>
      <c r="T30" s="19">
        <f t="shared" ca="1" si="24"/>
        <v>5.4610171517596385E-10</v>
      </c>
      <c r="U30" s="19" t="e">
        <f t="shared" ca="1" si="25"/>
        <v>#VALUE!</v>
      </c>
      <c r="V30" s="21"/>
      <c r="X30" s="22"/>
      <c r="Y30" s="22"/>
      <c r="Z30" s="22"/>
    </row>
    <row r="31" spans="2:26" x14ac:dyDescent="0.25">
      <c r="G31" s="19">
        <v>224</v>
      </c>
      <c r="H31" s="19">
        <f t="shared" ref="H31:I94" ca="1" si="26">RAND()</f>
        <v>0.68376034556942211</v>
      </c>
      <c r="I31" s="19">
        <f t="shared" ca="1" si="26"/>
        <v>0.90322444929601586</v>
      </c>
      <c r="J31" s="19">
        <f t="shared" ca="1" si="2"/>
        <v>0.71565986404554149</v>
      </c>
      <c r="K31" s="19">
        <f t="shared" ca="1" si="3"/>
        <v>-0.49812302541817027</v>
      </c>
      <c r="L31" s="19">
        <f t="array" aca="1" ref="L31:M31" ca="1">MMULT(J31:K31,TRANSPOSE($B$10:$C$11))</f>
        <v>0.71565986404554149</v>
      </c>
      <c r="M31" s="19">
        <f ca="1"/>
        <v>-0.86025448501807267</v>
      </c>
      <c r="N31" s="20">
        <f t="shared" ca="1" si="4"/>
        <v>2.6248171606640492E-2</v>
      </c>
      <c r="O31" s="20">
        <f t="shared" ca="1" si="5"/>
        <v>4.1687204210964925E-2</v>
      </c>
      <c r="P31" s="19">
        <f t="shared" ca="1" si="10"/>
        <v>146.63408908389565</v>
      </c>
      <c r="Q31" s="19">
        <f ca="1">HCTrans(P31,Strike,RiskFreeRate,Dividend,Variance_T0*AnnualVarConvtr,(Simulation!G31)/250,0.5,Variance_Avg*AnnualVarConvtr,Lambda,SQRT(Simulation!N31),Rho,1,"Call")</f>
        <v>62.148348957817888</v>
      </c>
      <c r="R31" s="19">
        <f ca="1">BlackScholesImpliedVolatility(P31,Strike,RiskFreeRate,G31/250,Dividend,Q31,0.01,"call")</f>
        <v>0.75180287236760734</v>
      </c>
      <c r="S31" s="19">
        <f t="shared" ca="1" si="23"/>
        <v>1</v>
      </c>
      <c r="T31" s="19">
        <f t="shared" ca="1" si="24"/>
        <v>2.1326346988359923E-12</v>
      </c>
      <c r="U31" s="19" t="e">
        <f t="shared" ca="1" si="25"/>
        <v>#VALUE!</v>
      </c>
      <c r="V31" s="21"/>
      <c r="X31" s="22"/>
      <c r="Y31" s="22"/>
      <c r="Z31" s="22"/>
    </row>
    <row r="32" spans="2:26" x14ac:dyDescent="0.25">
      <c r="G32" s="19">
        <v>223</v>
      </c>
      <c r="H32" s="19">
        <f t="shared" ca="1" si="26"/>
        <v>8.6167590008197847E-2</v>
      </c>
      <c r="I32" s="19">
        <f t="shared" ca="1" si="26"/>
        <v>0.93908153641602798</v>
      </c>
      <c r="J32" s="19">
        <f t="shared" ca="1" si="2"/>
        <v>2.0540234057114852</v>
      </c>
      <c r="K32" s="19">
        <f t="shared" ca="1" si="3"/>
        <v>-0.82698861224495812</v>
      </c>
      <c r="L32" s="19">
        <f t="array" aca="1" ref="L32:M32" ca="1">MMULT(J32:K32,TRANSPOSE($B$10:$C$11))</f>
        <v>2.0540234057114852</v>
      </c>
      <c r="M32" s="19">
        <f ca="1"/>
        <v>-2.0486043507770519</v>
      </c>
      <c r="N32" s="20">
        <f t="shared" ca="1" si="4"/>
        <v>1.8638904607154429E-2</v>
      </c>
      <c r="O32" s="20">
        <f t="shared" ca="1" si="5"/>
        <v>6.2681451554647966E-2</v>
      </c>
      <c r="P32" s="19">
        <f t="shared" ca="1" si="10"/>
        <v>156.11950087448341</v>
      </c>
      <c r="Q32" s="19">
        <f ca="1">HCTrans(P32,Strike,RiskFreeRate,Dividend,Variance_T0*AnnualVarConvtr,(Simulation!G32)/250,0.5,Variance_Avg*AnnualVarConvtr,Lambda,SQRT(Simulation!N32),Rho,1,"Call")</f>
        <v>69.960284524697755</v>
      </c>
      <c r="R32" s="19">
        <f ca="1">BlackScholesImpliedVolatility(P32,Strike,RiskFreeRate,G32/250,Dividend,Q32,0.01,"call")</f>
        <v>0.75180287236760734</v>
      </c>
      <c r="S32" s="19">
        <f t="shared" ca="1" si="23"/>
        <v>1</v>
      </c>
      <c r="T32" s="19">
        <f t="shared" ca="1" si="24"/>
        <v>0</v>
      </c>
      <c r="U32" s="19" t="e">
        <f t="shared" ca="1" si="25"/>
        <v>#VALUE!</v>
      </c>
      <c r="V32" s="21"/>
      <c r="X32" s="22"/>
      <c r="Y32" s="22"/>
      <c r="Z32" s="22"/>
    </row>
    <row r="33" spans="7:26" x14ac:dyDescent="0.25">
      <c r="G33" s="19">
        <v>222</v>
      </c>
      <c r="H33" s="19">
        <f t="shared" ca="1" si="26"/>
        <v>0.64756259494597013</v>
      </c>
      <c r="I33" s="19">
        <f t="shared" ca="1" si="26"/>
        <v>0.28443114602953057</v>
      </c>
      <c r="J33" s="19">
        <f t="shared" ca="1" si="2"/>
        <v>-0.20010972942603789</v>
      </c>
      <c r="K33" s="19">
        <f t="shared" ca="1" si="3"/>
        <v>0.9105139937904807</v>
      </c>
      <c r="L33" s="19">
        <f t="array" aca="1" ref="L33:M33" ca="1">MMULT(J33:K33,TRANSPOSE($B$10:$C$11))</f>
        <v>-0.20010972942603789</v>
      </c>
      <c r="M33" s="19">
        <f ca="1"/>
        <v>0.77854142968368234</v>
      </c>
      <c r="N33" s="20">
        <f t="shared" ca="1" si="4"/>
        <v>2.1274814805477136E-2</v>
      </c>
      <c r="O33" s="20">
        <f t="shared" ca="1" si="5"/>
        <v>6.0916314372416756E-2</v>
      </c>
      <c r="P33" s="19">
        <f t="shared" ca="1" si="10"/>
        <v>165.92536181387248</v>
      </c>
      <c r="Q33" s="19">
        <f ca="1">HCTrans(P33,Strike,RiskFreeRate,Dividend,Variance_T0*AnnualVarConvtr,(Simulation!G33)/250,0.5,Variance_Avg*AnnualVarConvtr,Lambda,SQRT(Simulation!N33),Rho,1,"Call")</f>
        <v>78.271707236277123</v>
      </c>
      <c r="R33" s="19">
        <f ca="1">BlackScholesImpliedVolatility(P33,Strike,RiskFreeRate,G33/250,Dividend,Q33,0.01,"call")</f>
        <v>0.75180287236760734</v>
      </c>
      <c r="S33" s="19">
        <f t="shared" ca="1" si="23"/>
        <v>1</v>
      </c>
      <c r="T33" s="19">
        <f t="shared" ca="1" si="24"/>
        <v>0</v>
      </c>
      <c r="U33" s="19" t="e">
        <f t="shared" ca="1" si="25"/>
        <v>#VALUE!</v>
      </c>
      <c r="V33" s="21"/>
      <c r="X33" s="22"/>
      <c r="Y33" s="22"/>
      <c r="Z33" s="22"/>
    </row>
    <row r="34" spans="7:26" x14ac:dyDescent="0.25">
      <c r="G34" s="19">
        <v>221</v>
      </c>
      <c r="H34" s="19">
        <f t="shared" ca="1" si="26"/>
        <v>8.3416224743408929E-3</v>
      </c>
      <c r="I34" s="19">
        <f t="shared" ca="1" si="26"/>
        <v>0.91923858313711337</v>
      </c>
      <c r="J34" s="19">
        <f t="shared" ca="1" si="2"/>
        <v>2.7041533807739104</v>
      </c>
      <c r="K34" s="19">
        <f t="shared" ca="1" si="3"/>
        <v>-1.5035124122326515</v>
      </c>
      <c r="L34" s="19">
        <f t="array" aca="1" ref="L34:M34" ca="1">MMULT(J34:K34,TRANSPOSE($B$10:$C$11))</f>
        <v>2.7041533807739104</v>
      </c>
      <c r="M34" s="19">
        <f ca="1"/>
        <v>-2.9863567477629411</v>
      </c>
      <c r="N34" s="20">
        <f t="shared" ca="1" si="4"/>
        <v>1.1859192870217172E-2</v>
      </c>
      <c r="O34" s="20">
        <f t="shared" ca="1" si="5"/>
        <v>8.5819379502219559E-2</v>
      </c>
      <c r="P34" s="19">
        <f t="shared" ca="1" si="10"/>
        <v>180.79385130639221</v>
      </c>
      <c r="Q34" s="19">
        <f ca="1">HCTrans(P34,Strike,RiskFreeRate,Dividend,Variance_T0*AnnualVarConvtr,(Simulation!G34)/250,0.5,Variance_Avg*AnnualVarConvtr,Lambda,SQRT(Simulation!N34),Rho,1,"Call")</f>
        <v>66.85746305718618</v>
      </c>
      <c r="R34" s="19">
        <f ca="1">BlackScholesImpliedVolatility(P34,Strike,RiskFreeRate,G34/250,Dividend,Q34,0.01,"call")</f>
        <v>0.75180287236760734</v>
      </c>
      <c r="S34" s="19">
        <f t="shared" ca="1" si="23"/>
        <v>1</v>
      </c>
      <c r="T34" s="19">
        <f t="shared" ca="1" si="24"/>
        <v>0</v>
      </c>
      <c r="U34" s="19" t="e">
        <f t="shared" ca="1" si="25"/>
        <v>#VALUE!</v>
      </c>
      <c r="V34" s="21"/>
      <c r="X34" s="22"/>
      <c r="Y34" s="22"/>
      <c r="Z34" s="22"/>
    </row>
    <row r="35" spans="7:26" x14ac:dyDescent="0.25">
      <c r="G35" s="19">
        <v>220</v>
      </c>
      <c r="H35" s="19">
        <f t="shared" ca="1" si="26"/>
        <v>0.74692727456025643</v>
      </c>
      <c r="I35" s="19">
        <f t="shared" ca="1" si="26"/>
        <v>0.70832344824442228</v>
      </c>
      <c r="J35" s="19">
        <f t="shared" ca="1" si="2"/>
        <v>-0.19776306865455626</v>
      </c>
      <c r="K35" s="19">
        <f t="shared" ca="1" si="3"/>
        <v>-0.73787849895042457</v>
      </c>
      <c r="L35" s="19">
        <f t="array" aca="1" ref="L35:M35" ca="1">MMULT(J35:K35,TRANSPOSE($B$10:$C$11))</f>
        <v>-0.19776306865455626</v>
      </c>
      <c r="M35" s="19">
        <f ca="1"/>
        <v>-0.37303727715194013</v>
      </c>
      <c r="N35" s="20">
        <f t="shared" ca="1" si="4"/>
        <v>1.08584868567117E-2</v>
      </c>
      <c r="O35" s="20">
        <f t="shared" ca="1" si="5"/>
        <v>8.4433580683514656E-2</v>
      </c>
      <c r="P35" s="19">
        <f t="shared" ca="1" si="10"/>
        <v>155.58081845410678</v>
      </c>
      <c r="Q35" s="19">
        <f ca="1">HCTrans(P35,Strike,RiskFreeRate,Dividend,Variance_T0*AnnualVarConvtr,(Simulation!G35)/250,0.5,Variance_Avg*AnnualVarConvtr,Lambda,SQRT(Simulation!N35),Rho,1,"Call")</f>
        <v>69.33696296006984</v>
      </c>
      <c r="R35" s="19">
        <f ca="1">BlackScholesImpliedVolatility(P35,Strike,RiskFreeRate,G35/250,Dividend,Q35,0.01,"call")</f>
        <v>0.75180287236760734</v>
      </c>
      <c r="S35" s="19">
        <f t="shared" ca="1" si="23"/>
        <v>1</v>
      </c>
      <c r="T35" s="19">
        <f t="shared" ca="1" si="24"/>
        <v>0</v>
      </c>
      <c r="U35" s="19" t="e">
        <f t="shared" ca="1" si="25"/>
        <v>#VALUE!</v>
      </c>
      <c r="V35" s="21"/>
      <c r="X35" s="22"/>
      <c r="Y35" s="22"/>
      <c r="Z35" s="22"/>
    </row>
    <row r="36" spans="7:26" x14ac:dyDescent="0.25">
      <c r="G36" s="19">
        <v>219</v>
      </c>
      <c r="H36" s="19">
        <f t="shared" ca="1" si="26"/>
        <v>0.2141581751577768</v>
      </c>
      <c r="I36" s="19">
        <f t="shared" ca="1" si="26"/>
        <v>0.33721607871724379</v>
      </c>
      <c r="J36" s="19">
        <f t="shared" ca="1" si="2"/>
        <v>-0.91461916426205714</v>
      </c>
      <c r="K36" s="19">
        <f t="shared" ca="1" si="3"/>
        <v>1.4985167953132534</v>
      </c>
      <c r="L36" s="19">
        <f t="array" aca="1" ref="L36:M36" ca="1">MMULT(J36:K36,TRANSPOSE($B$10:$C$11))</f>
        <v>-0.91461916426205714</v>
      </c>
      <c r="M36" s="19">
        <f ca="1"/>
        <v>1.7006706037559618</v>
      </c>
      <c r="N36" s="20">
        <f t="shared" ca="1" si="4"/>
        <v>1.5618426420702252E-2</v>
      </c>
      <c r="O36" s="20">
        <f t="shared" ca="1" si="5"/>
        <v>7.838411765186358E-2</v>
      </c>
      <c r="P36" s="19">
        <f t="shared" ca="1" si="10"/>
        <v>158.49137242449584</v>
      </c>
      <c r="Q36" s="19">
        <f ca="1">HCTrans(P36,Strike,RiskFreeRate,Dividend,Variance_T0*AnnualVarConvtr,(Simulation!G36)/250,0.5,Variance_Avg*AnnualVarConvtr,Lambda,SQRT(Simulation!N36),Rho,1,"Call")</f>
        <v>71.739463195072545</v>
      </c>
      <c r="R36" s="19">
        <f ca="1">BlackScholesImpliedVolatility(P36,Strike,RiskFreeRate,G36/250,Dividend,Q36,0.01,"call")</f>
        <v>0.75180287236760734</v>
      </c>
      <c r="S36" s="19">
        <f t="shared" ca="1" si="23"/>
        <v>1</v>
      </c>
      <c r="T36" s="19">
        <f t="shared" ca="1" si="24"/>
        <v>0</v>
      </c>
      <c r="U36" s="19" t="e">
        <f t="shared" ca="1" si="25"/>
        <v>#VALUE!</v>
      </c>
      <c r="V36" s="21"/>
      <c r="X36" s="22"/>
      <c r="Y36" s="22"/>
      <c r="Z36" s="22"/>
    </row>
    <row r="37" spans="7:26" x14ac:dyDescent="0.25">
      <c r="G37" s="19">
        <v>218</v>
      </c>
      <c r="H37" s="19">
        <f t="shared" ca="1" si="26"/>
        <v>0.47268940787715008</v>
      </c>
      <c r="I37" s="19">
        <f t="shared" ca="1" si="26"/>
        <v>0.99362920745456851</v>
      </c>
      <c r="J37" s="19">
        <f t="shared" ca="1" si="2"/>
        <v>1.2232062395330854</v>
      </c>
      <c r="K37" s="19">
        <f t="shared" ca="1" si="3"/>
        <v>-4.8989732069898449E-2</v>
      </c>
      <c r="L37" s="19">
        <f t="array" aca="1" ref="L37:M37" ca="1">MMULT(J37:K37,TRANSPOSE($B$10:$C$11))</f>
        <v>1.2232062395330854</v>
      </c>
      <c r="M37" s="19">
        <f ca="1"/>
        <v>-0.91060187532547454</v>
      </c>
      <c r="N37" s="20">
        <f t="shared" ca="1" si="4"/>
        <v>1.2907176855950784E-2</v>
      </c>
      <c r="O37" s="20">
        <f t="shared" ca="1" si="5"/>
        <v>8.8021140807352766E-2</v>
      </c>
      <c r="P37" s="19">
        <f t="shared" ca="1" si="10"/>
        <v>160.876093937023</v>
      </c>
      <c r="Q37" s="19">
        <f ca="1">HCTrans(P37,Strike,RiskFreeRate,Dividend,Variance_T0*AnnualVarConvtr,(Simulation!G37)/250,0.5,Variance_Avg*AnnualVarConvtr,Lambda,SQRT(Simulation!N37),Rho,1,"Call")</f>
        <v>73.690742283904314</v>
      </c>
      <c r="R37" s="19">
        <f ca="1">BlackScholesImpliedVolatility(P37,Strike,RiskFreeRate,G37/250,Dividend,Q37,0.01,"call")</f>
        <v>0.75180287236760734</v>
      </c>
      <c r="S37" s="19">
        <f t="shared" ca="1" si="23"/>
        <v>1</v>
      </c>
      <c r="T37" s="19">
        <f t="shared" ca="1" si="24"/>
        <v>0</v>
      </c>
      <c r="U37" s="19" t="e">
        <f t="shared" ca="1" si="25"/>
        <v>#VALUE!</v>
      </c>
      <c r="V37" s="21"/>
      <c r="X37" s="22"/>
      <c r="Y37" s="22"/>
      <c r="Z37" s="22"/>
    </row>
    <row r="38" spans="7:26" x14ac:dyDescent="0.25">
      <c r="G38" s="19">
        <v>217</v>
      </c>
      <c r="H38" s="19">
        <f t="shared" ca="1" si="26"/>
        <v>0.4014844724626665</v>
      </c>
      <c r="I38" s="19">
        <f t="shared" ca="1" si="26"/>
        <v>0.33144723884019778</v>
      </c>
      <c r="J38" s="19">
        <f t="shared" ca="1" si="2"/>
        <v>-0.66158248753378257</v>
      </c>
      <c r="K38" s="19">
        <f t="shared" ca="1" si="3"/>
        <v>1.1779140259407732</v>
      </c>
      <c r="L38" s="19">
        <f t="array" aca="1" ref="L38:M38" ca="1">MMULT(J38:K38,TRANSPOSE($B$10:$C$11))</f>
        <v>-0.66158248753378257</v>
      </c>
      <c r="M38" s="19">
        <f ca="1"/>
        <v>1.2957214715190213</v>
      </c>
      <c r="N38" s="20">
        <f t="shared" ca="1" si="4"/>
        <v>1.6738011433612129E-2</v>
      </c>
      <c r="O38" s="20">
        <f t="shared" ca="1" si="5"/>
        <v>8.3241649918238764E-2</v>
      </c>
      <c r="P38" s="19">
        <f t="shared" ca="1" si="10"/>
        <v>163.11170732716627</v>
      </c>
      <c r="Q38" s="19">
        <f ca="1">HCTrans(P38,Strike,RiskFreeRate,Dividend,Variance_T0*AnnualVarConvtr,(Simulation!G38)/250,0.5,Variance_Avg*AnnualVarConvtr,Lambda,SQRT(Simulation!N38),Rho,1,"Call")</f>
        <v>75.537299829484098</v>
      </c>
      <c r="R38" s="19">
        <f ca="1">BlackScholesImpliedVolatility(P38,Strike,RiskFreeRate,G38/250,Dividend,Q38,0.01,"call")</f>
        <v>0.75180287236760734</v>
      </c>
      <c r="S38" s="19">
        <f t="shared" ca="1" si="23"/>
        <v>1</v>
      </c>
      <c r="T38" s="19">
        <f t="shared" ca="1" si="24"/>
        <v>0</v>
      </c>
      <c r="U38" s="19" t="e">
        <f t="shared" ca="1" si="25"/>
        <v>#VALUE!</v>
      </c>
      <c r="V38" s="21"/>
      <c r="X38" s="22"/>
      <c r="Y38" s="22"/>
      <c r="Z38" s="22"/>
    </row>
    <row r="39" spans="7:26" x14ac:dyDescent="0.25">
      <c r="G39" s="19">
        <v>216</v>
      </c>
      <c r="H39" s="19">
        <f t="shared" ca="1" si="26"/>
        <v>5.8203754653547657E-2</v>
      </c>
      <c r="I39" s="19">
        <f t="shared" ca="1" si="26"/>
        <v>0.31606923864461223</v>
      </c>
      <c r="J39" s="19">
        <f t="shared" ca="1" si="2"/>
        <v>-0.9618294538067238</v>
      </c>
      <c r="K39" s="19">
        <f t="shared" ca="1" si="3"/>
        <v>2.1823141223357334</v>
      </c>
      <c r="L39" s="19">
        <f t="array" aca="1" ref="L39:M39" ca="1">MMULT(J39:K39,TRANSPOSE($B$10:$C$11))</f>
        <v>-0.9618294538067238</v>
      </c>
      <c r="M39" s="19">
        <f ca="1"/>
        <v>2.2115049646363349</v>
      </c>
      <c r="N39" s="20">
        <f t="shared" ca="1" si="4"/>
        <v>2.443737999487753E-2</v>
      </c>
      <c r="O39" s="20">
        <f t="shared" ca="1" si="5"/>
        <v>7.5338078474944239E-2</v>
      </c>
      <c r="P39" s="19">
        <f t="shared" ca="1" si="10"/>
        <v>161.88554230514831</v>
      </c>
      <c r="Q39" s="19">
        <f ca="1">HCTrans(P39,Strike,RiskFreeRate,Dividend,Variance_T0*AnnualVarConvtr,(Simulation!G39)/250,0.5,Variance_Avg*AnnualVarConvtr,Lambda,SQRT(Simulation!N39),Rho,1,"Call")</f>
        <v>74.455428274255283</v>
      </c>
      <c r="R39" s="19">
        <f ca="1">BlackScholesImpliedVolatility(P39,Strike,RiskFreeRate,G39/250,Dividend,Q39,0.01,"call")</f>
        <v>0.75180287236760734</v>
      </c>
      <c r="S39" s="19">
        <f t="shared" ca="1" si="23"/>
        <v>1</v>
      </c>
      <c r="T39" s="19">
        <f t="shared" ca="1" si="24"/>
        <v>0</v>
      </c>
      <c r="U39" s="19" t="e">
        <f t="shared" ca="1" si="25"/>
        <v>#VALUE!</v>
      </c>
      <c r="V39" s="21"/>
      <c r="X39" s="22"/>
      <c r="Y39" s="22"/>
      <c r="Z39" s="22"/>
    </row>
    <row r="40" spans="7:26" x14ac:dyDescent="0.25">
      <c r="G40" s="19">
        <v>215</v>
      </c>
      <c r="H40" s="19">
        <f t="shared" ca="1" si="26"/>
        <v>0.70189172609400063</v>
      </c>
      <c r="I40" s="19">
        <f t="shared" ca="1" si="26"/>
        <v>0.10433463066801352</v>
      </c>
      <c r="J40" s="19">
        <f t="shared" ca="1" si="2"/>
        <v>0.66698575940163096</v>
      </c>
      <c r="K40" s="19">
        <f t="shared" ca="1" si="3"/>
        <v>0.51291543467324052</v>
      </c>
      <c r="L40" s="19">
        <f t="array" aca="1" ref="L40:M40" ca="1">MMULT(J40:K40,TRANSPOSE($B$10:$C$11))</f>
        <v>0.66698575940163096</v>
      </c>
      <c r="M40" s="19">
        <f ca="1"/>
        <v>-0.1200921104357156</v>
      </c>
      <c r="N40" s="20">
        <f t="shared" ca="1" si="4"/>
        <v>2.3887023338148027E-2</v>
      </c>
      <c r="O40" s="20">
        <f t="shared" ca="1" si="5"/>
        <v>8.1883582326350693E-2</v>
      </c>
      <c r="P40" s="19">
        <f t="shared" ca="1" si="10"/>
        <v>162.13238191457364</v>
      </c>
      <c r="Q40" s="19">
        <f ca="1">HCTrans(P40,Strike,RiskFreeRate,Dividend,Variance_T0*AnnualVarConvtr,(Simulation!G40)/250,0.5,Variance_Avg*AnnualVarConvtr,Lambda,SQRT(Simulation!N40),Rho,1,"Call")</f>
        <v>74.598335571000035</v>
      </c>
      <c r="R40" s="19">
        <f ca="1">BlackScholesImpliedVolatility(P40,Strike,RiskFreeRate,G40/250,Dividend,Q40,0.01,"call")</f>
        <v>0.75180287236760734</v>
      </c>
      <c r="S40" s="19">
        <f t="shared" ca="1" si="23"/>
        <v>1</v>
      </c>
      <c r="T40" s="19">
        <f t="shared" ca="1" si="24"/>
        <v>0</v>
      </c>
      <c r="U40" s="19" t="e">
        <f t="shared" ca="1" si="25"/>
        <v>#VALUE!</v>
      </c>
      <c r="V40" s="21"/>
      <c r="X40" s="22"/>
      <c r="Y40" s="22"/>
      <c r="Z40" s="22"/>
    </row>
    <row r="41" spans="7:26" x14ac:dyDescent="0.25">
      <c r="G41" s="19">
        <v>214</v>
      </c>
      <c r="H41" s="19">
        <f t="shared" ca="1" si="26"/>
        <v>0.74809364300001169</v>
      </c>
      <c r="I41" s="19">
        <f t="shared" ca="1" si="26"/>
        <v>0.6767068484949238</v>
      </c>
      <c r="J41" s="19">
        <f t="shared" ca="1" si="2"/>
        <v>-0.33858433566250351</v>
      </c>
      <c r="K41" s="19">
        <f t="shared" ca="1" si="3"/>
        <v>-0.68250632449659476</v>
      </c>
      <c r="L41" s="19">
        <f t="array" aca="1" ref="L41:M41" ca="1">MMULT(J41:K41,TRANSPOSE($B$10:$C$11))</f>
        <v>-0.33858433566250351</v>
      </c>
      <c r="M41" s="19">
        <f ca="1"/>
        <v>-0.23351192522249459</v>
      </c>
      <c r="N41" s="20">
        <f t="shared" ca="1" si="4"/>
        <v>2.2920996605491809E-2</v>
      </c>
      <c r="O41" s="20">
        <f t="shared" ca="1" si="5"/>
        <v>7.852619024419151E-2</v>
      </c>
      <c r="P41" s="19">
        <f t="shared" ca="1" si="10"/>
        <v>162.42653004021997</v>
      </c>
      <c r="Q41" s="19">
        <f ca="1">HCTrans(P41,Strike,RiskFreeRate,Dividend,Variance_T0*AnnualVarConvtr,(Simulation!G41)/250,0.5,Variance_Avg*AnnualVarConvtr,Lambda,SQRT(Simulation!N41),Rho,1,"Call")</f>
        <v>74.792345345972663</v>
      </c>
      <c r="R41" s="19">
        <f ca="1">BlackScholesImpliedVolatility(P41,Strike,RiskFreeRate,G41/250,Dividend,Q41,0.01,"call")</f>
        <v>0.75180287236760734</v>
      </c>
      <c r="S41" s="19">
        <f t="shared" ca="1" si="23"/>
        <v>1</v>
      </c>
      <c r="T41" s="19">
        <f t="shared" ca="1" si="24"/>
        <v>0</v>
      </c>
      <c r="U41" s="19" t="e">
        <f t="shared" ca="1" si="25"/>
        <v>#VALUE!</v>
      </c>
      <c r="V41" s="21"/>
      <c r="X41" s="22"/>
      <c r="Y41" s="22"/>
      <c r="Z41" s="22"/>
    </row>
    <row r="42" spans="7:26" x14ac:dyDescent="0.25">
      <c r="G42" s="19">
        <v>213</v>
      </c>
      <c r="H42" s="19">
        <f t="shared" ca="1" si="26"/>
        <v>0.53214212270341554</v>
      </c>
      <c r="I42" s="19">
        <f t="shared" ca="1" si="26"/>
        <v>0.81055332779194278</v>
      </c>
      <c r="J42" s="19">
        <f t="shared" ca="1" si="2"/>
        <v>0.41712412335066984</v>
      </c>
      <c r="K42" s="19">
        <f t="shared" ca="1" si="3"/>
        <v>-1.0429270446573584</v>
      </c>
      <c r="L42" s="19">
        <f t="array" aca="1" ref="L42:M42" ca="1">MMULT(J42:K42,TRANSPOSE($B$10:$C$11))</f>
        <v>0.41712412335066984</v>
      </c>
      <c r="M42" s="19">
        <f ca="1"/>
        <v>-1.0264018779399633</v>
      </c>
      <c r="N42" s="20">
        <f t="shared" ca="1" si="4"/>
        <v>1.9184884947936794E-2</v>
      </c>
      <c r="O42" s="20">
        <f t="shared" ca="1" si="5"/>
        <v>8.2474384949678833E-2</v>
      </c>
      <c r="P42" s="19">
        <f t="shared" ca="1" si="10"/>
        <v>162.85316438381994</v>
      </c>
      <c r="Q42" s="19">
        <f ca="1">HCTrans(P42,Strike,RiskFreeRate,Dividend,Variance_T0*AnnualVarConvtr,(Simulation!G42)/250,0.5,Variance_Avg*AnnualVarConvtr,Lambda,SQRT(Simulation!N42),Rho,1,"Call")</f>
        <v>75.098741808364395</v>
      </c>
      <c r="R42" s="19">
        <f ca="1">BlackScholesImpliedVolatility(P42,Strike,RiskFreeRate,G42/250,Dividend,Q42,0.01,"call")</f>
        <v>0.75180287236760734</v>
      </c>
      <c r="S42" s="19">
        <f t="shared" ca="1" si="23"/>
        <v>1</v>
      </c>
      <c r="T42" s="19">
        <f t="shared" ca="1" si="24"/>
        <v>0</v>
      </c>
      <c r="U42" s="19" t="e">
        <f t="shared" ca="1" si="25"/>
        <v>#VALUE!</v>
      </c>
      <c r="V42" s="21"/>
      <c r="X42" s="22"/>
      <c r="Y42" s="22"/>
      <c r="Z42" s="22"/>
    </row>
    <row r="43" spans="7:26" x14ac:dyDescent="0.25">
      <c r="G43" s="19">
        <v>212</v>
      </c>
      <c r="H43" s="19">
        <f t="shared" ca="1" si="26"/>
        <v>0.73306898477411198</v>
      </c>
      <c r="I43" s="19">
        <f t="shared" ca="1" si="26"/>
        <v>9.0836053572293851E-2</v>
      </c>
      <c r="J43" s="19">
        <f t="shared" ca="1" si="2"/>
        <v>0.6631496382417299</v>
      </c>
      <c r="K43" s="19">
        <f t="shared" ca="1" si="3"/>
        <v>0.42575050733649572</v>
      </c>
      <c r="L43" s="19">
        <f t="array" aca="1" ref="L43:M43" ca="1">MMULT(J43:K43,TRANSPOSE($B$10:$C$11))</f>
        <v>0.6631496382417299</v>
      </c>
      <c r="M43" s="19">
        <f ca="1"/>
        <v>-0.17814865775208627</v>
      </c>
      <c r="N43" s="20">
        <f t="shared" ca="1" si="4"/>
        <v>1.8520258264597855E-2</v>
      </c>
      <c r="O43" s="20">
        <f t="shared" ca="1" si="5"/>
        <v>8.8245279433387031E-2</v>
      </c>
      <c r="P43" s="19">
        <f t="shared" ca="1" si="10"/>
        <v>165.26163962716907</v>
      </c>
      <c r="Q43" s="19">
        <f ca="1">HCTrans(P43,Strike,RiskFreeRate,Dividend,Variance_T0*AnnualVarConvtr,(Simulation!G43)/250,0.5,Variance_Avg*AnnualVarConvtr,Lambda,SQRT(Simulation!N43),Rho,1,"Call")</f>
        <v>77.086858586224565</v>
      </c>
      <c r="R43" s="19">
        <f ca="1">BlackScholesImpliedVolatility(P43,Strike,RiskFreeRate,G43/250,Dividend,Q43,0.01,"call")</f>
        <v>0.75180287236760734</v>
      </c>
      <c r="S43" s="19">
        <f t="shared" ca="1" si="23"/>
        <v>1</v>
      </c>
      <c r="T43" s="19">
        <f t="shared" ca="1" si="24"/>
        <v>0</v>
      </c>
      <c r="U43" s="19" t="e">
        <f t="shared" ca="1" si="25"/>
        <v>#VALUE!</v>
      </c>
      <c r="V43" s="21"/>
      <c r="X43" s="22"/>
      <c r="Y43" s="22"/>
      <c r="Z43" s="22"/>
    </row>
    <row r="44" spans="7:26" x14ac:dyDescent="0.25">
      <c r="G44" s="19">
        <v>211</v>
      </c>
      <c r="H44" s="19">
        <f t="shared" ca="1" si="26"/>
        <v>0.86617375208576963</v>
      </c>
      <c r="I44" s="19">
        <f t="shared" ca="1" si="26"/>
        <v>0.48152089931370023</v>
      </c>
      <c r="J44" s="19">
        <f t="shared" ca="1" si="2"/>
        <v>-0.53243146409805708</v>
      </c>
      <c r="K44" s="19">
        <f t="shared" ca="1" si="3"/>
        <v>6.2098648157256471E-2</v>
      </c>
      <c r="L44" s="19">
        <f t="array" aca="1" ref="L44:M44" ca="1">MMULT(J44:K44,TRANSPOSE($B$10:$C$11))</f>
        <v>-0.53243146409805708</v>
      </c>
      <c r="M44" s="19">
        <f ca="1"/>
        <v>0.42480635937023753</v>
      </c>
      <c r="N44" s="20">
        <f t="shared" ca="1" si="4"/>
        <v>1.9904111433031006E-2</v>
      </c>
      <c r="O44" s="20">
        <f t="shared" ca="1" si="5"/>
        <v>8.3625583240392487E-2</v>
      </c>
      <c r="P44" s="19">
        <f t="shared" ca="1" si="10"/>
        <v>169.06942826148565</v>
      </c>
      <c r="Q44" s="19">
        <f ca="1">HCTrans(P44,Strike,RiskFreeRate,Dividend,Variance_T0*AnnualVarConvtr,(Simulation!G44)/250,0.5,Variance_Avg*AnnualVarConvtr,Lambda,SQRT(Simulation!N44),Rho,1,"Call")</f>
        <v>80.310568070504004</v>
      </c>
      <c r="R44" s="19">
        <f ca="1">BlackScholesImpliedVolatility(P44,Strike,RiskFreeRate,G44/250,Dividend,Q44,0.01,"call")</f>
        <v>0.75180287236760734</v>
      </c>
      <c r="S44" s="19">
        <f t="shared" ca="1" si="23"/>
        <v>1</v>
      </c>
      <c r="T44" s="19">
        <f t="shared" ca="1" si="24"/>
        <v>0</v>
      </c>
      <c r="U44" s="19" t="e">
        <f t="shared" ca="1" si="25"/>
        <v>#VALUE!</v>
      </c>
      <c r="V44" s="21"/>
      <c r="X44" s="22"/>
      <c r="Y44" s="22"/>
      <c r="Z44" s="22"/>
    </row>
    <row r="45" spans="7:26" x14ac:dyDescent="0.25">
      <c r="G45" s="19">
        <v>210</v>
      </c>
      <c r="H45" s="19">
        <f t="shared" ca="1" si="26"/>
        <v>0.32691123671322642</v>
      </c>
      <c r="I45" s="19">
        <f t="shared" ca="1" si="26"/>
        <v>0.5461679383797311</v>
      </c>
      <c r="J45" s="19">
        <f t="shared" ca="1" si="2"/>
        <v>-1.4328947588455869</v>
      </c>
      <c r="K45" s="19">
        <f t="shared" ca="1" si="3"/>
        <v>-0.42772163220948806</v>
      </c>
      <c r="L45" s="19">
        <f t="array" aca="1" ref="L45:M45" ca="1">MMULT(J45:K45,TRANSPOSE($B$10:$C$11))</f>
        <v>-1.4328947588455869</v>
      </c>
      <c r="M45" s="19">
        <f ca="1"/>
        <v>0.72829600539793726</v>
      </c>
      <c r="N45" s="20">
        <f t="shared" ca="1" si="4"/>
        <v>2.2435120711894681E-2</v>
      </c>
      <c r="O45" s="20">
        <f t="shared" ca="1" si="5"/>
        <v>7.0800334766677936E-2</v>
      </c>
      <c r="P45" s="19">
        <f t="shared" ca="1" si="10"/>
        <v>173.64401088565626</v>
      </c>
      <c r="Q45" s="19">
        <f ca="1">HCTrans(P45,Strike,RiskFreeRate,Dividend,Variance_T0*AnnualVarConvtr,(Simulation!G45)/250,0.5,Variance_Avg*AnnualVarConvtr,Lambda,SQRT(Simulation!N45),Rho,1,"Call")</f>
        <v>84.248188374985332</v>
      </c>
      <c r="R45" s="19">
        <f ca="1">BlackScholesImpliedVolatility(P45,Strike,RiskFreeRate,G45/250,Dividend,Q45,0.01,"call")</f>
        <v>0.75180287236760734</v>
      </c>
      <c r="S45" s="19">
        <f t="shared" ca="1" si="23"/>
        <v>1</v>
      </c>
      <c r="T45" s="19">
        <f t="shared" ca="1" si="24"/>
        <v>0</v>
      </c>
      <c r="U45" s="19" t="e">
        <f t="shared" ca="1" si="25"/>
        <v>#VALUE!</v>
      </c>
      <c r="V45" s="21"/>
      <c r="X45" s="22"/>
      <c r="Y45" s="22"/>
      <c r="Z45" s="22"/>
    </row>
    <row r="46" spans="7:26" x14ac:dyDescent="0.25">
      <c r="G46" s="19">
        <v>209</v>
      </c>
      <c r="H46" s="19">
        <f t="shared" ca="1" si="26"/>
        <v>0.15240689518263184</v>
      </c>
      <c r="I46" s="19">
        <f t="shared" ca="1" si="26"/>
        <v>0.76340053272863895</v>
      </c>
      <c r="J46" s="19">
        <f t="shared" ca="1" si="2"/>
        <v>0.16312529617809116</v>
      </c>
      <c r="K46" s="19">
        <f t="shared" ca="1" si="3"/>
        <v>-1.9328199407321678</v>
      </c>
      <c r="L46" s="19">
        <f t="array" aca="1" ref="L46:M46" ca="1">MMULT(J46:K46,TRANSPOSE($B$10:$C$11))</f>
        <v>0.16312529617809116</v>
      </c>
      <c r="M46" s="19">
        <f ca="1"/>
        <v>-1.4651895152450858</v>
      </c>
      <c r="N46" s="20">
        <f t="shared" ca="1" si="4"/>
        <v>1.7294966285405149E-2</v>
      </c>
      <c r="O46" s="20">
        <f t="shared" ca="1" si="5"/>
        <v>7.2300774166429285E-2</v>
      </c>
      <c r="P46" s="19">
        <f t="shared" ca="1" si="10"/>
        <v>177.55835035404834</v>
      </c>
      <c r="Q46" s="19">
        <f ca="1">HCTrans(P46,Strike,RiskFreeRate,Dividend,Variance_T0*AnnualVarConvtr,(Simulation!G46)/250,0.5,Variance_Avg*AnnualVarConvtr,Lambda,SQRT(Simulation!N46),Rho,1,"Call")</f>
        <v>87.640150090014941</v>
      </c>
      <c r="R46" s="19">
        <f ca="1">BlackScholesImpliedVolatility(P46,Strike,RiskFreeRate,G46/250,Dividend,Q46,0.01,"call")</f>
        <v>0.75180287236760734</v>
      </c>
      <c r="S46" s="19">
        <f t="shared" ca="1" si="23"/>
        <v>1</v>
      </c>
      <c r="T46" s="19">
        <f t="shared" ca="1" si="24"/>
        <v>0</v>
      </c>
      <c r="U46" s="19" t="e">
        <f t="shared" ca="1" si="25"/>
        <v>#VALUE!</v>
      </c>
      <c r="V46" s="21"/>
      <c r="X46" s="22"/>
      <c r="Y46" s="22"/>
      <c r="Z46" s="22"/>
    </row>
    <row r="47" spans="7:26" x14ac:dyDescent="0.25">
      <c r="G47" s="19">
        <v>208</v>
      </c>
      <c r="H47" s="19">
        <f t="shared" ca="1" si="26"/>
        <v>9.8758202505886739E-2</v>
      </c>
      <c r="I47" s="19">
        <f t="shared" ca="1" si="26"/>
        <v>0.98901442212795032</v>
      </c>
      <c r="J47" s="19">
        <f t="shared" ca="1" si="2"/>
        <v>2.1466571303688688</v>
      </c>
      <c r="K47" s="19">
        <f t="shared" ca="1" si="3"/>
        <v>-0.14840753092730866</v>
      </c>
      <c r="L47" s="19">
        <f t="array" aca="1" ref="L47:M47" ca="1">MMULT(J47:K47,TRANSPOSE($B$10:$C$11))</f>
        <v>2.1466571303688688</v>
      </c>
      <c r="M47" s="19">
        <f ca="1"/>
        <v>-1.6416070117413799</v>
      </c>
      <c r="N47" s="20">
        <f t="shared" ca="1" si="4"/>
        <v>1.2352057818853417E-2</v>
      </c>
      <c r="O47" s="20">
        <f t="shared" ca="1" si="5"/>
        <v>9.0120883470322294E-2</v>
      </c>
      <c r="P47" s="19">
        <f t="shared" ca="1" si="10"/>
        <v>183.87532583335309</v>
      </c>
      <c r="Q47" s="19">
        <f ca="1">HCTrans(P47,Strike,RiskFreeRate,Dividend,Variance_T0*AnnualVarConvtr,(Simulation!G47)/250,0.5,Variance_Avg*AnnualVarConvtr,Lambda,SQRT(Simulation!N47),Rho,1,"Call")</f>
        <v>93.17022941701488</v>
      </c>
      <c r="R47" s="19">
        <f ca="1">BlackScholesImpliedVolatility(P47,Strike,RiskFreeRate,G47/250,Dividend,Q47,0.01,"call")</f>
        <v>0.75180287236760734</v>
      </c>
      <c r="S47" s="19">
        <f t="shared" ca="1" si="23"/>
        <v>1</v>
      </c>
      <c r="T47" s="19">
        <f t="shared" ca="1" si="24"/>
        <v>0</v>
      </c>
      <c r="U47" s="19" t="e">
        <f t="shared" ca="1" si="25"/>
        <v>#VALUE!</v>
      </c>
      <c r="V47" s="21"/>
      <c r="X47" s="22"/>
      <c r="Y47" s="22"/>
      <c r="Z47" s="22"/>
    </row>
    <row r="48" spans="7:26" x14ac:dyDescent="0.25">
      <c r="G48" s="19">
        <v>207</v>
      </c>
      <c r="H48" s="19">
        <f t="shared" ca="1" si="26"/>
        <v>0.93112927677212853</v>
      </c>
      <c r="I48" s="19">
        <f t="shared" ca="1" si="26"/>
        <v>0.78736697625675534</v>
      </c>
      <c r="J48" s="19">
        <f t="shared" ca="1" si="2"/>
        <v>8.7882876195071361E-2</v>
      </c>
      <c r="K48" s="19">
        <f t="shared" ca="1" si="3"/>
        <v>-0.36741108695458724</v>
      </c>
      <c r="L48" s="19">
        <f t="array" aca="1" ref="L48:M48" ca="1">MMULT(J48:K48,TRANSPOSE($B$10:$C$11))</f>
        <v>8.7882876195071361E-2</v>
      </c>
      <c r="M48" s="19">
        <f ca="1"/>
        <v>-0.31926931226738053</v>
      </c>
      <c r="N48" s="20">
        <f t="shared" ca="1" si="4"/>
        <v>1.1469183076185788E-2</v>
      </c>
      <c r="O48" s="20">
        <f t="shared" ca="1" si="5"/>
        <v>9.071391678263506E-2</v>
      </c>
      <c r="P48" s="19">
        <f t="shared" ca="1" si="10"/>
        <v>191.8751370843909</v>
      </c>
      <c r="Q48" s="19">
        <f ca="1">HCTrans(P48,Strike,RiskFreeRate,Dividend,Variance_T0*AnnualVarConvtr,(Simulation!G48)/250,0.5,Variance_Avg*AnnualVarConvtr,Lambda,SQRT(Simulation!N48),Rho,1,"Call")</f>
        <v>100.28969686283939</v>
      </c>
      <c r="R48" s="19">
        <f ca="1">BlackScholesImpliedVolatility(P48,Strike,RiskFreeRate,G48/250,Dividend,Q48,0.01,"call")</f>
        <v>0.75180287236760734</v>
      </c>
      <c r="S48" s="19">
        <f t="shared" ca="1" si="23"/>
        <v>1</v>
      </c>
      <c r="T48" s="19">
        <f t="shared" ca="1" si="24"/>
        <v>0</v>
      </c>
      <c r="U48" s="19" t="e">
        <f t="shared" ca="1" si="25"/>
        <v>#VALUE!</v>
      </c>
      <c r="V48" s="21"/>
      <c r="X48" s="22"/>
      <c r="Y48" s="22"/>
      <c r="Z48" s="22"/>
    </row>
    <row r="49" spans="7:26" x14ac:dyDescent="0.25">
      <c r="G49" s="19">
        <v>206</v>
      </c>
      <c r="H49" s="19">
        <f t="shared" ca="1" si="26"/>
        <v>0.62431370805208242</v>
      </c>
      <c r="I49" s="19">
        <f t="shared" ca="1" si="26"/>
        <v>0.33357261466646149</v>
      </c>
      <c r="J49" s="19">
        <f t="shared" ca="1" si="2"/>
        <v>-0.48659941099887805</v>
      </c>
      <c r="K49" s="19">
        <f t="shared" ca="1" si="3"/>
        <v>0.83989619154698902</v>
      </c>
      <c r="L49" s="19">
        <f t="array" aca="1" ref="L49:M49" ca="1">MMULT(J49:K49,TRANSPOSE($B$10:$C$11))</f>
        <v>-0.48659941099887805</v>
      </c>
      <c r="M49" s="19">
        <f ca="1"/>
        <v>0.93454921926697443</v>
      </c>
      <c r="N49" s="20">
        <f t="shared" ca="1" si="4"/>
        <v>1.4031124136070352E-2</v>
      </c>
      <c r="O49" s="20">
        <f t="shared" ca="1" si="5"/>
        <v>8.7395125538683255E-2</v>
      </c>
      <c r="P49" s="19">
        <f t="shared" ca="1" si="10"/>
        <v>200.63724567033785</v>
      </c>
      <c r="Q49" s="19">
        <f ca="1">HCTrans(P49,Strike,RiskFreeRate,Dividend,Variance_T0*AnnualVarConvtr,(Simulation!G49)/250,0.5,Variance_Avg*AnnualVarConvtr,Lambda,SQRT(Simulation!N49),Rho,1,"Call")</f>
        <v>108.22935796898754</v>
      </c>
      <c r="R49" s="19">
        <f ca="1">BlackScholesImpliedVolatility(P49,Strike,RiskFreeRate,G49/250,Dividend,Q49,0.01,"call")</f>
        <v>0.75180287236760734</v>
      </c>
      <c r="S49" s="19">
        <f t="shared" ca="1" si="23"/>
        <v>1</v>
      </c>
      <c r="T49" s="19">
        <f t="shared" ca="1" si="24"/>
        <v>0</v>
      </c>
      <c r="U49" s="19" t="e">
        <f t="shared" ca="1" si="25"/>
        <v>#VALUE!</v>
      </c>
      <c r="V49" s="21"/>
      <c r="X49" s="22"/>
      <c r="Y49" s="22"/>
      <c r="Z49" s="22"/>
    </row>
    <row r="50" spans="7:26" x14ac:dyDescent="0.25">
      <c r="G50" s="19">
        <v>205</v>
      </c>
      <c r="H50" s="19">
        <f t="shared" ca="1" si="26"/>
        <v>0.11763029407254377</v>
      </c>
      <c r="I50" s="19">
        <f t="shared" ca="1" si="26"/>
        <v>0.82090388680686033</v>
      </c>
      <c r="J50" s="19">
        <f t="shared" ca="1" si="2"/>
        <v>0.89151942593608025</v>
      </c>
      <c r="K50" s="19">
        <f t="shared" ca="1" si="3"/>
        <v>-1.8669789664712848</v>
      </c>
      <c r="L50" s="19">
        <f t="array" aca="1" ref="L50:M50" ca="1">MMULT(J50:K50,TRANSPOSE($B$10:$C$11))</f>
        <v>0.89151942593608025</v>
      </c>
      <c r="M50" s="19">
        <f ca="1"/>
        <v>-1.9411540954912421</v>
      </c>
      <c r="N50" s="20">
        <f t="shared" ca="1" si="4"/>
        <v>8.9223878795412475E-3</v>
      </c>
      <c r="O50" s="20">
        <f t="shared" ca="1" si="5"/>
        <v>9.4045995568311419E-2</v>
      </c>
      <c r="P50" s="19">
        <f t="shared" ca="1" si="10"/>
        <v>210.77438089830403</v>
      </c>
      <c r="Q50" s="19">
        <f ca="1">HCTrans(P50,Strike,RiskFreeRate,Dividend,Variance_T0*AnnualVarConvtr,(Simulation!G50)/250,0.5,Variance_Avg*AnnualVarConvtr,Lambda,SQRT(Simulation!N50),Rho,1,"Call")</f>
        <v>117.51609060449772</v>
      </c>
      <c r="R50" s="19">
        <f ca="1">BlackScholesImpliedVolatility(P50,Strike,RiskFreeRate,G50/250,Dividend,Q50,0.01,"call")</f>
        <v>0.75180287236760734</v>
      </c>
      <c r="S50" s="19">
        <f t="shared" ca="1" si="23"/>
        <v>1</v>
      </c>
      <c r="T50" s="19">
        <f t="shared" ca="1" si="24"/>
        <v>0</v>
      </c>
      <c r="U50" s="19" t="e">
        <f t="shared" ca="1" si="25"/>
        <v>#VALUE!</v>
      </c>
      <c r="V50" s="21"/>
      <c r="X50" s="22"/>
      <c r="Y50" s="22"/>
      <c r="Z50" s="22"/>
    </row>
    <row r="51" spans="7:26" x14ac:dyDescent="0.25">
      <c r="G51" s="19">
        <v>204</v>
      </c>
      <c r="H51" s="19">
        <f t="shared" ca="1" si="26"/>
        <v>0.77975821779132271</v>
      </c>
      <c r="I51" s="19">
        <f t="shared" ca="1" si="26"/>
        <v>0.20490394802693845</v>
      </c>
      <c r="J51" s="19">
        <f t="shared" ca="1" si="2"/>
        <v>0.19719991101566867</v>
      </c>
      <c r="K51" s="19">
        <f t="shared" ca="1" si="3"/>
        <v>0.67724069885038285</v>
      </c>
      <c r="L51" s="19">
        <f t="array" aca="1" ref="L51:M51" ca="1">MMULT(J51:K51,TRANSPOSE($B$10:$C$11))</f>
        <v>0.19719991101566867</v>
      </c>
      <c r="M51" s="19">
        <f ca="1"/>
        <v>0.33114063300334129</v>
      </c>
      <c r="N51" s="20">
        <f t="shared" ca="1" si="4"/>
        <v>9.6958927431811826E-3</v>
      </c>
      <c r="O51" s="20">
        <f t="shared" ca="1" si="5"/>
        <v>9.520623751116461E-2</v>
      </c>
      <c r="P51" s="19">
        <f t="shared" ca="1" si="10"/>
        <v>223.26263247842382</v>
      </c>
      <c r="Q51" s="19">
        <f ca="1">HCTrans(P51,Strike,RiskFreeRate,Dividend,Variance_T0*AnnualVarConvtr,(Simulation!G51)/250,0.5,Variance_Avg*AnnualVarConvtr,Lambda,SQRT(Simulation!N51),Rho,1,"Call")</f>
        <v>129.0479753040579</v>
      </c>
      <c r="R51" s="19">
        <f ca="1">BlackScholesImpliedVolatility(P51,Strike,RiskFreeRate,G51/250,Dividend,Q51,0.01,"call")</f>
        <v>0.75180287236760734</v>
      </c>
      <c r="S51" s="19">
        <f t="shared" ca="1" si="23"/>
        <v>1</v>
      </c>
      <c r="T51" s="19">
        <f t="shared" ca="1" si="24"/>
        <v>0</v>
      </c>
      <c r="U51" s="19" t="e">
        <f t="shared" ca="1" si="25"/>
        <v>#VALUE!</v>
      </c>
      <c r="V51" s="21"/>
      <c r="X51" s="22"/>
      <c r="Y51" s="22"/>
      <c r="Z51" s="22"/>
    </row>
    <row r="52" spans="7:26" x14ac:dyDescent="0.25">
      <c r="G52" s="19">
        <v>203</v>
      </c>
      <c r="H52" s="19">
        <f t="shared" ca="1" si="26"/>
        <v>0.51586212441860579</v>
      </c>
      <c r="I52" s="19">
        <f t="shared" ca="1" si="26"/>
        <v>0.47413583764260303</v>
      </c>
      <c r="J52" s="19">
        <f t="shared" ca="1" si="2"/>
        <v>-1.1354191954314921</v>
      </c>
      <c r="K52" s="19">
        <f t="shared" ca="1" si="3"/>
        <v>0.18615786455070749</v>
      </c>
      <c r="L52" s="19">
        <f t="array" aca="1" ref="L52:M52" ca="1">MMULT(J52:K52,TRANSPOSE($B$10:$C$11))</f>
        <v>-1.1354191954314921</v>
      </c>
      <c r="M52" s="19">
        <f ca="1"/>
        <v>0.94338917678809731</v>
      </c>
      <c r="N52" s="20">
        <f t="shared" ca="1" si="4"/>
        <v>1.2093392349921569E-2</v>
      </c>
      <c r="O52" s="20">
        <f t="shared" ca="1" si="5"/>
        <v>8.8115857254822919E-2</v>
      </c>
      <c r="P52" s="19">
        <f t="shared" ca="1" si="10"/>
        <v>234.88477184915575</v>
      </c>
      <c r="Q52" s="19">
        <f ca="1">HCTrans(P52,Strike,RiskFreeRate,Dividend,Variance_T0*AnnualVarConvtr,(Simulation!G52)/250,0.5,Variance_Avg*AnnualVarConvtr,Lambda,SQRT(Simulation!N52),Rho,1,"Call")</f>
        <v>139.97703976230503</v>
      </c>
      <c r="R52" s="19">
        <f ca="1">BlackScholesImpliedVolatility(P52,Strike,RiskFreeRate,G52/250,Dividend,Q52,0.01,"call")</f>
        <v>0.75180287236760734</v>
      </c>
      <c r="S52" s="19">
        <f t="shared" ca="1" si="23"/>
        <v>1</v>
      </c>
      <c r="T52" s="19">
        <f t="shared" ca="1" si="24"/>
        <v>0</v>
      </c>
      <c r="U52" s="19" t="e">
        <f t="shared" ca="1" si="25"/>
        <v>#VALUE!</v>
      </c>
      <c r="V52" s="21"/>
      <c r="X52" s="22"/>
      <c r="Y52" s="22"/>
      <c r="Z52" s="22"/>
    </row>
    <row r="53" spans="7:26" x14ac:dyDescent="0.25">
      <c r="G53" s="19">
        <v>202</v>
      </c>
      <c r="H53" s="19">
        <f t="shared" ca="1" si="26"/>
        <v>0.90646756722879562</v>
      </c>
      <c r="I53" s="19">
        <f t="shared" ca="1" si="26"/>
        <v>0.11690977587643625</v>
      </c>
      <c r="J53" s="19">
        <f t="shared" ca="1" si="2"/>
        <v>0.32888648540142479</v>
      </c>
      <c r="K53" s="19">
        <f t="shared" ca="1" si="3"/>
        <v>0.29704163783247106</v>
      </c>
      <c r="L53" s="19">
        <f t="array" aca="1" ref="L53:M53" ca="1">MMULT(J53:K53,TRANSPOSE($B$10:$C$11))</f>
        <v>0.32888648540142479</v>
      </c>
      <c r="M53" s="19">
        <f ca="1"/>
        <v>-2.8434754648592242E-2</v>
      </c>
      <c r="N53" s="20">
        <f t="shared" ca="1" si="4"/>
        <v>1.1990081362701854E-2</v>
      </c>
      <c r="O53" s="20">
        <f t="shared" ca="1" si="5"/>
        <v>9.0379112491412103E-2</v>
      </c>
      <c r="P53" s="19">
        <f t="shared" ca="1" si="10"/>
        <v>246.50676304991293</v>
      </c>
      <c r="Q53" s="19">
        <f ca="1">HCTrans(P53,Strike,RiskFreeRate,Dividend,Variance_T0*AnnualVarConvtr,(Simulation!G53)/250,0.5,Variance_Avg*AnnualVarConvtr,Lambda,SQRT(Simulation!N53),Rho,1,"Call")</f>
        <v>150.99596198327401</v>
      </c>
      <c r="R53" s="19">
        <f ca="1">BlackScholesImpliedVolatility(P53,Strike,RiskFreeRate,G53/250,Dividend,Q53,0.01,"call")</f>
        <v>0.75180287236760734</v>
      </c>
      <c r="S53" s="19">
        <f t="shared" ca="1" si="23"/>
        <v>1</v>
      </c>
      <c r="T53" s="19">
        <f t="shared" ca="1" si="24"/>
        <v>0</v>
      </c>
      <c r="U53" s="19" t="e">
        <f t="shared" ca="1" si="25"/>
        <v>#VALUE!</v>
      </c>
      <c r="V53" s="21"/>
      <c r="X53" s="22"/>
      <c r="Y53" s="22"/>
      <c r="Z53" s="22"/>
    </row>
    <row r="54" spans="7:26" x14ac:dyDescent="0.25">
      <c r="G54" s="19">
        <v>201</v>
      </c>
      <c r="H54" s="19">
        <f t="shared" ca="1" si="26"/>
        <v>0.4368619244982741</v>
      </c>
      <c r="I54" s="19">
        <f t="shared" ca="1" si="26"/>
        <v>0.8413628413170513</v>
      </c>
      <c r="J54" s="19">
        <f t="shared" ca="1" si="2"/>
        <v>0.6988690764191311</v>
      </c>
      <c r="K54" s="19">
        <f t="shared" ca="1" si="3"/>
        <v>-1.0806748845718421</v>
      </c>
      <c r="L54" s="19">
        <f t="array" aca="1" ref="L54:M54" ca="1">MMULT(J54:K54,TRANSPOSE($B$10:$C$11))</f>
        <v>0.6988690764191311</v>
      </c>
      <c r="M54" s="19">
        <f ca="1"/>
        <v>-1.2546045426637145</v>
      </c>
      <c r="N54" s="20">
        <f t="shared" ca="1" si="4"/>
        <v>8.831910017831986E-3</v>
      </c>
      <c r="O54" s="20">
        <f t="shared" ca="1" si="5"/>
        <v>9.519503786117238E-2</v>
      </c>
      <c r="P54" s="19">
        <f t="shared" ca="1" si="10"/>
        <v>259.43245697029926</v>
      </c>
      <c r="Q54" s="19">
        <f ca="1">HCTrans(P54,Strike,RiskFreeRate,Dividend,Variance_T0*AnnualVarConvtr,(Simulation!G54)/250,0.5,Variance_Avg*AnnualVarConvtr,Lambda,SQRT(Simulation!N54),Rho,1,"Call")</f>
        <v>163.3358753604075</v>
      </c>
      <c r="R54" s="19">
        <f ca="1">BlackScholesImpliedVolatility(P54,Strike,RiskFreeRate,G54/250,Dividend,Q54,0.01,"call")</f>
        <v>0.75180287236760734</v>
      </c>
      <c r="S54" s="19">
        <f t="shared" ca="1" si="23"/>
        <v>1</v>
      </c>
      <c r="T54" s="19">
        <f t="shared" ca="1" si="24"/>
        <v>0</v>
      </c>
      <c r="U54" s="19" t="e">
        <f t="shared" ca="1" si="25"/>
        <v>#VALUE!</v>
      </c>
      <c r="V54" s="21"/>
      <c r="X54" s="22"/>
      <c r="Y54" s="22"/>
      <c r="Z54" s="22"/>
    </row>
    <row r="55" spans="7:26" x14ac:dyDescent="0.25">
      <c r="G55" s="19">
        <v>200</v>
      </c>
      <c r="H55" s="19">
        <f t="shared" ca="1" si="26"/>
        <v>0.30017493780705684</v>
      </c>
      <c r="I55" s="19">
        <f t="shared" ca="1" si="26"/>
        <v>0.87205130772040218</v>
      </c>
      <c r="J55" s="19">
        <f t="shared" ca="1" si="2"/>
        <v>1.076480009541005</v>
      </c>
      <c r="K55" s="19">
        <f t="shared" ca="1" si="3"/>
        <v>-1.1171259935957321</v>
      </c>
      <c r="L55" s="19">
        <f t="array" aca="1" ref="L55:M55" ca="1">MMULT(J55:K55,TRANSPOSE($B$10:$C$11))</f>
        <v>1.076480009541005</v>
      </c>
      <c r="M55" s="19">
        <f ca="1"/>
        <v>-1.55059059936552</v>
      </c>
      <c r="N55" s="20">
        <f t="shared" ca="1" si="4"/>
        <v>5.6106977320129403E-3</v>
      </c>
      <c r="O55" s="20">
        <f t="shared" ca="1" si="5"/>
        <v>0.10157565464732127</v>
      </c>
      <c r="P55" s="19">
        <f t="shared" ca="1" si="10"/>
        <v>273.28573552338611</v>
      </c>
      <c r="Q55" s="19">
        <f ca="1">HCTrans(P55,Strike,RiskFreeRate,Dividend,Variance_T0*AnnualVarConvtr,(Simulation!G55)/250,0.5,Variance_Avg*AnnualVarConvtr,Lambda,SQRT(Simulation!N55),Rho,1,"Call")</f>
        <v>176.63943345728325</v>
      </c>
      <c r="R55" s="19">
        <f ca="1">BlackScholesImpliedVolatility(P55,Strike,RiskFreeRate,G55/250,Dividend,Q55,0.01,"call")</f>
        <v>0.75180287236760734</v>
      </c>
      <c r="S55" s="19">
        <f t="shared" ca="1" si="23"/>
        <v>1</v>
      </c>
      <c r="T55" s="19">
        <f t="shared" ca="1" si="24"/>
        <v>0</v>
      </c>
      <c r="U55" s="19" t="e">
        <f t="shared" ca="1" si="25"/>
        <v>#VALUE!</v>
      </c>
      <c r="V55" s="21"/>
      <c r="X55" s="22"/>
      <c r="Y55" s="22"/>
      <c r="Z55" s="22"/>
    </row>
    <row r="56" spans="7:26" x14ac:dyDescent="0.25">
      <c r="G56" s="19">
        <v>199</v>
      </c>
      <c r="H56" s="19">
        <f t="shared" ca="1" si="26"/>
        <v>0.91691308285672701</v>
      </c>
      <c r="I56" s="19">
        <f t="shared" ca="1" si="26"/>
        <v>0.1864680378994803</v>
      </c>
      <c r="J56" s="19">
        <f t="shared" ca="1" si="2"/>
        <v>0.16188533915451758</v>
      </c>
      <c r="K56" s="19">
        <f t="shared" ca="1" si="3"/>
        <v>0.38376858635420635</v>
      </c>
      <c r="L56" s="19">
        <f t="array" aca="1" ref="L56:M56" ca="1">MMULT(J56:K56,TRANSPOSE($B$10:$C$11))</f>
        <v>0.16188533915451758</v>
      </c>
      <c r="M56" s="19">
        <f ca="1"/>
        <v>0.15172116639712685</v>
      </c>
      <c r="N56" s="20">
        <f t="shared" ca="1" si="4"/>
        <v>5.9004292578520015E-3</v>
      </c>
      <c r="O56" s="20">
        <f t="shared" ca="1" si="5"/>
        <v>0.10233134599000519</v>
      </c>
      <c r="P56" s="19">
        <f t="shared" ca="1" si="10"/>
        <v>291.09594919587551</v>
      </c>
      <c r="Q56" s="19">
        <f ca="1">HCTrans(P56,Strike,RiskFreeRate,Dividend,Variance_T0*AnnualVarConvtr,(Simulation!G56)/250,0.5,Variance_Avg*AnnualVarConvtr,Lambda,SQRT(Simulation!N56),Rho,1,"Call")</f>
        <v>193.8553857504335</v>
      </c>
      <c r="R56" s="19">
        <f ca="1">BlackScholesImpliedVolatility(P56,Strike,RiskFreeRate,G56/250,Dividend,Q56,0.01,"call")</f>
        <v>0.75180287236760734</v>
      </c>
      <c r="S56" s="19">
        <f t="shared" ca="1" si="23"/>
        <v>1</v>
      </c>
      <c r="T56" s="19">
        <f t="shared" ca="1" si="24"/>
        <v>0</v>
      </c>
      <c r="U56" s="19" t="e">
        <f t="shared" ca="1" si="25"/>
        <v>#VALUE!</v>
      </c>
      <c r="V56" s="21"/>
      <c r="X56" s="22"/>
      <c r="Y56" s="22"/>
      <c r="Z56" s="22"/>
    </row>
    <row r="57" spans="7:26" x14ac:dyDescent="0.25">
      <c r="G57" s="19">
        <v>198</v>
      </c>
      <c r="H57" s="19">
        <f t="shared" ca="1" si="26"/>
        <v>0.11952210533179397</v>
      </c>
      <c r="I57" s="19">
        <f t="shared" ca="1" si="26"/>
        <v>0.97252764753452936</v>
      </c>
      <c r="J57" s="19">
        <f t="shared" ca="1" si="2"/>
        <v>2.0305598990024745</v>
      </c>
      <c r="K57" s="19">
        <f t="shared" ca="1" si="3"/>
        <v>-0.35402596272906373</v>
      </c>
      <c r="L57" s="19">
        <f t="array" aca="1" ref="L57:M57" ca="1">MMULT(J57:K57,TRANSPOSE($B$10:$C$11))</f>
        <v>2.0305598990024745</v>
      </c>
      <c r="M57" s="19">
        <f ca="1"/>
        <v>-1.7018601092332175</v>
      </c>
      <c r="N57" s="20">
        <f t="shared" ca="1" si="4"/>
        <v>3.1363837642149005E-3</v>
      </c>
      <c r="O57" s="20">
        <f t="shared" ca="1" si="5"/>
        <v>0.11218432968562538</v>
      </c>
      <c r="P57" s="19">
        <f t="shared" ca="1" si="10"/>
        <v>312.04126640720102</v>
      </c>
      <c r="Q57" s="19">
        <f ca="1">HCTrans(P57,Strike,RiskFreeRate,Dividend,Variance_T0*AnnualVarConvtr,(Simulation!G57)/250,0.5,Variance_Avg*AnnualVarConvtr,Lambda,SQRT(Simulation!N57),Rho,1,"Call")</f>
        <v>214.23454141292373</v>
      </c>
      <c r="R57" s="19">
        <f ca="1">BlackScholesImpliedVolatility(P57,Strike,RiskFreeRate,G57/250,Dividend,Q57,0.01,"call")</f>
        <v>0.75180287236760734</v>
      </c>
      <c r="S57" s="19">
        <f t="shared" ca="1" si="23"/>
        <v>1</v>
      </c>
      <c r="T57" s="19">
        <f t="shared" ca="1" si="24"/>
        <v>0</v>
      </c>
      <c r="U57" s="19" t="e">
        <f t="shared" ca="1" si="25"/>
        <v>#VALUE!</v>
      </c>
      <c r="V57" s="21"/>
      <c r="X57" s="22"/>
      <c r="Y57" s="22"/>
      <c r="Z57" s="22"/>
    </row>
    <row r="58" spans="7:26" x14ac:dyDescent="0.25">
      <c r="G58" s="19">
        <v>197</v>
      </c>
      <c r="H58" s="19">
        <f t="shared" ca="1" si="26"/>
        <v>0.33762765939279848</v>
      </c>
      <c r="I58" s="19">
        <f t="shared" ca="1" si="26"/>
        <v>1.5258501331966934E-2</v>
      </c>
      <c r="J58" s="19">
        <f t="shared" ca="1" si="2"/>
        <v>1.4668755634738793</v>
      </c>
      <c r="K58" s="19">
        <f t="shared" ca="1" si="3"/>
        <v>0.14106474241941777</v>
      </c>
      <c r="L58" s="19">
        <f t="array" aca="1" ref="L58:M58" ca="1">MMULT(J58:K58,TRANSPOSE($B$10:$C$11))</f>
        <v>1.4668755634738793</v>
      </c>
      <c r="M58" s="19">
        <f ca="1"/>
        <v>-0.95261139787447136</v>
      </c>
      <c r="N58" s="20">
        <f t="shared" ca="1" si="4"/>
        <v>1.9853652610931122E-3</v>
      </c>
      <c r="O58" s="20">
        <f t="shared" ca="1" si="5"/>
        <v>0.11737368275671783</v>
      </c>
      <c r="P58" s="19">
        <f t="shared" ca="1" si="10"/>
        <v>334.56274039867361</v>
      </c>
      <c r="Q58" s="19">
        <f ca="1">HCTrans(P58,Strike,RiskFreeRate,Dividend,Variance_T0*AnnualVarConvtr,(Simulation!G58)/250,0.5,Variance_Avg*AnnualVarConvtr,Lambda,SQRT(Simulation!N58),Rho,1,"Call")</f>
        <v>236.30299277499134</v>
      </c>
      <c r="R58" s="19">
        <f ca="1">BlackScholesImpliedVolatility(P58,Strike,RiskFreeRate,G58/250,Dividend,Q58,0.01,"call")</f>
        <v>0.75180287236760734</v>
      </c>
      <c r="S58" s="19">
        <f t="shared" ca="1" si="23"/>
        <v>1</v>
      </c>
      <c r="T58" s="19">
        <f t="shared" ca="1" si="24"/>
        <v>0</v>
      </c>
      <c r="U58" s="19" t="e">
        <f t="shared" ca="1" si="25"/>
        <v>#VALUE!</v>
      </c>
      <c r="V58" s="21"/>
      <c r="X58" s="22"/>
      <c r="Y58" s="22"/>
      <c r="Z58" s="22"/>
    </row>
    <row r="59" spans="7:26" x14ac:dyDescent="0.25">
      <c r="G59" s="19">
        <v>196</v>
      </c>
      <c r="H59" s="19">
        <f t="shared" ca="1" si="26"/>
        <v>8.0215545792125864E-2</v>
      </c>
      <c r="I59" s="19">
        <f t="shared" ca="1" si="26"/>
        <v>0.1219836101145273</v>
      </c>
      <c r="J59" s="19">
        <f t="shared" ca="1" si="2"/>
        <v>1.6182246393007453</v>
      </c>
      <c r="K59" s="19">
        <f t="shared" ca="1" si="3"/>
        <v>1.5580195463900439</v>
      </c>
      <c r="L59" s="19">
        <f t="array" aca="1" ref="L59:M59" ca="1">MMULT(J59:K59,TRANSPOSE($B$10:$C$11))</f>
        <v>1.6182246393007453</v>
      </c>
      <c r="M59" s="19">
        <f ca="1"/>
        <v>-7.2603630446579137E-2</v>
      </c>
      <c r="N59" s="20">
        <f t="shared" ca="1" si="4"/>
        <v>1.9336600146641618E-3</v>
      </c>
      <c r="O59" s="20">
        <f t="shared" ca="1" si="5"/>
        <v>0.12192996583187449</v>
      </c>
      <c r="P59" s="19">
        <f t="shared" ca="1" si="10"/>
        <v>359.04455006156121</v>
      </c>
      <c r="Q59" s="19">
        <f ca="1">HCTrans(P59,Strike,RiskFreeRate,Dividend,Variance_T0*AnnualVarConvtr,(Simulation!G59)/250,0.5,Variance_Avg*AnnualVarConvtr,Lambda,SQRT(Simulation!N59),Rho,1,"Call")</f>
        <v>260.42952725589083</v>
      </c>
      <c r="R59" s="19">
        <f ca="1">BlackScholesImpliedVolatility(P59,Strike,RiskFreeRate,G59/250,Dividend,Q59,0.01,"call")</f>
        <v>0.75180287236760734</v>
      </c>
      <c r="S59" s="19">
        <f t="shared" ca="1" si="23"/>
        <v>1</v>
      </c>
      <c r="T59" s="19">
        <f t="shared" ca="1" si="24"/>
        <v>0</v>
      </c>
      <c r="U59" s="19" t="e">
        <f t="shared" ca="1" si="25"/>
        <v>#VALUE!</v>
      </c>
      <c r="V59" s="21"/>
      <c r="X59" s="22"/>
      <c r="Y59" s="22"/>
      <c r="Z59" s="22"/>
    </row>
    <row r="60" spans="7:26" x14ac:dyDescent="0.25">
      <c r="G60" s="19">
        <v>195</v>
      </c>
      <c r="H60" s="19">
        <f t="shared" ca="1" si="26"/>
        <v>0.98933204398405128</v>
      </c>
      <c r="I60" s="19">
        <f t="shared" ca="1" si="26"/>
        <v>0.1687486220848724</v>
      </c>
      <c r="J60" s="19">
        <f t="shared" ca="1" si="2"/>
        <v>7.1564576074488462E-2</v>
      </c>
      <c r="K60" s="19">
        <f t="shared" ca="1" si="3"/>
        <v>0.12778515046816907</v>
      </c>
      <c r="L60" s="19">
        <f t="array" aca="1" ref="L60:M60" ca="1">MMULT(J60:K60,TRANSPOSE($B$10:$C$11))</f>
        <v>7.1564576074488462E-2</v>
      </c>
      <c r="M60" s="19">
        <f ca="1"/>
        <v>3.7865252673778486E-2</v>
      </c>
      <c r="N60" s="20">
        <f t="shared" ca="1" si="4"/>
        <v>2.0018038682707521E-3</v>
      </c>
      <c r="O60" s="20">
        <f t="shared" ca="1" si="5"/>
        <v>0.12212512833495941</v>
      </c>
      <c r="P60" s="19">
        <f t="shared" ca="1" si="10"/>
        <v>384.30919258249935</v>
      </c>
      <c r="Q60" s="19">
        <f ca="1">HCTrans(P60,Strike,RiskFreeRate,Dividend,Variance_T0*AnnualVarConvtr,(Simulation!G60)/250,0.5,Variance_Avg*AnnualVarConvtr,Lambda,SQRT(Simulation!N60),Rho,1,"Call")</f>
        <v>285.40834885059979</v>
      </c>
      <c r="R60" s="19">
        <f ca="1">BlackScholesImpliedVolatility(P60,Strike,RiskFreeRate,G60/250,Dividend,Q60,0.01,"call")</f>
        <v>0.75180287236760734</v>
      </c>
      <c r="S60" s="19">
        <f t="shared" ca="1" si="23"/>
        <v>1</v>
      </c>
      <c r="T60" s="19">
        <f t="shared" ca="1" si="24"/>
        <v>0</v>
      </c>
      <c r="U60" s="19" t="e">
        <f t="shared" ca="1" si="25"/>
        <v>#VALUE!</v>
      </c>
      <c r="V60" s="21"/>
      <c r="X60" s="22"/>
      <c r="Y60" s="22"/>
      <c r="Z60" s="22"/>
    </row>
    <row r="61" spans="7:26" x14ac:dyDescent="0.25">
      <c r="G61" s="19">
        <v>194</v>
      </c>
      <c r="H61" s="19">
        <f t="shared" ca="1" si="26"/>
        <v>0.70970581085631013</v>
      </c>
      <c r="I61" s="19">
        <f t="shared" ca="1" si="26"/>
        <v>9.3010662510237263E-2</v>
      </c>
      <c r="J61" s="19">
        <f t="shared" ca="1" si="2"/>
        <v>0.69069989990423353</v>
      </c>
      <c r="K61" s="19">
        <f t="shared" ca="1" si="3"/>
        <v>0.45688416443685037</v>
      </c>
      <c r="L61" s="19">
        <f t="array" aca="1" ref="L61:M61" ca="1">MMULT(J61:K61,TRANSPOSE($B$10:$C$11))</f>
        <v>0.69069989990423353</v>
      </c>
      <c r="M61" s="19">
        <f ca="1"/>
        <v>-0.17616998293395053</v>
      </c>
      <c r="N61" s="20">
        <f t="shared" ca="1" si="4"/>
        <v>1.8399363452613385E-3</v>
      </c>
      <c r="O61" s="20">
        <f t="shared" ca="1" si="5"/>
        <v>0.12407559986731584</v>
      </c>
      <c r="P61" s="19">
        <f t="shared" ca="1" si="10"/>
        <v>413.34569717799315</v>
      </c>
      <c r="Q61" s="19">
        <f ca="1">HCTrans(P61,Strike,RiskFreeRate,Dividend,Variance_T0*AnnualVarConvtr,(Simulation!G61)/250,0.5,Variance_Avg*AnnualVarConvtr,Lambda,SQRT(Simulation!N61),Rho,1,"Call")</f>
        <v>314.18981412892981</v>
      </c>
      <c r="R61" s="19">
        <f ca="1">BlackScholesImpliedVolatility(P61,Strike,RiskFreeRate,G61/250,Dividend,Q61,0.01,"call")</f>
        <v>0.75180287236760734</v>
      </c>
      <c r="S61" s="19">
        <f t="shared" ca="1" si="23"/>
        <v>1</v>
      </c>
      <c r="T61" s="19">
        <f t="shared" ca="1" si="24"/>
        <v>0</v>
      </c>
      <c r="U61" s="19" t="e">
        <f t="shared" ca="1" si="25"/>
        <v>#VALUE!</v>
      </c>
      <c r="V61" s="21"/>
      <c r="X61" s="22"/>
      <c r="Y61" s="22"/>
      <c r="Z61" s="22"/>
    </row>
    <row r="62" spans="7:26" x14ac:dyDescent="0.25">
      <c r="G62" s="19">
        <v>193</v>
      </c>
      <c r="H62" s="19">
        <f t="shared" ca="1" si="26"/>
        <v>0.30608620183904223</v>
      </c>
      <c r="I62" s="19">
        <f t="shared" ca="1" si="26"/>
        <v>0.70907561331162838</v>
      </c>
      <c r="J62" s="19">
        <f t="shared" ca="1" si="2"/>
        <v>-0.39132358885091212</v>
      </c>
      <c r="K62" s="19">
        <f t="shared" ca="1" si="3"/>
        <v>-1.4881676221107178</v>
      </c>
      <c r="L62" s="19">
        <f t="array" aca="1" ref="L62:M62" ca="1">MMULT(J62:K62,TRANSPOSE($B$10:$C$11))</f>
        <v>-0.39132358885091212</v>
      </c>
      <c r="M62" s="19">
        <f ca="1"/>
        <v>-0.75774317151841974</v>
      </c>
      <c r="N62" s="20">
        <f t="shared" ca="1" si="4"/>
        <v>1.1568552957635131E-3</v>
      </c>
      <c r="O62" s="20">
        <f t="shared" ca="1" si="5"/>
        <v>0.12301030407447838</v>
      </c>
      <c r="P62" s="19">
        <f t="shared" ca="1" si="10"/>
        <v>447.64640016003415</v>
      </c>
      <c r="Q62" s="19">
        <f ca="1">HCTrans(P62,Strike,RiskFreeRate,Dividend,Variance_T0*AnnualVarConvtr,(Simulation!G62)/250,0.5,Variance_Avg*AnnualVarConvtr,Lambda,SQRT(Simulation!N62),Rho,1,"Call")</f>
        <v>348.24864280206947</v>
      </c>
      <c r="R62" s="19">
        <f ca="1">BlackScholesImpliedVolatility(P62,Strike,RiskFreeRate,G62/250,Dividend,Q62,0.01,"call")</f>
        <v>0.75180287236760734</v>
      </c>
      <c r="S62" s="19">
        <f t="shared" ca="1" si="23"/>
        <v>1</v>
      </c>
      <c r="T62" s="19">
        <f t="shared" ca="1" si="24"/>
        <v>0</v>
      </c>
      <c r="U62" s="19" t="e">
        <f t="shared" ca="1" si="25"/>
        <v>#VALUE!</v>
      </c>
      <c r="V62" s="21"/>
      <c r="X62" s="22"/>
      <c r="Y62" s="22"/>
      <c r="Z62" s="22"/>
    </row>
    <row r="63" spans="7:26" x14ac:dyDescent="0.25">
      <c r="G63" s="19">
        <v>192</v>
      </c>
      <c r="H63" s="19">
        <f t="shared" ca="1" si="26"/>
        <v>0.2304367947784397</v>
      </c>
      <c r="I63" s="19">
        <f t="shared" ca="1" si="26"/>
        <v>0.8298844427849833</v>
      </c>
      <c r="J63" s="19">
        <f t="shared" ca="1" si="2"/>
        <v>0.824320778105885</v>
      </c>
      <c r="K63" s="19">
        <f t="shared" ca="1" si="3"/>
        <v>-1.5020161721787633</v>
      </c>
      <c r="L63" s="19">
        <f t="array" aca="1" ref="L63:M63" ca="1">MMULT(J63:K63,TRANSPOSE($B$10:$C$11))</f>
        <v>0.824320778105885</v>
      </c>
      <c r="M63" s="19">
        <f ca="1"/>
        <v>-1.6384129302041672</v>
      </c>
      <c r="N63" s="20">
        <f t="shared" ca="1" si="4"/>
        <v>2.251348569518643E-4</v>
      </c>
      <c r="O63" s="20">
        <f t="shared" ca="1" si="5"/>
        <v>0.12478122318898437</v>
      </c>
      <c r="P63" s="19">
        <f t="shared" ca="1" si="10"/>
        <v>487.00718256830424</v>
      </c>
      <c r="Q63" s="19">
        <f ca="1">HCTrans(P63,Strike,RiskFreeRate,Dividend,Variance_T0*AnnualVarConvtr,(Simulation!G63)/250,0.5,Variance_Avg*AnnualVarConvtr,Lambda,SQRT(Simulation!N63),Rho,1,"Call")</f>
        <v>387.4262101624268</v>
      </c>
      <c r="R63" s="19">
        <f ca="1">BlackScholesImpliedVolatility(P63,Strike,RiskFreeRate,G63/250,Dividend,Q63,0.01,"call")</f>
        <v>0.75180287236760734</v>
      </c>
      <c r="S63" s="19">
        <f t="shared" ca="1" si="23"/>
        <v>0</v>
      </c>
      <c r="T63" s="19">
        <f t="shared" ca="1" si="24"/>
        <v>-487.00718256830424</v>
      </c>
      <c r="U63" s="19" t="e">
        <f t="shared" ca="1" si="25"/>
        <v>#VALUE!</v>
      </c>
      <c r="V63" s="21"/>
      <c r="X63" s="22"/>
      <c r="Y63" s="22"/>
      <c r="Z63" s="22"/>
    </row>
    <row r="64" spans="7:26" x14ac:dyDescent="0.25">
      <c r="G64" s="19">
        <v>191</v>
      </c>
      <c r="H64" s="19">
        <f t="shared" ca="1" si="26"/>
        <v>0.40070018684583641</v>
      </c>
      <c r="I64" s="19">
        <f t="shared" ca="1" si="26"/>
        <v>0.45916759477478242</v>
      </c>
      <c r="J64" s="19">
        <f t="shared" ca="1" si="2"/>
        <v>-1.3081698948451757</v>
      </c>
      <c r="K64" s="19">
        <f t="shared" ca="1" si="3"/>
        <v>0.34318379376642855</v>
      </c>
      <c r="L64" s="19">
        <f t="array" aca="1" ref="L64:M64" ca="1">MMULT(J64:K64,TRANSPOSE($B$10:$C$11))</f>
        <v>-1.3081698948451757</v>
      </c>
      <c r="M64" s="19">
        <f ca="1"/>
        <v>1.1767043141440843</v>
      </c>
      <c r="N64" s="20">
        <f t="shared" ca="1" si="4"/>
        <v>9.0234538220150139E-4</v>
      </c>
      <c r="O64" s="20">
        <f t="shared" ca="1" si="5"/>
        <v>0.12353936212755838</v>
      </c>
      <c r="P64" s="19">
        <f t="shared" ca="1" si="10"/>
        <v>529.88532185993358</v>
      </c>
      <c r="Q64" s="19">
        <f ca="1">HCTrans(P64,Strike,RiskFreeRate,Dividend,Variance_T0*AnnualVarConvtr,(Simulation!G64)/250,0.5,Variance_Avg*AnnualVarConvtr,Lambda,SQRT(Simulation!N64),Rho,1,"Call")</f>
        <v>430.17219656151883</v>
      </c>
      <c r="R64" s="19">
        <f ca="1">BlackScholesImpliedVolatility(P64,Strike,RiskFreeRate,G64/250,Dividend,Q64,0.01,"call")</f>
        <v>0.75180287236760734</v>
      </c>
      <c r="S64" s="19">
        <f t="shared" ca="1" si="23"/>
        <v>2.9109538681199736E-2</v>
      </c>
      <c r="T64" s="19">
        <f t="shared" ca="1" si="24"/>
        <v>15.424717273281709</v>
      </c>
      <c r="U64" s="19" t="e">
        <f t="shared" ca="1" si="25"/>
        <v>#VALUE!</v>
      </c>
      <c r="V64" s="21"/>
      <c r="X64" s="22"/>
      <c r="Y64" s="22"/>
      <c r="Z64" s="22"/>
    </row>
    <row r="65" spans="7:26" x14ac:dyDescent="0.25">
      <c r="G65" s="19">
        <v>190</v>
      </c>
      <c r="H65" s="19">
        <f t="shared" ca="1" si="26"/>
        <v>0.18251270681464959</v>
      </c>
      <c r="I65" s="19">
        <f t="shared" ca="1" si="26"/>
        <v>0.13421265885800615</v>
      </c>
      <c r="J65" s="19">
        <f t="shared" ca="1" si="2"/>
        <v>1.2265636095191941</v>
      </c>
      <c r="K65" s="19">
        <f t="shared" ca="1" si="3"/>
        <v>1.3774660343568377</v>
      </c>
      <c r="L65" s="19">
        <f t="array" aca="1" ref="L65:M65" ca="1">MMULT(J65:K65,TRANSPOSE($B$10:$C$11))</f>
        <v>1.2265636095191941</v>
      </c>
      <c r="M65" s="19">
        <f ca="1"/>
        <v>8.206969810198006E-2</v>
      </c>
      <c r="N65" s="20">
        <f t="shared" ca="1" si="4"/>
        <v>9.9637529370243008E-4</v>
      </c>
      <c r="O65" s="20">
        <f t="shared" ca="1" si="5"/>
        <v>0.12586782865626103</v>
      </c>
      <c r="P65" s="19">
        <f t="shared" ca="1" si="10"/>
        <v>578.17643580610297</v>
      </c>
      <c r="Q65" s="19">
        <f ca="1">HCTrans(P65,Strike,RiskFreeRate,Dividend,Variance_T0*AnnualVarConvtr,(Simulation!G65)/250,0.5,Variance_Avg*AnnualVarConvtr,Lambda,SQRT(Simulation!N65),Rho,1,"Call")</f>
        <v>478.37031338805724</v>
      </c>
      <c r="R65" s="19">
        <f ca="1">BlackScholesImpliedVolatility(P65,Strike,RiskFreeRate,G65/250,Dividend,Q65,0.01,"call")</f>
        <v>0.75180287236760734</v>
      </c>
      <c r="S65" s="19">
        <f t="shared" ca="1" si="23"/>
        <v>1.9725336237856656E-127</v>
      </c>
      <c r="T65" s="19">
        <f t="shared" ca="1" si="24"/>
        <v>-16.830449322655952</v>
      </c>
      <c r="U65" s="19" t="e">
        <f t="shared" ca="1" si="25"/>
        <v>#VALUE!</v>
      </c>
      <c r="V65" s="21"/>
      <c r="X65" s="22"/>
      <c r="Y65" s="22"/>
      <c r="Z65" s="22"/>
    </row>
    <row r="66" spans="7:26" x14ac:dyDescent="0.25">
      <c r="G66" s="19">
        <v>189</v>
      </c>
      <c r="H66" s="19">
        <f t="shared" ca="1" si="26"/>
        <v>0.5101697323476263</v>
      </c>
      <c r="I66" s="19">
        <f t="shared" ca="1" si="26"/>
        <v>2.7823049937303224E-2</v>
      </c>
      <c r="J66" s="19">
        <f t="shared" ca="1" si="2"/>
        <v>1.142499438528443</v>
      </c>
      <c r="K66" s="19">
        <f t="shared" ca="1" si="3"/>
        <v>0.20178858534900823</v>
      </c>
      <c r="L66" s="19">
        <f t="array" aca="1" ref="L66:M66" ca="1">MMULT(J66:K66,TRANSPOSE($B$10:$C$11))</f>
        <v>1.142499438528443</v>
      </c>
      <c r="M66" s="19">
        <f ca="1"/>
        <v>-0.67783573538700914</v>
      </c>
      <c r="N66" s="20">
        <f t="shared" ca="1" si="4"/>
        <v>5.728663144930232E-4</v>
      </c>
      <c r="O66" s="20">
        <f t="shared" ca="1" si="5"/>
        <v>0.12814668979832308</v>
      </c>
      <c r="P66" s="19">
        <f t="shared" ca="1" si="10"/>
        <v>630.0760994201313</v>
      </c>
      <c r="Q66" s="19">
        <f ca="1">HCTrans(P66,Strike,RiskFreeRate,Dividend,Variance_T0*AnnualVarConvtr,(Simulation!G66)/250,0.5,Variance_Avg*AnnualVarConvtr,Lambda,SQRT(Simulation!N66),Rho,1,"Call")</f>
        <v>530.20561066476193</v>
      </c>
      <c r="R66" s="19">
        <f ca="1">BlackScholesImpliedVolatility(P66,Strike,RiskFreeRate,G66/250,Dividend,Q66,0.01,"call")</f>
        <v>0.75180287236760734</v>
      </c>
      <c r="S66" s="19">
        <f t="shared" ca="1" si="23"/>
        <v>0</v>
      </c>
      <c r="T66" s="19">
        <f t="shared" ca="1" si="24"/>
        <v>-1.2428462916499289E-124</v>
      </c>
      <c r="U66" s="19" t="e">
        <f t="shared" ca="1" si="25"/>
        <v>#VALUE!</v>
      </c>
      <c r="V66" s="21"/>
      <c r="X66" s="22"/>
      <c r="Y66" s="22"/>
      <c r="Z66" s="22"/>
    </row>
    <row r="67" spans="7:26" x14ac:dyDescent="0.25">
      <c r="G67" s="19">
        <v>188</v>
      </c>
      <c r="H67" s="19">
        <f t="shared" ca="1" si="26"/>
        <v>0.83890856825729576</v>
      </c>
      <c r="I67" s="19">
        <f t="shared" ca="1" si="26"/>
        <v>0.38512516630750571</v>
      </c>
      <c r="J67" s="19">
        <f t="shared" ca="1" si="2"/>
        <v>-0.44490769911706129</v>
      </c>
      <c r="K67" s="19">
        <f t="shared" ca="1" si="3"/>
        <v>0.39161747952272308</v>
      </c>
      <c r="L67" s="19">
        <f t="array" aca="1" ref="L67:M67" ca="1">MMULT(J67:K67,TRANSPOSE($B$10:$C$11))</f>
        <v>-0.44490769911706129</v>
      </c>
      <c r="M67" s="19">
        <f ca="1"/>
        <v>0.59196366487435348</v>
      </c>
      <c r="N67" s="20">
        <f t="shared" ca="1" si="4"/>
        <v>1.0072669946055916E-3</v>
      </c>
      <c r="O67" s="20">
        <f t="shared" ca="1" si="5"/>
        <v>0.12747206118659862</v>
      </c>
      <c r="P67" s="19">
        <f t="shared" ca="1" si="10"/>
        <v>686.52804492814334</v>
      </c>
      <c r="Q67" s="19">
        <f ca="1">HCTrans(P67,Strike,RiskFreeRate,Dividend,Variance_T0*AnnualVarConvtr,(Simulation!G67)/250,0.5,Variance_Avg*AnnualVarConvtr,Lambda,SQRT(Simulation!N67),Rho,1,"Call")</f>
        <v>586.61152267347904</v>
      </c>
      <c r="R67" s="19">
        <f ca="1">BlackScholesImpliedVolatility(P67,Strike,RiskFreeRate,G67/250,Dividend,Q67,0.01,"call")</f>
        <v>0.75180287236760734</v>
      </c>
      <c r="S67" s="19">
        <f t="shared" ca="1" si="23"/>
        <v>0.99155925470757389</v>
      </c>
      <c r="T67" s="19">
        <f t="shared" ca="1" si="24"/>
        <v>680.73323656479761</v>
      </c>
      <c r="U67" s="19" t="e">
        <f t="shared" ca="1" si="25"/>
        <v>#VALUE!</v>
      </c>
      <c r="V67" s="21"/>
      <c r="X67" s="22"/>
      <c r="Y67" s="22"/>
      <c r="Z67" s="22"/>
    </row>
    <row r="68" spans="7:26" x14ac:dyDescent="0.25">
      <c r="G68" s="19">
        <v>187</v>
      </c>
      <c r="H68" s="19">
        <f t="shared" ca="1" si="26"/>
        <v>0.57033646978758945</v>
      </c>
      <c r="I68" s="19">
        <f t="shared" ca="1" si="26"/>
        <v>0.63335549563997229</v>
      </c>
      <c r="J68" s="19">
        <f t="shared" ca="1" si="2"/>
        <v>-0.70899754993653152</v>
      </c>
      <c r="K68" s="19">
        <f t="shared" ca="1" si="3"/>
        <v>-0.78764209071104285</v>
      </c>
      <c r="L68" s="19">
        <f t="array" aca="1" ref="L68:M68" ca="1">MMULT(J68:K68,TRANSPOSE($B$10:$C$11))</f>
        <v>-0.70899754993653152</v>
      </c>
      <c r="M68" s="19">
        <f ca="1"/>
        <v>-4.1452210544176027E-2</v>
      </c>
      <c r="N68" s="20">
        <f t="shared" ca="1" si="4"/>
        <v>1.0072781178835195E-3</v>
      </c>
      <c r="O68" s="20">
        <f t="shared" ca="1" si="5"/>
        <v>0.12604690859790851</v>
      </c>
      <c r="P68" s="19">
        <f t="shared" ca="1" si="10"/>
        <v>749.82904950029388</v>
      </c>
      <c r="Q68" s="19">
        <f ca="1">HCTrans(P68,Strike,RiskFreeRate,Dividend,Variance_T0*AnnualVarConvtr,(Simulation!G68)/250,0.5,Variance_Avg*AnnualVarConvtr,Lambda,SQRT(Simulation!N68),Rho,1,"Call")</f>
        <v>649.87595410124322</v>
      </c>
      <c r="R68" s="19">
        <f ca="1">BlackScholesImpliedVolatility(P68,Strike,RiskFreeRate,G68/250,Dividend,Q68,0.01,"call")</f>
        <v>0.75180287236760734</v>
      </c>
      <c r="S68" s="19">
        <f t="shared" ca="1" si="23"/>
        <v>0.98251046249516916</v>
      </c>
      <c r="T68" s="19">
        <f t="shared" ca="1" si="24"/>
        <v>-6.7850472637531016</v>
      </c>
      <c r="U68" s="19" t="e">
        <f t="shared" ca="1" si="25"/>
        <v>#VALUE!</v>
      </c>
      <c r="V68" s="21"/>
      <c r="X68" s="22"/>
      <c r="Y68" s="22"/>
      <c r="Z68" s="22"/>
    </row>
    <row r="69" spans="7:26" x14ac:dyDescent="0.25">
      <c r="G69" s="19">
        <v>186</v>
      </c>
      <c r="H69" s="19">
        <f t="shared" ca="1" si="26"/>
        <v>0.84578563565350806</v>
      </c>
      <c r="I69" s="19">
        <f t="shared" ca="1" si="26"/>
        <v>0.41948993846829719</v>
      </c>
      <c r="J69" s="19">
        <f t="shared" ca="1" si="2"/>
        <v>-0.50628682783826351</v>
      </c>
      <c r="K69" s="19">
        <f t="shared" ca="1" si="3"/>
        <v>0.28045021381555829</v>
      </c>
      <c r="L69" s="19">
        <f t="array" aca="1" ref="L69:M69" ca="1">MMULT(J69:K69,TRANSPOSE($B$10:$C$11))</f>
        <v>-0.50628682783826351</v>
      </c>
      <c r="M69" s="19">
        <f ca="1"/>
        <v>0.55839296106654768</v>
      </c>
      <c r="N69" s="20">
        <f t="shared" ca="1" si="4"/>
        <v>1.5207076686259383E-3</v>
      </c>
      <c r="O69" s="20">
        <f t="shared" ca="1" si="5"/>
        <v>0.12502864225112209</v>
      </c>
      <c r="P69" s="19">
        <f t="shared" ca="1" si="10"/>
        <v>818.11305458473316</v>
      </c>
      <c r="Q69" s="19">
        <f ca="1">HCTrans(P69,Strike,RiskFreeRate,Dividend,Variance_T0*AnnualVarConvtr,(Simulation!G69)/250,0.5,Variance_Avg*AnnualVarConvtr,Lambda,SQRT(Simulation!N69),Rho,1,"Call")</f>
        <v>718.1439440729514</v>
      </c>
      <c r="R69" s="19">
        <f ca="1">BlackScholesImpliedVolatility(P69,Strike,RiskFreeRate,G69/250,Dividend,Q69,0.01,"call")</f>
        <v>0.75180287236760734</v>
      </c>
      <c r="S69" s="19">
        <f t="shared" ca="1" si="23"/>
        <v>0.98206426228027921</v>
      </c>
      <c r="T69" s="19">
        <f t="shared" ca="1" si="24"/>
        <v>-0.36504222075997877</v>
      </c>
      <c r="U69" s="19" t="e">
        <f t="shared" ca="1" si="25"/>
        <v>#VALUE!</v>
      </c>
      <c r="V69" s="21"/>
      <c r="X69" s="22"/>
      <c r="Y69" s="22"/>
      <c r="Z69" s="22"/>
    </row>
    <row r="70" spans="7:26" x14ac:dyDescent="0.25">
      <c r="G70" s="19">
        <v>185</v>
      </c>
      <c r="H70" s="19">
        <f t="shared" ca="1" si="26"/>
        <v>5.0845186423807531E-2</v>
      </c>
      <c r="I70" s="19">
        <f t="shared" ca="1" si="26"/>
        <v>0.6952696099245822</v>
      </c>
      <c r="J70" s="19">
        <f t="shared" ref="J70:J133" ca="1" si="27">SQRT(-2*LN(H70))*COS(2*PI()*I70)</f>
        <v>-0.82293007913923411</v>
      </c>
      <c r="K70" s="19">
        <f t="shared" ref="K70:K133" ca="1" si="28">SQRT(-2*LN(H70))*SIN(2*PI()*I70)</f>
        <v>-2.297982970196955</v>
      </c>
      <c r="L70" s="19">
        <f t="array" aca="1" ref="L70:M70" ca="1">MMULT(J70:K70,TRANSPOSE($B$10:$C$11))</f>
        <v>-0.82293007913923411</v>
      </c>
      <c r="M70" s="19">
        <f ca="1"/>
        <v>-1.013413854418366</v>
      </c>
      <c r="N70" s="20">
        <f t="shared" ref="N70:N133" ca="1" si="29">GetVariance(N69,Variance_Avg,Lambda,Eta,M70,"Daily")</f>
        <v>7.3534196543540613E-4</v>
      </c>
      <c r="O70" s="20">
        <f t="shared" ref="O70:O133" ca="1" si="30">GetStockReturns(O69,RiskFreeRate,N69,L70,"Daily")</f>
        <v>0.12299597585163431</v>
      </c>
      <c r="P70" s="19">
        <f t="shared" ca="1" si="10"/>
        <v>891.50873991856122</v>
      </c>
      <c r="Q70" s="19">
        <f ca="1">HCTrans(P70,Strike,RiskFreeRate,Dividend,Variance_T0*AnnualVarConvtr,(Simulation!G70)/250,0.5,Variance_Avg*AnnualVarConvtr,Lambda,SQRT(Simulation!N70),Rho,1,"Call")</f>
        <v>791.52868046299557</v>
      </c>
      <c r="R70" s="19">
        <f ca="1">BlackScholesImpliedVolatility(P70,Strike,RiskFreeRate,G70/250,Dividend,Q70,0.01,"call")</f>
        <v>0.75180287236760734</v>
      </c>
      <c r="S70" s="19">
        <f t="shared" ca="1" si="23"/>
        <v>0.55050445010581117</v>
      </c>
      <c r="T70" s="19">
        <f t="shared" ca="1" si="24"/>
        <v>11.0365960405734</v>
      </c>
      <c r="U70" s="19">
        <f t="shared" ca="1" si="25"/>
        <v>-26.142344578669412</v>
      </c>
      <c r="V70" s="21"/>
      <c r="X70" s="22"/>
      <c r="Y70" s="22"/>
      <c r="Z70" s="22"/>
    </row>
    <row r="71" spans="7:26" x14ac:dyDescent="0.25">
      <c r="G71" s="19">
        <v>184</v>
      </c>
      <c r="H71" s="19">
        <f t="shared" ca="1" si="26"/>
        <v>0.20318330032071519</v>
      </c>
      <c r="I71" s="19">
        <f t="shared" ca="1" si="26"/>
        <v>0.28834442925363724</v>
      </c>
      <c r="J71" s="19">
        <f t="shared" ca="1" si="27"/>
        <v>-0.42597448194231863</v>
      </c>
      <c r="K71" s="19">
        <f t="shared" ca="1" si="28"/>
        <v>1.733735631798049</v>
      </c>
      <c r="L71" s="19">
        <f t="array" aca="1" ref="L71:M71" ca="1">MMULT(J71:K71,TRANSPOSE($B$10:$C$11))</f>
        <v>-0.42597448194231863</v>
      </c>
      <c r="M71" s="19">
        <f ca="1"/>
        <v>1.5146423128449684</v>
      </c>
      <c r="N71" s="20">
        <f t="shared" ca="1" si="29"/>
        <v>2.1207487666711029E-3</v>
      </c>
      <c r="O71" s="20">
        <f t="shared" ca="1" si="30"/>
        <v>0.12226394118927224</v>
      </c>
      <c r="P71" s="19">
        <f t="shared" ref="P71:P134" ca="1" si="31">P70*EXP(O71)</f>
        <v>971.2028550703767</v>
      </c>
      <c r="Q71" s="19">
        <f ca="1">HCTrans(P71,Strike,RiskFreeRate,Dividend,Variance_T0*AnnualVarConvtr,(Simulation!G71)/250,0.5,Variance_Avg*AnnualVarConvtr,Lambda,SQRT(Simulation!N71),Rho,1,"Call")</f>
        <v>29.023356692573202</v>
      </c>
      <c r="R71" s="19">
        <f ca="1">BlackScholesImpliedVolatility(P71,Strike,RiskFreeRate,G71/250,Dividend,Q71,0.01,"call")</f>
        <v>0.75180287236760734</v>
      </c>
      <c r="S71" s="19">
        <f t="shared" ca="1" si="23"/>
        <v>0.55050445010581117</v>
      </c>
      <c r="T71" s="19">
        <f t="shared" ca="1" si="24"/>
        <v>11.0365960405734</v>
      </c>
      <c r="U71" s="19">
        <f t="shared" ca="1" si="25"/>
        <v>-26.142344578669412</v>
      </c>
      <c r="V71" s="21"/>
      <c r="X71" s="22"/>
      <c r="Y71" s="22"/>
      <c r="Z71" s="22"/>
    </row>
    <row r="72" spans="7:26" x14ac:dyDescent="0.25">
      <c r="G72" s="19">
        <v>183</v>
      </c>
      <c r="H72" s="19">
        <f t="shared" ca="1" si="26"/>
        <v>0.17110783110678018</v>
      </c>
      <c r="I72" s="19">
        <f t="shared" ca="1" si="26"/>
        <v>0.99147280169749519</v>
      </c>
      <c r="J72" s="19">
        <f t="shared" ca="1" si="27"/>
        <v>1.8763785581169397</v>
      </c>
      <c r="K72" s="19">
        <f t="shared" ca="1" si="28"/>
        <v>-0.10062885540820769</v>
      </c>
      <c r="L72" s="19">
        <f t="array" aca="1" ref="L72:M72" ca="1">MMULT(J72:K72,TRANSPOSE($B$10:$C$11))</f>
        <v>1.8763785581169397</v>
      </c>
      <c r="M72" s="19">
        <f ca="1"/>
        <v>-1.4146226274395695</v>
      </c>
      <c r="N72" s="20">
        <f t="shared" ca="1" si="29"/>
        <v>8.502637858672404E-4</v>
      </c>
      <c r="O72" s="20">
        <f t="shared" ca="1" si="30"/>
        <v>0.12772476138251432</v>
      </c>
      <c r="P72" s="19">
        <f t="shared" ca="1" si="31"/>
        <v>155.53390179484748</v>
      </c>
      <c r="Q72" s="19">
        <f ca="1">HCTrans(P72,Strike,RiskFreeRate,Dividend,Variance_T0*AnnualVarConvtr,(Simulation!G72)/250,0.5,Variance_Avg*AnnualVarConvtr,Lambda,SQRT(Simulation!N72),Rho,1,"Call")</f>
        <v>29.023356692573202</v>
      </c>
      <c r="R72" s="19">
        <f ca="1">BlackScholesImpliedVolatility(P72,Strike,RiskFreeRate,G72/250,Dividend,Q72,0.01,"call")</f>
        <v>0.75180287236760734</v>
      </c>
      <c r="S72" s="19">
        <f t="shared" ca="1" si="23"/>
        <v>0.55050445010581117</v>
      </c>
      <c r="T72" s="19">
        <f t="shared" ca="1" si="24"/>
        <v>11.0365960405734</v>
      </c>
      <c r="U72" s="19">
        <f t="shared" ca="1" si="25"/>
        <v>-26.142344578669412</v>
      </c>
      <c r="V72" s="21"/>
      <c r="X72" s="22"/>
      <c r="Y72" s="22"/>
      <c r="Z72" s="22"/>
    </row>
    <row r="73" spans="7:26" x14ac:dyDescent="0.25">
      <c r="G73" s="19">
        <v>182</v>
      </c>
      <c r="H73" s="19">
        <f t="shared" ca="1" si="26"/>
        <v>0.33510023069084927</v>
      </c>
      <c r="I73" s="19">
        <f t="shared" ca="1" si="26"/>
        <v>0.79942372837069942</v>
      </c>
      <c r="J73" s="19">
        <f t="shared" ca="1" si="27"/>
        <v>0.45185845962151305</v>
      </c>
      <c r="K73" s="19">
        <f t="shared" ca="1" si="28"/>
        <v>-1.4080039503136663</v>
      </c>
      <c r="L73" s="19">
        <f t="array" aca="1" ref="L73:M73" ca="1">MMULT(J73:K73,TRANSPOSE($B$10:$C$11))</f>
        <v>0.45185845962151305</v>
      </c>
      <c r="M73" s="19">
        <f ca="1"/>
        <v>-1.3059619666091142</v>
      </c>
      <c r="N73" s="20">
        <f t="shared" ca="1" si="29"/>
        <v>2.0571348551807288E-4</v>
      </c>
      <c r="O73" s="20">
        <f t="shared" ca="1" si="30"/>
        <v>0.12855637596020072</v>
      </c>
      <c r="P73" s="19">
        <f t="shared" ca="1" si="31"/>
        <v>152.52325379160652</v>
      </c>
      <c r="Q73" s="19">
        <f ca="1">HCTrans(P73,Strike,RiskFreeRate,Dividend,Variance_T0*AnnualVarConvtr,(Simulation!G73)/250,0.5,Variance_Avg*AnnualVarConvtr,Lambda,SQRT(Simulation!N73),Rho,1,"Call")</f>
        <v>29.023356692573202</v>
      </c>
      <c r="R73" s="19">
        <f ca="1">BlackScholesImpliedVolatility(P73,Strike,RiskFreeRate,G73/250,Dividend,Q73,0.01,"call")</f>
        <v>0.75180287236760734</v>
      </c>
      <c r="S73" s="19">
        <f t="shared" ref="S73:S136" ca="1" si="32">BSdelta(1,P73,Strike,R73/AnnualVarConvtr,Dividend,RiskFreeRate,G73/250)</f>
        <v>0.55050445010581117</v>
      </c>
      <c r="T73" s="19">
        <f t="shared" ref="T73:T136" ca="1" si="33">(S73-S72)*P73</f>
        <v>11.0365960405734</v>
      </c>
      <c r="U73" s="19">
        <f t="shared" ref="U73:U136" ca="1" si="34">(Q73-Q72)+U72-T73</f>
        <v>-26.142344578669412</v>
      </c>
      <c r="V73" s="21"/>
      <c r="X73" s="22"/>
      <c r="Y73" s="22"/>
      <c r="Z73" s="22"/>
    </row>
    <row r="74" spans="7:26" x14ac:dyDescent="0.25">
      <c r="G74" s="19">
        <v>181</v>
      </c>
      <c r="H74" s="19">
        <f t="shared" ca="1" si="26"/>
        <v>0.3468834138238206</v>
      </c>
      <c r="I74" s="19">
        <f t="shared" ca="1" si="26"/>
        <v>0.54624686437710512</v>
      </c>
      <c r="J74" s="19">
        <f t="shared" ca="1" si="27"/>
        <v>-1.3941715496039222</v>
      </c>
      <c r="K74" s="19">
        <f t="shared" ca="1" si="28"/>
        <v>-0.41691578009098917</v>
      </c>
      <c r="L74" s="19">
        <f t="array" aca="1" ref="L74:M74" ca="1">MMULT(J74:K74,TRANSPOSE($B$10:$C$11))</f>
        <v>-1.3941715496039222</v>
      </c>
      <c r="M74" s="19">
        <f ca="1"/>
        <v>0.70808884892504564</v>
      </c>
      <c r="N74" s="20">
        <f t="shared" ca="1" si="29"/>
        <v>5.6636483537268495E-4</v>
      </c>
      <c r="O74" s="20">
        <f t="shared" ca="1" si="30"/>
        <v>0.12729129343684947</v>
      </c>
      <c r="P74" s="19">
        <f t="shared" ca="1" si="31"/>
        <v>148.41071123588281</v>
      </c>
      <c r="Q74" s="19">
        <f ca="1">HCTrans(P74,Strike,RiskFreeRate,Dividend,Variance_T0*AnnualVarConvtr,(Simulation!G74)/250,0.5,Variance_Avg*AnnualVarConvtr,Lambda,SQRT(Simulation!N74),Rho,1,"Call")</f>
        <v>29.023356692573202</v>
      </c>
      <c r="R74" s="19">
        <f ca="1">BlackScholesImpliedVolatility(P74,Strike,RiskFreeRate,G74/250,Dividend,Q74,0.01,"call")</f>
        <v>0.75180287236760734</v>
      </c>
      <c r="S74" s="19">
        <f t="shared" ca="1" si="32"/>
        <v>0.55050445010581117</v>
      </c>
      <c r="T74" s="19">
        <f t="shared" ca="1" si="33"/>
        <v>11.0365960405734</v>
      </c>
      <c r="U74" s="19">
        <f t="shared" ca="1" si="34"/>
        <v>-26.142344578669412</v>
      </c>
      <c r="V74" s="21"/>
      <c r="X74" s="22"/>
      <c r="Y74" s="22"/>
      <c r="Z74" s="22"/>
    </row>
    <row r="75" spans="7:26" x14ac:dyDescent="0.25">
      <c r="G75" s="19">
        <v>180</v>
      </c>
      <c r="H75" s="19">
        <f t="shared" ca="1" si="26"/>
        <v>0.21111876289704579</v>
      </c>
      <c r="I75" s="19">
        <f t="shared" ca="1" si="26"/>
        <v>0.85482050297255174</v>
      </c>
      <c r="J75" s="19">
        <f t="shared" ca="1" si="27"/>
        <v>1.0794171809410511</v>
      </c>
      <c r="K75" s="19">
        <f t="shared" ca="1" si="28"/>
        <v>-1.394821652587535</v>
      </c>
      <c r="L75" s="19">
        <f t="array" aca="1" ref="L75:M75" ca="1">MMULT(J75:K75,TRANSPOSE($B$10:$C$11))</f>
        <v>1.0794171809410511</v>
      </c>
      <c r="M75" s="19">
        <f ca="1"/>
        <v>-1.7464119897066532</v>
      </c>
      <c r="N75" s="20">
        <f t="shared" ca="1" si="29"/>
        <v>4.004724777364606E-5</v>
      </c>
      <c r="O75" s="20">
        <f t="shared" ca="1" si="30"/>
        <v>0.12891483931638659</v>
      </c>
      <c r="P75" s="19">
        <f t="shared" ca="1" si="31"/>
        <v>143.16835501188464</v>
      </c>
      <c r="Q75" s="19">
        <f ca="1">HCTrans(P75,Strike,RiskFreeRate,Dividend,Variance_T0*AnnualVarConvtr,(Simulation!G75)/250,0.5,Variance_Avg*AnnualVarConvtr,Lambda,SQRT(Simulation!N75),Rho,1,"Call")</f>
        <v>29.023356692573202</v>
      </c>
      <c r="R75" s="19">
        <f ca="1">BlackScholesImpliedVolatility(P75,Strike,RiskFreeRate,G75/250,Dividend,Q75,0.01,"call")</f>
        <v>0.75180287236760734</v>
      </c>
      <c r="S75" s="19">
        <f t="shared" ca="1" si="32"/>
        <v>0.55050445010581117</v>
      </c>
      <c r="T75" s="19">
        <f t="shared" ca="1" si="33"/>
        <v>11.0365960405734</v>
      </c>
      <c r="U75" s="19">
        <f t="shared" ca="1" si="34"/>
        <v>-26.142344578669412</v>
      </c>
      <c r="V75" s="21"/>
      <c r="X75" s="22"/>
      <c r="Y75" s="22"/>
      <c r="Z75" s="22"/>
    </row>
    <row r="76" spans="7:26" x14ac:dyDescent="0.25">
      <c r="G76" s="19">
        <v>179</v>
      </c>
      <c r="H76" s="19">
        <f t="shared" ca="1" si="26"/>
        <v>0.63993699454775355</v>
      </c>
      <c r="I76" s="19">
        <f t="shared" ca="1" si="26"/>
        <v>0.33442306689207402</v>
      </c>
      <c r="J76" s="19">
        <f t="shared" ca="1" si="27"/>
        <v>-0.4780244552892865</v>
      </c>
      <c r="K76" s="19">
        <f t="shared" ca="1" si="28"/>
        <v>0.81502375863084187</v>
      </c>
      <c r="L76" s="19">
        <f t="array" aca="1" ref="L76:M76" ca="1">MMULT(J76:K76,TRANSPOSE($B$10:$C$11))</f>
        <v>-0.4780244552892865</v>
      </c>
      <c r="M76" s="19">
        <f ca="1"/>
        <v>0.91105457536860257</v>
      </c>
      <c r="N76" s="20">
        <f t="shared" ca="1" si="29"/>
        <v>3.4331734449806044E-4</v>
      </c>
      <c r="O76" s="20">
        <f t="shared" ca="1" si="30"/>
        <v>0.12872343654514681</v>
      </c>
      <c r="P76" s="19">
        <f t="shared" ca="1" si="31"/>
        <v>137.9635716768216</v>
      </c>
      <c r="Q76" s="19">
        <f ca="1">HCTrans(P76,Strike,RiskFreeRate,Dividend,Variance_T0*AnnualVarConvtr,(Simulation!G76)/250,0.5,Variance_Avg*AnnualVarConvtr,Lambda,SQRT(Simulation!N76),Rho,1,"Call")</f>
        <v>29.023356692573202</v>
      </c>
      <c r="R76" s="19">
        <f ca="1">BlackScholesImpliedVolatility(P76,Strike,RiskFreeRate,G76/250,Dividend,Q76,0.01,"call")</f>
        <v>0.75180287236760734</v>
      </c>
      <c r="S76" s="19">
        <f t="shared" ca="1" si="32"/>
        <v>0.55050445010581117</v>
      </c>
      <c r="T76" s="19">
        <f t="shared" ca="1" si="33"/>
        <v>11.0365960405734</v>
      </c>
      <c r="U76" s="19">
        <f t="shared" ca="1" si="34"/>
        <v>-26.142344578669412</v>
      </c>
      <c r="V76" s="21"/>
      <c r="X76" s="22"/>
      <c r="Y76" s="22"/>
      <c r="Z76" s="22"/>
    </row>
    <row r="77" spans="7:26" x14ac:dyDescent="0.25">
      <c r="G77" s="19">
        <v>178</v>
      </c>
      <c r="H77" s="19">
        <f t="shared" ca="1" si="26"/>
        <v>0.96960209993789281</v>
      </c>
      <c r="I77" s="19">
        <f t="shared" ca="1" si="26"/>
        <v>0.71059675280092127</v>
      </c>
      <c r="J77" s="19">
        <f t="shared" ca="1" si="27"/>
        <v>-6.0889988921842705E-2</v>
      </c>
      <c r="K77" s="19">
        <f t="shared" ca="1" si="28"/>
        <v>-0.24089708390286321</v>
      </c>
      <c r="L77" s="19">
        <f t="array" aca="1" ref="L77:M77" ca="1">MMULT(J77:K77,TRANSPOSE($B$10:$C$11))</f>
        <v>-6.0889988921842705E-2</v>
      </c>
      <c r="M77" s="19">
        <f ca="1"/>
        <v>-0.12441901900886053</v>
      </c>
      <c r="N77" s="20">
        <f t="shared" ca="1" si="29"/>
        <v>3.2464778691959715E-4</v>
      </c>
      <c r="O77" s="20">
        <f t="shared" ca="1" si="30"/>
        <v>0.12865139501683207</v>
      </c>
      <c r="P77" s="19">
        <f t="shared" ca="1" si="31"/>
        <v>131.46278092745098</v>
      </c>
      <c r="Q77" s="19">
        <f ca="1">HCTrans(P77,Strike,RiskFreeRate,Dividend,Variance_T0*AnnualVarConvtr,(Simulation!G77)/250,0.5,Variance_Avg*AnnualVarConvtr,Lambda,SQRT(Simulation!N77),Rho,1,"Call")</f>
        <v>29.023356692573202</v>
      </c>
      <c r="R77" s="19">
        <f ca="1">BlackScholesImpliedVolatility(P77,Strike,RiskFreeRate,G77/250,Dividend,Q77,0.01,"call")</f>
        <v>0.75180287236760734</v>
      </c>
      <c r="S77" s="19">
        <f t="shared" ca="1" si="32"/>
        <v>0.55050445010581117</v>
      </c>
      <c r="T77" s="19">
        <f t="shared" ca="1" si="33"/>
        <v>11.0365960405734</v>
      </c>
      <c r="U77" s="19">
        <f t="shared" ca="1" si="34"/>
        <v>-26.142344578669412</v>
      </c>
      <c r="V77" s="21"/>
      <c r="X77" s="22"/>
      <c r="Y77" s="22"/>
      <c r="Z77" s="22"/>
    </row>
    <row r="78" spans="7:26" x14ac:dyDescent="0.25">
      <c r="G78" s="19">
        <v>177</v>
      </c>
      <c r="H78" s="19">
        <f t="shared" ca="1" si="26"/>
        <v>0.95254901616128762</v>
      </c>
      <c r="I78" s="19">
        <f t="shared" ca="1" si="26"/>
        <v>0.18069136568435429</v>
      </c>
      <c r="J78" s="19">
        <f t="shared" ca="1" si="27"/>
        <v>0.1315367261936676</v>
      </c>
      <c r="K78" s="19">
        <f t="shared" ca="1" si="28"/>
        <v>0.28271101004265886</v>
      </c>
      <c r="L78" s="19">
        <f t="array" aca="1" ref="L78:M78" ca="1">MMULT(J78:K78,TRANSPOSE($B$10:$C$11))</f>
        <v>0.1315367261936676</v>
      </c>
      <c r="M78" s="19">
        <f ca="1"/>
        <v>0.10296948686683771</v>
      </c>
      <c r="N78" s="20">
        <f t="shared" ca="1" si="29"/>
        <v>4.0736424198444828E-4</v>
      </c>
      <c r="O78" s="20">
        <f t="shared" ca="1" si="30"/>
        <v>0.12880063937556863</v>
      </c>
      <c r="P78" s="19">
        <f t="shared" ca="1" si="31"/>
        <v>126.7663685008098</v>
      </c>
      <c r="Q78" s="19">
        <f ca="1">HCTrans(P78,Strike,RiskFreeRate,Dividend,Variance_T0*AnnualVarConvtr,(Simulation!G78)/250,0.5,Variance_Avg*AnnualVarConvtr,Lambda,SQRT(Simulation!N78),Rho,1,"Call")</f>
        <v>29.023356692573202</v>
      </c>
      <c r="R78" s="19">
        <f ca="1">BlackScholesImpliedVolatility(P78,Strike,RiskFreeRate,G78/250,Dividend,Q78,0.01,"call")</f>
        <v>0.75180287236760734</v>
      </c>
      <c r="S78" s="19">
        <f t="shared" ca="1" si="32"/>
        <v>0.55050445010581117</v>
      </c>
      <c r="T78" s="19">
        <f t="shared" ca="1" si="33"/>
        <v>11.0365960405734</v>
      </c>
      <c r="U78" s="19">
        <f t="shared" ca="1" si="34"/>
        <v>-26.142344578669412</v>
      </c>
      <c r="V78" s="21"/>
      <c r="X78" s="22"/>
      <c r="Y78" s="22"/>
      <c r="Z78" s="22"/>
    </row>
    <row r="79" spans="7:26" x14ac:dyDescent="0.25">
      <c r="G79" s="19">
        <v>176</v>
      </c>
      <c r="H79" s="19">
        <f t="shared" ca="1" si="26"/>
        <v>0.48449473320975167</v>
      </c>
      <c r="I79" s="19">
        <f t="shared" ca="1" si="26"/>
        <v>0.95047405953458652</v>
      </c>
      <c r="J79" s="19">
        <f t="shared" ca="1" si="27"/>
        <v>1.1460492262260678</v>
      </c>
      <c r="K79" s="19">
        <f t="shared" ca="1" si="28"/>
        <v>-0.36860359144160526</v>
      </c>
      <c r="L79" s="19">
        <f t="array" aca="1" ref="L79:M79" ca="1">MMULT(J79:K79,TRANSPOSE($B$10:$C$11))</f>
        <v>1.1460492262260678</v>
      </c>
      <c r="M79" s="19">
        <f ca="1"/>
        <v>-1.0782773778010948</v>
      </c>
      <c r="N79" s="20">
        <f t="shared" ca="1" si="29"/>
        <v>8.3680937036833731E-5</v>
      </c>
      <c r="O79" s="20">
        <f t="shared" ca="1" si="30"/>
        <v>0.13026275860225689</v>
      </c>
      <c r="P79" s="19">
        <f t="shared" ca="1" si="31"/>
        <v>123.32254274141333</v>
      </c>
      <c r="Q79" s="19">
        <f ca="1">HCTrans(P79,Strike,RiskFreeRate,Dividend,Variance_T0*AnnualVarConvtr,(Simulation!G79)/250,0.5,Variance_Avg*AnnualVarConvtr,Lambda,SQRT(Simulation!N79),Rho,1,"Call")</f>
        <v>29.023356692573202</v>
      </c>
      <c r="R79" s="19">
        <f ca="1">BlackScholesImpliedVolatility(P79,Strike,RiskFreeRate,G79/250,Dividend,Q79,0.01,"call")</f>
        <v>0.75180287236760734</v>
      </c>
      <c r="S79" s="19">
        <f t="shared" ca="1" si="32"/>
        <v>0.55050445010581117</v>
      </c>
      <c r="T79" s="19">
        <f t="shared" ca="1" si="33"/>
        <v>11.0365960405734</v>
      </c>
      <c r="U79" s="19">
        <f t="shared" ca="1" si="34"/>
        <v>-26.142344578669412</v>
      </c>
      <c r="V79" s="21"/>
      <c r="X79" s="22"/>
      <c r="Y79" s="22"/>
      <c r="Z79" s="22"/>
    </row>
    <row r="80" spans="7:26" x14ac:dyDescent="0.25">
      <c r="G80" s="19">
        <v>175</v>
      </c>
      <c r="H80" s="19">
        <f t="shared" ca="1" si="26"/>
        <v>0.7575074831986518</v>
      </c>
      <c r="I80" s="19">
        <f t="shared" ca="1" si="26"/>
        <v>0.12053670583081799</v>
      </c>
      <c r="J80" s="19">
        <f t="shared" ca="1" si="27"/>
        <v>0.54156292052559896</v>
      </c>
      <c r="K80" s="19">
        <f t="shared" ca="1" si="28"/>
        <v>0.51200911006191774</v>
      </c>
      <c r="L80" s="19">
        <f t="array" aca="1" ref="L80:M80" ca="1">MMULT(J80:K80,TRANSPOSE($B$10:$C$11))</f>
        <v>0.54156292052559896</v>
      </c>
      <c r="M80" s="19">
        <f ca="1"/>
        <v>-3.0858886730458501E-2</v>
      </c>
      <c r="N80" s="20">
        <f t="shared" ca="1" si="29"/>
        <v>1.1380985038732739E-4</v>
      </c>
      <c r="O80" s="20">
        <f t="shared" ca="1" si="30"/>
        <v>0.13057591417433762</v>
      </c>
      <c r="P80" s="19">
        <f t="shared" ca="1" si="31"/>
        <v>120.24187725650067</v>
      </c>
      <c r="Q80" s="19">
        <f ca="1">HCTrans(P80,Strike,RiskFreeRate,Dividend,Variance_T0*AnnualVarConvtr,(Simulation!G80)/250,0.5,Variance_Avg*AnnualVarConvtr,Lambda,SQRT(Simulation!N80),Rho,1,"Call")</f>
        <v>29.023356692573202</v>
      </c>
      <c r="R80" s="19">
        <f ca="1">BlackScholesImpliedVolatility(P80,Strike,RiskFreeRate,G80/250,Dividend,Q80,0.01,"call")</f>
        <v>0.75180287236760734</v>
      </c>
      <c r="S80" s="19">
        <f t="shared" ca="1" si="32"/>
        <v>0.55050445010581117</v>
      </c>
      <c r="T80" s="19">
        <f t="shared" ca="1" si="33"/>
        <v>11.0365960405734</v>
      </c>
      <c r="U80" s="19">
        <f t="shared" ca="1" si="34"/>
        <v>-26.142344578669412</v>
      </c>
      <c r="V80" s="21"/>
      <c r="X80" s="22"/>
      <c r="Y80" s="22"/>
      <c r="Z80" s="22"/>
    </row>
    <row r="81" spans="7:26" x14ac:dyDescent="0.25">
      <c r="G81" s="19">
        <v>174</v>
      </c>
      <c r="H81" s="19">
        <f t="shared" ca="1" si="26"/>
        <v>0.66238859387736515</v>
      </c>
      <c r="I81" s="19">
        <f t="shared" ca="1" si="26"/>
        <v>0.57070012633974632</v>
      </c>
      <c r="J81" s="19">
        <f t="shared" ca="1" si="27"/>
        <v>-0.81954698600931386</v>
      </c>
      <c r="K81" s="19">
        <f t="shared" ca="1" si="28"/>
        <v>-0.39006221121483425</v>
      </c>
      <c r="L81" s="19">
        <f t="array" aca="1" ref="L81:M81" ca="1">MMULT(J81:K81,TRANSPOSE($B$10:$C$11))</f>
        <v>-0.81954698600931386</v>
      </c>
      <c r="M81" s="19">
        <f ca="1"/>
        <v>0.3151030521138431</v>
      </c>
      <c r="N81" s="20">
        <f t="shared" ca="1" si="29"/>
        <v>2.4790888925127296E-4</v>
      </c>
      <c r="O81" s="20">
        <f t="shared" ca="1" si="30"/>
        <v>0.13002272647459018</v>
      </c>
      <c r="P81" s="19">
        <f t="shared" ca="1" si="31"/>
        <v>115.44119735890044</v>
      </c>
      <c r="Q81" s="19">
        <f ca="1">HCTrans(P81,Strike,RiskFreeRate,Dividend,Variance_T0*AnnualVarConvtr,(Simulation!G81)/250,0.5,Variance_Avg*AnnualVarConvtr,Lambda,SQRT(Simulation!N81),Rho,1,"Call")</f>
        <v>29.023356692573202</v>
      </c>
      <c r="R81" s="19">
        <f ca="1">BlackScholesImpliedVolatility(P81,Strike,RiskFreeRate,G81/250,Dividend,Q81,0.01,"call")</f>
        <v>0.75180287236760734</v>
      </c>
      <c r="S81" s="19">
        <f t="shared" ca="1" si="32"/>
        <v>0.55050445010581117</v>
      </c>
      <c r="T81" s="19">
        <f t="shared" ca="1" si="33"/>
        <v>11.0365960405734</v>
      </c>
      <c r="U81" s="19">
        <f t="shared" ca="1" si="34"/>
        <v>-26.142344578669412</v>
      </c>
      <c r="V81" s="21"/>
      <c r="X81" s="22"/>
      <c r="Y81" s="22"/>
      <c r="Z81" s="22"/>
    </row>
    <row r="82" spans="7:26" x14ac:dyDescent="0.25">
      <c r="G82" s="19">
        <v>173</v>
      </c>
      <c r="H82" s="19">
        <f t="shared" ca="1" si="26"/>
        <v>0.25550338939120065</v>
      </c>
      <c r="I82" s="19">
        <f t="shared" ca="1" si="26"/>
        <v>0.15575840229452476</v>
      </c>
      <c r="J82" s="19">
        <f t="shared" ca="1" si="27"/>
        <v>0.92202943195583142</v>
      </c>
      <c r="K82" s="19">
        <f t="shared" ca="1" si="28"/>
        <v>1.3707300733630858</v>
      </c>
      <c r="L82" s="19">
        <f t="array" aca="1" ref="L82:M82" ca="1">MMULT(J82:K82,TRANSPOSE($B$10:$C$11))</f>
        <v>0.92202943195583142</v>
      </c>
      <c r="M82" s="19">
        <f ca="1"/>
        <v>0.29556951688913857</v>
      </c>
      <c r="N82" s="20">
        <f t="shared" ca="1" si="29"/>
        <v>4.1118930518736058E-4</v>
      </c>
      <c r="O82" s="20">
        <f t="shared" ca="1" si="30"/>
        <v>0.13094039585995718</v>
      </c>
      <c r="P82" s="19">
        <f t="shared" ca="1" si="31"/>
        <v>110.51447246945254</v>
      </c>
      <c r="Q82" s="19">
        <f ca="1">HCTrans(P82,Strike,RiskFreeRate,Dividend,Variance_T0*AnnualVarConvtr,(Simulation!G82)/250,0.5,Variance_Avg*AnnualVarConvtr,Lambda,SQRT(Simulation!N82),Rho,1,"Call")</f>
        <v>29.023356692573202</v>
      </c>
      <c r="R82" s="19">
        <f ca="1">BlackScholesImpliedVolatility(P82,Strike,RiskFreeRate,G82/250,Dividend,Q82,0.01,"call")</f>
        <v>0.75180287236760734</v>
      </c>
      <c r="S82" s="19">
        <f t="shared" ca="1" si="32"/>
        <v>0.55050445010581117</v>
      </c>
      <c r="T82" s="19">
        <f t="shared" ca="1" si="33"/>
        <v>11.0365960405734</v>
      </c>
      <c r="U82" s="19">
        <f t="shared" ca="1" si="34"/>
        <v>-26.142344578669412</v>
      </c>
      <c r="V82" s="21"/>
      <c r="X82" s="22"/>
      <c r="Y82" s="22"/>
      <c r="Z82" s="22"/>
    </row>
    <row r="83" spans="7:26" x14ac:dyDescent="0.25">
      <c r="G83" s="19">
        <v>172</v>
      </c>
      <c r="H83" s="19">
        <f t="shared" ca="1" si="26"/>
        <v>0.68165235557642578</v>
      </c>
      <c r="I83" s="19">
        <f t="shared" ca="1" si="26"/>
        <v>8.2639041070646124E-2</v>
      </c>
      <c r="J83" s="19">
        <f t="shared" ca="1" si="27"/>
        <v>0.76009313722659555</v>
      </c>
      <c r="K83" s="19">
        <f t="shared" ca="1" si="28"/>
        <v>0.43442998291705232</v>
      </c>
      <c r="L83" s="19">
        <f t="array" aca="1" ref="L83:M83" ca="1">MMULT(J83:K83,TRANSPOSE($B$10:$C$11))</f>
        <v>0.76009313722659555</v>
      </c>
      <c r="M83" s="19">
        <f ca="1"/>
        <v>-0.24155398465017164</v>
      </c>
      <c r="N83" s="20">
        <f t="shared" ca="1" si="29"/>
        <v>3.3502616052826005E-4</v>
      </c>
      <c r="O83" s="20">
        <f t="shared" ca="1" si="30"/>
        <v>0.131914378400766</v>
      </c>
      <c r="P83" s="19">
        <f t="shared" ca="1" si="31"/>
        <v>105.93403240319266</v>
      </c>
      <c r="Q83" s="19">
        <f ca="1">HCTrans(P83,Strike,RiskFreeRate,Dividend,Variance_T0*AnnualVarConvtr,(Simulation!G83)/250,0.5,Variance_Avg*AnnualVarConvtr,Lambda,SQRT(Simulation!N83),Rho,1,"Call")</f>
        <v>29.023356692573202</v>
      </c>
      <c r="R83" s="19">
        <f ca="1">BlackScholesImpliedVolatility(P83,Strike,RiskFreeRate,G83/250,Dividend,Q83,0.01,"call")</f>
        <v>0.75180287236760734</v>
      </c>
      <c r="S83" s="19">
        <f t="shared" ca="1" si="32"/>
        <v>0.55050445010581117</v>
      </c>
      <c r="T83" s="19">
        <f t="shared" ca="1" si="33"/>
        <v>11.0365960405734</v>
      </c>
      <c r="U83" s="19">
        <f t="shared" ca="1" si="34"/>
        <v>-26.142344578669412</v>
      </c>
      <c r="V83" s="21"/>
      <c r="X83" s="22"/>
      <c r="Y83" s="22"/>
      <c r="Z83" s="22"/>
    </row>
    <row r="84" spans="7:26" x14ac:dyDescent="0.25">
      <c r="G84" s="19">
        <v>171</v>
      </c>
      <c r="H84" s="19">
        <f t="shared" ca="1" si="26"/>
        <v>1.6446942245921359E-2</v>
      </c>
      <c r="I84" s="19">
        <f t="shared" ca="1" si="26"/>
        <v>0.27950342790225868</v>
      </c>
      <c r="J84" s="19">
        <f t="shared" ca="1" si="27"/>
        <v>-0.52828957008773347</v>
      </c>
      <c r="K84" s="19">
        <f t="shared" ca="1" si="28"/>
        <v>2.8171158179329683</v>
      </c>
      <c r="L84" s="19">
        <f t="array" aca="1" ref="L84:M84" ca="1">MMULT(J84:K84,TRANSPOSE($B$10:$C$11))</f>
        <v>-0.52828957008773347</v>
      </c>
      <c r="M84" s="19">
        <f ca="1"/>
        <v>2.3437031063591416</v>
      </c>
      <c r="N84" s="20">
        <f t="shared" ca="1" si="29"/>
        <v>2.2481366117401563E-3</v>
      </c>
      <c r="O84" s="20">
        <f t="shared" ca="1" si="30"/>
        <v>0.13130214508093227</v>
      </c>
      <c r="P84" s="19">
        <f t="shared" ca="1" si="31"/>
        <v>99.811683085270218</v>
      </c>
      <c r="Q84" s="19">
        <f ca="1">HCTrans(P84,Strike,RiskFreeRate,Dividend,Variance_T0*AnnualVarConvtr,(Simulation!G84)/250,0.5,Variance_Avg*AnnualVarConvtr,Lambda,SQRT(Simulation!N84),Rho,1,"Call")</f>
        <v>29.023356692573202</v>
      </c>
      <c r="R84" s="19">
        <f ca="1">BlackScholesImpliedVolatility(P84,Strike,RiskFreeRate,G84/250,Dividend,Q84,0.01,"call")</f>
        <v>0.75180287236760734</v>
      </c>
      <c r="S84" s="19">
        <f t="shared" ca="1" si="32"/>
        <v>0.55050445010581117</v>
      </c>
      <c r="T84" s="19">
        <f t="shared" ca="1" si="33"/>
        <v>11.0365960405734</v>
      </c>
      <c r="U84" s="19">
        <f t="shared" ca="1" si="34"/>
        <v>-26.142344578669412</v>
      </c>
      <c r="V84" s="21"/>
      <c r="X84" s="22"/>
      <c r="Y84" s="22"/>
      <c r="Z84" s="22"/>
    </row>
    <row r="85" spans="7:26" x14ac:dyDescent="0.25">
      <c r="G85" s="19">
        <v>170</v>
      </c>
      <c r="H85" s="19">
        <f t="shared" ca="1" si="26"/>
        <v>0.19645066922766119</v>
      </c>
      <c r="I85" s="19">
        <f t="shared" ca="1" si="26"/>
        <v>0.12873354316835606</v>
      </c>
      <c r="J85" s="19">
        <f t="shared" ca="1" si="27"/>
        <v>1.2454002155885611</v>
      </c>
      <c r="K85" s="19">
        <f t="shared" ca="1" si="28"/>
        <v>1.3052456304342865</v>
      </c>
      <c r="L85" s="19">
        <f t="array" aca="1" ref="L85:M85" ca="1">MMULT(J85:K85,TRANSPOSE($B$10:$C$11))</f>
        <v>1.2454002155885611</v>
      </c>
      <c r="M85" s="19">
        <f ca="1"/>
        <v>1.8193248345763635E-2</v>
      </c>
      <c r="N85" s="20">
        <f t="shared" ca="1" si="29"/>
        <v>2.2947715351475145E-3</v>
      </c>
      <c r="O85" s="20">
        <f t="shared" ca="1" si="30"/>
        <v>0.13503230202459635</v>
      </c>
      <c r="P85" s="19">
        <f t="shared" ca="1" si="31"/>
        <v>93.242786793854393</v>
      </c>
      <c r="Q85" s="19">
        <f ca="1">HCTrans(P85,Strike,RiskFreeRate,Dividend,Variance_T0*AnnualVarConvtr,(Simulation!G85)/250,0.5,Variance_Avg*AnnualVarConvtr,Lambda,SQRT(Simulation!N85),Rho,1,"Call")</f>
        <v>29.023356692573202</v>
      </c>
      <c r="R85" s="19">
        <f ca="1">BlackScholesImpliedVolatility(P85,Strike,RiskFreeRate,G85/250,Dividend,Q85,0.01,"call")</f>
        <v>0.75180287236760734</v>
      </c>
      <c r="S85" s="19">
        <f t="shared" ca="1" si="32"/>
        <v>0.55050445010581117</v>
      </c>
      <c r="T85" s="19">
        <f t="shared" ca="1" si="33"/>
        <v>11.0365960405734</v>
      </c>
      <c r="U85" s="19">
        <f t="shared" ca="1" si="34"/>
        <v>-26.142344578669412</v>
      </c>
      <c r="V85" s="21"/>
      <c r="X85" s="22"/>
      <c r="Y85" s="22"/>
      <c r="Z85" s="22"/>
    </row>
    <row r="86" spans="7:26" x14ac:dyDescent="0.25">
      <c r="G86" s="19">
        <v>169</v>
      </c>
      <c r="H86" s="19">
        <f t="shared" ca="1" si="26"/>
        <v>0.25270081898447638</v>
      </c>
      <c r="I86" s="19">
        <f t="shared" ca="1" si="26"/>
        <v>0.10962490662635549</v>
      </c>
      <c r="J86" s="19">
        <f t="shared" ca="1" si="27"/>
        <v>1.2804949091570259</v>
      </c>
      <c r="K86" s="19">
        <f t="shared" ca="1" si="28"/>
        <v>1.0542442008082487</v>
      </c>
      <c r="L86" s="19">
        <f t="array" aca="1" ref="L86:M86" ca="1">MMULT(J86:K86,TRANSPOSE($B$10:$C$11))</f>
        <v>1.2804949091570259</v>
      </c>
      <c r="M86" s="19">
        <f ca="1"/>
        <v>-0.18204745681029488</v>
      </c>
      <c r="N86" s="20">
        <f t="shared" ca="1" si="29"/>
        <v>2.1111035260853073E-3</v>
      </c>
      <c r="O86" s="20">
        <f t="shared" ca="1" si="30"/>
        <v>0.13890722876378472</v>
      </c>
      <c r="P86" s="19">
        <f t="shared" ca="1" si="31"/>
        <v>87.703067212773092</v>
      </c>
      <c r="Q86" s="19">
        <f ca="1">HCTrans(P86,Strike,RiskFreeRate,Dividend,Variance_T0*AnnualVarConvtr,(Simulation!G86)/250,0.5,Variance_Avg*AnnualVarConvtr,Lambda,SQRT(Simulation!N86),Rho,1,"Call")</f>
        <v>29.023356692573202</v>
      </c>
      <c r="R86" s="19">
        <f ca="1">BlackScholesImpliedVolatility(P86,Strike,RiskFreeRate,G86/250,Dividend,Q86,0.01,"call")</f>
        <v>0.75180287236760734</v>
      </c>
      <c r="S86" s="19">
        <f t="shared" ca="1" si="32"/>
        <v>0.55050445010581117</v>
      </c>
      <c r="T86" s="19">
        <f t="shared" ca="1" si="33"/>
        <v>11.0365960405734</v>
      </c>
      <c r="U86" s="19">
        <f t="shared" ca="1" si="34"/>
        <v>-26.142344578669412</v>
      </c>
      <c r="V86" s="21"/>
      <c r="X86" s="22"/>
      <c r="Y86" s="22"/>
      <c r="Z86" s="22"/>
    </row>
    <row r="87" spans="7:26" x14ac:dyDescent="0.25">
      <c r="G87" s="19">
        <v>168</v>
      </c>
      <c r="H87" s="19">
        <f t="shared" ca="1" si="26"/>
        <v>0.94755696191259742</v>
      </c>
      <c r="I87" s="19">
        <f t="shared" ca="1" si="26"/>
        <v>0.33527238143285609</v>
      </c>
      <c r="J87" s="19">
        <f t="shared" ca="1" si="27"/>
        <v>-0.16756711344417871</v>
      </c>
      <c r="K87" s="19">
        <f t="shared" ca="1" si="28"/>
        <v>0.28223698186102614</v>
      </c>
      <c r="L87" s="19">
        <f t="array" aca="1" ref="L87:M87" ca="1">MMULT(J87:K87,TRANSPOSE($B$10:$C$11))</f>
        <v>-0.16756711344417871</v>
      </c>
      <c r="M87" s="19">
        <f ca="1"/>
        <v>0.31694671202691765</v>
      </c>
      <c r="N87" s="20">
        <f t="shared" ca="1" si="29"/>
        <v>2.5094439456495878E-3</v>
      </c>
      <c r="O87" s="20">
        <f t="shared" ca="1" si="30"/>
        <v>0.13841606868898682</v>
      </c>
      <c r="P87" s="19">
        <f t="shared" ca="1" si="31"/>
        <v>82.231011533697753</v>
      </c>
      <c r="Q87" s="19">
        <f ca="1">HCTrans(P87,Strike,RiskFreeRate,Dividend,Variance_T0*AnnualVarConvtr,(Simulation!G87)/250,0.5,Variance_Avg*AnnualVarConvtr,Lambda,SQRT(Simulation!N87),Rho,1,"Call")</f>
        <v>29.023356692573202</v>
      </c>
      <c r="R87" s="19">
        <f ca="1">BlackScholesImpliedVolatility(P87,Strike,RiskFreeRate,G87/250,Dividend,Q87,0.01,"call")</f>
        <v>0.75180287236760734</v>
      </c>
      <c r="S87" s="19">
        <f t="shared" ca="1" si="32"/>
        <v>0.55050445010581117</v>
      </c>
      <c r="T87" s="19">
        <f t="shared" ca="1" si="33"/>
        <v>11.0365960405734</v>
      </c>
      <c r="U87" s="19">
        <f t="shared" ca="1" si="34"/>
        <v>-26.142344578669412</v>
      </c>
      <c r="V87" s="21"/>
      <c r="X87" s="22"/>
      <c r="Y87" s="22"/>
      <c r="Z87" s="22"/>
    </row>
    <row r="88" spans="7:26" x14ac:dyDescent="0.25">
      <c r="G88" s="19">
        <v>167</v>
      </c>
      <c r="H88" s="19">
        <f t="shared" ca="1" si="26"/>
        <v>0.20026194572239298</v>
      </c>
      <c r="I88" s="19">
        <f t="shared" ca="1" si="26"/>
        <v>0.11924237423678152</v>
      </c>
      <c r="J88" s="19">
        <f t="shared" ca="1" si="27"/>
        <v>1.313156366662168</v>
      </c>
      <c r="K88" s="19">
        <f t="shared" ca="1" si="28"/>
        <v>1.2214247574990429</v>
      </c>
      <c r="L88" s="19">
        <f t="array" aca="1" ref="L88:M88" ca="1">MMULT(J88:K88,TRANSPOSE($B$10:$C$11))</f>
        <v>1.313156366662168</v>
      </c>
      <c r="M88" s="19">
        <f ca="1"/>
        <v>-8.8826392842699553E-2</v>
      </c>
      <c r="N88" s="20">
        <f t="shared" ca="1" si="29"/>
        <v>2.4255700524152611E-3</v>
      </c>
      <c r="O88" s="20">
        <f t="shared" ca="1" si="30"/>
        <v>0.14257145077018207</v>
      </c>
      <c r="P88" s="19">
        <f t="shared" ca="1" si="31"/>
        <v>76.895220231887549</v>
      </c>
      <c r="Q88" s="19">
        <f ca="1">HCTrans(P88,Strike,RiskFreeRate,Dividend,Variance_T0*AnnualVarConvtr,(Simulation!G88)/250,0.5,Variance_Avg*AnnualVarConvtr,Lambda,SQRT(Simulation!N88),Rho,1,"Call")</f>
        <v>29.023356692573202</v>
      </c>
      <c r="R88" s="19">
        <f ca="1">BlackScholesImpliedVolatility(P88,Strike,RiskFreeRate,G88/250,Dividend,Q88,0.01,"call")</f>
        <v>0.75180287236760734</v>
      </c>
      <c r="S88" s="19">
        <f t="shared" ca="1" si="32"/>
        <v>0.55050445010581117</v>
      </c>
      <c r="T88" s="19">
        <f t="shared" ca="1" si="33"/>
        <v>11.0365960405734</v>
      </c>
      <c r="U88" s="19">
        <f t="shared" ca="1" si="34"/>
        <v>-26.142344578669412</v>
      </c>
      <c r="V88" s="21"/>
      <c r="X88" s="22"/>
      <c r="Y88" s="22"/>
      <c r="Z88" s="22"/>
    </row>
    <row r="89" spans="7:26" x14ac:dyDescent="0.25">
      <c r="G89" s="19">
        <v>166</v>
      </c>
      <c r="H89" s="19">
        <f t="shared" ca="1" si="26"/>
        <v>0.63493757678456397</v>
      </c>
      <c r="I89" s="19">
        <f t="shared" ca="1" si="26"/>
        <v>0.82225045198412938</v>
      </c>
      <c r="J89" s="19">
        <f t="shared" ca="1" si="27"/>
        <v>0.41797672187491813</v>
      </c>
      <c r="K89" s="19">
        <f t="shared" ca="1" si="28"/>
        <v>-0.85659362498591285</v>
      </c>
      <c r="L89" s="19">
        <f t="array" aca="1" ref="L89:M89" ca="1">MMULT(J89:K89,TRANSPOSE($B$10:$C$11))</f>
        <v>0.41797672187491813</v>
      </c>
      <c r="M89" s="19">
        <f ca="1"/>
        <v>-0.89702897653510894</v>
      </c>
      <c r="N89" s="20">
        <f t="shared" ca="1" si="29"/>
        <v>1.4877362954846039E-3</v>
      </c>
      <c r="O89" s="20">
        <f t="shared" ca="1" si="30"/>
        <v>0.1438685337302775</v>
      </c>
      <c r="P89" s="19">
        <f t="shared" ca="1" si="31"/>
        <v>70.93413317630818</v>
      </c>
      <c r="Q89" s="19">
        <f ca="1">HCTrans(P89,Strike,RiskFreeRate,Dividend,Variance_T0*AnnualVarConvtr,(Simulation!G89)/250,0.5,Variance_Avg*AnnualVarConvtr,Lambda,SQRT(Simulation!N89),Rho,1,"Call")</f>
        <v>29.023356692573202</v>
      </c>
      <c r="R89" s="19">
        <f ca="1">BlackScholesImpliedVolatility(P89,Strike,RiskFreeRate,G89/250,Dividend,Q89,0.01,"call")</f>
        <v>0.75180287236760734</v>
      </c>
      <c r="S89" s="19">
        <f t="shared" ca="1" si="32"/>
        <v>0.55050445010581117</v>
      </c>
      <c r="T89" s="19">
        <f t="shared" ca="1" si="33"/>
        <v>11.0365960405734</v>
      </c>
      <c r="U89" s="19">
        <f t="shared" ca="1" si="34"/>
        <v>-26.142344578669412</v>
      </c>
      <c r="V89" s="21"/>
      <c r="X89" s="22"/>
      <c r="Y89" s="22"/>
      <c r="Z89" s="22"/>
    </row>
    <row r="90" spans="7:26" x14ac:dyDescent="0.25">
      <c r="G90" s="19">
        <v>165</v>
      </c>
      <c r="H90" s="19">
        <f t="shared" ca="1" si="26"/>
        <v>0.48947724280687332</v>
      </c>
      <c r="I90" s="19">
        <f t="shared" ca="1" si="26"/>
        <v>0.12022408288517272</v>
      </c>
      <c r="J90" s="19">
        <f t="shared" ca="1" si="27"/>
        <v>0.8702114705238615</v>
      </c>
      <c r="K90" s="19">
        <f t="shared" ca="1" si="28"/>
        <v>0.81949168033288311</v>
      </c>
      <c r="L90" s="19">
        <f t="array" aca="1" ref="L90:M90" ca="1">MMULT(J90:K90,TRANSPOSE($B$10:$C$11))</f>
        <v>0.8702114705238615</v>
      </c>
      <c r="M90" s="19">
        <f ca="1"/>
        <v>-5.1839700972069691E-2</v>
      </c>
      <c r="N90" s="20">
        <f t="shared" ca="1" si="29"/>
        <v>1.4685758376001212E-3</v>
      </c>
      <c r="O90" s="20">
        <f t="shared" ca="1" si="30"/>
        <v>0.14598840078045067</v>
      </c>
      <c r="P90" s="19">
        <f t="shared" ca="1" si="31"/>
        <v>64.500971285779883</v>
      </c>
      <c r="Q90" s="19">
        <f ca="1">HCTrans(P90,Strike,RiskFreeRate,Dividend,Variance_T0*AnnualVarConvtr,(Simulation!G90)/250,0.5,Variance_Avg*AnnualVarConvtr,Lambda,SQRT(Simulation!N90),Rho,1,"Call")</f>
        <v>29.023356692573202</v>
      </c>
      <c r="R90" s="19">
        <f ca="1">BlackScholesImpliedVolatility(P90,Strike,RiskFreeRate,G90/250,Dividend,Q90,0.01,"call")</f>
        <v>0.75180287236760734</v>
      </c>
      <c r="S90" s="19">
        <f t="shared" ca="1" si="32"/>
        <v>0.55050445010581117</v>
      </c>
      <c r="T90" s="19">
        <f t="shared" ca="1" si="33"/>
        <v>11.0365960405734</v>
      </c>
      <c r="U90" s="19">
        <f t="shared" ca="1" si="34"/>
        <v>-26.142344578669412</v>
      </c>
      <c r="V90" s="21"/>
      <c r="X90" s="22"/>
      <c r="Y90" s="22"/>
      <c r="Z90" s="22"/>
    </row>
    <row r="91" spans="7:26" x14ac:dyDescent="0.25">
      <c r="G91" s="19">
        <v>164</v>
      </c>
      <c r="H91" s="19">
        <f t="shared" ca="1" si="26"/>
        <v>0.39489322447450637</v>
      </c>
      <c r="I91" s="19">
        <f t="shared" ca="1" si="26"/>
        <v>0.56435632459611618</v>
      </c>
      <c r="J91" s="19">
        <f t="shared" ca="1" si="27"/>
        <v>-1.2532508022849995</v>
      </c>
      <c r="K91" s="19">
        <f t="shared" ca="1" si="28"/>
        <v>-0.5363228163998166</v>
      </c>
      <c r="L91" s="19">
        <f t="array" aca="1" ref="L91:M91" ca="1">MMULT(J91:K91,TRANSPOSE($B$10:$C$11))</f>
        <v>-1.2532508022849995</v>
      </c>
      <c r="M91" s="19">
        <f ca="1"/>
        <v>0.52382232632719239</v>
      </c>
      <c r="N91" s="20">
        <f t="shared" ca="1" si="29"/>
        <v>2.0316042686682571E-3</v>
      </c>
      <c r="O91" s="20">
        <f t="shared" ca="1" si="30"/>
        <v>0.14294796440081622</v>
      </c>
      <c r="P91" s="19">
        <f t="shared" ca="1" si="31"/>
        <v>58.833824768944929</v>
      </c>
      <c r="Q91" s="19">
        <f ca="1">HCTrans(P91,Strike,RiskFreeRate,Dividend,Variance_T0*AnnualVarConvtr,(Simulation!G91)/250,0.5,Variance_Avg*AnnualVarConvtr,Lambda,SQRT(Simulation!N91),Rho,1,"Call")</f>
        <v>29.023356692573202</v>
      </c>
      <c r="R91" s="19">
        <f ca="1">BlackScholesImpliedVolatility(P91,Strike,RiskFreeRate,G91/250,Dividend,Q91,0.01,"call")</f>
        <v>0.75180287236760734</v>
      </c>
      <c r="S91" s="19">
        <f t="shared" ca="1" si="32"/>
        <v>0.55050445010581117</v>
      </c>
      <c r="T91" s="19">
        <f t="shared" ca="1" si="33"/>
        <v>11.0365960405734</v>
      </c>
      <c r="U91" s="19">
        <f t="shared" ca="1" si="34"/>
        <v>-26.142344578669412</v>
      </c>
      <c r="V91" s="21"/>
      <c r="X91" s="22"/>
      <c r="Y91" s="22"/>
      <c r="Z91" s="22"/>
    </row>
    <row r="92" spans="7:26" x14ac:dyDescent="0.25">
      <c r="G92" s="19">
        <v>163</v>
      </c>
      <c r="H92" s="19">
        <f t="shared" ca="1" si="26"/>
        <v>0.72286231055990302</v>
      </c>
      <c r="I92" s="19">
        <f t="shared" ca="1" si="26"/>
        <v>3.3470006469386804E-2</v>
      </c>
      <c r="J92" s="19">
        <f t="shared" ca="1" si="27"/>
        <v>0.78790115546572237</v>
      </c>
      <c r="K92" s="19">
        <f t="shared" ca="1" si="28"/>
        <v>0.1681808633196393</v>
      </c>
      <c r="L92" s="19">
        <f t="array" aca="1" ref="L92:M92" ca="1">MMULT(J92:K92,TRANSPOSE($B$10:$C$11))</f>
        <v>0.78790115546572237</v>
      </c>
      <c r="M92" s="19">
        <f ca="1"/>
        <v>-0.44721037862949931</v>
      </c>
      <c r="N92" s="20">
        <f t="shared" ca="1" si="29"/>
        <v>1.593985336012421E-3</v>
      </c>
      <c r="O92" s="20">
        <f t="shared" ca="1" si="30"/>
        <v>0.14518996087056016</v>
      </c>
      <c r="P92" s="19">
        <f t="shared" ca="1" si="31"/>
        <v>53.410432673964515</v>
      </c>
      <c r="Q92" s="19">
        <f ca="1">HCTrans(P92,Strike,RiskFreeRate,Dividend,Variance_T0*AnnualVarConvtr,(Simulation!G92)/250,0.5,Variance_Avg*AnnualVarConvtr,Lambda,SQRT(Simulation!N92),Rho,1,"Call")</f>
        <v>29.023356692573202</v>
      </c>
      <c r="R92" s="19">
        <f ca="1">BlackScholesImpliedVolatility(P92,Strike,RiskFreeRate,G92/250,Dividend,Q92,0.01,"call")</f>
        <v>0.75180287236760734</v>
      </c>
      <c r="S92" s="19">
        <f t="shared" ca="1" si="32"/>
        <v>0.55050445010581117</v>
      </c>
      <c r="T92" s="19">
        <f t="shared" ca="1" si="33"/>
        <v>11.0365960405734</v>
      </c>
      <c r="U92" s="19">
        <f t="shared" ca="1" si="34"/>
        <v>-26.142344578669412</v>
      </c>
      <c r="V92" s="21"/>
      <c r="X92" s="22"/>
      <c r="Y92" s="22"/>
      <c r="Z92" s="22"/>
    </row>
    <row r="93" spans="7:26" x14ac:dyDescent="0.25">
      <c r="G93" s="19">
        <v>162</v>
      </c>
      <c r="H93" s="19">
        <f t="shared" ca="1" si="26"/>
        <v>0.13676842396221522</v>
      </c>
      <c r="I93" s="19">
        <f t="shared" ca="1" si="26"/>
        <v>0.70496395879989593</v>
      </c>
      <c r="J93" s="19">
        <f t="shared" ca="1" si="27"/>
        <v>-0.55694460528394918</v>
      </c>
      <c r="K93" s="19">
        <f t="shared" ca="1" si="28"/>
        <v>-1.9153968114981803</v>
      </c>
      <c r="L93" s="19">
        <f t="array" aca="1" ref="L93:M93" ca="1">MMULT(J93:K93,TRANSPOSE($B$10:$C$11))</f>
        <v>-0.55694460528394918</v>
      </c>
      <c r="M93" s="19">
        <f ca="1"/>
        <v>-0.9371052808032081</v>
      </c>
      <c r="N93" s="20">
        <f t="shared" ca="1" si="29"/>
        <v>8.3748985640151878E-4</v>
      </c>
      <c r="O93" s="20">
        <f t="shared" ca="1" si="30"/>
        <v>0.14378045288363994</v>
      </c>
      <c r="P93" s="19">
        <f t="shared" ca="1" si="31"/>
        <v>49.008946062361161</v>
      </c>
      <c r="Q93" s="19">
        <f ca="1">HCTrans(P93,Strike,RiskFreeRate,Dividend,Variance_T0*AnnualVarConvtr,(Simulation!G93)/250,0.5,Variance_Avg*AnnualVarConvtr,Lambda,SQRT(Simulation!N93),Rho,1,"Call")</f>
        <v>29.023356692573202</v>
      </c>
      <c r="R93" s="19">
        <f ca="1">BlackScholesImpliedVolatility(P93,Strike,RiskFreeRate,G93/250,Dividend,Q93,0.01,"call")</f>
        <v>0.75180287236760734</v>
      </c>
      <c r="S93" s="19">
        <f t="shared" ca="1" si="32"/>
        <v>0.55050445010581117</v>
      </c>
      <c r="T93" s="19">
        <f t="shared" ca="1" si="33"/>
        <v>11.0365960405734</v>
      </c>
      <c r="U93" s="19">
        <f t="shared" ca="1" si="34"/>
        <v>-26.142344578669412</v>
      </c>
      <c r="V93" s="21"/>
      <c r="X93" s="22"/>
      <c r="Y93" s="22"/>
      <c r="Z93" s="22"/>
    </row>
    <row r="94" spans="7:26" x14ac:dyDescent="0.25">
      <c r="G94" s="19">
        <v>161</v>
      </c>
      <c r="H94" s="19">
        <f t="shared" ca="1" si="26"/>
        <v>0.90140037051860111</v>
      </c>
      <c r="I94" s="19">
        <f t="shared" ca="1" si="26"/>
        <v>0.50861855173778536</v>
      </c>
      <c r="J94" s="19">
        <f t="shared" ca="1" si="27"/>
        <v>-0.45497615656736384</v>
      </c>
      <c r="K94" s="19">
        <f t="shared" ca="1" si="28"/>
        <v>-2.4661960803705876E-2</v>
      </c>
      <c r="L94" s="19">
        <f t="array" aca="1" ref="L94:M94" ca="1">MMULT(J94:K94,TRANSPOSE($B$10:$C$11))</f>
        <v>-0.45497615656736384</v>
      </c>
      <c r="M94" s="19">
        <f ca="1"/>
        <v>0.30878655067679223</v>
      </c>
      <c r="N94" s="20">
        <f t="shared" ca="1" si="29"/>
        <v>1.1038493255914363E-3</v>
      </c>
      <c r="O94" s="20">
        <f t="shared" ca="1" si="30"/>
        <v>0.1429460398501752</v>
      </c>
      <c r="P94" s="19">
        <f t="shared" ca="1" si="31"/>
        <v>44.482772527220803</v>
      </c>
      <c r="Q94" s="19">
        <f ca="1">HCTrans(P94,Strike,RiskFreeRate,Dividend,Variance_T0*AnnualVarConvtr,(Simulation!G94)/250,0.5,Variance_Avg*AnnualVarConvtr,Lambda,SQRT(Simulation!N94),Rho,1,"Call")</f>
        <v>29.023356692573202</v>
      </c>
      <c r="R94" s="19">
        <f ca="1">BlackScholesImpliedVolatility(P94,Strike,RiskFreeRate,G94/250,Dividend,Q94,0.01,"call")</f>
        <v>0.75180287236760734</v>
      </c>
      <c r="S94" s="19">
        <f t="shared" ca="1" si="32"/>
        <v>0.55050445010581117</v>
      </c>
      <c r="T94" s="19">
        <f t="shared" ca="1" si="33"/>
        <v>11.0365960405734</v>
      </c>
      <c r="U94" s="19">
        <f t="shared" ca="1" si="34"/>
        <v>-26.142344578669412</v>
      </c>
      <c r="V94" s="21"/>
      <c r="X94" s="22"/>
      <c r="Y94" s="22"/>
      <c r="Z94" s="22"/>
    </row>
    <row r="95" spans="7:26" x14ac:dyDescent="0.25">
      <c r="G95" s="19">
        <v>160</v>
      </c>
      <c r="H95" s="19">
        <f t="shared" ref="H95:I158" ca="1" si="35">RAND()</f>
        <v>0.27663683390505434</v>
      </c>
      <c r="I95" s="19">
        <f t="shared" ca="1" si="35"/>
        <v>0.89142365325516215</v>
      </c>
      <c r="J95" s="19">
        <f t="shared" ca="1" si="27"/>
        <v>1.2443419115947898</v>
      </c>
      <c r="K95" s="19">
        <f t="shared" ca="1" si="28"/>
        <v>-1.010798006979384</v>
      </c>
      <c r="L95" s="19">
        <f t="array" aca="1" ref="L95:M95" ca="1">MMULT(J95:K95,TRANSPOSE($B$10:$C$11))</f>
        <v>1.2443419115947898</v>
      </c>
      <c r="M95" s="19">
        <f ca="1"/>
        <v>-1.5966906212756404</v>
      </c>
      <c r="N95" s="20">
        <f t="shared" ca="1" si="29"/>
        <v>2.1778267287824208E-4</v>
      </c>
      <c r="O95" s="20">
        <f t="shared" ca="1" si="30"/>
        <v>0.14555854874584476</v>
      </c>
      <c r="P95" s="19">
        <f t="shared" ca="1" si="31"/>
        <v>41.300753822505172</v>
      </c>
      <c r="Q95" s="19">
        <f ca="1">HCTrans(P95,Strike,RiskFreeRate,Dividend,Variance_T0*AnnualVarConvtr,(Simulation!G95)/250,0.5,Variance_Avg*AnnualVarConvtr,Lambda,SQRT(Simulation!N95),Rho,1,"Call")</f>
        <v>29.023356692573202</v>
      </c>
      <c r="R95" s="19">
        <f ca="1">BlackScholesImpliedVolatility(P95,Strike,RiskFreeRate,G95/250,Dividend,Q95,0.01,"call")</f>
        <v>0.75180287236760734</v>
      </c>
      <c r="S95" s="19">
        <f t="shared" ca="1" si="32"/>
        <v>0.55050445010581117</v>
      </c>
      <c r="T95" s="19">
        <f t="shared" ca="1" si="33"/>
        <v>11.0365960405734</v>
      </c>
      <c r="U95" s="19">
        <f t="shared" ca="1" si="34"/>
        <v>-26.142344578669412</v>
      </c>
      <c r="V95" s="21"/>
      <c r="X95" s="22"/>
      <c r="Y95" s="22"/>
      <c r="Z95" s="22"/>
    </row>
    <row r="96" spans="7:26" x14ac:dyDescent="0.25">
      <c r="G96" s="19">
        <v>159</v>
      </c>
      <c r="H96" s="19">
        <f t="shared" ca="1" si="35"/>
        <v>0.43371940995909875</v>
      </c>
      <c r="I96" s="19">
        <f t="shared" ca="1" si="35"/>
        <v>0.87405729182838066</v>
      </c>
      <c r="J96" s="19">
        <f t="shared" ca="1" si="27"/>
        <v>0.90854923396660248</v>
      </c>
      <c r="K96" s="19">
        <f t="shared" ca="1" si="28"/>
        <v>-0.91937654911071998</v>
      </c>
      <c r="L96" s="19">
        <f t="array" aca="1" ref="L96:M96" ca="1">MMULT(J96:K96,TRANSPOSE($B$10:$C$11))</f>
        <v>0.90854923396660248</v>
      </c>
      <c r="M96" s="19">
        <f ca="1"/>
        <v>-1.2923207388746558</v>
      </c>
      <c r="N96" s="20">
        <f t="shared" ca="1" si="29"/>
        <v>3.7377347756408012E-5</v>
      </c>
      <c r="O96" s="20">
        <f t="shared" ca="1" si="30"/>
        <v>0.14640610199570903</v>
      </c>
      <c r="P96" s="19">
        <f t="shared" ca="1" si="31"/>
        <v>39.185315872296222</v>
      </c>
      <c r="Q96" s="19">
        <f ca="1">HCTrans(P96,Strike,RiskFreeRate,Dividend,Variance_T0*AnnualVarConvtr,(Simulation!G96)/250,0.5,Variance_Avg*AnnualVarConvtr,Lambda,SQRT(Simulation!N96),Rho,1,"Call")</f>
        <v>29.023356692573202</v>
      </c>
      <c r="R96" s="19">
        <f ca="1">BlackScholesImpliedVolatility(P96,Strike,RiskFreeRate,G96/250,Dividend,Q96,0.01,"call")</f>
        <v>0.75180287236760734</v>
      </c>
      <c r="S96" s="19">
        <f t="shared" ca="1" si="32"/>
        <v>0.55050445010581117</v>
      </c>
      <c r="T96" s="19">
        <f t="shared" ca="1" si="33"/>
        <v>11.0365960405734</v>
      </c>
      <c r="U96" s="19">
        <f t="shared" ca="1" si="34"/>
        <v>-26.142344578669412</v>
      </c>
      <c r="V96" s="21"/>
      <c r="X96" s="22"/>
      <c r="Y96" s="22"/>
      <c r="Z96" s="22"/>
    </row>
    <row r="97" spans="7:26" x14ac:dyDescent="0.25">
      <c r="G97" s="19">
        <v>158</v>
      </c>
      <c r="H97" s="19">
        <f t="shared" ca="1" si="35"/>
        <v>0.79282915580116387</v>
      </c>
      <c r="I97" s="19">
        <f t="shared" ca="1" si="35"/>
        <v>4.6033017668128062E-2</v>
      </c>
      <c r="J97" s="19">
        <f t="shared" ca="1" si="27"/>
        <v>0.65308876364137947</v>
      </c>
      <c r="K97" s="19">
        <f t="shared" ca="1" si="28"/>
        <v>0.19434533342586044</v>
      </c>
      <c r="L97" s="19">
        <f t="array" aca="1" ref="L97:M97" ca="1">MMULT(J97:K97,TRANSPOSE($B$10:$C$11))</f>
        <v>0.65308876364137947</v>
      </c>
      <c r="M97" s="19">
        <f ca="1"/>
        <v>-0.33236530328958519</v>
      </c>
      <c r="N97" s="20">
        <f t="shared" ca="1" si="29"/>
        <v>4.1309966782617179E-5</v>
      </c>
      <c r="O97" s="20">
        <f t="shared" ca="1" si="30"/>
        <v>0.14665855344365233</v>
      </c>
      <c r="P97" s="19">
        <f t="shared" ca="1" si="31"/>
        <v>37.617093013354925</v>
      </c>
      <c r="Q97" s="19">
        <f ca="1">HCTrans(P97,Strike,RiskFreeRate,Dividend,Variance_T0*AnnualVarConvtr,(Simulation!G97)/250,0.5,Variance_Avg*AnnualVarConvtr,Lambda,SQRT(Simulation!N97),Rho,1,"Call")</f>
        <v>29.023356692573202</v>
      </c>
      <c r="R97" s="19">
        <f ca="1">BlackScholesImpliedVolatility(P97,Strike,RiskFreeRate,G97/250,Dividend,Q97,0.01,"call")</f>
        <v>0.75180287236760734</v>
      </c>
      <c r="S97" s="19">
        <f t="shared" ca="1" si="32"/>
        <v>0.55050445010581117</v>
      </c>
      <c r="T97" s="19">
        <f t="shared" ca="1" si="33"/>
        <v>11.0365960405734</v>
      </c>
      <c r="U97" s="19">
        <f t="shared" ca="1" si="34"/>
        <v>-26.142344578669412</v>
      </c>
      <c r="V97" s="21"/>
      <c r="X97" s="22"/>
      <c r="Y97" s="22"/>
      <c r="Z97" s="22"/>
    </row>
    <row r="98" spans="7:26" x14ac:dyDescent="0.25">
      <c r="G98" s="19">
        <v>157</v>
      </c>
      <c r="H98" s="19">
        <f t="shared" ca="1" si="35"/>
        <v>0.66740907902821012</v>
      </c>
      <c r="I98" s="19">
        <f t="shared" ca="1" si="35"/>
        <v>0.43913511324003085</v>
      </c>
      <c r="J98" s="19">
        <f t="shared" ca="1" si="27"/>
        <v>-0.83431791610992445</v>
      </c>
      <c r="K98" s="19">
        <f t="shared" ca="1" si="28"/>
        <v>0.33558580604074667</v>
      </c>
      <c r="L98" s="19">
        <f t="array" aca="1" ref="L98:M98" ca="1">MMULT(J98:K98,TRANSPOSE($B$10:$C$11))</f>
        <v>-0.83431791610992445</v>
      </c>
      <c r="M98" s="19">
        <f ca="1"/>
        <v>0.8318891132227042</v>
      </c>
      <c r="N98" s="20">
        <f t="shared" ca="1" si="29"/>
        <v>3.1356833439851579E-4</v>
      </c>
      <c r="O98" s="20">
        <f t="shared" ca="1" si="30"/>
        <v>0.14631932303618037</v>
      </c>
      <c r="P98" s="19">
        <f t="shared" ca="1" si="31"/>
        <v>35.920174100725532</v>
      </c>
      <c r="Q98" s="19">
        <f ca="1">HCTrans(P98,Strike,RiskFreeRate,Dividend,Variance_T0*AnnualVarConvtr,(Simulation!G98)/250,0.5,Variance_Avg*AnnualVarConvtr,Lambda,SQRT(Simulation!N98),Rho,1,"Call")</f>
        <v>29.023356692573202</v>
      </c>
      <c r="R98" s="19">
        <f ca="1">BlackScholesImpliedVolatility(P98,Strike,RiskFreeRate,G98/250,Dividend,Q98,0.01,"call")</f>
        <v>0.75180287236760734</v>
      </c>
      <c r="S98" s="19">
        <f t="shared" ca="1" si="32"/>
        <v>0.55050445010581117</v>
      </c>
      <c r="T98" s="19">
        <f t="shared" ca="1" si="33"/>
        <v>11.0365960405734</v>
      </c>
      <c r="U98" s="19">
        <f t="shared" ca="1" si="34"/>
        <v>-26.142344578669412</v>
      </c>
      <c r="V98" s="21"/>
      <c r="X98" s="22"/>
      <c r="Y98" s="22"/>
      <c r="Z98" s="22"/>
    </row>
    <row r="99" spans="7:26" x14ac:dyDescent="0.25">
      <c r="G99" s="19">
        <v>156</v>
      </c>
      <c r="H99" s="19">
        <f t="shared" ca="1" si="35"/>
        <v>0.74692995775710813</v>
      </c>
      <c r="I99" s="19">
        <f t="shared" ca="1" si="35"/>
        <v>0.57196383774939874</v>
      </c>
      <c r="J99" s="19">
        <f t="shared" ca="1" si="27"/>
        <v>-0.68714595741990536</v>
      </c>
      <c r="K99" s="19">
        <f t="shared" ca="1" si="28"/>
        <v>-0.33376362762380096</v>
      </c>
      <c r="L99" s="19">
        <f t="array" aca="1" ref="L99:M99" ca="1">MMULT(J99:K99,TRANSPOSE($B$10:$C$11))</f>
        <v>-0.68714595741990536</v>
      </c>
      <c r="M99" s="19">
        <f ca="1"/>
        <v>0.25951088030319314</v>
      </c>
      <c r="N99" s="20">
        <f t="shared" ca="1" si="29"/>
        <v>4.7206024774449165E-4</v>
      </c>
      <c r="O99" s="20">
        <f t="shared" ca="1" si="30"/>
        <v>0.14554913128334296</v>
      </c>
      <c r="P99" s="19">
        <f t="shared" ca="1" si="31"/>
        <v>34.117597846766159</v>
      </c>
      <c r="Q99" s="19">
        <f ca="1">HCTrans(P99,Strike,RiskFreeRate,Dividend,Variance_T0*AnnualVarConvtr,(Simulation!G99)/250,0.5,Variance_Avg*AnnualVarConvtr,Lambda,SQRT(Simulation!N99),Rho,1,"Call")</f>
        <v>29.023356692573202</v>
      </c>
      <c r="R99" s="19">
        <f ca="1">BlackScholesImpliedVolatility(P99,Strike,RiskFreeRate,G99/250,Dividend,Q99,0.01,"call")</f>
        <v>0.75180287236760734</v>
      </c>
      <c r="S99" s="19">
        <f t="shared" ca="1" si="32"/>
        <v>0.55050445010581117</v>
      </c>
      <c r="T99" s="19">
        <f t="shared" ca="1" si="33"/>
        <v>11.0365960405734</v>
      </c>
      <c r="U99" s="19">
        <f t="shared" ca="1" si="34"/>
        <v>-26.142344578669412</v>
      </c>
      <c r="V99" s="21"/>
      <c r="X99" s="22"/>
      <c r="Y99" s="22"/>
      <c r="Z99" s="22"/>
    </row>
    <row r="100" spans="7:26" x14ac:dyDescent="0.25">
      <c r="G100" s="19">
        <v>155</v>
      </c>
      <c r="H100" s="19">
        <f t="shared" ca="1" si="35"/>
        <v>0.37297966873542021</v>
      </c>
      <c r="I100" s="19">
        <f t="shared" ca="1" si="35"/>
        <v>0.48755326843036217</v>
      </c>
      <c r="J100" s="19">
        <f t="shared" ca="1" si="27"/>
        <v>-1.4001512945146037</v>
      </c>
      <c r="K100" s="19">
        <f t="shared" ca="1" si="28"/>
        <v>0.10972278223036723</v>
      </c>
      <c r="L100" s="19">
        <f t="array" aca="1" ref="L100:M100" ca="1">MMULT(J100:K100,TRANSPOSE($B$10:$C$11))</f>
        <v>-1.4001512945146037</v>
      </c>
      <c r="M100" s="19">
        <f ca="1"/>
        <v>1.0797495990291974</v>
      </c>
      <c r="N100" s="20">
        <f t="shared" ca="1" si="29"/>
        <v>1.2573887457361739E-3</v>
      </c>
      <c r="O100" s="20">
        <f t="shared" ca="1" si="30"/>
        <v>0.14362419332425275</v>
      </c>
      <c r="P100" s="19">
        <f t="shared" ca="1" si="31"/>
        <v>32.407076340028439</v>
      </c>
      <c r="Q100" s="19">
        <f ca="1">HCTrans(P100,Strike,RiskFreeRate,Dividend,Variance_T0*AnnualVarConvtr,(Simulation!G100)/250,0.5,Variance_Avg*AnnualVarConvtr,Lambda,SQRT(Simulation!N100),Rho,1,"Call")</f>
        <v>29.023356692573202</v>
      </c>
      <c r="R100" s="19">
        <f ca="1">BlackScholesImpliedVolatility(P100,Strike,RiskFreeRate,G100/250,Dividend,Q100,0.01,"call")</f>
        <v>0.75180287236760734</v>
      </c>
      <c r="S100" s="19">
        <f t="shared" ca="1" si="32"/>
        <v>0.55050445010581117</v>
      </c>
      <c r="T100" s="19">
        <f t="shared" ca="1" si="33"/>
        <v>11.0365960405734</v>
      </c>
      <c r="U100" s="19">
        <f t="shared" ca="1" si="34"/>
        <v>-26.142344578669412</v>
      </c>
      <c r="V100" s="21"/>
      <c r="X100" s="22"/>
      <c r="Y100" s="22"/>
      <c r="Z100" s="22"/>
    </row>
    <row r="101" spans="7:26" x14ac:dyDescent="0.25">
      <c r="G101" s="19">
        <v>154</v>
      </c>
      <c r="H101" s="19">
        <f t="shared" ca="1" si="35"/>
        <v>0.55995183725872033</v>
      </c>
      <c r="I101" s="19">
        <f t="shared" ca="1" si="35"/>
        <v>0.1131638738909797</v>
      </c>
      <c r="J101" s="19">
        <f t="shared" ca="1" si="27"/>
        <v>0.81599030041489029</v>
      </c>
      <c r="K101" s="19">
        <f t="shared" ca="1" si="28"/>
        <v>0.70282916652786409</v>
      </c>
      <c r="L101" s="19">
        <f t="array" aca="1" ref="L101:M101" ca="1">MMULT(J101:K101,TRANSPOSE($B$10:$C$11))</f>
        <v>0.81599030041489029</v>
      </c>
      <c r="M101" s="19">
        <f ca="1"/>
        <v>-9.4372496262296268E-2</v>
      </c>
      <c r="N101" s="20">
        <f t="shared" ca="1" si="29"/>
        <v>1.2073577800829026E-3</v>
      </c>
      <c r="O101" s="20">
        <f t="shared" ca="1" si="30"/>
        <v>0.14545167301307399</v>
      </c>
      <c r="P101" s="19">
        <f t="shared" ca="1" si="31"/>
        <v>30.684692668980109</v>
      </c>
      <c r="Q101" s="19">
        <f ca="1">HCTrans(P101,Strike,RiskFreeRate,Dividend,Variance_T0*AnnualVarConvtr,(Simulation!G101)/250,0.5,Variance_Avg*AnnualVarConvtr,Lambda,SQRT(Simulation!N101),Rho,1,"Call")</f>
        <v>29.023356692573202</v>
      </c>
      <c r="R101" s="19">
        <f ca="1">BlackScholesImpliedVolatility(P101,Strike,RiskFreeRate,G101/250,Dividend,Q101,0.01,"call")</f>
        <v>0.75180287236760734</v>
      </c>
      <c r="S101" s="19">
        <f t="shared" ca="1" si="32"/>
        <v>0.55050445010581117</v>
      </c>
      <c r="T101" s="19">
        <f t="shared" ca="1" si="33"/>
        <v>11.0365960405734</v>
      </c>
      <c r="U101" s="19">
        <f t="shared" ca="1" si="34"/>
        <v>-26.142344578669412</v>
      </c>
      <c r="V101" s="21"/>
      <c r="X101" s="22"/>
      <c r="Y101" s="22"/>
      <c r="Z101" s="22"/>
    </row>
    <row r="102" spans="7:26" x14ac:dyDescent="0.25">
      <c r="G102" s="19">
        <v>153</v>
      </c>
      <c r="H102" s="19">
        <f t="shared" ca="1" si="35"/>
        <v>5.1494729433664288E-2</v>
      </c>
      <c r="I102" s="19">
        <f t="shared" ca="1" si="35"/>
        <v>0.89668752649500327</v>
      </c>
      <c r="J102" s="19">
        <f t="shared" ca="1" si="27"/>
        <v>1.9402873665030034</v>
      </c>
      <c r="K102" s="19">
        <f t="shared" ca="1" si="28"/>
        <v>-1.4723574873908658</v>
      </c>
      <c r="L102" s="19">
        <f t="array" aca="1" ref="L102:M102" ca="1">MMULT(J102:K102,TRANSPOSE($B$10:$C$11))</f>
        <v>1.9402873665030034</v>
      </c>
      <c r="M102" s="19">
        <f ca="1"/>
        <v>-2.4173134751366327</v>
      </c>
      <c r="N102" s="20">
        <f t="shared" ca="1" si="29"/>
        <v>5.7067211939196256E-5</v>
      </c>
      <c r="O102" s="20">
        <f t="shared" ca="1" si="30"/>
        <v>0.14971322735136663</v>
      </c>
      <c r="P102" s="19">
        <f t="shared" ca="1" si="31"/>
        <v>29.195055008558533</v>
      </c>
      <c r="Q102" s="19">
        <f ca="1">HCTrans(P102,Strike,RiskFreeRate,Dividend,Variance_T0*AnnualVarConvtr,(Simulation!G102)/250,0.5,Variance_Avg*AnnualVarConvtr,Lambda,SQRT(Simulation!N102),Rho,1,"Call")</f>
        <v>29.023356692573202</v>
      </c>
      <c r="R102" s="19">
        <f ca="1">BlackScholesImpliedVolatility(P102,Strike,RiskFreeRate,G102/250,Dividend,Q102,0.01,"call")</f>
        <v>0.75180287236760734</v>
      </c>
      <c r="S102" s="19">
        <f t="shared" ca="1" si="32"/>
        <v>0.55050445010581117</v>
      </c>
      <c r="T102" s="19">
        <f t="shared" ca="1" si="33"/>
        <v>11.0365960405734</v>
      </c>
      <c r="U102" s="19">
        <f t="shared" ca="1" si="34"/>
        <v>-26.142344578669412</v>
      </c>
      <c r="V102" s="21"/>
      <c r="X102" s="22"/>
      <c r="Y102" s="22"/>
      <c r="Z102" s="22"/>
    </row>
    <row r="103" spans="7:26" x14ac:dyDescent="0.25">
      <c r="G103" s="19">
        <v>152</v>
      </c>
      <c r="H103" s="19">
        <f t="shared" ca="1" si="35"/>
        <v>0.9257444046973079</v>
      </c>
      <c r="I103" s="19">
        <f t="shared" ca="1" si="35"/>
        <v>0.56761911364056949</v>
      </c>
      <c r="J103" s="19">
        <f t="shared" ca="1" si="27"/>
        <v>-0.35790406974951955</v>
      </c>
      <c r="K103" s="19">
        <f t="shared" ca="1" si="28"/>
        <v>-0.16192246113697617</v>
      </c>
      <c r="L103" s="19">
        <f t="array" aca="1" ref="L103:M103" ca="1">MMULT(J103:K103,TRANSPOSE($B$10:$C$11))</f>
        <v>-0.35790406974951955</v>
      </c>
      <c r="M103" s="19">
        <f ca="1"/>
        <v>0.143483247288861</v>
      </c>
      <c r="N103" s="20">
        <f t="shared" ca="1" si="29"/>
        <v>1.2378828132460391E-4</v>
      </c>
      <c r="O103" s="20">
        <f t="shared" ca="1" si="30"/>
        <v>0.14954211563854777</v>
      </c>
      <c r="P103" s="19">
        <f t="shared" ca="1" si="31"/>
        <v>27.849780438639954</v>
      </c>
      <c r="Q103" s="19">
        <f ca="1">HCTrans(P103,Strike,RiskFreeRate,Dividend,Variance_T0*AnnualVarConvtr,(Simulation!G103)/250,0.5,Variance_Avg*AnnualVarConvtr,Lambda,SQRT(Simulation!N103),Rho,1,"Call")</f>
        <v>29.023356692573202</v>
      </c>
      <c r="R103" s="19">
        <f ca="1">BlackScholesImpliedVolatility(P103,Strike,RiskFreeRate,G103/250,Dividend,Q103,0.01,"call")</f>
        <v>0.75180287236760734</v>
      </c>
      <c r="S103" s="19">
        <f t="shared" ca="1" si="32"/>
        <v>0.55050445010581117</v>
      </c>
      <c r="T103" s="19">
        <f t="shared" ca="1" si="33"/>
        <v>11.0365960405734</v>
      </c>
      <c r="U103" s="19">
        <f t="shared" ca="1" si="34"/>
        <v>-26.142344578669412</v>
      </c>
      <c r="V103" s="21"/>
      <c r="X103" s="22"/>
      <c r="Y103" s="22"/>
      <c r="Z103" s="22"/>
    </row>
    <row r="104" spans="7:26" x14ac:dyDescent="0.25">
      <c r="G104" s="19">
        <v>151</v>
      </c>
      <c r="H104" s="19">
        <f t="shared" ca="1" si="35"/>
        <v>0.22845520232433103</v>
      </c>
      <c r="I104" s="19">
        <f t="shared" ca="1" si="35"/>
        <v>0.63225487563926819</v>
      </c>
      <c r="J104" s="19">
        <f t="shared" ca="1" si="27"/>
        <v>-1.1584474547319956</v>
      </c>
      <c r="K104" s="19">
        <f t="shared" ca="1" si="28"/>
        <v>-1.2691846881190352</v>
      </c>
      <c r="L104" s="19">
        <f t="array" aca="1" ref="L104:M104" ca="1">MMULT(J104:K104,TRANSPOSE($B$10:$C$11))</f>
        <v>-1.1584474547319956</v>
      </c>
      <c r="M104" s="19">
        <f ca="1"/>
        <v>-5.5339253638925667E-2</v>
      </c>
      <c r="N104" s="20">
        <f t="shared" ca="1" si="29"/>
        <v>1.4584627788932184E-4</v>
      </c>
      <c r="O104" s="20">
        <f t="shared" ca="1" si="30"/>
        <v>0.1487267019780559</v>
      </c>
      <c r="P104" s="19">
        <f t="shared" ca="1" si="31"/>
        <v>26.315252013806237</v>
      </c>
      <c r="Q104" s="19">
        <f ca="1">HCTrans(P104,Strike,RiskFreeRate,Dividend,Variance_T0*AnnualVarConvtr,(Simulation!G104)/250,0.5,Variance_Avg*AnnualVarConvtr,Lambda,SQRT(Simulation!N104),Rho,1,"Call")</f>
        <v>29.023356692573202</v>
      </c>
      <c r="R104" s="19">
        <f ca="1">BlackScholesImpliedVolatility(P104,Strike,RiskFreeRate,G104/250,Dividend,Q104,0.01,"call")</f>
        <v>0.75180287236760734</v>
      </c>
      <c r="S104" s="19">
        <f t="shared" ca="1" si="32"/>
        <v>0.55050445010581117</v>
      </c>
      <c r="T104" s="19">
        <f t="shared" ca="1" si="33"/>
        <v>11.0365960405734</v>
      </c>
      <c r="U104" s="19">
        <f t="shared" ca="1" si="34"/>
        <v>-26.142344578669412</v>
      </c>
      <c r="V104" s="21"/>
      <c r="X104" s="22"/>
      <c r="Y104" s="22"/>
      <c r="Z104" s="22"/>
    </row>
    <row r="105" spans="7:26" x14ac:dyDescent="0.25">
      <c r="G105" s="19">
        <v>150</v>
      </c>
      <c r="H105" s="19">
        <f t="shared" ca="1" si="35"/>
        <v>0.2892523828376109</v>
      </c>
      <c r="I105" s="19">
        <f t="shared" ca="1" si="35"/>
        <v>7.1228990005674064E-2</v>
      </c>
      <c r="J105" s="19">
        <f t="shared" ca="1" si="27"/>
        <v>1.4199637472614342</v>
      </c>
      <c r="K105" s="19">
        <f t="shared" ca="1" si="28"/>
        <v>0.68162622189490529</v>
      </c>
      <c r="L105" s="19">
        <f t="array" aca="1" ref="L105:M105" ca="1">MMULT(J105:K105,TRANSPOSE($B$10:$C$11))</f>
        <v>1.4199637472614342</v>
      </c>
      <c r="M105" s="19">
        <f ca="1"/>
        <v>-0.54191037140212983</v>
      </c>
      <c r="N105" s="20">
        <f t="shared" ca="1" si="29"/>
        <v>6.6093133971422625E-5</v>
      </c>
      <c r="O105" s="20">
        <f t="shared" ca="1" si="30"/>
        <v>0.14981097364265189</v>
      </c>
      <c r="P105" s="19">
        <f t="shared" ca="1" si="31"/>
        <v>24.842340718552865</v>
      </c>
      <c r="Q105" s="19">
        <f ca="1">HCTrans(P105,Strike,RiskFreeRate,Dividend,Variance_T0*AnnualVarConvtr,(Simulation!G105)/250,0.5,Variance_Avg*AnnualVarConvtr,Lambda,SQRT(Simulation!N105),Rho,1,"Call")</f>
        <v>29.023356692573202</v>
      </c>
      <c r="R105" s="19">
        <f ca="1">BlackScholesImpliedVolatility(P105,Strike,RiskFreeRate,G105/250,Dividend,Q105,0.01,"call")</f>
        <v>0.75180287236760734</v>
      </c>
      <c r="S105" s="19">
        <f t="shared" ca="1" si="32"/>
        <v>0.55050445010581117</v>
      </c>
      <c r="T105" s="19">
        <f t="shared" ca="1" si="33"/>
        <v>11.0365960405734</v>
      </c>
      <c r="U105" s="19">
        <f t="shared" ca="1" si="34"/>
        <v>-26.142344578669412</v>
      </c>
      <c r="V105" s="21"/>
      <c r="X105" s="22"/>
      <c r="Y105" s="22"/>
      <c r="Z105" s="22"/>
    </row>
    <row r="106" spans="7:26" x14ac:dyDescent="0.25">
      <c r="G106" s="19">
        <v>149</v>
      </c>
      <c r="H106" s="19">
        <f t="shared" ca="1" si="35"/>
        <v>0.83184764518359711</v>
      </c>
      <c r="I106" s="19">
        <f t="shared" ca="1" si="35"/>
        <v>0.95027099653796376</v>
      </c>
      <c r="J106" s="19">
        <f t="shared" ca="1" si="27"/>
        <v>0.57742401236929297</v>
      </c>
      <c r="K106" s="19">
        <f t="shared" ca="1" si="28"/>
        <v>-0.18653004406049892</v>
      </c>
      <c r="L106" s="19">
        <f t="array" aca="1" ref="L106:M106" ca="1">MMULT(J106:K106,TRANSPOSE($B$10:$C$11))</f>
        <v>0.57742401236929297</v>
      </c>
      <c r="M106" s="19">
        <f ca="1"/>
        <v>-0.54384525574572218</v>
      </c>
      <c r="N106" s="20">
        <f t="shared" ca="1" si="29"/>
        <v>3.9138681294433281E-5</v>
      </c>
      <c r="O106" s="20">
        <f t="shared" ca="1" si="30"/>
        <v>0.15010773654177356</v>
      </c>
      <c r="P106" s="19">
        <f t="shared" ca="1" si="31"/>
        <v>23.571299667831724</v>
      </c>
      <c r="Q106" s="19">
        <f ca="1">HCTrans(P106,Strike,RiskFreeRate,Dividend,Variance_T0*AnnualVarConvtr,(Simulation!G106)/250,0.5,Variance_Avg*AnnualVarConvtr,Lambda,SQRT(Simulation!N106),Rho,1,"Call")</f>
        <v>29.023356692573202</v>
      </c>
      <c r="R106" s="19">
        <f ca="1">BlackScholesImpliedVolatility(P106,Strike,RiskFreeRate,G106/250,Dividend,Q106,0.01,"call")</f>
        <v>0.75180287236760734</v>
      </c>
      <c r="S106" s="19">
        <f t="shared" ca="1" si="32"/>
        <v>0.55050445010581117</v>
      </c>
      <c r="T106" s="19">
        <f t="shared" ca="1" si="33"/>
        <v>11.0365960405734</v>
      </c>
      <c r="U106" s="19">
        <f t="shared" ca="1" si="34"/>
        <v>-26.142344578669412</v>
      </c>
      <c r="V106" s="21"/>
      <c r="X106" s="22"/>
      <c r="Y106" s="22"/>
      <c r="Z106" s="22"/>
    </row>
    <row r="107" spans="7:26" x14ac:dyDescent="0.25">
      <c r="G107" s="19">
        <v>148</v>
      </c>
      <c r="H107" s="19">
        <f t="shared" ca="1" si="35"/>
        <v>0.28341163048726392</v>
      </c>
      <c r="I107" s="19">
        <f t="shared" ca="1" si="35"/>
        <v>0.48011927048447489</v>
      </c>
      <c r="J107" s="19">
        <f t="shared" ca="1" si="27"/>
        <v>-1.5756161794620906</v>
      </c>
      <c r="K107" s="19">
        <f t="shared" ca="1" si="28"/>
        <v>0.19784711751231804</v>
      </c>
      <c r="L107" s="19">
        <f t="array" aca="1" ref="L107:M107" ca="1">MMULT(J107:K107,TRANSPOSE($B$10:$C$11))</f>
        <v>-1.5756161794620906</v>
      </c>
      <c r="M107" s="19">
        <f ca="1"/>
        <v>1.2669445878194132</v>
      </c>
      <c r="N107" s="20">
        <f t="shared" ca="1" si="29"/>
        <v>5.1190522444206975E-4</v>
      </c>
      <c r="O107" s="20">
        <f t="shared" ca="1" si="30"/>
        <v>0.14948423425791599</v>
      </c>
      <c r="P107" s="19">
        <f t="shared" ca="1" si="31"/>
        <v>22.519741475767841</v>
      </c>
      <c r="Q107" s="19">
        <f ca="1">HCTrans(P107,Strike,RiskFreeRate,Dividend,Variance_T0*AnnualVarConvtr,(Simulation!G107)/250,0.5,Variance_Avg*AnnualVarConvtr,Lambda,SQRT(Simulation!N107),Rho,1,"Call")</f>
        <v>29.023356692573202</v>
      </c>
      <c r="R107" s="19">
        <f ca="1">BlackScholesImpliedVolatility(P107,Strike,RiskFreeRate,G107/250,Dividend,Q107,0.01,"call")</f>
        <v>0.75180287236760734</v>
      </c>
      <c r="S107" s="19">
        <f t="shared" ca="1" si="32"/>
        <v>0.55050445010581117</v>
      </c>
      <c r="T107" s="19">
        <f t="shared" ca="1" si="33"/>
        <v>11.0365960405734</v>
      </c>
      <c r="U107" s="19">
        <f t="shared" ca="1" si="34"/>
        <v>-26.142344578669412</v>
      </c>
      <c r="V107" s="21"/>
      <c r="X107" s="22"/>
      <c r="Y107" s="22"/>
      <c r="Z107" s="22"/>
    </row>
    <row r="108" spans="7:26" x14ac:dyDescent="0.25">
      <c r="G108" s="19">
        <v>147</v>
      </c>
      <c r="H108" s="19">
        <f t="shared" ca="1" si="35"/>
        <v>0.3009625002350389</v>
      </c>
      <c r="I108" s="19">
        <f t="shared" ca="1" si="35"/>
        <v>0.67015712077957079</v>
      </c>
      <c r="J108" s="19">
        <f t="shared" ca="1" si="27"/>
        <v>-0.74522785857633156</v>
      </c>
      <c r="K108" s="19">
        <f t="shared" ca="1" si="28"/>
        <v>-1.3587400968044627</v>
      </c>
      <c r="L108" s="19">
        <f t="array" aca="1" ref="L108:M108" ca="1">MMULT(J108:K108,TRANSPOSE($B$10:$C$11))</f>
        <v>-0.74522785857633156</v>
      </c>
      <c r="M108" s="19">
        <f ca="1"/>
        <v>-0.41388379134282172</v>
      </c>
      <c r="N108" s="20">
        <f t="shared" ca="1" si="29"/>
        <v>3.4267666109795295E-4</v>
      </c>
      <c r="O108" s="20">
        <f t="shared" ca="1" si="30"/>
        <v>0.14841682586328114</v>
      </c>
      <c r="P108" s="19">
        <f t="shared" ca="1" si="31"/>
        <v>21.369687140993577</v>
      </c>
      <c r="Q108" s="19">
        <f ca="1">HCTrans(P108,Strike,RiskFreeRate,Dividend,Variance_T0*AnnualVarConvtr,(Simulation!G108)/250,0.5,Variance_Avg*AnnualVarConvtr,Lambda,SQRT(Simulation!N108),Rho,1,"Call")</f>
        <v>29.023356692573202</v>
      </c>
      <c r="R108" s="19">
        <f ca="1">BlackScholesImpliedVolatility(P108,Strike,RiskFreeRate,G108/250,Dividend,Q108,0.01,"call")</f>
        <v>0.75180287236760734</v>
      </c>
      <c r="S108" s="19">
        <f t="shared" ca="1" si="32"/>
        <v>0.55050445010581117</v>
      </c>
      <c r="T108" s="19">
        <f t="shared" ca="1" si="33"/>
        <v>11.0365960405734</v>
      </c>
      <c r="U108" s="19">
        <f t="shared" ca="1" si="34"/>
        <v>-26.142344578669412</v>
      </c>
      <c r="V108" s="21"/>
      <c r="X108" s="22"/>
      <c r="Y108" s="22"/>
      <c r="Z108" s="22"/>
    </row>
    <row r="109" spans="7:26" x14ac:dyDescent="0.25">
      <c r="G109" s="19">
        <v>146</v>
      </c>
      <c r="H109" s="19">
        <f t="shared" ca="1" si="35"/>
        <v>0.36088286104455114</v>
      </c>
      <c r="I109" s="19">
        <f t="shared" ca="1" si="35"/>
        <v>0.15149174928598153</v>
      </c>
      <c r="J109" s="19">
        <f t="shared" ca="1" si="27"/>
        <v>0.82833377310333844</v>
      </c>
      <c r="K109" s="19">
        <f t="shared" ca="1" si="28"/>
        <v>1.1628701029049757</v>
      </c>
      <c r="L109" s="19">
        <f t="array" aca="1" ref="L109:M109" ca="1">MMULT(J109:K109,TRANSPOSE($B$10:$C$11))</f>
        <v>0.82833377310333844</v>
      </c>
      <c r="M109" s="19">
        <f ca="1"/>
        <v>0.21770202425968443</v>
      </c>
      <c r="N109" s="20">
        <f t="shared" ca="1" si="29"/>
        <v>4.8415187375778828E-4</v>
      </c>
      <c r="O109" s="20">
        <f t="shared" ca="1" si="30"/>
        <v>0.14938593034548461</v>
      </c>
      <c r="P109" s="19">
        <f t="shared" ca="1" si="31"/>
        <v>20.106478531675631</v>
      </c>
      <c r="Q109" s="19">
        <f ca="1">HCTrans(P109,Strike,RiskFreeRate,Dividend,Variance_T0*AnnualVarConvtr,(Simulation!G109)/250,0.5,Variance_Avg*AnnualVarConvtr,Lambda,SQRT(Simulation!N109),Rho,1,"Call")</f>
        <v>29.023356692573202</v>
      </c>
      <c r="R109" s="19">
        <f ca="1">BlackScholesImpliedVolatility(P109,Strike,RiskFreeRate,G109/250,Dividend,Q109,0.01,"call")</f>
        <v>0.75180287236760734</v>
      </c>
      <c r="S109" s="19">
        <f t="shared" ca="1" si="32"/>
        <v>0.55050445010581117</v>
      </c>
      <c r="T109" s="19">
        <f t="shared" ca="1" si="33"/>
        <v>11.0365960405734</v>
      </c>
      <c r="U109" s="19">
        <f t="shared" ca="1" si="34"/>
        <v>-26.142344578669412</v>
      </c>
      <c r="V109" s="21"/>
      <c r="X109" s="22"/>
      <c r="Y109" s="22"/>
      <c r="Z109" s="22"/>
    </row>
    <row r="110" spans="7:26" x14ac:dyDescent="0.25">
      <c r="G110" s="19">
        <v>145</v>
      </c>
      <c r="H110" s="19">
        <f t="shared" ca="1" si="35"/>
        <v>0.62678852976202737</v>
      </c>
      <c r="I110" s="19">
        <f t="shared" ca="1" si="35"/>
        <v>0.22611327872352882</v>
      </c>
      <c r="J110" s="19">
        <f t="shared" ca="1" si="27"/>
        <v>0.14452603468908845</v>
      </c>
      <c r="K110" s="19">
        <f t="shared" ca="1" si="28"/>
        <v>0.95572190619857733</v>
      </c>
      <c r="L110" s="19">
        <f t="array" aca="1" ref="L110:M110" ca="1">MMULT(J110:K110,TRANSPOSE($B$10:$C$11))</f>
        <v>0.14452603468908845</v>
      </c>
      <c r="M110" s="19">
        <f ca="1"/>
        <v>0.56314636081737579</v>
      </c>
      <c r="N110" s="20">
        <f t="shared" ca="1" si="29"/>
        <v>8.704403325337823E-4</v>
      </c>
      <c r="O110" s="20">
        <f t="shared" ca="1" si="30"/>
        <v>0.14958608742811152</v>
      </c>
      <c r="P110" s="19">
        <f t="shared" ca="1" si="31"/>
        <v>19.093533665217574</v>
      </c>
      <c r="Q110" s="19">
        <f ca="1">HCTrans(P110,Strike,RiskFreeRate,Dividend,Variance_T0*AnnualVarConvtr,(Simulation!G110)/250,0.5,Variance_Avg*AnnualVarConvtr,Lambda,SQRT(Simulation!N110),Rho,1,"Call")</f>
        <v>29.023356692573202</v>
      </c>
      <c r="R110" s="19">
        <f ca="1">BlackScholesImpliedVolatility(P110,Strike,RiskFreeRate,G110/250,Dividend,Q110,0.01,"call")</f>
        <v>0.75180287236760734</v>
      </c>
      <c r="S110" s="19">
        <f t="shared" ca="1" si="32"/>
        <v>0.55050445010581117</v>
      </c>
      <c r="T110" s="19">
        <f t="shared" ca="1" si="33"/>
        <v>11.0365960405734</v>
      </c>
      <c r="U110" s="19">
        <f t="shared" ca="1" si="34"/>
        <v>-26.142344578669412</v>
      </c>
      <c r="V110" s="21"/>
      <c r="X110" s="22"/>
      <c r="Y110" s="22"/>
      <c r="Z110" s="22"/>
    </row>
    <row r="111" spans="7:26" x14ac:dyDescent="0.25">
      <c r="G111" s="19">
        <v>144</v>
      </c>
      <c r="H111" s="19">
        <f t="shared" ca="1" si="35"/>
        <v>0.88659423916051106</v>
      </c>
      <c r="I111" s="19">
        <f t="shared" ca="1" si="35"/>
        <v>2.7993710323351295E-2</v>
      </c>
      <c r="J111" s="19">
        <f t="shared" ca="1" si="27"/>
        <v>0.48307816459411346</v>
      </c>
      <c r="K111" s="19">
        <f t="shared" ca="1" si="28"/>
        <v>8.5855667424180951E-2</v>
      </c>
      <c r="L111" s="19">
        <f t="array" aca="1" ref="L111:M111" ca="1">MMULT(J111:K111,TRANSPOSE($B$10:$C$11))</f>
        <v>0.48307816459411346</v>
      </c>
      <c r="M111" s="19">
        <f ca="1"/>
        <v>-0.28623369961845208</v>
      </c>
      <c r="N111" s="20">
        <f t="shared" ca="1" si="29"/>
        <v>7.0842264168260354E-4</v>
      </c>
      <c r="O111" s="20">
        <f t="shared" ca="1" si="30"/>
        <v>0.15048574520373784</v>
      </c>
      <c r="P111" s="19">
        <f t="shared" ca="1" si="31"/>
        <v>17.958190521980175</v>
      </c>
      <c r="Q111" s="19">
        <f ca="1">HCTrans(P111,Strike,RiskFreeRate,Dividend,Variance_T0*AnnualVarConvtr,(Simulation!G111)/250,0.5,Variance_Avg*AnnualVarConvtr,Lambda,SQRT(Simulation!N111),Rho,1,"Call")</f>
        <v>29.023356692573202</v>
      </c>
      <c r="R111" s="19">
        <f ca="1">BlackScholesImpliedVolatility(P111,Strike,RiskFreeRate,G111/250,Dividend,Q111,0.01,"call")</f>
        <v>0.75180287236760734</v>
      </c>
      <c r="S111" s="19">
        <f t="shared" ca="1" si="32"/>
        <v>0.55050445010581117</v>
      </c>
      <c r="T111" s="19">
        <f t="shared" ca="1" si="33"/>
        <v>11.0365960405734</v>
      </c>
      <c r="U111" s="19">
        <f t="shared" ca="1" si="34"/>
        <v>-26.142344578669412</v>
      </c>
      <c r="V111" s="21"/>
      <c r="X111" s="22"/>
      <c r="Y111" s="22"/>
      <c r="Z111" s="22"/>
    </row>
    <row r="112" spans="7:26" x14ac:dyDescent="0.25">
      <c r="G112" s="19">
        <v>143</v>
      </c>
      <c r="H112" s="19">
        <f t="shared" ca="1" si="35"/>
        <v>0.85137706117315748</v>
      </c>
      <c r="I112" s="19">
        <f t="shared" ca="1" si="35"/>
        <v>0.81815008574118286</v>
      </c>
      <c r="J112" s="19">
        <f t="shared" ca="1" si="27"/>
        <v>0.23555144854938059</v>
      </c>
      <c r="K112" s="19">
        <f t="shared" ca="1" si="28"/>
        <v>-0.51605799281368581</v>
      </c>
      <c r="L112" s="19">
        <f t="array" aca="1" ref="L112:M112" ca="1">MMULT(J112:K112,TRANSPOSE($B$10:$C$11))</f>
        <v>0.23555144854938059</v>
      </c>
      <c r="M112" s="19">
        <f ca="1"/>
        <v>-0.52876800705373483</v>
      </c>
      <c r="N112" s="20">
        <f t="shared" ca="1" si="29"/>
        <v>4.3895089633506294E-4</v>
      </c>
      <c r="O112" s="20">
        <f t="shared" ca="1" si="30"/>
        <v>0.15088084552264774</v>
      </c>
      <c r="P112" s="19">
        <f t="shared" ca="1" si="31"/>
        <v>16.990896908426659</v>
      </c>
      <c r="Q112" s="19">
        <f ca="1">HCTrans(P112,Strike,RiskFreeRate,Dividend,Variance_T0*AnnualVarConvtr,(Simulation!G112)/250,0.5,Variance_Avg*AnnualVarConvtr,Lambda,SQRT(Simulation!N112),Rho,1,"Call")</f>
        <v>29.023356692573202</v>
      </c>
      <c r="R112" s="19">
        <f ca="1">BlackScholesImpliedVolatility(P112,Strike,RiskFreeRate,G112/250,Dividend,Q112,0.01,"call")</f>
        <v>0.75180287236760734</v>
      </c>
      <c r="S112" s="19">
        <f t="shared" ca="1" si="32"/>
        <v>0.55050445010581117</v>
      </c>
      <c r="T112" s="19">
        <f t="shared" ca="1" si="33"/>
        <v>11.0365960405734</v>
      </c>
      <c r="U112" s="19">
        <f t="shared" ca="1" si="34"/>
        <v>-26.142344578669412</v>
      </c>
      <c r="V112" s="21"/>
      <c r="X112" s="22"/>
      <c r="Y112" s="22"/>
      <c r="Z112" s="22"/>
    </row>
    <row r="113" spans="7:26" x14ac:dyDescent="0.25">
      <c r="G113" s="19">
        <v>142</v>
      </c>
      <c r="H113" s="19">
        <f t="shared" ca="1" si="35"/>
        <v>0.17895671075235031</v>
      </c>
      <c r="I113" s="19">
        <f t="shared" ca="1" si="35"/>
        <v>0.99442525706172602</v>
      </c>
      <c r="J113" s="19">
        <f t="shared" ca="1" si="27"/>
        <v>1.8539154164237801</v>
      </c>
      <c r="K113" s="19">
        <f t="shared" ca="1" si="28"/>
        <v>-6.4963930526164768E-2</v>
      </c>
      <c r="L113" s="19">
        <f t="array" aca="1" ref="L113:M113" ca="1">MMULT(J113:K113,TRANSPOSE($B$10:$C$11))</f>
        <v>1.8539154164237801</v>
      </c>
      <c r="M113" s="19">
        <f ca="1"/>
        <v>-1.3736483952052039</v>
      </c>
      <c r="N113" s="20">
        <f t="shared" ca="1" si="29"/>
        <v>5.1916479429715162E-5</v>
      </c>
      <c r="O113" s="20">
        <f t="shared" ca="1" si="30"/>
        <v>0.15333653048108689</v>
      </c>
      <c r="P113" s="19">
        <f t="shared" ca="1" si="31"/>
        <v>16.214793179299885</v>
      </c>
      <c r="Q113" s="19">
        <f ca="1">HCTrans(P113,Strike,RiskFreeRate,Dividend,Variance_T0*AnnualVarConvtr,(Simulation!G113)/250,0.5,Variance_Avg*AnnualVarConvtr,Lambda,SQRT(Simulation!N113),Rho,1,"Call")</f>
        <v>29.023356692573202</v>
      </c>
      <c r="R113" s="19">
        <f ca="1">BlackScholesImpliedVolatility(P113,Strike,RiskFreeRate,G113/250,Dividend,Q113,0.01,"call")</f>
        <v>0.75180287236760734</v>
      </c>
      <c r="S113" s="19">
        <f t="shared" ca="1" si="32"/>
        <v>0.55050445010581117</v>
      </c>
      <c r="T113" s="19">
        <f t="shared" ca="1" si="33"/>
        <v>11.0365960405734</v>
      </c>
      <c r="U113" s="19">
        <f t="shared" ca="1" si="34"/>
        <v>-26.142344578669412</v>
      </c>
      <c r="V113" s="21"/>
      <c r="X113" s="22"/>
      <c r="Y113" s="22"/>
      <c r="Z113" s="22"/>
    </row>
    <row r="114" spans="7:26" x14ac:dyDescent="0.25">
      <c r="G114" s="19">
        <v>141</v>
      </c>
      <c r="H114" s="19">
        <f t="shared" ca="1" si="35"/>
        <v>0.2596000340040463</v>
      </c>
      <c r="I114" s="19">
        <f t="shared" ca="1" si="35"/>
        <v>0.43649306761144968</v>
      </c>
      <c r="J114" s="19">
        <f t="shared" ca="1" si="27"/>
        <v>-1.5133023895958049</v>
      </c>
      <c r="K114" s="19">
        <f t="shared" ca="1" si="28"/>
        <v>0.63807695772173634</v>
      </c>
      <c r="L114" s="19">
        <f t="array" aca="1" ref="L114:M114" ca="1">MMULT(J114:K114,TRANSPOSE($B$10:$C$11))</f>
        <v>-1.5133023895958049</v>
      </c>
      <c r="M114" s="19">
        <f ca="1"/>
        <v>1.529395411131655</v>
      </c>
      <c r="N114" s="20">
        <f t="shared" ca="1" si="29"/>
        <v>7.1078611735714715E-4</v>
      </c>
      <c r="O114" s="20">
        <f t="shared" ca="1" si="30"/>
        <v>0.15264680905777631</v>
      </c>
      <c r="P114" s="19">
        <f t="shared" ca="1" si="31"/>
        <v>15.346482379722916</v>
      </c>
      <c r="Q114" s="19">
        <f ca="1">HCTrans(P114,Strike,RiskFreeRate,Dividend,Variance_T0*AnnualVarConvtr,(Simulation!G114)/250,0.5,Variance_Avg*AnnualVarConvtr,Lambda,SQRT(Simulation!N114),Rho,1,"Call")</f>
        <v>29.023356692573202</v>
      </c>
      <c r="R114" s="19">
        <f ca="1">BlackScholesImpliedVolatility(P114,Strike,RiskFreeRate,G114/250,Dividend,Q114,0.01,"call")</f>
        <v>0.75180287236760734</v>
      </c>
      <c r="S114" s="19">
        <f t="shared" ca="1" si="32"/>
        <v>0.55050445010581117</v>
      </c>
      <c r="T114" s="19">
        <f t="shared" ca="1" si="33"/>
        <v>11.0365960405734</v>
      </c>
      <c r="U114" s="19">
        <f t="shared" ca="1" si="34"/>
        <v>-26.142344578669412</v>
      </c>
      <c r="V114" s="21"/>
      <c r="X114" s="22"/>
      <c r="Y114" s="22"/>
      <c r="Z114" s="22"/>
    </row>
    <row r="115" spans="7:26" x14ac:dyDescent="0.25">
      <c r="G115" s="19">
        <v>140</v>
      </c>
      <c r="H115" s="19">
        <f t="shared" ca="1" si="35"/>
        <v>0.29011325928100595</v>
      </c>
      <c r="I115" s="19">
        <f t="shared" ca="1" si="35"/>
        <v>0.75746827430301411</v>
      </c>
      <c r="J115" s="19">
        <f t="shared" ca="1" si="27"/>
        <v>7.3794757713350631E-2</v>
      </c>
      <c r="K115" s="19">
        <f t="shared" ca="1" si="28"/>
        <v>-1.5714713168672783</v>
      </c>
      <c r="L115" s="19">
        <f t="array" aca="1" ref="L115:M115" ca="1">MMULT(J115:K115,TRANSPOSE($B$10:$C$11))</f>
        <v>7.3794757713350631E-2</v>
      </c>
      <c r="M115" s="19">
        <f ca="1"/>
        <v>-1.1491120489545674</v>
      </c>
      <c r="N115" s="20">
        <f t="shared" ca="1" si="29"/>
        <v>1.9164553808272806E-4</v>
      </c>
      <c r="O115" s="20">
        <f t="shared" ca="1" si="30"/>
        <v>0.15276981744948298</v>
      </c>
      <c r="P115" s="19">
        <f t="shared" ca="1" si="31"/>
        <v>14.423642043632432</v>
      </c>
      <c r="Q115" s="19">
        <f ca="1">HCTrans(P115,Strike,RiskFreeRate,Dividend,Variance_T0*AnnualVarConvtr,(Simulation!G115)/250,0.5,Variance_Avg*AnnualVarConvtr,Lambda,SQRT(Simulation!N115),Rho,1,"Call")</f>
        <v>29.023356692573202</v>
      </c>
      <c r="R115" s="19">
        <f ca="1">BlackScholesImpliedVolatility(P115,Strike,RiskFreeRate,G115/250,Dividend,Q115,0.01,"call")</f>
        <v>0.75180287236760734</v>
      </c>
      <c r="S115" s="19">
        <f t="shared" ca="1" si="32"/>
        <v>0.55050445010581117</v>
      </c>
      <c r="T115" s="19">
        <f t="shared" ca="1" si="33"/>
        <v>11.0365960405734</v>
      </c>
      <c r="U115" s="19">
        <f t="shared" ca="1" si="34"/>
        <v>-26.142344578669412</v>
      </c>
      <c r="V115" s="21"/>
      <c r="X115" s="22"/>
      <c r="Y115" s="22"/>
      <c r="Z115" s="22"/>
    </row>
    <row r="116" spans="7:26" x14ac:dyDescent="0.25">
      <c r="G116" s="19">
        <v>139</v>
      </c>
      <c r="H116" s="19">
        <f t="shared" ca="1" si="35"/>
        <v>0.31648181719511959</v>
      </c>
      <c r="I116" s="19">
        <f t="shared" ca="1" si="35"/>
        <v>0.67402776296172651</v>
      </c>
      <c r="J116" s="19">
        <f t="shared" ca="1" si="27"/>
        <v>-0.69690066773343562</v>
      </c>
      <c r="K116" s="19">
        <f t="shared" ca="1" si="28"/>
        <v>-1.3473338252452656</v>
      </c>
      <c r="L116" s="19">
        <f t="array" aca="1" ref="L116:M116" ca="1">MMULT(J116:K116,TRANSPOSE($B$10:$C$11))</f>
        <v>-0.69690066773343562</v>
      </c>
      <c r="M116" s="19">
        <f ca="1"/>
        <v>-0.44055335578177657</v>
      </c>
      <c r="N116" s="20">
        <f t="shared" ca="1" si="29"/>
        <v>1.0760867376522489E-4</v>
      </c>
      <c r="O116" s="20">
        <f t="shared" ca="1" si="30"/>
        <v>0.15215926502742444</v>
      </c>
      <c r="P116" s="19">
        <f t="shared" ca="1" si="31"/>
        <v>13.600005887432049</v>
      </c>
      <c r="Q116" s="19">
        <f ca="1">HCTrans(P116,Strike,RiskFreeRate,Dividend,Variance_T0*AnnualVarConvtr,(Simulation!G116)/250,0.5,Variance_Avg*AnnualVarConvtr,Lambda,SQRT(Simulation!N116),Rho,1,"Call")</f>
        <v>29.023356692573202</v>
      </c>
      <c r="R116" s="19">
        <f ca="1">BlackScholesImpliedVolatility(P116,Strike,RiskFreeRate,G116/250,Dividend,Q116,0.01,"call")</f>
        <v>0.75180287236760734</v>
      </c>
      <c r="S116" s="19">
        <f t="shared" ca="1" si="32"/>
        <v>0.55050445010581117</v>
      </c>
      <c r="T116" s="19">
        <f t="shared" ca="1" si="33"/>
        <v>11.0365960405734</v>
      </c>
      <c r="U116" s="19">
        <f t="shared" ca="1" si="34"/>
        <v>-26.142344578669412</v>
      </c>
      <c r="V116" s="21"/>
      <c r="X116" s="22"/>
      <c r="Y116" s="22"/>
      <c r="Z116" s="22"/>
    </row>
    <row r="117" spans="7:26" x14ac:dyDescent="0.25">
      <c r="G117" s="19">
        <v>138</v>
      </c>
      <c r="H117" s="19">
        <f t="shared" ca="1" si="35"/>
        <v>3.2641728800188896E-2</v>
      </c>
      <c r="I117" s="19">
        <f t="shared" ca="1" si="35"/>
        <v>0.65267722623974689</v>
      </c>
      <c r="J117" s="19">
        <f t="shared" ca="1" si="27"/>
        <v>-1.5019251408611283</v>
      </c>
      <c r="K117" s="19">
        <f t="shared" ca="1" si="28"/>
        <v>-2.142089736785759</v>
      </c>
      <c r="L117" s="19">
        <f t="array" aca="1" ref="L117:M117" ca="1">MMULT(J117:K117,TRANSPOSE($B$10:$C$11))</f>
        <v>-1.5019251408611283</v>
      </c>
      <c r="M117" s="19">
        <f ca="1"/>
        <v>-0.41816478544019442</v>
      </c>
      <c r="N117" s="20">
        <f t="shared" ca="1" si="29"/>
        <v>6.4308562930619038E-5</v>
      </c>
      <c r="O117" s="20">
        <f t="shared" ca="1" si="30"/>
        <v>0.15117367394198974</v>
      </c>
      <c r="P117" s="19">
        <f t="shared" ca="1" si="31"/>
        <v>12.817212211430656</v>
      </c>
      <c r="Q117" s="19">
        <f ca="1">HCTrans(P117,Strike,RiskFreeRate,Dividend,Variance_T0*AnnualVarConvtr,(Simulation!G117)/250,0.5,Variance_Avg*AnnualVarConvtr,Lambda,SQRT(Simulation!N117),Rho,1,"Call")</f>
        <v>29.023356692573202</v>
      </c>
      <c r="R117" s="19">
        <f ca="1">BlackScholesImpliedVolatility(P117,Strike,RiskFreeRate,G117/250,Dividend,Q117,0.01,"call")</f>
        <v>0.75180287236760734</v>
      </c>
      <c r="S117" s="19">
        <f t="shared" ca="1" si="32"/>
        <v>0.55050445010581117</v>
      </c>
      <c r="T117" s="19">
        <f t="shared" ca="1" si="33"/>
        <v>11.0365960405734</v>
      </c>
      <c r="U117" s="19">
        <f t="shared" ca="1" si="34"/>
        <v>-26.142344578669412</v>
      </c>
      <c r="V117" s="21"/>
      <c r="X117" s="22"/>
      <c r="Y117" s="22"/>
      <c r="Z117" s="22"/>
    </row>
    <row r="118" spans="7:26" x14ac:dyDescent="0.25">
      <c r="G118" s="19">
        <v>137</v>
      </c>
      <c r="H118" s="19">
        <f t="shared" ca="1" si="35"/>
        <v>0.98298491690558187</v>
      </c>
      <c r="I118" s="19">
        <f t="shared" ca="1" si="35"/>
        <v>0.72252952722530861</v>
      </c>
      <c r="J118" s="19">
        <f t="shared" ca="1" si="27"/>
        <v>-3.181853168942253E-2</v>
      </c>
      <c r="K118" s="19">
        <f t="shared" ca="1" si="28"/>
        <v>-0.18251188133750026</v>
      </c>
      <c r="L118" s="19">
        <f t="array" aca="1" ref="L118:M118" ca="1">MMULT(J118:K118,TRANSPOSE($B$10:$C$11))</f>
        <v>-3.181853168942253E-2</v>
      </c>
      <c r="M118" s="19">
        <f ca="1"/>
        <v>-0.10451995448119715</v>
      </c>
      <c r="N118" s="20">
        <f t="shared" ca="1" si="29"/>
        <v>8.2408652428109016E-5</v>
      </c>
      <c r="O118" s="20">
        <f t="shared" ca="1" si="30"/>
        <v>0.15115740751728929</v>
      </c>
      <c r="P118" s="19">
        <f t="shared" ca="1" si="31"/>
        <v>12.149931166216858</v>
      </c>
      <c r="Q118" s="19">
        <f ca="1">HCTrans(P118,Strike,RiskFreeRate,Dividend,Variance_T0*AnnualVarConvtr,(Simulation!G118)/250,0.5,Variance_Avg*AnnualVarConvtr,Lambda,SQRT(Simulation!N118),Rho,1,"Call")</f>
        <v>29.023356692573202</v>
      </c>
      <c r="R118" s="19">
        <f ca="1">BlackScholesImpliedVolatility(P118,Strike,RiskFreeRate,G118/250,Dividend,Q118,0.01,"call")</f>
        <v>0.75180287236760734</v>
      </c>
      <c r="S118" s="19">
        <f t="shared" ca="1" si="32"/>
        <v>0.55050445010581117</v>
      </c>
      <c r="T118" s="19">
        <f t="shared" ca="1" si="33"/>
        <v>11.0365960405734</v>
      </c>
      <c r="U118" s="19">
        <f t="shared" ca="1" si="34"/>
        <v>-26.142344578669412</v>
      </c>
      <c r="V118" s="21"/>
      <c r="X118" s="22"/>
      <c r="Y118" s="22"/>
      <c r="Z118" s="22"/>
    </row>
    <row r="119" spans="7:26" x14ac:dyDescent="0.25">
      <c r="G119" s="19">
        <v>136</v>
      </c>
      <c r="H119" s="19">
        <f t="shared" ca="1" si="35"/>
        <v>0.1973958052314857</v>
      </c>
      <c r="I119" s="19">
        <f t="shared" ca="1" si="35"/>
        <v>7.4240819898413135E-2</v>
      </c>
      <c r="J119" s="19">
        <f t="shared" ca="1" si="27"/>
        <v>1.6089535414269431</v>
      </c>
      <c r="K119" s="19">
        <f t="shared" ca="1" si="28"/>
        <v>0.8101588153778021</v>
      </c>
      <c r="L119" s="19">
        <f t="array" aca="1" ref="L119:M119" ca="1">MMULT(J119:K119,TRANSPOSE($B$10:$C$11))</f>
        <v>1.6089535414269431</v>
      </c>
      <c r="M119" s="19">
        <f ca="1"/>
        <v>-0.58765888089198348</v>
      </c>
      <c r="N119" s="20">
        <f t="shared" ca="1" si="29"/>
        <v>4.0422959364144699E-5</v>
      </c>
      <c r="O119" s="20">
        <f t="shared" ca="1" si="30"/>
        <v>0.15208100430188642</v>
      </c>
      <c r="P119" s="19">
        <f t="shared" ca="1" si="31"/>
        <v>11.626651677702684</v>
      </c>
      <c r="Q119" s="19">
        <f ca="1">HCTrans(P119,Strike,RiskFreeRate,Dividend,Variance_T0*AnnualVarConvtr,(Simulation!G119)/250,0.5,Variance_Avg*AnnualVarConvtr,Lambda,SQRT(Simulation!N119),Rho,1,"Call")</f>
        <v>29.023356692573202</v>
      </c>
      <c r="R119" s="19">
        <f ca="1">BlackScholesImpliedVolatility(P119,Strike,RiskFreeRate,G119/250,Dividend,Q119,0.01,"call")</f>
        <v>0.75180287236760734</v>
      </c>
      <c r="S119" s="19">
        <f t="shared" ca="1" si="32"/>
        <v>0.55050445010581117</v>
      </c>
      <c r="T119" s="19">
        <f t="shared" ca="1" si="33"/>
        <v>11.0365960405734</v>
      </c>
      <c r="U119" s="19">
        <f t="shared" ca="1" si="34"/>
        <v>-26.142344578669412</v>
      </c>
      <c r="V119" s="21"/>
      <c r="X119" s="22"/>
      <c r="Y119" s="22"/>
      <c r="Z119" s="22"/>
    </row>
    <row r="120" spans="7:26" x14ac:dyDescent="0.25">
      <c r="G120" s="19">
        <v>135</v>
      </c>
      <c r="H120" s="19">
        <f t="shared" ca="1" si="35"/>
        <v>0.60751776899963761</v>
      </c>
      <c r="I120" s="19">
        <f t="shared" ca="1" si="35"/>
        <v>0.7614805887833741</v>
      </c>
      <c r="J120" s="19">
        <f t="shared" ca="1" si="27"/>
        <v>7.1954830138722933E-2</v>
      </c>
      <c r="K120" s="19">
        <f t="shared" ca="1" si="28"/>
        <v>-0.99577618571938409</v>
      </c>
      <c r="L120" s="19">
        <f t="array" aca="1" ref="L120:M120" ca="1">MMULT(J120:K120,TRANSPOSE($B$10:$C$11))</f>
        <v>7.1954830138722933E-2</v>
      </c>
      <c r="M120" s="19">
        <f ca="1"/>
        <v>-0.74619624881302093</v>
      </c>
      <c r="N120" s="20">
        <f t="shared" ca="1" si="29"/>
        <v>4.4924197693558605E-5</v>
      </c>
      <c r="O120" s="20">
        <f t="shared" ca="1" si="30"/>
        <v>0.1521098571577216</v>
      </c>
      <c r="P120" s="19">
        <f t="shared" ca="1" si="31"/>
        <v>11.135642060083747</v>
      </c>
      <c r="Q120" s="19">
        <f ca="1">HCTrans(P120,Strike,RiskFreeRate,Dividend,Variance_T0*AnnualVarConvtr,(Simulation!G120)/250,0.5,Variance_Avg*AnnualVarConvtr,Lambda,SQRT(Simulation!N120),Rho,1,"Call")</f>
        <v>29.023356692573202</v>
      </c>
      <c r="R120" s="19">
        <f ca="1">BlackScholesImpliedVolatility(P120,Strike,RiskFreeRate,G120/250,Dividend,Q120,0.01,"call")</f>
        <v>0.75180287236760734</v>
      </c>
      <c r="S120" s="19">
        <f t="shared" ca="1" si="32"/>
        <v>0.55050445010581117</v>
      </c>
      <c r="T120" s="19">
        <f t="shared" ca="1" si="33"/>
        <v>11.0365960405734</v>
      </c>
      <c r="U120" s="19">
        <f t="shared" ca="1" si="34"/>
        <v>-26.142344578669412</v>
      </c>
      <c r="V120" s="21"/>
      <c r="X120" s="22"/>
      <c r="Y120" s="22"/>
      <c r="Z120" s="22"/>
    </row>
    <row r="121" spans="7:26" x14ac:dyDescent="0.25">
      <c r="G121" s="19">
        <v>134</v>
      </c>
      <c r="H121" s="19">
        <f t="shared" ca="1" si="35"/>
        <v>0.77448784413012151</v>
      </c>
      <c r="I121" s="19">
        <f t="shared" ca="1" si="35"/>
        <v>0.85369900617920336</v>
      </c>
      <c r="J121" s="19">
        <f t="shared" ca="1" si="27"/>
        <v>0.4335455447906309</v>
      </c>
      <c r="K121" s="19">
        <f t="shared" ca="1" si="28"/>
        <v>-0.56845834440837606</v>
      </c>
      <c r="L121" s="19">
        <f t="array" aca="1" ref="L121:M121" ca="1">MMULT(J121:K121,TRANSPOSE($B$10:$C$11))</f>
        <v>0.4335455447906309</v>
      </c>
      <c r="M121" s="19">
        <f ca="1"/>
        <v>-0.70718458586456612</v>
      </c>
      <c r="N121" s="20">
        <f t="shared" ca="1" si="29"/>
        <v>4.098463661099802E-5</v>
      </c>
      <c r="O121" s="20">
        <f t="shared" ca="1" si="30"/>
        <v>0.1522935501196212</v>
      </c>
      <c r="P121" s="19">
        <f t="shared" ca="1" si="31"/>
        <v>10.792064036598319</v>
      </c>
      <c r="Q121" s="19">
        <f ca="1">HCTrans(P121,Strike,RiskFreeRate,Dividend,Variance_T0*AnnualVarConvtr,(Simulation!G121)/250,0.5,Variance_Avg*AnnualVarConvtr,Lambda,SQRT(Simulation!N121),Rho,1,"Call")</f>
        <v>29.023356692573202</v>
      </c>
      <c r="R121" s="19">
        <f ca="1">BlackScholesImpliedVolatility(P121,Strike,RiskFreeRate,G121/250,Dividend,Q121,0.01,"call")</f>
        <v>0.75180287236760734</v>
      </c>
      <c r="S121" s="19">
        <f t="shared" ca="1" si="32"/>
        <v>0.55050445010581117</v>
      </c>
      <c r="T121" s="19">
        <f t="shared" ca="1" si="33"/>
        <v>11.0365960405734</v>
      </c>
      <c r="U121" s="19">
        <f t="shared" ca="1" si="34"/>
        <v>-26.142344578669412</v>
      </c>
      <c r="V121" s="21"/>
      <c r="X121" s="22"/>
      <c r="Y121" s="22"/>
      <c r="Z121" s="22"/>
    </row>
    <row r="122" spans="7:26" x14ac:dyDescent="0.25">
      <c r="G122" s="19">
        <v>133</v>
      </c>
      <c r="H122" s="19">
        <f t="shared" ca="1" si="35"/>
        <v>1.7173993107030605E-2</v>
      </c>
      <c r="I122" s="19">
        <f t="shared" ca="1" si="35"/>
        <v>0.48484966866735313</v>
      </c>
      <c r="J122" s="19">
        <f t="shared" ca="1" si="27"/>
        <v>-2.8381827487361084</v>
      </c>
      <c r="K122" s="19">
        <f t="shared" ca="1" si="28"/>
        <v>0.27099228948824666</v>
      </c>
      <c r="L122" s="19">
        <f t="array" aca="1" ref="L122:M122" ca="1">MMULT(J122:K122,TRANSPOSE($B$10:$C$11))</f>
        <v>-2.8381827487361084</v>
      </c>
      <c r="M122" s="19">
        <f ca="1"/>
        <v>2.222598662468279</v>
      </c>
      <c r="N122" s="20">
        <f t="shared" ca="1" si="29"/>
        <v>1.1695451605968445E-3</v>
      </c>
      <c r="O122" s="20">
        <f t="shared" ca="1" si="30"/>
        <v>0.15114430710418642</v>
      </c>
      <c r="P122" s="19">
        <f t="shared" ca="1" si="31"/>
        <v>10.395874657847473</v>
      </c>
      <c r="Q122" s="19">
        <f ca="1">HCTrans(P122,Strike,RiskFreeRate,Dividend,Variance_T0*AnnualVarConvtr,(Simulation!G122)/250,0.5,Variance_Avg*AnnualVarConvtr,Lambda,SQRT(Simulation!N122),Rho,1,"Call")</f>
        <v>29.023356692573202</v>
      </c>
      <c r="R122" s="19">
        <f ca="1">BlackScholesImpliedVolatility(P122,Strike,RiskFreeRate,G122/250,Dividend,Q122,0.01,"call")</f>
        <v>0.75180287236760734</v>
      </c>
      <c r="S122" s="19">
        <f t="shared" ca="1" si="32"/>
        <v>0.55050445010581117</v>
      </c>
      <c r="T122" s="19">
        <f t="shared" ca="1" si="33"/>
        <v>11.0365960405734</v>
      </c>
      <c r="U122" s="19">
        <f t="shared" ca="1" si="34"/>
        <v>-26.142344578669412</v>
      </c>
      <c r="V122" s="21"/>
      <c r="X122" s="22"/>
      <c r="Y122" s="22"/>
      <c r="Z122" s="22"/>
    </row>
    <row r="123" spans="7:26" x14ac:dyDescent="0.25">
      <c r="G123" s="19">
        <v>132</v>
      </c>
      <c r="H123" s="19">
        <f t="shared" ca="1" si="35"/>
        <v>2.946647205040831E-2</v>
      </c>
      <c r="I123" s="19">
        <f t="shared" ca="1" si="35"/>
        <v>0.26936258369884403</v>
      </c>
      <c r="J123" s="19">
        <f t="shared" ca="1" si="27"/>
        <v>-0.32220718295743844</v>
      </c>
      <c r="K123" s="19">
        <f t="shared" ca="1" si="28"/>
        <v>2.6353722576812291</v>
      </c>
      <c r="L123" s="19">
        <f t="array" aca="1" ref="L123:M123" ca="1">MMULT(J123:K123,TRANSPOSE($B$10:$C$11))</f>
        <v>-0.32220718295743844</v>
      </c>
      <c r="M123" s="19">
        <f ca="1"/>
        <v>2.0692631144150457</v>
      </c>
      <c r="N123" s="20">
        <f t="shared" ca="1" si="29"/>
        <v>3.5795086165786314E-3</v>
      </c>
      <c r="O123" s="20">
        <f t="shared" ca="1" si="30"/>
        <v>0.1504450628032053</v>
      </c>
      <c r="P123" s="19">
        <f t="shared" ca="1" si="31"/>
        <v>9.9329257468158865</v>
      </c>
      <c r="Q123" s="19">
        <f ca="1">HCTrans(P123,Strike,RiskFreeRate,Dividend,Variance_T0*AnnualVarConvtr,(Simulation!G123)/250,0.5,Variance_Avg*AnnualVarConvtr,Lambda,SQRT(Simulation!N123),Rho,1,"Call")</f>
        <v>29.023356692573202</v>
      </c>
      <c r="R123" s="19">
        <f ca="1">BlackScholesImpliedVolatility(P123,Strike,RiskFreeRate,G123/250,Dividend,Q123,0.01,"call")</f>
        <v>0.75180287236760734</v>
      </c>
      <c r="S123" s="19">
        <f t="shared" ca="1" si="32"/>
        <v>0.55050445010581117</v>
      </c>
      <c r="T123" s="19">
        <f t="shared" ca="1" si="33"/>
        <v>11.0365960405734</v>
      </c>
      <c r="U123" s="19">
        <f t="shared" ca="1" si="34"/>
        <v>-26.142344578669412</v>
      </c>
      <c r="V123" s="21"/>
      <c r="X123" s="22"/>
      <c r="Y123" s="22"/>
      <c r="Z123" s="22"/>
    </row>
    <row r="124" spans="7:26" x14ac:dyDescent="0.25">
      <c r="G124" s="19">
        <v>131</v>
      </c>
      <c r="H124" s="19">
        <f t="shared" ca="1" si="35"/>
        <v>0.63983758513058997</v>
      </c>
      <c r="I124" s="19">
        <f t="shared" ca="1" si="35"/>
        <v>0.22806033223637356</v>
      </c>
      <c r="J124" s="19">
        <f t="shared" ca="1" si="27"/>
        <v>0.12986113387213574</v>
      </c>
      <c r="K124" s="19">
        <f t="shared" ca="1" si="28"/>
        <v>0.93606511634871858</v>
      </c>
      <c r="L124" s="19">
        <f t="array" aca="1" ref="L124:M124" ca="1">MMULT(J124:K124,TRANSPOSE($B$10:$C$11))</f>
        <v>0.12986113387213574</v>
      </c>
      <c r="M124" s="19">
        <f ca="1"/>
        <v>0.559941439396337</v>
      </c>
      <c r="N124" s="20">
        <f t="shared" ca="1" si="29"/>
        <v>4.4664599452426956E-3</v>
      </c>
      <c r="O124" s="20">
        <f t="shared" ca="1" si="30"/>
        <v>0.15092928765138244</v>
      </c>
      <c r="P124" s="19">
        <f t="shared" ca="1" si="31"/>
        <v>9.4805716965645264</v>
      </c>
      <c r="Q124" s="19">
        <f ca="1">HCTrans(P124,Strike,RiskFreeRate,Dividend,Variance_T0*AnnualVarConvtr,(Simulation!G124)/250,0.5,Variance_Avg*AnnualVarConvtr,Lambda,SQRT(Simulation!N124),Rho,1,"Call")</f>
        <v>29.023356692573202</v>
      </c>
      <c r="R124" s="19">
        <f ca="1">BlackScholesImpliedVolatility(P124,Strike,RiskFreeRate,G124/250,Dividend,Q124,0.01,"call")</f>
        <v>0.75180287236760734</v>
      </c>
      <c r="S124" s="19">
        <f t="shared" ca="1" si="32"/>
        <v>0.55050445010581117</v>
      </c>
      <c r="T124" s="19">
        <f t="shared" ca="1" si="33"/>
        <v>11.0365960405734</v>
      </c>
      <c r="U124" s="19">
        <f t="shared" ca="1" si="34"/>
        <v>-26.142344578669412</v>
      </c>
      <c r="V124" s="21"/>
      <c r="X124" s="22"/>
      <c r="Y124" s="22"/>
      <c r="Z124" s="22"/>
    </row>
    <row r="125" spans="7:26" x14ac:dyDescent="0.25">
      <c r="G125" s="19">
        <v>130</v>
      </c>
      <c r="H125" s="19">
        <f t="shared" ca="1" si="35"/>
        <v>9.2440544250452783E-2</v>
      </c>
      <c r="I125" s="19">
        <f t="shared" ca="1" si="35"/>
        <v>0.50691405943949963</v>
      </c>
      <c r="J125" s="19">
        <f t="shared" ca="1" si="27"/>
        <v>-2.1802286890091294</v>
      </c>
      <c r="K125" s="19">
        <f t="shared" ca="1" si="28"/>
        <v>-9.4773812800667143E-2</v>
      </c>
      <c r="L125" s="19">
        <f t="array" aca="1" ref="L125:M125" ca="1">MMULT(J125:K125,TRANSPOSE($B$10:$C$11))</f>
        <v>-2.1802286890091294</v>
      </c>
      <c r="M125" s="19">
        <f ca="1"/>
        <v>1.4960208672685076</v>
      </c>
      <c r="N125" s="20">
        <f t="shared" ca="1" si="29"/>
        <v>7.2681169146260162E-3</v>
      </c>
      <c r="O125" s="20">
        <f t="shared" ca="1" si="30"/>
        <v>0.14170496371136357</v>
      </c>
      <c r="P125" s="19">
        <f t="shared" ca="1" si="31"/>
        <v>9.0977047914350972</v>
      </c>
      <c r="Q125" s="19">
        <f ca="1">HCTrans(P125,Strike,RiskFreeRate,Dividend,Variance_T0*AnnualVarConvtr,(Simulation!G125)/250,0.5,Variance_Avg*AnnualVarConvtr,Lambda,SQRT(Simulation!N125),Rho,1,"Call")</f>
        <v>29.023356692573202</v>
      </c>
      <c r="R125" s="19">
        <f ca="1">BlackScholesImpliedVolatility(P125,Strike,RiskFreeRate,G125/250,Dividend,Q125,0.01,"call")</f>
        <v>0.75180287236760734</v>
      </c>
      <c r="S125" s="19">
        <f t="shared" ca="1" si="32"/>
        <v>0.55050445010581117</v>
      </c>
      <c r="T125" s="19">
        <f t="shared" ca="1" si="33"/>
        <v>11.0365960405734</v>
      </c>
      <c r="U125" s="19">
        <f t="shared" ca="1" si="34"/>
        <v>-26.142344578669412</v>
      </c>
      <c r="V125" s="21"/>
      <c r="X125" s="22"/>
      <c r="Y125" s="22"/>
      <c r="Z125" s="22"/>
    </row>
    <row r="126" spans="7:26" x14ac:dyDescent="0.25">
      <c r="G126" s="19">
        <v>129</v>
      </c>
      <c r="H126" s="19">
        <f t="shared" ca="1" si="35"/>
        <v>0.95154445314516312</v>
      </c>
      <c r="I126" s="19">
        <f t="shared" ca="1" si="35"/>
        <v>0.71787543779285423</v>
      </c>
      <c r="J126" s="19">
        <f t="shared" ca="1" si="27"/>
        <v>-6.3186060461116522E-2</v>
      </c>
      <c r="K126" s="19">
        <f t="shared" ca="1" si="28"/>
        <v>-0.30878029471267032</v>
      </c>
      <c r="L126" s="19">
        <f t="array" aca="1" ref="L126:M126" ca="1">MMULT(J126:K126,TRANSPOSE($B$10:$C$11))</f>
        <v>-6.3186060461116522E-2</v>
      </c>
      <c r="M126" s="19">
        <f ca="1"/>
        <v>-0.17012833533039978</v>
      </c>
      <c r="N126" s="20">
        <f t="shared" ca="1" si="29"/>
        <v>6.9156466277660571E-3</v>
      </c>
      <c r="O126" s="20">
        <f t="shared" ca="1" si="30"/>
        <v>0.14134973524925384</v>
      </c>
      <c r="P126" s="19">
        <f t="shared" ca="1" si="31"/>
        <v>8.7384534901635504</v>
      </c>
      <c r="Q126" s="19">
        <f ca="1">HCTrans(P126,Strike,RiskFreeRate,Dividend,Variance_T0*AnnualVarConvtr,(Simulation!G126)/250,0.5,Variance_Avg*AnnualVarConvtr,Lambda,SQRT(Simulation!N126),Rho,1,"Call")</f>
        <v>29.023356692573202</v>
      </c>
      <c r="R126" s="19">
        <f ca="1">BlackScholesImpliedVolatility(P126,Strike,RiskFreeRate,G126/250,Dividend,Q126,0.01,"call")</f>
        <v>0.75180287236760734</v>
      </c>
      <c r="S126" s="19">
        <f t="shared" ca="1" si="32"/>
        <v>0.55050445010581117</v>
      </c>
      <c r="T126" s="19">
        <f t="shared" ca="1" si="33"/>
        <v>11.0365960405734</v>
      </c>
      <c r="U126" s="19">
        <f t="shared" ca="1" si="34"/>
        <v>-26.142344578669412</v>
      </c>
      <c r="V126" s="21"/>
      <c r="X126" s="22"/>
      <c r="Y126" s="22"/>
      <c r="Z126" s="22"/>
    </row>
    <row r="127" spans="7:26" x14ac:dyDescent="0.25">
      <c r="G127" s="19">
        <v>128</v>
      </c>
      <c r="H127" s="19">
        <f t="shared" ca="1" si="35"/>
        <v>2.3322038490105612E-3</v>
      </c>
      <c r="I127" s="19">
        <f t="shared" ca="1" si="35"/>
        <v>0.75268069675428617</v>
      </c>
      <c r="J127" s="19">
        <f t="shared" ca="1" si="27"/>
        <v>5.8639744522592928E-2</v>
      </c>
      <c r="K127" s="19">
        <f t="shared" ca="1" si="28"/>
        <v>-3.4811556387737101</v>
      </c>
      <c r="L127" s="19">
        <f t="array" aca="1" ref="L127:M127" ca="1">MMULT(J127:K127,TRANSPOSE($B$10:$C$11))</f>
        <v>5.8639744522592928E-2</v>
      </c>
      <c r="M127" s="19">
        <f ca="1"/>
        <v>-2.4704246134939463</v>
      </c>
      <c r="N127" s="20">
        <f t="shared" ca="1" si="29"/>
        <v>2.7962006736552145E-3</v>
      </c>
      <c r="O127" s="20">
        <f t="shared" ca="1" si="30"/>
        <v>0.14164432106513111</v>
      </c>
      <c r="P127" s="19">
        <f t="shared" ca="1" si="31"/>
        <v>8.4078903285434894</v>
      </c>
      <c r="Q127" s="19">
        <f ca="1">HCTrans(P127,Strike,RiskFreeRate,Dividend,Variance_T0*AnnualVarConvtr,(Simulation!G127)/250,0.5,Variance_Avg*AnnualVarConvtr,Lambda,SQRT(Simulation!N127),Rho,1,"Call")</f>
        <v>29.023356692573202</v>
      </c>
      <c r="R127" s="19">
        <f ca="1">BlackScholesImpliedVolatility(P127,Strike,RiskFreeRate,G127/250,Dividend,Q127,0.01,"call")</f>
        <v>0.75180287236760734</v>
      </c>
      <c r="S127" s="19">
        <f t="shared" ca="1" si="32"/>
        <v>0.55050445010581117</v>
      </c>
      <c r="T127" s="19">
        <f t="shared" ca="1" si="33"/>
        <v>11.0365960405734</v>
      </c>
      <c r="U127" s="19">
        <f t="shared" ca="1" si="34"/>
        <v>-26.142344578669412</v>
      </c>
      <c r="V127" s="21"/>
      <c r="X127" s="22"/>
      <c r="Y127" s="22"/>
      <c r="Z127" s="22"/>
    </row>
    <row r="128" spans="7:26" x14ac:dyDescent="0.25">
      <c r="G128" s="19">
        <v>127</v>
      </c>
      <c r="H128" s="19">
        <f t="shared" ca="1" si="35"/>
        <v>0.2524669016053509</v>
      </c>
      <c r="I128" s="19">
        <f t="shared" ca="1" si="35"/>
        <v>0.56643748318774834</v>
      </c>
      <c r="J128" s="19">
        <f t="shared" ca="1" si="27"/>
        <v>-1.5167263912228501</v>
      </c>
      <c r="K128" s="19">
        <f t="shared" ca="1" si="28"/>
        <v>-0.67267473372196429</v>
      </c>
      <c r="L128" s="19">
        <f t="array" aca="1" ref="L128:M128" ca="1">MMULT(J128:K128,TRANSPOSE($B$10:$C$11))</f>
        <v>-1.5167263912228501</v>
      </c>
      <c r="M128" s="19">
        <f ca="1"/>
        <v>0.61748524839818375</v>
      </c>
      <c r="N128" s="20">
        <f t="shared" ca="1" si="29"/>
        <v>3.6766791908313884E-3</v>
      </c>
      <c r="O128" s="20">
        <f t="shared" ca="1" si="30"/>
        <v>0.13656623623735228</v>
      </c>
      <c r="P128" s="19">
        <f t="shared" ca="1" si="31"/>
        <v>8.1183196137184268</v>
      </c>
      <c r="Q128" s="19">
        <f ca="1">HCTrans(P128,Strike,RiskFreeRate,Dividend,Variance_T0*AnnualVarConvtr,(Simulation!G128)/250,0.5,Variance_Avg*AnnualVarConvtr,Lambda,SQRT(Simulation!N128),Rho,1,"Call")</f>
        <v>29.023356692573202</v>
      </c>
      <c r="R128" s="19">
        <f ca="1">BlackScholesImpliedVolatility(P128,Strike,RiskFreeRate,G128/250,Dividend,Q128,0.01,"call")</f>
        <v>0.75180287236760734</v>
      </c>
      <c r="S128" s="19">
        <f t="shared" ca="1" si="32"/>
        <v>0.55050445010581117</v>
      </c>
      <c r="T128" s="19">
        <f t="shared" ca="1" si="33"/>
        <v>11.0365960405734</v>
      </c>
      <c r="U128" s="19">
        <f t="shared" ca="1" si="34"/>
        <v>-26.142344578669412</v>
      </c>
      <c r="V128" s="21"/>
      <c r="X128" s="22"/>
      <c r="Y128" s="22"/>
      <c r="Z128" s="22"/>
    </row>
    <row r="129" spans="7:26" x14ac:dyDescent="0.25">
      <c r="G129" s="19">
        <v>126</v>
      </c>
      <c r="H129" s="19">
        <f t="shared" ca="1" si="35"/>
        <v>0.49174544492644767</v>
      </c>
      <c r="I129" s="19">
        <f t="shared" ca="1" si="35"/>
        <v>0.44982065326596155</v>
      </c>
      <c r="J129" s="19">
        <f t="shared" ca="1" si="27"/>
        <v>-1.1327346689760676</v>
      </c>
      <c r="K129" s="19">
        <f t="shared" ca="1" si="28"/>
        <v>0.36945952306603042</v>
      </c>
      <c r="L129" s="19">
        <f t="array" aca="1" ref="L129:M129" ca="1">MMULT(J129:K129,TRANSPOSE($B$10:$C$11))</f>
        <v>-1.1327346689760676</v>
      </c>
      <c r="M129" s="19">
        <f ca="1"/>
        <v>1.0693345843837356</v>
      </c>
      <c r="N129" s="20">
        <f t="shared" ca="1" si="29"/>
        <v>5.4563077237355598E-3</v>
      </c>
      <c r="O129" s="20">
        <f t="shared" ca="1" si="30"/>
        <v>0.13221492048241415</v>
      </c>
      <c r="P129" s="19">
        <f t="shared" ca="1" si="31"/>
        <v>7.7977268489764091</v>
      </c>
      <c r="Q129" s="19">
        <f ca="1">HCTrans(P129,Strike,RiskFreeRate,Dividend,Variance_T0*AnnualVarConvtr,(Simulation!G129)/250,0.5,Variance_Avg*AnnualVarConvtr,Lambda,SQRT(Simulation!N129),Rho,1,"Call")</f>
        <v>29.023356692573202</v>
      </c>
      <c r="R129" s="19">
        <f ca="1">BlackScholesImpliedVolatility(P129,Strike,RiskFreeRate,G129/250,Dividend,Q129,0.01,"call")</f>
        <v>0.75180287236760734</v>
      </c>
      <c r="S129" s="19">
        <f t="shared" ca="1" si="32"/>
        <v>0.55050445010581117</v>
      </c>
      <c r="T129" s="19">
        <f t="shared" ca="1" si="33"/>
        <v>11.0365960405734</v>
      </c>
      <c r="U129" s="19">
        <f t="shared" ca="1" si="34"/>
        <v>-26.142344578669412</v>
      </c>
      <c r="V129" s="21"/>
      <c r="X129" s="22"/>
      <c r="Y129" s="22"/>
      <c r="Z129" s="22"/>
    </row>
    <row r="130" spans="7:26" x14ac:dyDescent="0.25">
      <c r="G130" s="19">
        <v>125</v>
      </c>
      <c r="H130" s="19">
        <f t="shared" ca="1" si="35"/>
        <v>0.87059591644566503</v>
      </c>
      <c r="I130" s="19">
        <f t="shared" ca="1" si="35"/>
        <v>0.53373894180793302</v>
      </c>
      <c r="J130" s="19">
        <f t="shared" ca="1" si="27"/>
        <v>-0.51466989978004418</v>
      </c>
      <c r="K130" s="19">
        <f t="shared" ca="1" si="28"/>
        <v>-0.11076811374148537</v>
      </c>
      <c r="L130" s="19">
        <f t="array" aca="1" ref="L130:M130" ca="1">MMULT(J130:K130,TRANSPOSE($B$10:$C$11))</f>
        <v>-0.51466989978004418</v>
      </c>
      <c r="M130" s="19">
        <f ca="1"/>
        <v>0.29149057691459423</v>
      </c>
      <c r="N130" s="20">
        <f t="shared" ca="1" si="29"/>
        <v>6.0054638468697106E-3</v>
      </c>
      <c r="O130" s="20">
        <f t="shared" ca="1" si="30"/>
        <v>0.12979959970831351</v>
      </c>
      <c r="P130" s="19">
        <f t="shared" ca="1" si="31"/>
        <v>7.5467284790884976</v>
      </c>
      <c r="Q130" s="19">
        <f ca="1">HCTrans(P130,Strike,RiskFreeRate,Dividend,Variance_T0*AnnualVarConvtr,(Simulation!G130)/250,0.5,Variance_Avg*AnnualVarConvtr,Lambda,SQRT(Simulation!N130),Rho,1,"Call")</f>
        <v>29.023356692573202</v>
      </c>
      <c r="R130" s="19">
        <f ca="1">BlackScholesImpliedVolatility(P130,Strike,RiskFreeRate,G130/250,Dividend,Q130,0.01,"call")</f>
        <v>0.75180287236760734</v>
      </c>
      <c r="S130" s="19">
        <f t="shared" ca="1" si="32"/>
        <v>0.55050445010581117</v>
      </c>
      <c r="T130" s="19">
        <f t="shared" ca="1" si="33"/>
        <v>11.0365960405734</v>
      </c>
      <c r="U130" s="19">
        <f t="shared" ca="1" si="34"/>
        <v>-26.142344578669412</v>
      </c>
      <c r="V130" s="21"/>
      <c r="X130" s="22"/>
      <c r="Y130" s="22"/>
      <c r="Z130" s="22"/>
    </row>
    <row r="131" spans="7:26" x14ac:dyDescent="0.25">
      <c r="G131" s="19">
        <v>124</v>
      </c>
      <c r="H131" s="19">
        <f t="shared" ca="1" si="35"/>
        <v>0.32480099258204864</v>
      </c>
      <c r="I131" s="19">
        <f t="shared" ca="1" si="35"/>
        <v>0.45242735413218027</v>
      </c>
      <c r="J131" s="19">
        <f t="shared" ca="1" si="27"/>
        <v>-1.4331966194797015</v>
      </c>
      <c r="K131" s="19">
        <f t="shared" ca="1" si="28"/>
        <v>0.44162504384612894</v>
      </c>
      <c r="L131" s="19">
        <f t="array" aca="1" ref="L131:M131" ca="1">MMULT(J131:K131,TRANSPOSE($B$10:$C$11))</f>
        <v>-1.4331966194797015</v>
      </c>
      <c r="M131" s="19">
        <f ca="1"/>
        <v>1.3349573076553971</v>
      </c>
      <c r="N131" s="20">
        <f t="shared" ca="1" si="29"/>
        <v>8.8155347592472691E-3</v>
      </c>
      <c r="O131" s="20">
        <f t="shared" ca="1" si="30"/>
        <v>0.12276319177329614</v>
      </c>
      <c r="P131" s="19">
        <f t="shared" ca="1" si="31"/>
        <v>7.2143852299959539</v>
      </c>
      <c r="Q131" s="19">
        <f ca="1">HCTrans(P131,Strike,RiskFreeRate,Dividend,Variance_T0*AnnualVarConvtr,(Simulation!G131)/250,0.5,Variance_Avg*AnnualVarConvtr,Lambda,SQRT(Simulation!N131),Rho,1,"Call")</f>
        <v>29.023356692573202</v>
      </c>
      <c r="R131" s="19">
        <f ca="1">BlackScholesImpliedVolatility(P131,Strike,RiskFreeRate,G131/250,Dividend,Q131,0.01,"call")</f>
        <v>0.75180287236760734</v>
      </c>
      <c r="S131" s="19">
        <f t="shared" ca="1" si="32"/>
        <v>0.55050445010581117</v>
      </c>
      <c r="T131" s="19">
        <f t="shared" ca="1" si="33"/>
        <v>11.0365960405734</v>
      </c>
      <c r="U131" s="19">
        <f t="shared" ca="1" si="34"/>
        <v>-26.142344578669412</v>
      </c>
      <c r="V131" s="21"/>
      <c r="X131" s="22"/>
      <c r="Y131" s="22"/>
      <c r="Z131" s="22"/>
    </row>
    <row r="132" spans="7:26" x14ac:dyDescent="0.25">
      <c r="G132" s="19">
        <v>123</v>
      </c>
      <c r="H132" s="19">
        <f t="shared" ca="1" si="35"/>
        <v>0.87084029467232749</v>
      </c>
      <c r="I132" s="19">
        <f t="shared" ca="1" si="35"/>
        <v>7.6262240758896205E-2</v>
      </c>
      <c r="J132" s="19">
        <f t="shared" ca="1" si="27"/>
        <v>0.46669110550437032</v>
      </c>
      <c r="K132" s="19">
        <f t="shared" ca="1" si="28"/>
        <v>0.24247219860671448</v>
      </c>
      <c r="L132" s="19">
        <f t="array" aca="1" ref="L132:M132" ca="1">MMULT(J132:K132,TRANSPOSE($B$10:$C$11))</f>
        <v>0.46669110550437032</v>
      </c>
      <c r="M132" s="19">
        <f ca="1"/>
        <v>-0.1652387013377388</v>
      </c>
      <c r="N132" s="20">
        <f t="shared" ca="1" si="29"/>
        <v>8.429838371779106E-3</v>
      </c>
      <c r="O132" s="20">
        <f t="shared" ca="1" si="30"/>
        <v>0.12551686267485079</v>
      </c>
      <c r="P132" s="19">
        <f t="shared" ca="1" si="31"/>
        <v>6.945279790582366</v>
      </c>
      <c r="Q132" s="19">
        <f ca="1">HCTrans(P132,Strike,RiskFreeRate,Dividend,Variance_T0*AnnualVarConvtr,(Simulation!G132)/250,0.5,Variance_Avg*AnnualVarConvtr,Lambda,SQRT(Simulation!N132),Rho,1,"Call")</f>
        <v>29.023356692573202</v>
      </c>
      <c r="R132" s="19">
        <f ca="1">BlackScholesImpliedVolatility(P132,Strike,RiskFreeRate,G132/250,Dividend,Q132,0.01,"call")</f>
        <v>0.75180287236760734</v>
      </c>
      <c r="S132" s="19">
        <f t="shared" ca="1" si="32"/>
        <v>0.55050445010581117</v>
      </c>
      <c r="T132" s="19">
        <f t="shared" ca="1" si="33"/>
        <v>11.0365960405734</v>
      </c>
      <c r="U132" s="19">
        <f t="shared" ca="1" si="34"/>
        <v>-26.142344578669412</v>
      </c>
      <c r="V132" s="21"/>
      <c r="X132" s="22"/>
      <c r="Y132" s="22"/>
      <c r="Z132" s="22"/>
    </row>
    <row r="133" spans="7:26" x14ac:dyDescent="0.25">
      <c r="G133" s="19">
        <v>122</v>
      </c>
      <c r="H133" s="19">
        <f t="shared" ca="1" si="35"/>
        <v>0.81956995594036908</v>
      </c>
      <c r="I133" s="19">
        <f t="shared" ca="1" si="35"/>
        <v>0.85664160492092656</v>
      </c>
      <c r="J133" s="19">
        <f t="shared" ca="1" si="27"/>
        <v>0.39176304140119173</v>
      </c>
      <c r="K133" s="19">
        <f t="shared" ca="1" si="28"/>
        <v>-0.49444186708628085</v>
      </c>
      <c r="L133" s="19">
        <f t="array" aca="1" ref="L133:M133" ca="1">MMULT(J133:K133,TRANSPOSE($B$10:$C$11))</f>
        <v>0.39176304140119173</v>
      </c>
      <c r="M133" s="19">
        <f ca="1"/>
        <v>-0.62561448305990242</v>
      </c>
      <c r="N133" s="20">
        <f t="shared" ca="1" si="29"/>
        <v>7.0728796301620872E-3</v>
      </c>
      <c r="O133" s="20">
        <f t="shared" ca="1" si="30"/>
        <v>0.12777490703925118</v>
      </c>
      <c r="P133" s="19">
        <f t="shared" ca="1" si="31"/>
        <v>6.6536664734413176</v>
      </c>
      <c r="Q133" s="19">
        <f ca="1">HCTrans(P133,Strike,RiskFreeRate,Dividend,Variance_T0*AnnualVarConvtr,(Simulation!G133)/250,0.5,Variance_Avg*AnnualVarConvtr,Lambda,SQRT(Simulation!N133),Rho,1,"Call")</f>
        <v>29.023356692573202</v>
      </c>
      <c r="R133" s="19">
        <f ca="1">BlackScholesImpliedVolatility(P133,Strike,RiskFreeRate,G133/250,Dividend,Q133,0.01,"call")</f>
        <v>0.75180287236760734</v>
      </c>
      <c r="S133" s="19">
        <f t="shared" ca="1" si="32"/>
        <v>0.55050445010581117</v>
      </c>
      <c r="T133" s="19">
        <f t="shared" ca="1" si="33"/>
        <v>11.0365960405734</v>
      </c>
      <c r="U133" s="19">
        <f t="shared" ca="1" si="34"/>
        <v>-26.142344578669412</v>
      </c>
      <c r="V133" s="21"/>
      <c r="X133" s="22"/>
      <c r="Y133" s="22"/>
      <c r="Z133" s="22"/>
    </row>
    <row r="134" spans="7:26" x14ac:dyDescent="0.25">
      <c r="G134" s="19">
        <v>121</v>
      </c>
      <c r="H134" s="19">
        <f t="shared" ca="1" si="35"/>
        <v>0.77281933311773077</v>
      </c>
      <c r="I134" s="19">
        <f t="shared" ca="1" si="35"/>
        <v>0.5006662051684948</v>
      </c>
      <c r="J134" s="19">
        <f t="shared" ref="J134:J197" ca="1" si="36">SQRT(-2*LN(H134))*COS(2*PI()*I134)</f>
        <v>-0.71792125464728929</v>
      </c>
      <c r="K134" s="19">
        <f t="shared" ref="K134:K197" ca="1" si="37">SQRT(-2*LN(H134))*SIN(2*PI()*I134)</f>
        <v>-3.0051573302458902E-3</v>
      </c>
      <c r="L134" s="19">
        <f t="array" aca="1" ref="L134:M134" ca="1">MMULT(J134:K134,TRANSPOSE($B$10:$C$11))</f>
        <v>-0.71792125464728929</v>
      </c>
      <c r="M134" s="19">
        <f ca="1"/>
        <v>0.51229421999376656</v>
      </c>
      <c r="N134" s="20">
        <f t="shared" ref="N134:N197" ca="1" si="38">GetVariance(N133,Variance_Avg,Lambda,Eta,M134,"Daily")</f>
        <v>8.1686210443458404E-3</v>
      </c>
      <c r="O134" s="20">
        <f t="shared" ref="O134:O197" ca="1" si="39">GetStockReturns(O133,RiskFreeRate,N133,L134,"Daily")</f>
        <v>0.12394215449063674</v>
      </c>
      <c r="P134" s="19">
        <f t="shared" ca="1" si="31"/>
        <v>6.2502779257089616</v>
      </c>
      <c r="Q134" s="19">
        <f ca="1">HCTrans(P134,Strike,RiskFreeRate,Dividend,Variance_T0*AnnualVarConvtr,(Simulation!G134)/250,0.5,Variance_Avg*AnnualVarConvtr,Lambda,SQRT(Simulation!N134),Rho,1,"Call")</f>
        <v>29.023356692573202</v>
      </c>
      <c r="R134" s="19">
        <f ca="1">BlackScholesImpliedVolatility(P134,Strike,RiskFreeRate,G134/250,Dividend,Q134,0.01,"call")</f>
        <v>0.75180287236760734</v>
      </c>
      <c r="S134" s="19">
        <f t="shared" ca="1" si="32"/>
        <v>0.55050445010581117</v>
      </c>
      <c r="T134" s="19">
        <f t="shared" ca="1" si="33"/>
        <v>11.0365960405734</v>
      </c>
      <c r="U134" s="19">
        <f t="shared" ca="1" si="34"/>
        <v>-26.142344578669412</v>
      </c>
      <c r="V134" s="21"/>
      <c r="X134" s="22"/>
      <c r="Y134" s="22"/>
      <c r="Z134" s="22"/>
    </row>
    <row r="135" spans="7:26" x14ac:dyDescent="0.25">
      <c r="G135" s="19">
        <v>120</v>
      </c>
      <c r="H135" s="19">
        <f t="shared" ca="1" si="35"/>
        <v>0.77651269168410064</v>
      </c>
      <c r="I135" s="19">
        <f t="shared" ca="1" si="35"/>
        <v>0.65151790723364766</v>
      </c>
      <c r="J135" s="19">
        <f t="shared" ca="1" si="36"/>
        <v>-0.41255871599885807</v>
      </c>
      <c r="K135" s="19">
        <f t="shared" ca="1" si="37"/>
        <v>-0.57937888246300218</v>
      </c>
      <c r="L135" s="19">
        <f t="array" aca="1" ref="L135:M135" ca="1">MMULT(J135:K135,TRANSPOSE($B$10:$C$11))</f>
        <v>-0.41255871599885807</v>
      </c>
      <c r="M135" s="19">
        <f ca="1"/>
        <v>-0.10856890938625879</v>
      </c>
      <c r="N135" s="20">
        <f t="shared" ca="1" si="38"/>
        <v>7.9238349379143012E-3</v>
      </c>
      <c r="O135" s="20">
        <f t="shared" ca="1" si="39"/>
        <v>0.12156756565344409</v>
      </c>
      <c r="P135" s="19">
        <f t="shared" ref="P135:P198" ca="1" si="40">P134*EXP(O135)</f>
        <v>5.8950199167039923</v>
      </c>
      <c r="Q135" s="19">
        <f ca="1">HCTrans(P135,Strike,RiskFreeRate,Dividend,Variance_T0*AnnualVarConvtr,(Simulation!G135)/250,0.5,Variance_Avg*AnnualVarConvtr,Lambda,SQRT(Simulation!N135),Rho,1,"Call")</f>
        <v>29.023356692573202</v>
      </c>
      <c r="R135" s="19">
        <f ca="1">BlackScholesImpliedVolatility(P135,Strike,RiskFreeRate,G135/250,Dividend,Q135,0.01,"call")</f>
        <v>0.75180287236760734</v>
      </c>
      <c r="S135" s="19">
        <f t="shared" ca="1" si="32"/>
        <v>0.55050445010581117</v>
      </c>
      <c r="T135" s="19">
        <f t="shared" ca="1" si="33"/>
        <v>11.0365960405734</v>
      </c>
      <c r="U135" s="19">
        <f t="shared" ca="1" si="34"/>
        <v>-26.142344578669412</v>
      </c>
      <c r="V135" s="21"/>
      <c r="X135" s="22"/>
      <c r="Y135" s="22"/>
      <c r="Z135" s="22"/>
    </row>
    <row r="136" spans="7:26" x14ac:dyDescent="0.25">
      <c r="G136" s="19">
        <v>119</v>
      </c>
      <c r="H136" s="19">
        <f t="shared" ca="1" si="35"/>
        <v>0.9715163102546821</v>
      </c>
      <c r="I136" s="19">
        <f t="shared" ca="1" si="35"/>
        <v>1.7600579031152863E-2</v>
      </c>
      <c r="J136" s="19">
        <f t="shared" ca="1" si="36"/>
        <v>0.23893621446106533</v>
      </c>
      <c r="K136" s="19">
        <f t="shared" ca="1" si="37"/>
        <v>2.6531652096693132E-2</v>
      </c>
      <c r="L136" s="19">
        <f t="array" aca="1" ref="L136:M136" ca="1">MMULT(J136:K136,TRANSPOSE($B$10:$C$11))</f>
        <v>0.23893621446106533</v>
      </c>
      <c r="M136" s="19">
        <f ca="1"/>
        <v>-0.15268965964685624</v>
      </c>
      <c r="N136" s="20">
        <f t="shared" ca="1" si="38"/>
        <v>7.5894093670136054E-3</v>
      </c>
      <c r="O136" s="20">
        <f t="shared" ca="1" si="39"/>
        <v>0.12289689576224334</v>
      </c>
      <c r="P136" s="19">
        <f t="shared" ca="1" si="40"/>
        <v>5.6359834655237178</v>
      </c>
      <c r="Q136" s="19">
        <f ca="1">HCTrans(P136,Strike,RiskFreeRate,Dividend,Variance_T0*AnnualVarConvtr,(Simulation!G136)/250,0.5,Variance_Avg*AnnualVarConvtr,Lambda,SQRT(Simulation!N136),Rho,1,"Call")</f>
        <v>29.023356692573202</v>
      </c>
      <c r="R136" s="19">
        <f ca="1">BlackScholesImpliedVolatility(P136,Strike,RiskFreeRate,G136/250,Dividend,Q136,0.01,"call")</f>
        <v>0.75180287236760734</v>
      </c>
      <c r="S136" s="19">
        <f t="shared" ca="1" si="32"/>
        <v>0.55050445010581117</v>
      </c>
      <c r="T136" s="19">
        <f t="shared" ca="1" si="33"/>
        <v>11.0365960405734</v>
      </c>
      <c r="U136" s="19">
        <f t="shared" ca="1" si="34"/>
        <v>-26.142344578669412</v>
      </c>
      <c r="V136" s="21"/>
      <c r="X136" s="22"/>
      <c r="Y136" s="22"/>
      <c r="Z136" s="22"/>
    </row>
    <row r="137" spans="7:26" x14ac:dyDescent="0.25">
      <c r="G137" s="19">
        <v>118</v>
      </c>
      <c r="H137" s="19">
        <f t="shared" ca="1" si="35"/>
        <v>6.0845558419015067E-2</v>
      </c>
      <c r="I137" s="19">
        <f t="shared" ca="1" si="35"/>
        <v>0.2362812301292786</v>
      </c>
      <c r="J137" s="19">
        <f t="shared" ca="1" si="36"/>
        <v>0.20370695475522069</v>
      </c>
      <c r="K137" s="19">
        <f t="shared" ca="1" si="37"/>
        <v>2.3574003447853826</v>
      </c>
      <c r="L137" s="19">
        <f t="array" aca="1" ref="L137:M137" ca="1">MMULT(J137:K137,TRANSPOSE($B$10:$C$11))</f>
        <v>0.20370695475522069</v>
      </c>
      <c r="M137" s="19">
        <f ca="1"/>
        <v>1.4985360165535331</v>
      </c>
      <c r="N137" s="20">
        <f t="shared" ca="1" si="38"/>
        <v>1.1125151414936882E-2</v>
      </c>
      <c r="O137" s="20">
        <f t="shared" ca="1" si="39"/>
        <v>0.12400409674288064</v>
      </c>
      <c r="P137" s="19">
        <f t="shared" ca="1" si="40"/>
        <v>5.3912126603439745</v>
      </c>
      <c r="Q137" s="19">
        <f ca="1">HCTrans(P137,Strike,RiskFreeRate,Dividend,Variance_T0*AnnualVarConvtr,(Simulation!G137)/250,0.5,Variance_Avg*AnnualVarConvtr,Lambda,SQRT(Simulation!N137),Rho,1,"Call")</f>
        <v>29.023356692573202</v>
      </c>
      <c r="R137" s="19">
        <f ca="1">BlackScholesImpliedVolatility(P137,Strike,RiskFreeRate,G137/250,Dividend,Q137,0.01,"call")</f>
        <v>0.75180287236760734</v>
      </c>
      <c r="S137" s="19">
        <f t="shared" ref="S137:S200" ca="1" si="41">BSdelta(1,P137,Strike,R137/AnnualVarConvtr,Dividend,RiskFreeRate,G137/250)</f>
        <v>0.55050445010581117</v>
      </c>
      <c r="T137" s="19">
        <f t="shared" ref="T137:T200" ca="1" si="42">(S137-S136)*P137</f>
        <v>11.0365960405734</v>
      </c>
      <c r="U137" s="19">
        <f t="shared" ref="U137:U200" ca="1" si="43">(Q137-Q136)+U136-T137</f>
        <v>-26.142344578669412</v>
      </c>
      <c r="V137" s="21"/>
      <c r="X137" s="22"/>
      <c r="Y137" s="22"/>
      <c r="Z137" s="22"/>
    </row>
    <row r="138" spans="7:26" x14ac:dyDescent="0.25">
      <c r="G138" s="19">
        <v>117</v>
      </c>
      <c r="H138" s="19">
        <f t="shared" ca="1" si="35"/>
        <v>0.55027228516967619</v>
      </c>
      <c r="I138" s="19">
        <f t="shared" ca="1" si="35"/>
        <v>0.33230220744744265</v>
      </c>
      <c r="J138" s="19">
        <f t="shared" ca="1" si="36"/>
        <v>-0.5403639480252711</v>
      </c>
      <c r="K138" s="19">
        <f t="shared" ca="1" si="37"/>
        <v>0.95010048010907833</v>
      </c>
      <c r="L138" s="19">
        <f t="array" aca="1" ref="L138:M138" ca="1">MMULT(J138:K138,TRANSPOSE($B$10:$C$11))</f>
        <v>-0.5403639480252711</v>
      </c>
      <c r="M138" s="19">
        <f ca="1"/>
        <v>1.049948599157275</v>
      </c>
      <c r="N138" s="20">
        <f t="shared" ca="1" si="38"/>
        <v>1.398470912484215E-2</v>
      </c>
      <c r="O138" s="20">
        <f t="shared" ca="1" si="39"/>
        <v>0.12037714477624994</v>
      </c>
      <c r="P138" s="19">
        <f t="shared" ca="1" si="40"/>
        <v>5.1779066822428117</v>
      </c>
      <c r="Q138" s="19">
        <f ca="1">HCTrans(P138,Strike,RiskFreeRate,Dividend,Variance_T0*AnnualVarConvtr,(Simulation!G138)/250,0.5,Variance_Avg*AnnualVarConvtr,Lambda,SQRT(Simulation!N138),Rho,1,"Call")</f>
        <v>29.023356692573202</v>
      </c>
      <c r="R138" s="19">
        <f ca="1">BlackScholesImpliedVolatility(P138,Strike,RiskFreeRate,G138/250,Dividend,Q138,0.01,"call")</f>
        <v>0.75180287236760734</v>
      </c>
      <c r="S138" s="19">
        <f t="shared" ca="1" si="41"/>
        <v>0.55050445010581117</v>
      </c>
      <c r="T138" s="19">
        <f t="shared" ca="1" si="42"/>
        <v>11.0365960405734</v>
      </c>
      <c r="U138" s="19">
        <f t="shared" ca="1" si="43"/>
        <v>-26.142344578669412</v>
      </c>
      <c r="V138" s="21"/>
      <c r="X138" s="22"/>
      <c r="Y138" s="22"/>
      <c r="Z138" s="22"/>
    </row>
    <row r="139" spans="7:26" x14ac:dyDescent="0.25">
      <c r="G139" s="19">
        <v>116</v>
      </c>
      <c r="H139" s="19">
        <f t="shared" ca="1" si="35"/>
        <v>0.14979994351507286</v>
      </c>
      <c r="I139" s="19">
        <f t="shared" ca="1" si="35"/>
        <v>0.10865513467210719</v>
      </c>
      <c r="J139" s="19">
        <f t="shared" ca="1" si="36"/>
        <v>1.5118376008406564</v>
      </c>
      <c r="K139" s="19">
        <f t="shared" ca="1" si="37"/>
        <v>1.2293316227204216</v>
      </c>
      <c r="L139" s="19">
        <f t="array" aca="1" ref="L139:M139" ca="1">MMULT(J139:K139,TRANSPOSE($B$10:$C$11))</f>
        <v>1.5118376008406564</v>
      </c>
      <c r="M139" s="19">
        <f ca="1"/>
        <v>-0.22566577002021138</v>
      </c>
      <c r="N139" s="20">
        <f t="shared" ca="1" si="38"/>
        <v>1.3301216983208186E-2</v>
      </c>
      <c r="O139" s="20">
        <f t="shared" ca="1" si="39"/>
        <v>0.13165655195998746</v>
      </c>
      <c r="P139" s="19">
        <f t="shared" ca="1" si="40"/>
        <v>4.9561180840580619</v>
      </c>
      <c r="Q139" s="19">
        <f ca="1">HCTrans(P139,Strike,RiskFreeRate,Dividend,Variance_T0*AnnualVarConvtr,(Simulation!G139)/250,0.5,Variance_Avg*AnnualVarConvtr,Lambda,SQRT(Simulation!N139),Rho,1,"Call")</f>
        <v>29.023356692573202</v>
      </c>
      <c r="R139" s="19">
        <f ca="1">BlackScholesImpliedVolatility(P139,Strike,RiskFreeRate,G139/250,Dividend,Q139,0.01,"call")</f>
        <v>0.75180287236760734</v>
      </c>
      <c r="S139" s="19">
        <f t="shared" ca="1" si="41"/>
        <v>0.55050445010581117</v>
      </c>
      <c r="T139" s="19">
        <f t="shared" ca="1" si="42"/>
        <v>11.0365960405734</v>
      </c>
      <c r="U139" s="19">
        <f t="shared" ca="1" si="43"/>
        <v>-26.142344578669412</v>
      </c>
      <c r="V139" s="21"/>
      <c r="X139" s="22"/>
      <c r="Y139" s="22"/>
      <c r="Z139" s="22"/>
    </row>
    <row r="140" spans="7:26" x14ac:dyDescent="0.25">
      <c r="G140" s="19">
        <v>115</v>
      </c>
      <c r="H140" s="19">
        <f t="shared" ca="1" si="35"/>
        <v>0.20972118589251298</v>
      </c>
      <c r="I140" s="19">
        <f t="shared" ca="1" si="35"/>
        <v>0.56386819257362752</v>
      </c>
      <c r="J140" s="19">
        <f t="shared" ca="1" si="36"/>
        <v>-1.6270551385156118</v>
      </c>
      <c r="K140" s="19">
        <f t="shared" ca="1" si="37"/>
        <v>-0.69039424209944011</v>
      </c>
      <c r="L140" s="19">
        <f t="array" aca="1" ref="L140:M140" ca="1">MMULT(J140:K140,TRANSPOSE($B$10:$C$11))</f>
        <v>-1.6270551385156118</v>
      </c>
      <c r="M140" s="19">
        <f ca="1"/>
        <v>0.68417489552448285</v>
      </c>
      <c r="N140" s="20">
        <f t="shared" ca="1" si="38"/>
        <v>1.527322709118575E-2</v>
      </c>
      <c r="O140" s="20">
        <f t="shared" ca="1" si="39"/>
        <v>0.11976193810606692</v>
      </c>
      <c r="P140" s="19">
        <f t="shared" ca="1" si="40"/>
        <v>4.765802135113125</v>
      </c>
      <c r="Q140" s="19">
        <f ca="1">HCTrans(P140,Strike,RiskFreeRate,Dividend,Variance_T0*AnnualVarConvtr,(Simulation!G140)/250,0.5,Variance_Avg*AnnualVarConvtr,Lambda,SQRT(Simulation!N140),Rho,1,"Call")</f>
        <v>29.023356692573202</v>
      </c>
      <c r="R140" s="19">
        <f ca="1">BlackScholesImpliedVolatility(P140,Strike,RiskFreeRate,G140/250,Dividend,Q140,0.01,"call")</f>
        <v>0.75180287236760734</v>
      </c>
      <c r="S140" s="19">
        <f t="shared" ca="1" si="41"/>
        <v>0.55050445010581117</v>
      </c>
      <c r="T140" s="19">
        <f t="shared" ca="1" si="42"/>
        <v>11.0365960405734</v>
      </c>
      <c r="U140" s="19">
        <f t="shared" ca="1" si="43"/>
        <v>-26.142344578669412</v>
      </c>
      <c r="V140" s="21"/>
      <c r="X140" s="22"/>
      <c r="Y140" s="22"/>
      <c r="Z140" s="22"/>
    </row>
    <row r="141" spans="7:26" x14ac:dyDescent="0.25">
      <c r="G141" s="19">
        <v>114</v>
      </c>
      <c r="H141" s="19">
        <f t="shared" ca="1" si="35"/>
        <v>0.98615147054801799</v>
      </c>
      <c r="I141" s="19">
        <f t="shared" ca="1" si="35"/>
        <v>0.82471836179468927</v>
      </c>
      <c r="J141" s="19">
        <f t="shared" ca="1" si="36"/>
        <v>7.5555191684038292E-2</v>
      </c>
      <c r="K141" s="19">
        <f t="shared" ca="1" si="37"/>
        <v>-0.14893637190006073</v>
      </c>
      <c r="L141" s="19">
        <f t="array" aca="1" ref="L141:M141" ca="1">MMULT(J141:K141,TRANSPOSE($B$10:$C$11))</f>
        <v>7.5555191684038292E-2</v>
      </c>
      <c r="M141" s="19">
        <f ca="1"/>
        <v>-0.15803138530966079</v>
      </c>
      <c r="N141" s="20">
        <f t="shared" ca="1" si="38"/>
        <v>1.4754477056896625E-2</v>
      </c>
      <c r="O141" s="20">
        <f t="shared" ca="1" si="39"/>
        <v>0.12032194578310149</v>
      </c>
      <c r="P141" s="19">
        <f t="shared" ca="1" si="40"/>
        <v>4.5947212332526801</v>
      </c>
      <c r="Q141" s="19">
        <f ca="1">HCTrans(P141,Strike,RiskFreeRate,Dividend,Variance_T0*AnnualVarConvtr,(Simulation!G141)/250,0.5,Variance_Avg*AnnualVarConvtr,Lambda,SQRT(Simulation!N141),Rho,1,"Call")</f>
        <v>29.023356692573202</v>
      </c>
      <c r="R141" s="19">
        <f ca="1">BlackScholesImpliedVolatility(P141,Strike,RiskFreeRate,G141/250,Dividend,Q141,0.01,"call")</f>
        <v>0.75180287236760734</v>
      </c>
      <c r="S141" s="19">
        <f t="shared" ca="1" si="41"/>
        <v>0.55050445010581117</v>
      </c>
      <c r="T141" s="19">
        <f t="shared" ca="1" si="42"/>
        <v>11.0365960405734</v>
      </c>
      <c r="U141" s="19">
        <f t="shared" ca="1" si="43"/>
        <v>-26.142344578669412</v>
      </c>
      <c r="V141" s="21"/>
      <c r="X141" s="22"/>
      <c r="Y141" s="22"/>
      <c r="Z141" s="22"/>
    </row>
    <row r="142" spans="7:26" x14ac:dyDescent="0.25">
      <c r="G142" s="19">
        <v>113</v>
      </c>
      <c r="H142" s="19">
        <f t="shared" ca="1" si="35"/>
        <v>0.76360912377194401</v>
      </c>
      <c r="I142" s="19">
        <f t="shared" ca="1" si="35"/>
        <v>0.36442933159963908</v>
      </c>
      <c r="J142" s="19">
        <f t="shared" ca="1" si="36"/>
        <v>-0.48371378115234243</v>
      </c>
      <c r="K142" s="19">
        <f t="shared" ca="1" si="37"/>
        <v>0.55264767763560618</v>
      </c>
      <c r="L142" s="19">
        <f t="array" aca="1" ref="L142:M142" ca="1">MMULT(J142:K142,TRANSPOSE($B$10:$C$11))</f>
        <v>-0.48371378115234243</v>
      </c>
      <c r="M142" s="19">
        <f ca="1"/>
        <v>0.73210081017161754</v>
      </c>
      <c r="N142" s="20">
        <f t="shared" ca="1" si="38"/>
        <v>1.6974686966366656E-2</v>
      </c>
      <c r="O142" s="20">
        <f t="shared" ca="1" si="39"/>
        <v>0.11657639694059806</v>
      </c>
      <c r="P142" s="19">
        <f t="shared" ca="1" si="40"/>
        <v>4.4486461542345932</v>
      </c>
      <c r="Q142" s="19">
        <f ca="1">HCTrans(P142,Strike,RiskFreeRate,Dividend,Variance_T0*AnnualVarConvtr,(Simulation!G142)/250,0.5,Variance_Avg*AnnualVarConvtr,Lambda,SQRT(Simulation!N142),Rho,1,"Call")</f>
        <v>29.023356692573202</v>
      </c>
      <c r="R142" s="19">
        <f ca="1">BlackScholesImpliedVolatility(P142,Strike,RiskFreeRate,G142/250,Dividend,Q142,0.01,"call")</f>
        <v>0.75180287236760734</v>
      </c>
      <c r="S142" s="19">
        <f t="shared" ca="1" si="41"/>
        <v>0.55050445010581117</v>
      </c>
      <c r="T142" s="19">
        <f t="shared" ca="1" si="42"/>
        <v>11.0365960405734</v>
      </c>
      <c r="U142" s="19">
        <f t="shared" ca="1" si="43"/>
        <v>-26.142344578669412</v>
      </c>
      <c r="V142" s="21"/>
      <c r="X142" s="22"/>
      <c r="Y142" s="22"/>
      <c r="Z142" s="22"/>
    </row>
    <row r="143" spans="7:26" x14ac:dyDescent="0.25">
      <c r="G143" s="19">
        <v>112</v>
      </c>
      <c r="H143" s="19">
        <f t="shared" ca="1" si="35"/>
        <v>0.65840123575518705</v>
      </c>
      <c r="I143" s="19">
        <f t="shared" ca="1" si="35"/>
        <v>0.4642008380749123</v>
      </c>
      <c r="J143" s="19">
        <f t="shared" ca="1" si="36"/>
        <v>-0.89123438732871307</v>
      </c>
      <c r="K143" s="19">
        <f t="shared" ca="1" si="37"/>
        <v>0.20391854322755898</v>
      </c>
      <c r="L143" s="19">
        <f t="array" aca="1" ref="L143:M143" ca="1">MMULT(J143:K143,TRANSPOSE($B$10:$C$11))</f>
        <v>-0.89123438732871307</v>
      </c>
      <c r="M143" s="19">
        <f ca="1"/>
        <v>0.78082038196081183</v>
      </c>
      <c r="N143" s="20">
        <f t="shared" ca="1" si="38"/>
        <v>1.9508161160433433E-2</v>
      </c>
      <c r="O143" s="20">
        <f t="shared" ca="1" si="39"/>
        <v>0.10919861413905414</v>
      </c>
      <c r="P143" s="19">
        <f t="shared" ca="1" si="40"/>
        <v>4.3357668469088964</v>
      </c>
      <c r="Q143" s="19">
        <f ca="1">HCTrans(P143,Strike,RiskFreeRate,Dividend,Variance_T0*AnnualVarConvtr,(Simulation!G143)/250,0.5,Variance_Avg*AnnualVarConvtr,Lambda,SQRT(Simulation!N143),Rho,1,"Call")</f>
        <v>29.023356692573202</v>
      </c>
      <c r="R143" s="19">
        <f ca="1">BlackScholesImpliedVolatility(P143,Strike,RiskFreeRate,G143/250,Dividend,Q143,0.01,"call")</f>
        <v>0.75180287236760734</v>
      </c>
      <c r="S143" s="19">
        <f t="shared" ca="1" si="41"/>
        <v>0.55050445010581117</v>
      </c>
      <c r="T143" s="19">
        <f t="shared" ca="1" si="42"/>
        <v>11.0365960405734</v>
      </c>
      <c r="U143" s="19">
        <f t="shared" ca="1" si="43"/>
        <v>-26.142344578669412</v>
      </c>
      <c r="V143" s="21"/>
      <c r="X143" s="22"/>
      <c r="Y143" s="22"/>
      <c r="Z143" s="22"/>
    </row>
    <row r="144" spans="7:26" x14ac:dyDescent="0.25">
      <c r="G144" s="19">
        <v>111</v>
      </c>
      <c r="H144" s="19">
        <f t="shared" ca="1" si="35"/>
        <v>0.14824389037514318</v>
      </c>
      <c r="I144" s="19">
        <f t="shared" ca="1" si="35"/>
        <v>0.47514012873568023</v>
      </c>
      <c r="J144" s="19">
        <f t="shared" ca="1" si="36"/>
        <v>-1.9301297307123357</v>
      </c>
      <c r="K144" s="19">
        <f t="shared" ca="1" si="37"/>
        <v>0.30396073726214357</v>
      </c>
      <c r="L144" s="19">
        <f t="array" aca="1" ref="L144:M144" ca="1">MMULT(J144:K144,TRANSPOSE($B$10:$C$11))</f>
        <v>-1.9301297307123357</v>
      </c>
      <c r="M144" s="19">
        <f ca="1"/>
        <v>1.594977038642734</v>
      </c>
      <c r="N144" s="20">
        <f t="shared" ca="1" si="38"/>
        <v>2.5286941985988846E-2</v>
      </c>
      <c r="O144" s="20">
        <f t="shared" ca="1" si="39"/>
        <v>9.2109586819396447E-2</v>
      </c>
      <c r="P144" s="19">
        <f t="shared" ca="1" si="40"/>
        <v>4.2027577825687894</v>
      </c>
      <c r="Q144" s="19">
        <f ca="1">HCTrans(P144,Strike,RiskFreeRate,Dividend,Variance_T0*AnnualVarConvtr,(Simulation!G144)/250,0.5,Variance_Avg*AnnualVarConvtr,Lambda,SQRT(Simulation!N144),Rho,1,"Call")</f>
        <v>29.023356692573202</v>
      </c>
      <c r="R144" s="19">
        <f ca="1">BlackScholesImpliedVolatility(P144,Strike,RiskFreeRate,G144/250,Dividend,Q144,0.01,"call")</f>
        <v>0.75180287236760734</v>
      </c>
      <c r="S144" s="19">
        <f t="shared" ca="1" si="41"/>
        <v>0.55050445010581117</v>
      </c>
      <c r="T144" s="19">
        <f t="shared" ca="1" si="42"/>
        <v>11.0365960405734</v>
      </c>
      <c r="U144" s="19">
        <f t="shared" ca="1" si="43"/>
        <v>-26.142344578669412</v>
      </c>
      <c r="V144" s="21"/>
      <c r="X144" s="22"/>
      <c r="Y144" s="22"/>
      <c r="Z144" s="22"/>
    </row>
    <row r="145" spans="7:26" x14ac:dyDescent="0.25">
      <c r="G145" s="19">
        <v>110</v>
      </c>
      <c r="H145" s="19">
        <f t="shared" ca="1" si="35"/>
        <v>0.71616046572789538</v>
      </c>
      <c r="I145" s="19">
        <f t="shared" ca="1" si="35"/>
        <v>0.94105369512642612</v>
      </c>
      <c r="J145" s="19">
        <f t="shared" ca="1" si="36"/>
        <v>0.76172344441373319</v>
      </c>
      <c r="K145" s="19">
        <f t="shared" ca="1" si="37"/>
        <v>-0.2957692347133109</v>
      </c>
      <c r="L145" s="19">
        <f t="array" aca="1" ref="L145:M145" ca="1">MMULT(J145:K145,TRANSPOSE($B$10:$C$11))</f>
        <v>0.76172344441373319</v>
      </c>
      <c r="M145" s="19">
        <f ca="1"/>
        <v>-0.7520996480730654</v>
      </c>
      <c r="N145" s="20">
        <f t="shared" ca="1" si="38"/>
        <v>2.2342689783547375E-2</v>
      </c>
      <c r="O145" s="20">
        <f t="shared" ca="1" si="39"/>
        <v>9.9719836747796914E-2</v>
      </c>
      <c r="P145" s="19">
        <f t="shared" ca="1" si="40"/>
        <v>4.04650657491392</v>
      </c>
      <c r="Q145" s="19">
        <f ca="1">HCTrans(P145,Strike,RiskFreeRate,Dividend,Variance_T0*AnnualVarConvtr,(Simulation!G145)/250,0.5,Variance_Avg*AnnualVarConvtr,Lambda,SQRT(Simulation!N145),Rho,1,"Call")</f>
        <v>29.023356692573202</v>
      </c>
      <c r="R145" s="19">
        <f ca="1">BlackScholesImpliedVolatility(P145,Strike,RiskFreeRate,G145/250,Dividend,Q145,0.01,"call")</f>
        <v>0.75180287236760734</v>
      </c>
      <c r="S145" s="19">
        <f t="shared" ca="1" si="41"/>
        <v>0.55050445010581117</v>
      </c>
      <c r="T145" s="19">
        <f t="shared" ca="1" si="42"/>
        <v>11.0365960405734</v>
      </c>
      <c r="U145" s="19">
        <f t="shared" ca="1" si="43"/>
        <v>-26.142344578669412</v>
      </c>
      <c r="V145" s="21"/>
      <c r="X145" s="22"/>
      <c r="Y145" s="22"/>
      <c r="Z145" s="22"/>
    </row>
    <row r="146" spans="7:26" x14ac:dyDescent="0.25">
      <c r="G146" s="19">
        <v>109</v>
      </c>
      <c r="H146" s="19">
        <f t="shared" ca="1" si="35"/>
        <v>0.94340166373304968</v>
      </c>
      <c r="I146" s="19">
        <f t="shared" ca="1" si="35"/>
        <v>0.41826876315573402</v>
      </c>
      <c r="J146" s="19">
        <f t="shared" ca="1" si="36"/>
        <v>-0.29732907603943143</v>
      </c>
      <c r="K146" s="19">
        <f t="shared" ca="1" si="37"/>
        <v>0.16769528827204025</v>
      </c>
      <c r="L146" s="19">
        <f t="array" aca="1" ref="L146:M146" ca="1">MMULT(J146:K146,TRANSPOSE($B$10:$C$11))</f>
        <v>-0.29732907603943143</v>
      </c>
      <c r="M146" s="19">
        <f ca="1"/>
        <v>0.33001835135886298</v>
      </c>
      <c r="N146" s="20">
        <f t="shared" ca="1" si="38"/>
        <v>2.3487540320046615E-2</v>
      </c>
      <c r="O146" s="20">
        <f t="shared" ca="1" si="39"/>
        <v>9.6864317972750552E-2</v>
      </c>
      <c r="P146" s="19">
        <f t="shared" ca="1" si="40"/>
        <v>3.8899351853366775</v>
      </c>
      <c r="Q146" s="19">
        <f ca="1">HCTrans(P146,Strike,RiskFreeRate,Dividend,Variance_T0*AnnualVarConvtr,(Simulation!G146)/250,0.5,Variance_Avg*AnnualVarConvtr,Lambda,SQRT(Simulation!N146),Rho,1,"Call")</f>
        <v>29.023356692573202</v>
      </c>
      <c r="R146" s="19">
        <f ca="1">BlackScholesImpliedVolatility(P146,Strike,RiskFreeRate,G146/250,Dividend,Q146,0.01,"call")</f>
        <v>0.75180287236760734</v>
      </c>
      <c r="S146" s="19">
        <f t="shared" ca="1" si="41"/>
        <v>0.55050445010581117</v>
      </c>
      <c r="T146" s="19">
        <f t="shared" ca="1" si="42"/>
        <v>11.0365960405734</v>
      </c>
      <c r="U146" s="19">
        <f t="shared" ca="1" si="43"/>
        <v>-26.142344578669412</v>
      </c>
      <c r="V146" s="21"/>
      <c r="X146" s="22"/>
      <c r="Y146" s="22"/>
      <c r="Z146" s="22"/>
    </row>
    <row r="147" spans="7:26" x14ac:dyDescent="0.25">
      <c r="G147" s="19">
        <v>108</v>
      </c>
      <c r="H147" s="19">
        <f t="shared" ca="1" si="35"/>
        <v>0.95678296700680199</v>
      </c>
      <c r="I147" s="19">
        <f t="shared" ca="1" si="35"/>
        <v>5.5257004882847127E-3</v>
      </c>
      <c r="J147" s="19">
        <f t="shared" ca="1" si="36"/>
        <v>0.29707058414035248</v>
      </c>
      <c r="K147" s="19">
        <f t="shared" ca="1" si="37"/>
        <v>1.0318139839015658E-2</v>
      </c>
      <c r="L147" s="19">
        <f t="array" aca="1" ref="L147:M147" ca="1">MMULT(J147:K147,TRANSPOSE($B$10:$C$11))</f>
        <v>0.29707058414035248</v>
      </c>
      <c r="M147" s="19">
        <f ca="1"/>
        <v>-0.20565327237825531</v>
      </c>
      <c r="N147" s="20">
        <f t="shared" ca="1" si="38"/>
        <v>2.263391324692994E-2</v>
      </c>
      <c r="O147" s="20">
        <f t="shared" ca="1" si="39"/>
        <v>9.969678542338431E-2</v>
      </c>
      <c r="P147" s="19">
        <f t="shared" ca="1" si="40"/>
        <v>3.7490845328535722</v>
      </c>
      <c r="Q147" s="19">
        <f ca="1">HCTrans(P147,Strike,RiskFreeRate,Dividend,Variance_T0*AnnualVarConvtr,(Simulation!G147)/250,0.5,Variance_Avg*AnnualVarConvtr,Lambda,SQRT(Simulation!N147),Rho,1,"Call")</f>
        <v>29.023356692573202</v>
      </c>
      <c r="R147" s="19">
        <f ca="1">BlackScholesImpliedVolatility(P147,Strike,RiskFreeRate,G147/250,Dividend,Q147,0.01,"call")</f>
        <v>0.75180287236760734</v>
      </c>
      <c r="S147" s="19">
        <f t="shared" ca="1" si="41"/>
        <v>0.55050445010581117</v>
      </c>
      <c r="T147" s="19">
        <f t="shared" ca="1" si="42"/>
        <v>11.0365960405734</v>
      </c>
      <c r="U147" s="19">
        <f t="shared" ca="1" si="43"/>
        <v>-26.142344578669412</v>
      </c>
      <c r="V147" s="21"/>
      <c r="X147" s="22"/>
      <c r="Y147" s="22"/>
      <c r="Z147" s="22"/>
    </row>
    <row r="148" spans="7:26" x14ac:dyDescent="0.25">
      <c r="G148" s="19">
        <v>107</v>
      </c>
      <c r="H148" s="19">
        <f t="shared" ca="1" si="35"/>
        <v>0.30591845106539339</v>
      </c>
      <c r="I148" s="19">
        <f t="shared" ca="1" si="35"/>
        <v>0.49710684624252055</v>
      </c>
      <c r="J148" s="19">
        <f t="shared" ca="1" si="36"/>
        <v>-1.5388602022445033</v>
      </c>
      <c r="K148" s="19">
        <f t="shared" ca="1" si="37"/>
        <v>2.7976822815835384E-2</v>
      </c>
      <c r="L148" s="19">
        <f t="array" aca="1" ref="L148:M148" ca="1">MMULT(J148:K148,TRANSPOSE($B$10:$C$11))</f>
        <v>-1.5388602022445033</v>
      </c>
      <c r="M148" s="19">
        <f ca="1"/>
        <v>1.1221096053611355</v>
      </c>
      <c r="N148" s="20">
        <f t="shared" ca="1" si="38"/>
        <v>2.687997239110464E-2</v>
      </c>
      <c r="O148" s="20">
        <f t="shared" ca="1" si="39"/>
        <v>8.5009228163364758E-2</v>
      </c>
      <c r="P148" s="19">
        <f t="shared" ca="1" si="40"/>
        <v>3.6092536695557347</v>
      </c>
      <c r="Q148" s="19">
        <f ca="1">HCTrans(P148,Strike,RiskFreeRate,Dividend,Variance_T0*AnnualVarConvtr,(Simulation!G148)/250,0.5,Variance_Avg*AnnualVarConvtr,Lambda,SQRT(Simulation!N148),Rho,1,"Call")</f>
        <v>29.023356692573202</v>
      </c>
      <c r="R148" s="19">
        <f ca="1">BlackScholesImpliedVolatility(P148,Strike,RiskFreeRate,G148/250,Dividend,Q148,0.01,"call")</f>
        <v>0.75180287236760734</v>
      </c>
      <c r="S148" s="19">
        <f t="shared" ca="1" si="41"/>
        <v>0.55050445010581117</v>
      </c>
      <c r="T148" s="19">
        <f t="shared" ca="1" si="42"/>
        <v>11.0365960405734</v>
      </c>
      <c r="U148" s="19">
        <f t="shared" ca="1" si="43"/>
        <v>-26.142344578669412</v>
      </c>
      <c r="V148" s="21"/>
      <c r="X148" s="22"/>
      <c r="Y148" s="22"/>
      <c r="Z148" s="22"/>
    </row>
    <row r="149" spans="7:26" x14ac:dyDescent="0.25">
      <c r="G149" s="19">
        <v>106</v>
      </c>
      <c r="H149" s="19">
        <f t="shared" ca="1" si="35"/>
        <v>0.33299471663234925</v>
      </c>
      <c r="I149" s="19">
        <f t="shared" ca="1" si="35"/>
        <v>0.72407830972354359</v>
      </c>
      <c r="J149" s="19">
        <f t="shared" ca="1" si="36"/>
        <v>-0.24046918225013436</v>
      </c>
      <c r="K149" s="19">
        <f t="shared" ca="1" si="37"/>
        <v>-1.4633632093847762</v>
      </c>
      <c r="L149" s="19">
        <f t="array" aca="1" ref="L149:M149" ca="1">MMULT(J149:K149,TRANSPOSE($B$10:$C$11))</f>
        <v>-0.24046918225013436</v>
      </c>
      <c r="M149" s="19">
        <f ca="1"/>
        <v>-0.84852711572206507</v>
      </c>
      <c r="N149" s="20">
        <f t="shared" ca="1" si="38"/>
        <v>2.3471861172752115E-2</v>
      </c>
      <c r="O149" s="20">
        <f t="shared" ca="1" si="39"/>
        <v>8.246200003333079E-2</v>
      </c>
      <c r="P149" s="19">
        <f t="shared" ca="1" si="40"/>
        <v>3.4659683291635375</v>
      </c>
      <c r="Q149" s="19">
        <f ca="1">HCTrans(P149,Strike,RiskFreeRate,Dividend,Variance_T0*AnnualVarConvtr,(Simulation!G149)/250,0.5,Variance_Avg*AnnualVarConvtr,Lambda,SQRT(Simulation!N149),Rho,1,"Call")</f>
        <v>29.023356692573202</v>
      </c>
      <c r="R149" s="19">
        <f ca="1">BlackScholesImpliedVolatility(P149,Strike,RiskFreeRate,G149/250,Dividend,Q149,0.01,"call")</f>
        <v>0.75180287236760734</v>
      </c>
      <c r="S149" s="19">
        <f t="shared" ca="1" si="41"/>
        <v>0.55050445010581117</v>
      </c>
      <c r="T149" s="19">
        <f t="shared" ca="1" si="42"/>
        <v>11.0365960405734</v>
      </c>
      <c r="U149" s="19">
        <f t="shared" ca="1" si="43"/>
        <v>-26.142344578669412</v>
      </c>
      <c r="V149" s="21"/>
      <c r="X149" s="22"/>
      <c r="Y149" s="22"/>
      <c r="Z149" s="22"/>
    </row>
    <row r="150" spans="7:26" x14ac:dyDescent="0.25">
      <c r="G150" s="19">
        <v>105</v>
      </c>
      <c r="H150" s="19">
        <f t="shared" ca="1" si="35"/>
        <v>0.57606097314579952</v>
      </c>
      <c r="I150" s="19">
        <f t="shared" ca="1" si="35"/>
        <v>0.9870382787013724</v>
      </c>
      <c r="J150" s="19">
        <f t="shared" ca="1" si="36"/>
        <v>1.0467967152667186</v>
      </c>
      <c r="K150" s="19">
        <f t="shared" ca="1" si="37"/>
        <v>-8.5441046179405733E-2</v>
      </c>
      <c r="L150" s="19">
        <f t="array" aca="1" ref="L150:M150" ca="1">MMULT(J150:K150,TRANSPOSE($B$10:$C$11))</f>
        <v>1.0467967152667186</v>
      </c>
      <c r="M150" s="19">
        <f ca="1"/>
        <v>-0.80963241737368485</v>
      </c>
      <c r="N150" s="20">
        <f t="shared" ca="1" si="38"/>
        <v>2.0441815682989126E-2</v>
      </c>
      <c r="O150" s="20">
        <f t="shared" ca="1" si="39"/>
        <v>9.2558048960876105E-2</v>
      </c>
      <c r="P150" s="19">
        <f t="shared" ca="1" si="40"/>
        <v>3.3095784437368798</v>
      </c>
      <c r="Q150" s="19">
        <f ca="1">HCTrans(P150,Strike,RiskFreeRate,Dividend,Variance_T0*AnnualVarConvtr,(Simulation!G150)/250,0.5,Variance_Avg*AnnualVarConvtr,Lambda,SQRT(Simulation!N150),Rho,1,"Call")</f>
        <v>29.023356692573202</v>
      </c>
      <c r="R150" s="19">
        <f ca="1">BlackScholesImpliedVolatility(P150,Strike,RiskFreeRate,G150/250,Dividend,Q150,0.01,"call")</f>
        <v>0.75180287236760734</v>
      </c>
      <c r="S150" s="19">
        <f t="shared" ca="1" si="41"/>
        <v>0.55050445010581117</v>
      </c>
      <c r="T150" s="19">
        <f t="shared" ca="1" si="42"/>
        <v>11.0365960405734</v>
      </c>
      <c r="U150" s="19">
        <f t="shared" ca="1" si="43"/>
        <v>-26.142344578669412</v>
      </c>
      <c r="V150" s="21"/>
      <c r="X150" s="22"/>
      <c r="Y150" s="22"/>
      <c r="Z150" s="22"/>
    </row>
    <row r="151" spans="7:26" x14ac:dyDescent="0.25">
      <c r="G151" s="19">
        <v>104</v>
      </c>
      <c r="H151" s="19">
        <f t="shared" ca="1" si="35"/>
        <v>0.74511261989627753</v>
      </c>
      <c r="I151" s="19">
        <f t="shared" ca="1" si="35"/>
        <v>0.22996273891524377</v>
      </c>
      <c r="J151" s="19">
        <f t="shared" ca="1" si="36"/>
        <v>9.6321083944428995E-2</v>
      </c>
      <c r="K151" s="19">
        <f t="shared" ca="1" si="37"/>
        <v>0.76102697557331012</v>
      </c>
      <c r="L151" s="19">
        <f t="array" aca="1" ref="L151:M151" ca="1">MMULT(J151:K151,TRANSPOSE($B$10:$C$11))</f>
        <v>9.6321083944428995E-2</v>
      </c>
      <c r="M151" s="19">
        <f ca="1"/>
        <v>0.46186853767298747</v>
      </c>
      <c r="N151" s="20">
        <f t="shared" ca="1" si="38"/>
        <v>2.2022078238438762E-2</v>
      </c>
      <c r="O151" s="20">
        <f t="shared" ca="1" si="39"/>
        <v>9.3388151162306574E-2</v>
      </c>
      <c r="P151" s="19">
        <f t="shared" ca="1" si="40"/>
        <v>3.1555533981280144</v>
      </c>
      <c r="Q151" s="19">
        <f ca="1">HCTrans(P151,Strike,RiskFreeRate,Dividend,Variance_T0*AnnualVarConvtr,(Simulation!G151)/250,0.5,Variance_Avg*AnnualVarConvtr,Lambda,SQRT(Simulation!N151),Rho,1,"Call")</f>
        <v>29.023356692573202</v>
      </c>
      <c r="R151" s="19">
        <f ca="1">BlackScholesImpliedVolatility(P151,Strike,RiskFreeRate,G151/250,Dividend,Q151,0.01,"call")</f>
        <v>0.75180287236760734</v>
      </c>
      <c r="S151" s="19">
        <f t="shared" ca="1" si="41"/>
        <v>0.55050445010581117</v>
      </c>
      <c r="T151" s="19">
        <f t="shared" ca="1" si="42"/>
        <v>11.0365960405734</v>
      </c>
      <c r="U151" s="19">
        <f t="shared" ca="1" si="43"/>
        <v>-26.142344578669412</v>
      </c>
      <c r="V151" s="21"/>
      <c r="X151" s="22"/>
      <c r="Y151" s="22"/>
      <c r="Z151" s="22"/>
    </row>
    <row r="152" spans="7:26" x14ac:dyDescent="0.25">
      <c r="G152" s="19">
        <v>103</v>
      </c>
      <c r="H152" s="19">
        <f t="shared" ca="1" si="35"/>
        <v>0.60637162888037122</v>
      </c>
      <c r="I152" s="19">
        <f t="shared" ca="1" si="35"/>
        <v>9.4129854240908473E-2</v>
      </c>
      <c r="J152" s="19">
        <f t="shared" ca="1" si="36"/>
        <v>0.83035892992434324</v>
      </c>
      <c r="K152" s="19">
        <f t="shared" ca="1" si="37"/>
        <v>0.5576993018519496</v>
      </c>
      <c r="L152" s="19">
        <f t="array" aca="1" ref="L152:M152" ca="1">MMULT(J152:K152,TRANSPOSE($B$10:$C$11))</f>
        <v>0.83035892992434324</v>
      </c>
      <c r="M152" s="19">
        <f ca="1"/>
        <v>-0.20590833947122128</v>
      </c>
      <c r="N152" s="20">
        <f t="shared" ca="1" si="38"/>
        <v>2.1199805243981362E-2</v>
      </c>
      <c r="O152" s="20">
        <f t="shared" ca="1" si="39"/>
        <v>0.10113747182756214</v>
      </c>
      <c r="P152" s="19">
        <f t="shared" ca="1" si="40"/>
        <v>3.0100749473842909</v>
      </c>
      <c r="Q152" s="19">
        <f ca="1">HCTrans(P152,Strike,RiskFreeRate,Dividend,Variance_T0*AnnualVarConvtr,(Simulation!G152)/250,0.5,Variance_Avg*AnnualVarConvtr,Lambda,SQRT(Simulation!N152),Rho,1,"Call")</f>
        <v>29.023356692573202</v>
      </c>
      <c r="R152" s="19">
        <f ca="1">BlackScholesImpliedVolatility(P152,Strike,RiskFreeRate,G152/250,Dividend,Q152,0.01,"call")</f>
        <v>0.75180287236760734</v>
      </c>
      <c r="S152" s="19">
        <f t="shared" ca="1" si="41"/>
        <v>0.55050445010581117</v>
      </c>
      <c r="T152" s="19">
        <f t="shared" ca="1" si="42"/>
        <v>11.0365960405734</v>
      </c>
      <c r="U152" s="19">
        <f t="shared" ca="1" si="43"/>
        <v>-26.142344578669412</v>
      </c>
      <c r="V152" s="21"/>
      <c r="X152" s="22"/>
      <c r="Y152" s="22"/>
      <c r="Z152" s="22"/>
    </row>
    <row r="153" spans="7:26" x14ac:dyDescent="0.25">
      <c r="G153" s="19">
        <v>102</v>
      </c>
      <c r="H153" s="19">
        <f t="shared" ca="1" si="35"/>
        <v>0.53633561604409741</v>
      </c>
      <c r="I153" s="19">
        <f t="shared" ca="1" si="35"/>
        <v>0.62960160226164608</v>
      </c>
      <c r="J153" s="19">
        <f t="shared" ca="1" si="36"/>
        <v>-0.76615290159024285</v>
      </c>
      <c r="K153" s="19">
        <f t="shared" ca="1" si="37"/>
        <v>-0.81178818692743038</v>
      </c>
      <c r="L153" s="19">
        <f t="array" aca="1" ref="L153:M153" ca="1">MMULT(J153:K153,TRANSPOSE($B$10:$C$11))</f>
        <v>-0.76615290159024285</v>
      </c>
      <c r="M153" s="19">
        <f ca="1"/>
        <v>-1.7344406111024613E-2</v>
      </c>
      <c r="N153" s="20">
        <f t="shared" ca="1" si="38"/>
        <v>2.1062894361605834E-2</v>
      </c>
      <c r="O153" s="20">
        <f t="shared" ca="1" si="39"/>
        <v>9.4039838875857609E-2</v>
      </c>
      <c r="P153" s="19">
        <f t="shared" ca="1" si="40"/>
        <v>2.8646561493920641</v>
      </c>
      <c r="Q153" s="19">
        <f ca="1">HCTrans(P153,Strike,RiskFreeRate,Dividend,Variance_T0*AnnualVarConvtr,(Simulation!G153)/250,0.5,Variance_Avg*AnnualVarConvtr,Lambda,SQRT(Simulation!N153),Rho,1,"Call")</f>
        <v>29.023356692573202</v>
      </c>
      <c r="R153" s="19">
        <f ca="1">BlackScholesImpliedVolatility(P153,Strike,RiskFreeRate,G153/250,Dividend,Q153,0.01,"call")</f>
        <v>0.75180287236760734</v>
      </c>
      <c r="S153" s="19">
        <f t="shared" ca="1" si="41"/>
        <v>0.55050445010581117</v>
      </c>
      <c r="T153" s="19">
        <f t="shared" ca="1" si="42"/>
        <v>11.0365960405734</v>
      </c>
      <c r="U153" s="19">
        <f t="shared" ca="1" si="43"/>
        <v>-26.142344578669412</v>
      </c>
      <c r="V153" s="21"/>
      <c r="X153" s="22"/>
      <c r="Y153" s="22"/>
      <c r="Z153" s="22"/>
    </row>
    <row r="154" spans="7:26" x14ac:dyDescent="0.25">
      <c r="G154" s="19">
        <v>101</v>
      </c>
      <c r="H154" s="19">
        <f t="shared" ca="1" si="35"/>
        <v>0.91276002641549037</v>
      </c>
      <c r="I154" s="19">
        <f t="shared" ca="1" si="35"/>
        <v>0.68296013376057252</v>
      </c>
      <c r="J154" s="19">
        <f t="shared" ca="1" si="36"/>
        <v>-0.17470350787402333</v>
      </c>
      <c r="K154" s="19">
        <f t="shared" ca="1" si="37"/>
        <v>-0.38992721328969376</v>
      </c>
      <c r="L154" s="19">
        <f t="array" aca="1" ref="L154:M154" ca="1">MMULT(J154:K154,TRANSPOSE($B$10:$C$11))</f>
        <v>-0.17470350787402333</v>
      </c>
      <c r="M154" s="19">
        <f ca="1"/>
        <v>-0.14683312716015728</v>
      </c>
      <c r="N154" s="20">
        <f t="shared" ca="1" si="38"/>
        <v>2.0469300481901879E-2</v>
      </c>
      <c r="O154" s="20">
        <f t="shared" ca="1" si="39"/>
        <v>9.2394133032884171E-2</v>
      </c>
      <c r="P154" s="19">
        <f t="shared" ca="1" si="40"/>
        <v>2.712910260978957</v>
      </c>
      <c r="Q154" s="19">
        <f ca="1">HCTrans(P154,Strike,RiskFreeRate,Dividend,Variance_T0*AnnualVarConvtr,(Simulation!G154)/250,0.5,Variance_Avg*AnnualVarConvtr,Lambda,SQRT(Simulation!N154),Rho,1,"Call")</f>
        <v>29.023356692573202</v>
      </c>
      <c r="R154" s="19">
        <f ca="1">BlackScholesImpliedVolatility(P154,Strike,RiskFreeRate,G154/250,Dividend,Q154,0.01,"call")</f>
        <v>0.75180287236760734</v>
      </c>
      <c r="S154" s="19">
        <f t="shared" ca="1" si="41"/>
        <v>0.55050445010581117</v>
      </c>
      <c r="T154" s="19">
        <f t="shared" ca="1" si="42"/>
        <v>11.0365960405734</v>
      </c>
      <c r="U154" s="19">
        <f t="shared" ca="1" si="43"/>
        <v>-26.142344578669412</v>
      </c>
      <c r="V154" s="21"/>
      <c r="X154" s="22"/>
      <c r="Y154" s="22"/>
      <c r="Z154" s="22"/>
    </row>
    <row r="155" spans="7:26" x14ac:dyDescent="0.25">
      <c r="G155" s="19">
        <v>100</v>
      </c>
      <c r="H155" s="19">
        <f t="shared" ca="1" si="35"/>
        <v>0.10006441210184835</v>
      </c>
      <c r="I155" s="19">
        <f t="shared" ca="1" si="35"/>
        <v>0.76719168658451864</v>
      </c>
      <c r="J155" s="19">
        <f t="shared" ca="1" si="36"/>
        <v>0.23132127374431552</v>
      </c>
      <c r="K155" s="19">
        <f t="shared" ca="1" si="37"/>
        <v>-2.1331602909716474</v>
      </c>
      <c r="L155" s="19">
        <f t="array" aca="1" ref="L155:M155" ca="1">MMULT(J155:K155,TRANSPOSE($B$10:$C$11))</f>
        <v>0.23132127374431552</v>
      </c>
      <c r="M155" s="19">
        <f ca="1"/>
        <v>-1.6538067753722776</v>
      </c>
      <c r="N155" s="20">
        <f t="shared" ca="1" si="38"/>
        <v>1.5007461957348747E-2</v>
      </c>
      <c r="O155" s="20">
        <f t="shared" ca="1" si="39"/>
        <v>9.4446328620395398E-2</v>
      </c>
      <c r="P155" s="19">
        <f t="shared" ca="1" si="40"/>
        <v>2.5809448324327113</v>
      </c>
      <c r="Q155" s="19">
        <f ca="1">HCTrans(P155,Strike,RiskFreeRate,Dividend,Variance_T0*AnnualVarConvtr,(Simulation!G155)/250,0.5,Variance_Avg*AnnualVarConvtr,Lambda,SQRT(Simulation!N155),Rho,1,"Call")</f>
        <v>29.023356692573202</v>
      </c>
      <c r="R155" s="19">
        <f ca="1">BlackScholesImpliedVolatility(P155,Strike,RiskFreeRate,G155/250,Dividend,Q155,0.01,"call")</f>
        <v>0.75180287236760734</v>
      </c>
      <c r="S155" s="19">
        <f t="shared" ca="1" si="41"/>
        <v>0.55050445010581117</v>
      </c>
      <c r="T155" s="19">
        <f t="shared" ca="1" si="42"/>
        <v>11.0365960405734</v>
      </c>
      <c r="U155" s="19">
        <f t="shared" ca="1" si="43"/>
        <v>-26.142344578669412</v>
      </c>
      <c r="V155" s="21"/>
      <c r="X155" s="22"/>
      <c r="Y155" s="22"/>
      <c r="Z155" s="22"/>
    </row>
    <row r="156" spans="7:26" x14ac:dyDescent="0.25">
      <c r="G156" s="19">
        <v>99</v>
      </c>
      <c r="H156" s="19">
        <f t="shared" ca="1" si="35"/>
        <v>0.54023199641654795</v>
      </c>
      <c r="I156" s="19">
        <f t="shared" ca="1" si="35"/>
        <v>0.9402112696431254</v>
      </c>
      <c r="J156" s="19">
        <f t="shared" ca="1" si="36"/>
        <v>1.032347495187238</v>
      </c>
      <c r="K156" s="19">
        <f t="shared" ca="1" si="37"/>
        <v>-0.40715091374590234</v>
      </c>
      <c r="L156" s="19">
        <f t="array" aca="1" ref="L156:M156" ca="1">MMULT(J156:K156,TRANSPOSE($B$10:$C$11))</f>
        <v>1.032347495187238</v>
      </c>
      <c r="M156" s="19">
        <f ca="1"/>
        <v>-1.0237002019568573</v>
      </c>
      <c r="N156" s="20">
        <f t="shared" ca="1" si="38"/>
        <v>1.204772591715873E-2</v>
      </c>
      <c r="O156" s="20">
        <f t="shared" ca="1" si="39"/>
        <v>0.10241483175391985</v>
      </c>
      <c r="P156" s="19">
        <f t="shared" ca="1" si="40"/>
        <v>2.4455731594568482</v>
      </c>
      <c r="Q156" s="19">
        <f ca="1">HCTrans(P156,Strike,RiskFreeRate,Dividend,Variance_T0*AnnualVarConvtr,(Simulation!G156)/250,0.5,Variance_Avg*AnnualVarConvtr,Lambda,SQRT(Simulation!N156),Rho,1,"Call")</f>
        <v>29.023356692573202</v>
      </c>
      <c r="R156" s="19">
        <f ca="1">BlackScholesImpliedVolatility(P156,Strike,RiskFreeRate,G156/250,Dividend,Q156,0.01,"call")</f>
        <v>0.75180287236760734</v>
      </c>
      <c r="S156" s="19">
        <f t="shared" ca="1" si="41"/>
        <v>0.55050445010581117</v>
      </c>
      <c r="T156" s="19">
        <f t="shared" ca="1" si="42"/>
        <v>11.0365960405734</v>
      </c>
      <c r="U156" s="19">
        <f t="shared" ca="1" si="43"/>
        <v>-26.142344578669412</v>
      </c>
      <c r="V156" s="21"/>
      <c r="X156" s="22"/>
      <c r="Y156" s="22"/>
      <c r="Z156" s="22"/>
    </row>
    <row r="157" spans="7:26" x14ac:dyDescent="0.25">
      <c r="G157" s="19">
        <v>98</v>
      </c>
      <c r="H157" s="19">
        <f t="shared" ca="1" si="35"/>
        <v>0.8037872228034354</v>
      </c>
      <c r="I157" s="19">
        <f t="shared" ca="1" si="35"/>
        <v>0.67054509835693243</v>
      </c>
      <c r="J157" s="19">
        <f t="shared" ca="1" si="36"/>
        <v>-0.31642461612304273</v>
      </c>
      <c r="K157" s="19">
        <f t="shared" ca="1" si="37"/>
        <v>-0.58027308095210806</v>
      </c>
      <c r="L157" s="19">
        <f t="array" aca="1" ref="L157:M157" ca="1">MMULT(J157:K157,TRANSPOSE($B$10:$C$11))</f>
        <v>-0.31642461612304273</v>
      </c>
      <c r="M157" s="19">
        <f ca="1"/>
        <v>-0.1780727732703738</v>
      </c>
      <c r="N157" s="20">
        <f t="shared" ca="1" si="38"/>
        <v>1.1546710901261234E-2</v>
      </c>
      <c r="O157" s="20">
        <f t="shared" ca="1" si="39"/>
        <v>0.10019412710820998</v>
      </c>
      <c r="P157" s="19">
        <f t="shared" ca="1" si="40"/>
        <v>2.3036818991184402</v>
      </c>
      <c r="Q157" s="19">
        <f ca="1">HCTrans(P157,Strike,RiskFreeRate,Dividend,Variance_T0*AnnualVarConvtr,(Simulation!G157)/250,0.5,Variance_Avg*AnnualVarConvtr,Lambda,SQRT(Simulation!N157),Rho,1,"Call")</f>
        <v>29.023356692573202</v>
      </c>
      <c r="R157" s="19">
        <f ca="1">BlackScholesImpliedVolatility(P157,Strike,RiskFreeRate,G157/250,Dividend,Q157,0.01,"call")</f>
        <v>0.75180287236760734</v>
      </c>
      <c r="S157" s="19">
        <f t="shared" ca="1" si="41"/>
        <v>0.55050445010581117</v>
      </c>
      <c r="T157" s="19">
        <f t="shared" ca="1" si="42"/>
        <v>11.0365960405734</v>
      </c>
      <c r="U157" s="19">
        <f t="shared" ca="1" si="43"/>
        <v>-26.142344578669412</v>
      </c>
      <c r="V157" s="21"/>
      <c r="X157" s="22"/>
      <c r="Y157" s="22"/>
      <c r="Z157" s="22"/>
    </row>
    <row r="158" spans="7:26" x14ac:dyDescent="0.25">
      <c r="G158" s="19">
        <v>97</v>
      </c>
      <c r="H158" s="19">
        <f t="shared" ca="1" si="35"/>
        <v>5.5484051290758618E-2</v>
      </c>
      <c r="I158" s="19">
        <f t="shared" ca="1" si="35"/>
        <v>0.22508318275916794</v>
      </c>
      <c r="J158" s="19">
        <f t="shared" ca="1" si="36"/>
        <v>0.37496045749623697</v>
      </c>
      <c r="K158" s="19">
        <f t="shared" ca="1" si="37"/>
        <v>2.3754418499783627</v>
      </c>
      <c r="L158" s="19">
        <f t="array" aca="1" ref="L158:M158" ca="1">MMULT(J158:K158,TRANSPOSE($B$10:$C$11))</f>
        <v>0.37496045749623697</v>
      </c>
      <c r="M158" s="19">
        <f ca="1"/>
        <v>1.3884184029705073</v>
      </c>
      <c r="N158" s="20">
        <f t="shared" ca="1" si="38"/>
        <v>1.5470872790825868E-2</v>
      </c>
      <c r="O158" s="20">
        <f t="shared" ca="1" si="39"/>
        <v>0.10271929882108238</v>
      </c>
      <c r="P158" s="19">
        <f t="shared" ca="1" si="40"/>
        <v>2.1711829800865519</v>
      </c>
      <c r="Q158" s="19">
        <f ca="1">HCTrans(P158,Strike,RiskFreeRate,Dividend,Variance_T0*AnnualVarConvtr,(Simulation!G158)/250,0.5,Variance_Avg*AnnualVarConvtr,Lambda,SQRT(Simulation!N158),Rho,1,"Call")</f>
        <v>29.023356692573202</v>
      </c>
      <c r="R158" s="19">
        <f ca="1">BlackScholesImpliedVolatility(P158,Strike,RiskFreeRate,G158/250,Dividend,Q158,0.01,"call")</f>
        <v>0.75180287236760734</v>
      </c>
      <c r="S158" s="19">
        <f t="shared" ca="1" si="41"/>
        <v>0.55050445010581117</v>
      </c>
      <c r="T158" s="19">
        <f t="shared" ca="1" si="42"/>
        <v>11.0365960405734</v>
      </c>
      <c r="U158" s="19">
        <f t="shared" ca="1" si="43"/>
        <v>-26.142344578669412</v>
      </c>
      <c r="V158" s="21"/>
      <c r="X158" s="22"/>
      <c r="Y158" s="22"/>
      <c r="Z158" s="22"/>
    </row>
    <row r="159" spans="7:26" x14ac:dyDescent="0.25">
      <c r="G159" s="19">
        <v>96</v>
      </c>
      <c r="H159" s="19">
        <f t="shared" ref="H159:I222" ca="1" si="44">RAND()</f>
        <v>0.29739381659227637</v>
      </c>
      <c r="I159" s="19">
        <f t="shared" ca="1" si="44"/>
        <v>0.69812091073878835</v>
      </c>
      <c r="J159" s="19">
        <f t="shared" ca="1" si="36"/>
        <v>-0.49870671545257172</v>
      </c>
      <c r="K159" s="19">
        <f t="shared" ca="1" si="37"/>
        <v>-1.4753601883648735</v>
      </c>
      <c r="L159" s="19">
        <f t="array" aca="1" ref="L159:M159" ca="1">MMULT(J159:K159,TRANSPOSE($B$10:$C$11))</f>
        <v>-0.49870671545257172</v>
      </c>
      <c r="M159" s="19">
        <f ca="1"/>
        <v>-0.67186886085407593</v>
      </c>
      <c r="N159" s="20">
        <f t="shared" ca="1" si="38"/>
        <v>1.3444939938528156E-2</v>
      </c>
      <c r="O159" s="20">
        <f t="shared" ca="1" si="39"/>
        <v>9.8765227797315058E-2</v>
      </c>
      <c r="P159" s="19">
        <f t="shared" ca="1" si="40"/>
        <v>2.0462360807174931</v>
      </c>
      <c r="Q159" s="19">
        <f ca="1">HCTrans(P159,Strike,RiskFreeRate,Dividend,Variance_T0*AnnualVarConvtr,(Simulation!G159)/250,0.5,Variance_Avg*AnnualVarConvtr,Lambda,SQRT(Simulation!N159),Rho,1,"Call")</f>
        <v>29.023356692573202</v>
      </c>
      <c r="R159" s="19">
        <f ca="1">BlackScholesImpliedVolatility(P159,Strike,RiskFreeRate,G159/250,Dividend,Q159,0.01,"call")</f>
        <v>0.75180287236760734</v>
      </c>
      <c r="S159" s="19">
        <f t="shared" ca="1" si="41"/>
        <v>0.55050445010581117</v>
      </c>
      <c r="T159" s="19">
        <f t="shared" ca="1" si="42"/>
        <v>11.0365960405734</v>
      </c>
      <c r="U159" s="19">
        <f t="shared" ca="1" si="43"/>
        <v>-26.142344578669412</v>
      </c>
      <c r="V159" s="21"/>
      <c r="X159" s="22"/>
      <c r="Y159" s="22"/>
      <c r="Z159" s="22"/>
    </row>
    <row r="160" spans="7:26" x14ac:dyDescent="0.25">
      <c r="G160" s="19">
        <v>95</v>
      </c>
      <c r="H160" s="19">
        <f t="shared" ca="1" si="44"/>
        <v>0.2799016706535602</v>
      </c>
      <c r="I160" s="19">
        <f t="shared" ca="1" si="44"/>
        <v>0.28443222617442665</v>
      </c>
      <c r="J160" s="19">
        <f t="shared" ca="1" si="36"/>
        <v>-0.34255876195474544</v>
      </c>
      <c r="K160" s="19">
        <f t="shared" ca="1" si="37"/>
        <v>1.5586171184938291</v>
      </c>
      <c r="L160" s="19">
        <f t="array" aca="1" ref="L160:M160" ca="1">MMULT(J160:K160,TRANSPOSE($B$10:$C$11))</f>
        <v>-0.34255876195474544</v>
      </c>
      <c r="M160" s="19">
        <f ca="1"/>
        <v>1.3327145351387237</v>
      </c>
      <c r="N160" s="20">
        <f t="shared" ca="1" si="38"/>
        <v>1.7467143849910993E-2</v>
      </c>
      <c r="O160" s="20">
        <f t="shared" ca="1" si="39"/>
        <v>9.6226194038603691E-2</v>
      </c>
      <c r="P160" s="19">
        <f t="shared" ca="1" si="40"/>
        <v>1.9185743203320931</v>
      </c>
      <c r="Q160" s="19">
        <f ca="1">HCTrans(P160,Strike,RiskFreeRate,Dividend,Variance_T0*AnnualVarConvtr,(Simulation!G160)/250,0.5,Variance_Avg*AnnualVarConvtr,Lambda,SQRT(Simulation!N160),Rho,1,"Call")</f>
        <v>29.023356692573202</v>
      </c>
      <c r="R160" s="19">
        <f ca="1">BlackScholesImpliedVolatility(P160,Strike,RiskFreeRate,G160/250,Dividend,Q160,0.01,"call")</f>
        <v>0.75180287236760734</v>
      </c>
      <c r="S160" s="19">
        <f t="shared" ca="1" si="41"/>
        <v>0.55050445010581117</v>
      </c>
      <c r="T160" s="19">
        <f t="shared" ca="1" si="42"/>
        <v>11.0365960405734</v>
      </c>
      <c r="U160" s="19">
        <f t="shared" ca="1" si="43"/>
        <v>-26.142344578669412</v>
      </c>
      <c r="V160" s="21"/>
      <c r="X160" s="22"/>
      <c r="Y160" s="22"/>
      <c r="Z160" s="22"/>
    </row>
    <row r="161" spans="7:26" x14ac:dyDescent="0.25">
      <c r="G161" s="19">
        <v>94</v>
      </c>
      <c r="H161" s="19">
        <f t="shared" ca="1" si="44"/>
        <v>0.77960760723930189</v>
      </c>
      <c r="I161" s="19">
        <f t="shared" ca="1" si="44"/>
        <v>0.48721792430241306</v>
      </c>
      <c r="J161" s="19">
        <f t="shared" ca="1" si="36"/>
        <v>-0.70336643567695001</v>
      </c>
      <c r="K161" s="19">
        <f t="shared" ca="1" si="37"/>
        <v>5.6610636861851915E-2</v>
      </c>
      <c r="L161" s="19">
        <f t="array" aca="1" ref="L161:M161" ca="1">MMULT(J161:K161,TRANSPOSE($B$10:$C$11))</f>
        <v>-0.70336643567695001</v>
      </c>
      <c r="M161" s="19">
        <f ca="1"/>
        <v>0.5434529006697284</v>
      </c>
      <c r="N161" s="20">
        <f t="shared" ca="1" si="38"/>
        <v>1.921745067596865E-2</v>
      </c>
      <c r="O161" s="20">
        <f t="shared" ca="1" si="39"/>
        <v>9.0312000864824854E-2</v>
      </c>
      <c r="P161" s="19">
        <f t="shared" ca="1" si="40"/>
        <v>1.7815594946257511</v>
      </c>
      <c r="Q161" s="19">
        <f ca="1">HCTrans(P161,Strike,RiskFreeRate,Dividend,Variance_T0*AnnualVarConvtr,(Simulation!G161)/250,0.5,Variance_Avg*AnnualVarConvtr,Lambda,SQRT(Simulation!N161),Rho,1,"Call")</f>
        <v>29.023356692573202</v>
      </c>
      <c r="R161" s="19">
        <f ca="1">BlackScholesImpliedVolatility(P161,Strike,RiskFreeRate,G161/250,Dividend,Q161,0.01,"call")</f>
        <v>0.75180287236760734</v>
      </c>
      <c r="S161" s="19">
        <f t="shared" ca="1" si="41"/>
        <v>0.55050445010581117</v>
      </c>
      <c r="T161" s="19">
        <f t="shared" ca="1" si="42"/>
        <v>11.0365960405734</v>
      </c>
      <c r="U161" s="19">
        <f t="shared" ca="1" si="43"/>
        <v>-26.142344578669412</v>
      </c>
      <c r="V161" s="21"/>
      <c r="X161" s="22"/>
      <c r="Y161" s="22"/>
      <c r="Z161" s="22"/>
    </row>
    <row r="162" spans="7:26" x14ac:dyDescent="0.25">
      <c r="G162" s="19">
        <v>93</v>
      </c>
      <c r="H162" s="19">
        <f t="shared" ca="1" si="44"/>
        <v>0.5692542348515266</v>
      </c>
      <c r="I162" s="19">
        <f t="shared" ca="1" si="44"/>
        <v>0.37684617230514783</v>
      </c>
      <c r="J162" s="19">
        <f t="shared" ca="1" si="36"/>
        <v>-0.75927486305174652</v>
      </c>
      <c r="K162" s="19">
        <f t="shared" ca="1" si="37"/>
        <v>0.74186114048672469</v>
      </c>
      <c r="L162" s="19">
        <f t="array" aca="1" ref="L162:M162" ca="1">MMULT(J162:K162,TRANSPOSE($B$10:$C$11))</f>
        <v>-0.75927486305174652</v>
      </c>
      <c r="M162" s="19">
        <f ca="1"/>
        <v>1.0615331945446518</v>
      </c>
      <c r="N162" s="20">
        <f t="shared" ca="1" si="38"/>
        <v>2.2930643430736811E-2</v>
      </c>
      <c r="O162" s="20">
        <f t="shared" ca="1" si="39"/>
        <v>8.3616591279893848E-2</v>
      </c>
      <c r="P162" s="19">
        <f t="shared" ca="1" si="40"/>
        <v>1.6491810289908073</v>
      </c>
      <c r="Q162" s="19">
        <f ca="1">HCTrans(P162,Strike,RiskFreeRate,Dividend,Variance_T0*AnnualVarConvtr,(Simulation!G162)/250,0.5,Variance_Avg*AnnualVarConvtr,Lambda,SQRT(Simulation!N162),Rho,1,"Call")</f>
        <v>29.023356692573202</v>
      </c>
      <c r="R162" s="19">
        <f ca="1">BlackScholesImpliedVolatility(P162,Strike,RiskFreeRate,G162/250,Dividend,Q162,0.01,"call")</f>
        <v>0.75180287236760734</v>
      </c>
      <c r="S162" s="19">
        <f t="shared" ca="1" si="41"/>
        <v>0.55050445010581117</v>
      </c>
      <c r="T162" s="19">
        <f t="shared" ca="1" si="42"/>
        <v>11.0365960405734</v>
      </c>
      <c r="U162" s="19">
        <f t="shared" ca="1" si="43"/>
        <v>-26.142344578669412</v>
      </c>
      <c r="V162" s="21"/>
      <c r="X162" s="22"/>
      <c r="Y162" s="22"/>
      <c r="Z162" s="22"/>
    </row>
    <row r="163" spans="7:26" x14ac:dyDescent="0.25">
      <c r="G163" s="19">
        <v>92</v>
      </c>
      <c r="H163" s="19">
        <f t="shared" ca="1" si="44"/>
        <v>6.5102756796584949E-2</v>
      </c>
      <c r="I163" s="19">
        <f t="shared" ca="1" si="44"/>
        <v>0.21198623934208527</v>
      </c>
      <c r="J163" s="19">
        <f t="shared" ca="1" si="36"/>
        <v>0.55299609816798134</v>
      </c>
      <c r="K163" s="19">
        <f t="shared" ca="1" si="37"/>
        <v>2.2710728923854302</v>
      </c>
      <c r="L163" s="19">
        <f t="array" aca="1" ref="L163:M163" ca="1">MMULT(J163:K163,TRANSPOSE($B$10:$C$11))</f>
        <v>0.55299609816798134</v>
      </c>
      <c r="M163" s="19">
        <f ca="1"/>
        <v>1.1880494288760752</v>
      </c>
      <c r="N163" s="20">
        <f t="shared" ca="1" si="38"/>
        <v>2.7469911904978137E-2</v>
      </c>
      <c r="O163" s="20">
        <f t="shared" ca="1" si="39"/>
        <v>8.8866878851121447E-2</v>
      </c>
      <c r="P163" s="19">
        <f t="shared" ca="1" si="40"/>
        <v>1.5344629406462287</v>
      </c>
      <c r="Q163" s="19">
        <f ca="1">HCTrans(P163,Strike,RiskFreeRate,Dividend,Variance_T0*AnnualVarConvtr,(Simulation!G163)/250,0.5,Variance_Avg*AnnualVarConvtr,Lambda,SQRT(Simulation!N163),Rho,1,"Call")</f>
        <v>29.023356692573202</v>
      </c>
      <c r="R163" s="19">
        <f ca="1">BlackScholesImpliedVolatility(P163,Strike,RiskFreeRate,G163/250,Dividend,Q163,0.01,"call")</f>
        <v>0.75180287236760734</v>
      </c>
      <c r="S163" s="19">
        <f t="shared" ca="1" si="41"/>
        <v>0.55050445010581117</v>
      </c>
      <c r="T163" s="19">
        <f t="shared" ca="1" si="42"/>
        <v>11.0365960405734</v>
      </c>
      <c r="U163" s="19">
        <f t="shared" ca="1" si="43"/>
        <v>-26.142344578669412</v>
      </c>
      <c r="V163" s="21"/>
      <c r="X163" s="22"/>
      <c r="Y163" s="22"/>
      <c r="Z163" s="22"/>
    </row>
    <row r="164" spans="7:26" x14ac:dyDescent="0.25">
      <c r="G164" s="19">
        <v>91</v>
      </c>
      <c r="H164" s="19">
        <f t="shared" ca="1" si="44"/>
        <v>0.52006188322330782</v>
      </c>
      <c r="I164" s="19">
        <f t="shared" ca="1" si="44"/>
        <v>0.4627578593588253</v>
      </c>
      <c r="J164" s="19">
        <f t="shared" ca="1" si="36"/>
        <v>-1.1123456919187993</v>
      </c>
      <c r="K164" s="19">
        <f t="shared" ca="1" si="37"/>
        <v>0.26514523991018557</v>
      </c>
      <c r="L164" s="19">
        <f t="array" aca="1" ref="L164:M164" ca="1">MMULT(J164:K164,TRANSPOSE($B$10:$C$11))</f>
        <v>-1.1123456919187993</v>
      </c>
      <c r="M164" s="19">
        <f ca="1"/>
        <v>0.98195758495061403</v>
      </c>
      <c r="N164" s="20">
        <f t="shared" ca="1" si="38"/>
        <v>3.1497258201037499E-2</v>
      </c>
      <c r="O164" s="20">
        <f t="shared" ca="1" si="39"/>
        <v>7.7151942901270393E-2</v>
      </c>
      <c r="P164" s="19">
        <f t="shared" ca="1" si="40"/>
        <v>1.4306700590447552</v>
      </c>
      <c r="Q164" s="19">
        <f ca="1">HCTrans(P164,Strike,RiskFreeRate,Dividend,Variance_T0*AnnualVarConvtr,(Simulation!G164)/250,0.5,Variance_Avg*AnnualVarConvtr,Lambda,SQRT(Simulation!N164),Rho,1,"Call")</f>
        <v>29.023356692573202</v>
      </c>
      <c r="R164" s="19">
        <f ca="1">BlackScholesImpliedVolatility(P164,Strike,RiskFreeRate,G164/250,Dividend,Q164,0.01,"call")</f>
        <v>0.75180287236760734</v>
      </c>
      <c r="S164" s="19">
        <f t="shared" ca="1" si="41"/>
        <v>0.55050445010581117</v>
      </c>
      <c r="T164" s="19">
        <f t="shared" ca="1" si="42"/>
        <v>11.0365960405734</v>
      </c>
      <c r="U164" s="19">
        <f t="shared" ca="1" si="43"/>
        <v>-26.142344578669412</v>
      </c>
      <c r="V164" s="21"/>
      <c r="X164" s="22"/>
      <c r="Y164" s="22"/>
      <c r="Z164" s="22"/>
    </row>
    <row r="165" spans="7:26" x14ac:dyDescent="0.25">
      <c r="G165" s="19">
        <v>90</v>
      </c>
      <c r="H165" s="19">
        <f t="shared" ca="1" si="44"/>
        <v>0.1889620969177519</v>
      </c>
      <c r="I165" s="19">
        <f t="shared" ca="1" si="44"/>
        <v>0.18163288315733606</v>
      </c>
      <c r="J165" s="19">
        <f t="shared" ca="1" si="36"/>
        <v>0.76026917617443046</v>
      </c>
      <c r="K165" s="19">
        <f t="shared" ca="1" si="37"/>
        <v>1.6596410571702911</v>
      </c>
      <c r="L165" s="19">
        <f t="array" aca="1" ref="L165:M165" ca="1">MMULT(J165:K165,TRANSPOSE($B$10:$C$11))</f>
        <v>0.76026917617443046</v>
      </c>
      <c r="M165" s="19">
        <f ca="1"/>
        <v>0.61301131300588863</v>
      </c>
      <c r="N165" s="20">
        <f t="shared" ca="1" si="38"/>
        <v>3.4091781667385988E-2</v>
      </c>
      <c r="O165" s="20">
        <f t="shared" ca="1" si="39"/>
        <v>8.5622577308722331E-2</v>
      </c>
      <c r="P165" s="19">
        <f t="shared" ca="1" si="40"/>
        <v>1.3315334378678705</v>
      </c>
      <c r="Q165" s="19">
        <f ca="1">HCTrans(P165,Strike,RiskFreeRate,Dividend,Variance_T0*AnnualVarConvtr,(Simulation!G165)/250,0.5,Variance_Avg*AnnualVarConvtr,Lambda,SQRT(Simulation!N165),Rho,1,"Call")</f>
        <v>29.023356692573202</v>
      </c>
      <c r="R165" s="19">
        <f ca="1">BlackScholesImpliedVolatility(P165,Strike,RiskFreeRate,G165/250,Dividend,Q165,0.01,"call")</f>
        <v>0.75180287236760734</v>
      </c>
      <c r="S165" s="19">
        <f t="shared" ca="1" si="41"/>
        <v>0.55050445010581117</v>
      </c>
      <c r="T165" s="19">
        <f t="shared" ca="1" si="42"/>
        <v>11.0365960405734</v>
      </c>
      <c r="U165" s="19">
        <f t="shared" ca="1" si="43"/>
        <v>-26.142344578669412</v>
      </c>
      <c r="V165" s="21"/>
      <c r="X165" s="22"/>
      <c r="Y165" s="22"/>
      <c r="Z165" s="22"/>
    </row>
    <row r="166" spans="7:26" x14ac:dyDescent="0.25">
      <c r="G166" s="19">
        <v>89</v>
      </c>
      <c r="H166" s="19">
        <f t="shared" ca="1" si="44"/>
        <v>0.8645010776142682</v>
      </c>
      <c r="I166" s="19">
        <f t="shared" ca="1" si="44"/>
        <v>0.69100290438682399</v>
      </c>
      <c r="J166" s="19">
        <f t="shared" ca="1" si="36"/>
        <v>-0.19548712810743066</v>
      </c>
      <c r="K166" s="19">
        <f t="shared" ca="1" si="37"/>
        <v>-0.50298134898692048</v>
      </c>
      <c r="L166" s="19">
        <f t="array" aca="1" ref="L166:M166" ca="1">MMULT(J166:K166,TRANSPOSE($B$10:$C$11))</f>
        <v>-0.19548712810743066</v>
      </c>
      <c r="M166" s="19">
        <f ca="1"/>
        <v>-0.2108067689475665</v>
      </c>
      <c r="N166" s="20">
        <f t="shared" ca="1" si="38"/>
        <v>3.3000674785940834E-2</v>
      </c>
      <c r="O166" s="20">
        <f t="shared" ca="1" si="39"/>
        <v>8.3271566688378873E-2</v>
      </c>
      <c r="P166" s="19">
        <f t="shared" ca="1" si="40"/>
        <v>1.2319619563426347</v>
      </c>
      <c r="Q166" s="19">
        <f ca="1">HCTrans(P166,Strike,RiskFreeRate,Dividend,Variance_T0*AnnualVarConvtr,(Simulation!G166)/250,0.5,Variance_Avg*AnnualVarConvtr,Lambda,SQRT(Simulation!N166),Rho,1,"Call")</f>
        <v>29.023356692573202</v>
      </c>
      <c r="R166" s="19">
        <f ca="1">BlackScholesImpliedVolatility(P166,Strike,RiskFreeRate,G166/250,Dividend,Q166,0.01,"call")</f>
        <v>0.75180287236760734</v>
      </c>
      <c r="S166" s="19">
        <f t="shared" ca="1" si="41"/>
        <v>0.55050445010581117</v>
      </c>
      <c r="T166" s="19">
        <f t="shared" ca="1" si="42"/>
        <v>11.0365960405734</v>
      </c>
      <c r="U166" s="19">
        <f t="shared" ca="1" si="43"/>
        <v>-26.142344578669412</v>
      </c>
      <c r="V166" s="21"/>
      <c r="X166" s="22"/>
      <c r="Y166" s="22"/>
      <c r="Z166" s="22"/>
    </row>
    <row r="167" spans="7:26" x14ac:dyDescent="0.25">
      <c r="G167" s="19">
        <v>88</v>
      </c>
      <c r="H167" s="19">
        <f t="shared" ca="1" si="44"/>
        <v>0.24094561184586194</v>
      </c>
      <c r="I167" s="19">
        <f t="shared" ca="1" si="44"/>
        <v>0.90945900961762283</v>
      </c>
      <c r="J167" s="19">
        <f t="shared" ca="1" si="36"/>
        <v>1.4214000193769289</v>
      </c>
      <c r="K167" s="19">
        <f t="shared" ca="1" si="37"/>
        <v>-0.90883996435689685</v>
      </c>
      <c r="L167" s="19">
        <f t="array" aca="1" ref="L167:M167" ca="1">MMULT(J167:K167,TRANSPOSE($B$10:$C$11))</f>
        <v>1.4214000193769289</v>
      </c>
      <c r="M167" s="19">
        <f ca="1"/>
        <v>-1.6524281411101096</v>
      </c>
      <c r="N167" s="20">
        <f t="shared" ca="1" si="38"/>
        <v>2.5912968696128032E-2</v>
      </c>
      <c r="O167" s="20">
        <f t="shared" ca="1" si="39"/>
        <v>9.953637521712913E-2</v>
      </c>
      <c r="P167" s="19">
        <f t="shared" ca="1" si="40"/>
        <v>1.1448063114265501</v>
      </c>
      <c r="Q167" s="19">
        <f ca="1">HCTrans(P167,Strike,RiskFreeRate,Dividend,Variance_T0*AnnualVarConvtr,(Simulation!G167)/250,0.5,Variance_Avg*AnnualVarConvtr,Lambda,SQRT(Simulation!N167),Rho,1,"Call")</f>
        <v>29.023356692573202</v>
      </c>
      <c r="R167" s="19">
        <f ca="1">BlackScholesImpliedVolatility(P167,Strike,RiskFreeRate,G167/250,Dividend,Q167,0.01,"call")</f>
        <v>0.75180287236760734</v>
      </c>
      <c r="S167" s="19">
        <f t="shared" ca="1" si="41"/>
        <v>0.55050445010581117</v>
      </c>
      <c r="T167" s="19">
        <f t="shared" ca="1" si="42"/>
        <v>11.0365960405734</v>
      </c>
      <c r="U167" s="19">
        <f t="shared" ca="1" si="43"/>
        <v>-26.142344578669412</v>
      </c>
      <c r="V167" s="21"/>
      <c r="X167" s="22"/>
      <c r="Y167" s="22"/>
      <c r="Z167" s="22"/>
    </row>
    <row r="168" spans="7:26" x14ac:dyDescent="0.25">
      <c r="G168" s="19">
        <v>87</v>
      </c>
      <c r="H168" s="19">
        <f t="shared" ca="1" si="44"/>
        <v>0.39605222094322734</v>
      </c>
      <c r="I168" s="19">
        <f t="shared" ca="1" si="44"/>
        <v>0.12297337613707404</v>
      </c>
      <c r="J168" s="19">
        <f t="shared" ca="1" si="36"/>
        <v>0.9745741169353469</v>
      </c>
      <c r="K168" s="19">
        <f t="shared" ca="1" si="37"/>
        <v>0.9500651037197082</v>
      </c>
      <c r="L168" s="19">
        <f t="array" aca="1" ref="L168:M168" ca="1">MMULT(J168:K168,TRANSPOSE($B$10:$C$11))</f>
        <v>0.9745741169353469</v>
      </c>
      <c r="M168" s="19">
        <f ca="1"/>
        <v>-3.5529202499570589E-2</v>
      </c>
      <c r="N168" s="20">
        <f t="shared" ca="1" si="38"/>
        <v>2.5672900463887718E-2</v>
      </c>
      <c r="O168" s="20">
        <f t="shared" ca="1" si="39"/>
        <v>0.10940664594776794</v>
      </c>
      <c r="P168" s="19">
        <f t="shared" ca="1" si="40"/>
        <v>1.0688359012723831</v>
      </c>
      <c r="Q168" s="19">
        <f ca="1">HCTrans(P168,Strike,RiskFreeRate,Dividend,Variance_T0*AnnualVarConvtr,(Simulation!G168)/250,0.5,Variance_Avg*AnnualVarConvtr,Lambda,SQRT(Simulation!N168),Rho,1,"Call")</f>
        <v>29.023356692573202</v>
      </c>
      <c r="R168" s="19">
        <f ca="1">BlackScholesImpliedVolatility(P168,Strike,RiskFreeRate,G168/250,Dividend,Q168,0.01,"call")</f>
        <v>0.75180287236760734</v>
      </c>
      <c r="S168" s="19">
        <f t="shared" ca="1" si="41"/>
        <v>0.55050445010581117</v>
      </c>
      <c r="T168" s="19">
        <f t="shared" ca="1" si="42"/>
        <v>11.0365960405734</v>
      </c>
      <c r="U168" s="19">
        <f t="shared" ca="1" si="43"/>
        <v>-26.142344578669412</v>
      </c>
      <c r="V168" s="21"/>
      <c r="X168" s="22"/>
      <c r="Y168" s="22"/>
      <c r="Z168" s="22"/>
    </row>
    <row r="169" spans="7:26" x14ac:dyDescent="0.25">
      <c r="G169" s="19">
        <v>86</v>
      </c>
      <c r="H169" s="19">
        <f t="shared" ca="1" si="44"/>
        <v>0.32756110293088847</v>
      </c>
      <c r="I169" s="19">
        <f t="shared" ca="1" si="44"/>
        <v>0.6472383412445305</v>
      </c>
      <c r="J169" s="19">
        <f t="shared" ca="1" si="36"/>
        <v>-0.89901603805954622</v>
      </c>
      <c r="K169" s="19">
        <f t="shared" ca="1" si="37"/>
        <v>-1.1932860085751851</v>
      </c>
      <c r="L169" s="19">
        <f t="array" aca="1" ref="L169:M169" ca="1">MMULT(J169:K169,TRANSPOSE($B$10:$C$11))</f>
        <v>-0.89901603805954622</v>
      </c>
      <c r="M169" s="19">
        <f ca="1"/>
        <v>-0.18827592458542319</v>
      </c>
      <c r="N169" s="20">
        <f t="shared" ca="1" si="38"/>
        <v>2.4839778533880783E-2</v>
      </c>
      <c r="O169" s="20">
        <f t="shared" ca="1" si="39"/>
        <v>0.10024495346864125</v>
      </c>
      <c r="P169" s="19">
        <f t="shared" ca="1" si="40"/>
        <v>0.99803313483249168</v>
      </c>
      <c r="Q169" s="19">
        <f ca="1">HCTrans(P169,Strike,RiskFreeRate,Dividend,Variance_T0*AnnualVarConvtr,(Simulation!G169)/250,0.5,Variance_Avg*AnnualVarConvtr,Lambda,SQRT(Simulation!N169),Rho,1,"Call")</f>
        <v>29.023356692573202</v>
      </c>
      <c r="R169" s="19">
        <f ca="1">BlackScholesImpliedVolatility(P169,Strike,RiskFreeRate,G169/250,Dividend,Q169,0.01,"call")</f>
        <v>0.75180287236760734</v>
      </c>
      <c r="S169" s="19">
        <f t="shared" ca="1" si="41"/>
        <v>0.55050445010581117</v>
      </c>
      <c r="T169" s="19">
        <f t="shared" ca="1" si="42"/>
        <v>11.0365960405734</v>
      </c>
      <c r="U169" s="19">
        <f t="shared" ca="1" si="43"/>
        <v>-26.142344578669412</v>
      </c>
      <c r="V169" s="21"/>
      <c r="X169" s="22"/>
      <c r="Y169" s="22"/>
      <c r="Z169" s="22"/>
    </row>
    <row r="170" spans="7:26" x14ac:dyDescent="0.25">
      <c r="G170" s="19">
        <v>85</v>
      </c>
      <c r="H170" s="19">
        <f t="shared" ca="1" si="44"/>
        <v>0.23690994326382653</v>
      </c>
      <c r="I170" s="19">
        <f t="shared" ca="1" si="44"/>
        <v>0.52579848012789265</v>
      </c>
      <c r="J170" s="19">
        <f t="shared" ca="1" si="36"/>
        <v>-1.6748534320972508</v>
      </c>
      <c r="K170" s="19">
        <f t="shared" ca="1" si="37"/>
        <v>-0.2738911710321334</v>
      </c>
      <c r="L170" s="19">
        <f t="array" aca="1" ref="L170:M170" ca="1">MMULT(J170:K170,TRANSPOSE($B$10:$C$11))</f>
        <v>-1.6748534320972508</v>
      </c>
      <c r="M170" s="19">
        <f ca="1"/>
        <v>1.0089695387544926</v>
      </c>
      <c r="N170" s="20">
        <f t="shared" ca="1" si="38"/>
        <v>2.8797688665903428E-2</v>
      </c>
      <c r="O170" s="20">
        <f t="shared" ca="1" si="39"/>
        <v>8.3500495351794726E-2</v>
      </c>
      <c r="P170" s="19">
        <f t="shared" ca="1" si="40"/>
        <v>0.93491153817418404</v>
      </c>
      <c r="Q170" s="19">
        <f ca="1">HCTrans(P170,Strike,RiskFreeRate,Dividend,Variance_T0*AnnualVarConvtr,(Simulation!G170)/250,0.5,Variance_Avg*AnnualVarConvtr,Lambda,SQRT(Simulation!N170),Rho,1,"Call")</f>
        <v>29.023356692573202</v>
      </c>
      <c r="R170" s="19">
        <f ca="1">BlackScholesImpliedVolatility(P170,Strike,RiskFreeRate,G170/250,Dividend,Q170,0.01,"call")</f>
        <v>0.75180287236760734</v>
      </c>
      <c r="S170" s="19">
        <f t="shared" ca="1" si="41"/>
        <v>0.55050445010581117</v>
      </c>
      <c r="T170" s="19">
        <f t="shared" ca="1" si="42"/>
        <v>11.0365960405734</v>
      </c>
      <c r="U170" s="19">
        <f t="shared" ca="1" si="43"/>
        <v>-26.142344578669412</v>
      </c>
      <c r="V170" s="21"/>
      <c r="X170" s="22"/>
      <c r="Y170" s="22"/>
      <c r="Z170" s="22"/>
    </row>
    <row r="171" spans="7:26" x14ac:dyDescent="0.25">
      <c r="G171" s="19">
        <v>84</v>
      </c>
      <c r="H171" s="19">
        <f t="shared" ca="1" si="44"/>
        <v>0.23602006657563745</v>
      </c>
      <c r="I171" s="19">
        <f t="shared" ca="1" si="44"/>
        <v>0.60288425700971771</v>
      </c>
      <c r="J171" s="19">
        <f t="shared" ca="1" si="36"/>
        <v>-1.3564500756314011</v>
      </c>
      <c r="K171" s="19">
        <f t="shared" ca="1" si="37"/>
        <v>-1.0235819907248302</v>
      </c>
      <c r="L171" s="19">
        <f t="array" aca="1" ref="L171:M171" ca="1">MMULT(J171:K171,TRANSPOSE($B$10:$C$11))</f>
        <v>-1.3564500756314011</v>
      </c>
      <c r="M171" s="19">
        <f ca="1"/>
        <v>0.25785889553524022</v>
      </c>
      <c r="N171" s="20">
        <f t="shared" ca="1" si="38"/>
        <v>2.9765339832165817E-2</v>
      </c>
      <c r="O171" s="20">
        <f t="shared" ca="1" si="39"/>
        <v>6.8884534227403163E-2</v>
      </c>
      <c r="P171" s="19">
        <f t="shared" ca="1" si="40"/>
        <v>0.86876373640077953</v>
      </c>
      <c r="Q171" s="19">
        <f ca="1">HCTrans(P171,Strike,RiskFreeRate,Dividend,Variance_T0*AnnualVarConvtr,(Simulation!G171)/250,0.5,Variance_Avg*AnnualVarConvtr,Lambda,SQRT(Simulation!N171),Rho,1,"Call")</f>
        <v>29.023356692573202</v>
      </c>
      <c r="R171" s="19">
        <f ca="1">BlackScholesImpliedVolatility(P171,Strike,RiskFreeRate,G171/250,Dividend,Q171,0.01,"call")</f>
        <v>0.75180287236760734</v>
      </c>
      <c r="S171" s="19">
        <f t="shared" ca="1" si="41"/>
        <v>0.55050445010581117</v>
      </c>
      <c r="T171" s="19">
        <f t="shared" ca="1" si="42"/>
        <v>11.0365960405734</v>
      </c>
      <c r="U171" s="19">
        <f t="shared" ca="1" si="43"/>
        <v>-26.142344578669412</v>
      </c>
      <c r="V171" s="21"/>
      <c r="X171" s="22"/>
      <c r="Y171" s="22"/>
      <c r="Z171" s="22"/>
    </row>
    <row r="172" spans="7:26" x14ac:dyDescent="0.25">
      <c r="G172" s="19">
        <v>83</v>
      </c>
      <c r="H172" s="19">
        <f t="shared" ca="1" si="44"/>
        <v>0.80296376468272368</v>
      </c>
      <c r="I172" s="19">
        <f t="shared" ca="1" si="44"/>
        <v>8.7032821837855656E-2</v>
      </c>
      <c r="J172" s="19">
        <f t="shared" ca="1" si="36"/>
        <v>0.5658781818103189</v>
      </c>
      <c r="K172" s="19">
        <f t="shared" ca="1" si="37"/>
        <v>0.34448986242609325</v>
      </c>
      <c r="L172" s="19">
        <f t="array" aca="1" ref="L172:M172" ca="1">MMULT(J172:K172,TRANSPOSE($B$10:$C$11))</f>
        <v>0.5658781818103189</v>
      </c>
      <c r="M172" s="19">
        <f ca="1"/>
        <v>-0.1651400361421958</v>
      </c>
      <c r="N172" s="20">
        <f t="shared" ca="1" si="38"/>
        <v>2.8950390112244095E-2</v>
      </c>
      <c r="O172" s="20">
        <f t="shared" ca="1" si="39"/>
        <v>7.4999596995884932E-2</v>
      </c>
      <c r="P172" s="19">
        <f t="shared" ca="1" si="40"/>
        <v>0.80786246686417462</v>
      </c>
      <c r="Q172" s="19">
        <f ca="1">HCTrans(P172,Strike,RiskFreeRate,Dividend,Variance_T0*AnnualVarConvtr,(Simulation!G172)/250,0.5,Variance_Avg*AnnualVarConvtr,Lambda,SQRT(Simulation!N172),Rho,1,"Call")</f>
        <v>29.023356692573202</v>
      </c>
      <c r="R172" s="19">
        <f ca="1">BlackScholesImpliedVolatility(P172,Strike,RiskFreeRate,G172/250,Dividend,Q172,0.01,"call")</f>
        <v>0.75180287236760734</v>
      </c>
      <c r="S172" s="19">
        <f t="shared" ca="1" si="41"/>
        <v>0.55050445010581117</v>
      </c>
      <c r="T172" s="19">
        <f t="shared" ca="1" si="42"/>
        <v>11.0365960405734</v>
      </c>
      <c r="U172" s="19">
        <f t="shared" ca="1" si="43"/>
        <v>-26.142344578669412</v>
      </c>
      <c r="V172" s="21"/>
      <c r="X172" s="22"/>
      <c r="Y172" s="22"/>
      <c r="Z172" s="22"/>
    </row>
    <row r="173" spans="7:26" x14ac:dyDescent="0.25">
      <c r="G173" s="19">
        <v>82</v>
      </c>
      <c r="H173" s="19">
        <f t="shared" ca="1" si="44"/>
        <v>0.65203745605705887</v>
      </c>
      <c r="I173" s="19">
        <f t="shared" ca="1" si="44"/>
        <v>0.21680578929648586</v>
      </c>
      <c r="J173" s="19">
        <f t="shared" ca="1" si="36"/>
        <v>0.19149169065074248</v>
      </c>
      <c r="K173" s="19">
        <f t="shared" ca="1" si="37"/>
        <v>0.9047858718737154</v>
      </c>
      <c r="L173" s="19">
        <f t="array" aca="1" ref="L173:M173" ca="1">MMULT(J173:K173,TRANSPOSE($B$10:$C$11))</f>
        <v>0.19149169065074248</v>
      </c>
      <c r="M173" s="19">
        <f ca="1"/>
        <v>0.49396314829192922</v>
      </c>
      <c r="N173" s="20">
        <f t="shared" ca="1" si="38"/>
        <v>3.0931800959474016E-2</v>
      </c>
      <c r="O173" s="20">
        <f t="shared" ca="1" si="39"/>
        <v>7.7002360003601542E-2</v>
      </c>
      <c r="P173" s="19">
        <f t="shared" ca="1" si="40"/>
        <v>0.74790716499956367</v>
      </c>
      <c r="Q173" s="19">
        <f ca="1">HCTrans(P173,Strike,RiskFreeRate,Dividend,Variance_T0*AnnualVarConvtr,(Simulation!G173)/250,0.5,Variance_Avg*AnnualVarConvtr,Lambda,SQRT(Simulation!N173),Rho,1,"Call")</f>
        <v>29.023356692573202</v>
      </c>
      <c r="R173" s="19">
        <f ca="1">BlackScholesImpliedVolatility(P173,Strike,RiskFreeRate,G173/250,Dividend,Q173,0.01,"call")</f>
        <v>0.75180287236760734</v>
      </c>
      <c r="S173" s="19">
        <f t="shared" ca="1" si="41"/>
        <v>0.55050445010581117</v>
      </c>
      <c r="T173" s="19">
        <f t="shared" ca="1" si="42"/>
        <v>11.0365960405734</v>
      </c>
      <c r="U173" s="19">
        <f t="shared" ca="1" si="43"/>
        <v>-26.142344578669412</v>
      </c>
      <c r="V173" s="21"/>
      <c r="X173" s="22"/>
      <c r="Y173" s="22"/>
      <c r="Z173" s="22"/>
    </row>
    <row r="174" spans="7:26" x14ac:dyDescent="0.25">
      <c r="G174" s="19">
        <v>81</v>
      </c>
      <c r="H174" s="19">
        <f t="shared" ca="1" si="44"/>
        <v>0.83091899440690087</v>
      </c>
      <c r="I174" s="19">
        <f t="shared" ca="1" si="44"/>
        <v>0.69754204931668751</v>
      </c>
      <c r="J174" s="19">
        <f t="shared" ca="1" si="36"/>
        <v>-0.19699782947868058</v>
      </c>
      <c r="K174" s="19">
        <f t="shared" ca="1" si="37"/>
        <v>-0.57588001549495671</v>
      </c>
      <c r="L174" s="19">
        <f t="array" aca="1" ref="L174:M174" ca="1">MMULT(J174:K174,TRANSPOSE($B$10:$C$11))</f>
        <v>-0.19699782947868058</v>
      </c>
      <c r="M174" s="19">
        <f ca="1"/>
        <v>-0.26057752014675206</v>
      </c>
      <c r="N174" s="20">
        <f t="shared" ca="1" si="38"/>
        <v>2.9691643995826928E-2</v>
      </c>
      <c r="O174" s="20">
        <f t="shared" ca="1" si="39"/>
        <v>7.4749235749767926E-2</v>
      </c>
      <c r="P174" s="19">
        <f t="shared" ca="1" si="40"/>
        <v>0.6935326440583105</v>
      </c>
      <c r="Q174" s="19">
        <f ca="1">HCTrans(P174,Strike,RiskFreeRate,Dividend,Variance_T0*AnnualVarConvtr,(Simulation!G174)/250,0.5,Variance_Avg*AnnualVarConvtr,Lambda,SQRT(Simulation!N174),Rho,1,"Call")</f>
        <v>29.023356692573202</v>
      </c>
      <c r="R174" s="19">
        <f ca="1">BlackScholesImpliedVolatility(P174,Strike,RiskFreeRate,G174/250,Dividend,Q174,0.01,"call")</f>
        <v>0.75180287236760734</v>
      </c>
      <c r="S174" s="19">
        <f t="shared" ca="1" si="41"/>
        <v>0.55050445010581117</v>
      </c>
      <c r="T174" s="19">
        <f t="shared" ca="1" si="42"/>
        <v>11.0365960405734</v>
      </c>
      <c r="U174" s="19">
        <f t="shared" ca="1" si="43"/>
        <v>-26.142344578669412</v>
      </c>
      <c r="V174" s="21"/>
      <c r="X174" s="22"/>
      <c r="Y174" s="22"/>
      <c r="Z174" s="22"/>
    </row>
    <row r="175" spans="7:26" x14ac:dyDescent="0.25">
      <c r="G175" s="19">
        <v>80</v>
      </c>
      <c r="H175" s="19">
        <f t="shared" ca="1" si="44"/>
        <v>2.538303387368801E-2</v>
      </c>
      <c r="I175" s="19">
        <f t="shared" ca="1" si="44"/>
        <v>0.60939480552606617</v>
      </c>
      <c r="J175" s="19">
        <f t="shared" ca="1" si="36"/>
        <v>-2.0951075901328635</v>
      </c>
      <c r="K175" s="19">
        <f t="shared" ca="1" si="37"/>
        <v>-1.7198467250039764</v>
      </c>
      <c r="L175" s="19">
        <f t="array" aca="1" ref="L175:M175" ca="1">MMULT(J175:K175,TRANSPOSE($B$10:$C$11))</f>
        <v>-2.0951075901328635</v>
      </c>
      <c r="M175" s="19">
        <f ca="1"/>
        <v>0.30140171388922732</v>
      </c>
      <c r="N175" s="20">
        <f t="shared" ca="1" si="38"/>
        <v>3.085871833009117E-2</v>
      </c>
      <c r="O175" s="20">
        <f t="shared" ca="1" si="39"/>
        <v>5.1857353412878532E-2</v>
      </c>
      <c r="P175" s="19">
        <f t="shared" ca="1" si="40"/>
        <v>0.64591675965510142</v>
      </c>
      <c r="Q175" s="19">
        <f ca="1">HCTrans(P175,Strike,RiskFreeRate,Dividend,Variance_T0*AnnualVarConvtr,(Simulation!G175)/250,0.5,Variance_Avg*AnnualVarConvtr,Lambda,SQRT(Simulation!N175),Rho,1,"Call")</f>
        <v>29.023356692573202</v>
      </c>
      <c r="R175" s="19">
        <f ca="1">BlackScholesImpliedVolatility(P175,Strike,RiskFreeRate,G175/250,Dividend,Q175,0.01,"call")</f>
        <v>0.75180287236760734</v>
      </c>
      <c r="S175" s="19">
        <f t="shared" ca="1" si="41"/>
        <v>0.55050445010581117</v>
      </c>
      <c r="T175" s="19">
        <f t="shared" ca="1" si="42"/>
        <v>11.0365960405734</v>
      </c>
      <c r="U175" s="19">
        <f t="shared" ca="1" si="43"/>
        <v>-26.142344578669412</v>
      </c>
      <c r="V175" s="21"/>
      <c r="X175" s="22"/>
      <c r="Y175" s="22"/>
      <c r="Z175" s="22"/>
    </row>
    <row r="176" spans="7:26" x14ac:dyDescent="0.25">
      <c r="G176" s="19">
        <v>79</v>
      </c>
      <c r="H176" s="19">
        <f t="shared" ca="1" si="44"/>
        <v>7.5758889261016149E-2</v>
      </c>
      <c r="I176" s="19">
        <f t="shared" ca="1" si="44"/>
        <v>0.54182881282595141</v>
      </c>
      <c r="J176" s="19">
        <f t="shared" ca="1" si="36"/>
        <v>-2.1936463863807427</v>
      </c>
      <c r="K176" s="19">
        <f t="shared" ca="1" si="37"/>
        <v>-0.5901817639618705</v>
      </c>
      <c r="L176" s="19">
        <f t="array" aca="1" ref="L176:M176" ca="1">MMULT(J176:K176,TRANSPOSE($B$10:$C$11))</f>
        <v>-2.1936463863807427</v>
      </c>
      <c r="M176" s="19">
        <f ca="1"/>
        <v>1.1600444557595078</v>
      </c>
      <c r="N176" s="20">
        <f t="shared" ca="1" si="38"/>
        <v>3.5931525797433257E-2</v>
      </c>
      <c r="O176" s="20">
        <f t="shared" ca="1" si="39"/>
        <v>2.7423950831898056E-2</v>
      </c>
      <c r="P176" s="19">
        <f t="shared" ca="1" si="40"/>
        <v>0.59711959784023894</v>
      </c>
      <c r="Q176" s="19">
        <f ca="1">HCTrans(P176,Strike,RiskFreeRate,Dividend,Variance_T0*AnnualVarConvtr,(Simulation!G176)/250,0.5,Variance_Avg*AnnualVarConvtr,Lambda,SQRT(Simulation!N176),Rho,1,"Call")</f>
        <v>29.023356692573202</v>
      </c>
      <c r="R176" s="19">
        <f ca="1">BlackScholesImpliedVolatility(P176,Strike,RiskFreeRate,G176/250,Dividend,Q176,0.01,"call")</f>
        <v>0.75180287236760734</v>
      </c>
      <c r="S176" s="19">
        <f t="shared" ca="1" si="41"/>
        <v>0.55050445010581117</v>
      </c>
      <c r="T176" s="19">
        <f t="shared" ca="1" si="42"/>
        <v>11.0365960405734</v>
      </c>
      <c r="U176" s="19">
        <f t="shared" ca="1" si="43"/>
        <v>-26.142344578669412</v>
      </c>
      <c r="V176" s="21"/>
      <c r="X176" s="22"/>
      <c r="Y176" s="22"/>
      <c r="Z176" s="22"/>
    </row>
    <row r="177" spans="7:26" x14ac:dyDescent="0.25">
      <c r="G177" s="19">
        <v>78</v>
      </c>
      <c r="H177" s="19">
        <f t="shared" ca="1" si="44"/>
        <v>0.15225827811727299</v>
      </c>
      <c r="I177" s="19">
        <f t="shared" ca="1" si="44"/>
        <v>0.81111371378644337</v>
      </c>
      <c r="J177" s="19">
        <f t="shared" ca="1" si="36"/>
        <v>0.7268390029824624</v>
      </c>
      <c r="K177" s="19">
        <f t="shared" ca="1" si="37"/>
        <v>-1.7989049635105949</v>
      </c>
      <c r="L177" s="19">
        <f t="array" aca="1" ref="L177:M177" ca="1">MMULT(J177:K177,TRANSPOSE($B$10:$C$11))</f>
        <v>0.7268390029824624</v>
      </c>
      <c r="M177" s="19">
        <f ca="1"/>
        <v>-1.7756730267239615</v>
      </c>
      <c r="N177" s="20">
        <f t="shared" ca="1" si="38"/>
        <v>2.7999049637445126E-2</v>
      </c>
      <c r="O177" s="20">
        <f t="shared" ca="1" si="39"/>
        <v>3.6065856914439171E-2</v>
      </c>
      <c r="P177" s="19">
        <f t="shared" ca="1" si="40"/>
        <v>0.5511315719368538</v>
      </c>
      <c r="Q177" s="19">
        <f ca="1">HCTrans(P177,Strike,RiskFreeRate,Dividend,Variance_T0*AnnualVarConvtr,(Simulation!G177)/250,0.5,Variance_Avg*AnnualVarConvtr,Lambda,SQRT(Simulation!N177),Rho,1,"Call")</f>
        <v>29.023356692573202</v>
      </c>
      <c r="R177" s="19">
        <f ca="1">BlackScholesImpliedVolatility(P177,Strike,RiskFreeRate,G177/250,Dividend,Q177,0.01,"call")</f>
        <v>0.75180287236760734</v>
      </c>
      <c r="S177" s="19">
        <f t="shared" ca="1" si="41"/>
        <v>0.55050445010581117</v>
      </c>
      <c r="T177" s="19">
        <f t="shared" ca="1" si="42"/>
        <v>11.0365960405734</v>
      </c>
      <c r="U177" s="19">
        <f t="shared" ca="1" si="43"/>
        <v>-26.142344578669412</v>
      </c>
      <c r="V177" s="21"/>
      <c r="X177" s="22"/>
      <c r="Y177" s="22"/>
      <c r="Z177" s="22"/>
    </row>
    <row r="178" spans="7:26" x14ac:dyDescent="0.25">
      <c r="G178" s="19">
        <v>77</v>
      </c>
      <c r="H178" s="19">
        <f t="shared" ca="1" si="44"/>
        <v>0.76422677028201624</v>
      </c>
      <c r="I178" s="19">
        <f t="shared" ca="1" si="44"/>
        <v>0.34869462988672306</v>
      </c>
      <c r="J178" s="19">
        <f t="shared" ca="1" si="36"/>
        <v>-0.42616351548368464</v>
      </c>
      <c r="K178" s="19">
        <f t="shared" ca="1" si="37"/>
        <v>0.59679652001719263</v>
      </c>
      <c r="L178" s="19">
        <f t="array" aca="1" ref="L178:M178" ca="1">MMULT(J178:K178,TRANSPOSE($B$10:$C$11))</f>
        <v>-0.42616351548368464</v>
      </c>
      <c r="M178" s="19">
        <f ca="1"/>
        <v>0.72166370736289032</v>
      </c>
      <c r="N178" s="20">
        <f t="shared" ca="1" si="38"/>
        <v>3.0927212568869197E-2</v>
      </c>
      <c r="O178" s="20">
        <f t="shared" ca="1" si="39"/>
        <v>3.1499844636205108E-2</v>
      </c>
      <c r="P178" s="19">
        <f t="shared" ca="1" si="40"/>
        <v>0.51372708263786981</v>
      </c>
      <c r="Q178" s="19">
        <f ca="1">HCTrans(P178,Strike,RiskFreeRate,Dividend,Variance_T0*AnnualVarConvtr,(Simulation!G178)/250,0.5,Variance_Avg*AnnualVarConvtr,Lambda,SQRT(Simulation!N178),Rho,1,"Call")</f>
        <v>29.023356692573202</v>
      </c>
      <c r="R178" s="19">
        <f ca="1">BlackScholesImpliedVolatility(P178,Strike,RiskFreeRate,G178/250,Dividend,Q178,0.01,"call")</f>
        <v>0.75180287236760734</v>
      </c>
      <c r="S178" s="19">
        <f t="shared" ca="1" si="41"/>
        <v>0.55050445010581117</v>
      </c>
      <c r="T178" s="19">
        <f t="shared" ca="1" si="42"/>
        <v>11.0365960405734</v>
      </c>
      <c r="U178" s="19">
        <f t="shared" ca="1" si="43"/>
        <v>-26.142344578669412</v>
      </c>
      <c r="V178" s="21"/>
      <c r="X178" s="22"/>
      <c r="Y178" s="22"/>
      <c r="Z178" s="22"/>
    </row>
    <row r="179" spans="7:26" x14ac:dyDescent="0.25">
      <c r="G179" s="19">
        <v>76</v>
      </c>
      <c r="H179" s="19">
        <f t="shared" ca="1" si="44"/>
        <v>0.99936582451132883</v>
      </c>
      <c r="I179" s="19">
        <f t="shared" ca="1" si="44"/>
        <v>0.80873057468608434</v>
      </c>
      <c r="J179" s="19">
        <f t="shared" ca="1" si="36"/>
        <v>1.284786954226487E-2</v>
      </c>
      <c r="K179" s="19">
        <f t="shared" ca="1" si="37"/>
        <v>-3.3221763562959077E-2</v>
      </c>
      <c r="L179" s="19">
        <f t="array" aca="1" ref="L179:M179" ca="1">MMULT(J179:K179,TRANSPOSE($B$10:$C$11))</f>
        <v>1.284786954226487E-2</v>
      </c>
      <c r="M179" s="19">
        <f ca="1"/>
        <v>-3.2380571940002552E-2</v>
      </c>
      <c r="N179" s="20">
        <f t="shared" ca="1" si="38"/>
        <v>3.0661139389826987E-2</v>
      </c>
      <c r="O179" s="20">
        <f t="shared" ca="1" si="39"/>
        <v>3.1580889972402548E-2</v>
      </c>
      <c r="P179" s="19">
        <f t="shared" ca="1" si="40"/>
        <v>0.47836088447511699</v>
      </c>
      <c r="Q179" s="19">
        <f ca="1">HCTrans(P179,Strike,RiskFreeRate,Dividend,Variance_T0*AnnualVarConvtr,(Simulation!G179)/250,0.5,Variance_Avg*AnnualVarConvtr,Lambda,SQRT(Simulation!N179),Rho,1,"Call")</f>
        <v>29.023356692573202</v>
      </c>
      <c r="R179" s="19">
        <f ca="1">BlackScholesImpliedVolatility(P179,Strike,RiskFreeRate,G179/250,Dividend,Q179,0.01,"call")</f>
        <v>0.75180287236760734</v>
      </c>
      <c r="S179" s="19">
        <f t="shared" ca="1" si="41"/>
        <v>0.55050445010581117</v>
      </c>
      <c r="T179" s="19">
        <f t="shared" ca="1" si="42"/>
        <v>11.0365960405734</v>
      </c>
      <c r="U179" s="19">
        <f t="shared" ca="1" si="43"/>
        <v>-26.142344578669412</v>
      </c>
      <c r="V179" s="21"/>
      <c r="X179" s="22"/>
      <c r="Y179" s="22"/>
      <c r="Z179" s="22"/>
    </row>
    <row r="180" spans="7:26" x14ac:dyDescent="0.25">
      <c r="G180" s="19">
        <v>75</v>
      </c>
      <c r="H180" s="19">
        <f t="shared" ca="1" si="44"/>
        <v>0.81960135675531332</v>
      </c>
      <c r="I180" s="19">
        <f t="shared" ca="1" si="44"/>
        <v>0.2086473632329362</v>
      </c>
      <c r="J180" s="19">
        <f t="shared" ca="1" si="36"/>
        <v>0.16205354018004753</v>
      </c>
      <c r="K180" s="19">
        <f t="shared" ca="1" si="37"/>
        <v>0.60960074194371361</v>
      </c>
      <c r="L180" s="19">
        <f t="array" aca="1" ref="L180:M180" ca="1">MMULT(J180:K180,TRANSPOSE($B$10:$C$11))</f>
        <v>0.16205354018004753</v>
      </c>
      <c r="M180" s="19">
        <f ca="1"/>
        <v>0.30913824691038128</v>
      </c>
      <c r="N180" s="20">
        <f t="shared" ca="1" si="38"/>
        <v>3.1877625427007332E-2</v>
      </c>
      <c r="O180" s="20">
        <f t="shared" ca="1" si="39"/>
        <v>3.3314229677825505E-2</v>
      </c>
      <c r="P180" s="19">
        <f t="shared" ca="1" si="40"/>
        <v>0.44591067966063419</v>
      </c>
      <c r="Q180" s="19">
        <f ca="1">HCTrans(P180,Strike,RiskFreeRate,Dividend,Variance_T0*AnnualVarConvtr,(Simulation!G180)/250,0.5,Variance_Avg*AnnualVarConvtr,Lambda,SQRT(Simulation!N180),Rho,1,"Call")</f>
        <v>29.023356692573202</v>
      </c>
      <c r="R180" s="19">
        <f ca="1">BlackScholesImpliedVolatility(P180,Strike,RiskFreeRate,G180/250,Dividend,Q180,0.01,"call")</f>
        <v>0.75180287236760734</v>
      </c>
      <c r="S180" s="19">
        <f t="shared" ca="1" si="41"/>
        <v>0.55050445010581117</v>
      </c>
      <c r="T180" s="19">
        <f t="shared" ca="1" si="42"/>
        <v>11.0365960405734</v>
      </c>
      <c r="U180" s="19">
        <f t="shared" ca="1" si="43"/>
        <v>-26.142344578669412</v>
      </c>
      <c r="V180" s="21"/>
      <c r="X180" s="22"/>
      <c r="Y180" s="22"/>
      <c r="Z180" s="22"/>
    </row>
    <row r="181" spans="7:26" x14ac:dyDescent="0.25">
      <c r="G181" s="19">
        <v>74</v>
      </c>
      <c r="H181" s="19">
        <f t="shared" ca="1" si="44"/>
        <v>0.77710163809147126</v>
      </c>
      <c r="I181" s="19">
        <f t="shared" ca="1" si="44"/>
        <v>5.7287251189424793E-2</v>
      </c>
      <c r="J181" s="19">
        <f t="shared" ca="1" si="36"/>
        <v>0.66467693016057239</v>
      </c>
      <c r="K181" s="19">
        <f t="shared" ca="1" si="37"/>
        <v>0.25014562986701688</v>
      </c>
      <c r="L181" s="19">
        <f t="array" aca="1" ref="L181:M181" ca="1">MMULT(J181:K181,TRANSPOSE($B$10:$C$11))</f>
        <v>0.66467693016057239</v>
      </c>
      <c r="M181" s="19">
        <f ca="1"/>
        <v>-0.30174265811045886</v>
      </c>
      <c r="N181" s="20">
        <f t="shared" ca="1" si="38"/>
        <v>3.0438664457460775E-2</v>
      </c>
      <c r="O181" s="20">
        <f t="shared" ca="1" si="39"/>
        <v>4.0756042749637317E-2</v>
      </c>
      <c r="P181" s="19">
        <f t="shared" ca="1" si="40"/>
        <v>0.42058537541084534</v>
      </c>
      <c r="Q181" s="19">
        <f ca="1">HCTrans(P181,Strike,RiskFreeRate,Dividend,Variance_T0*AnnualVarConvtr,(Simulation!G181)/250,0.5,Variance_Avg*AnnualVarConvtr,Lambda,SQRT(Simulation!N181),Rho,1,"Call")</f>
        <v>29.023356692573202</v>
      </c>
      <c r="R181" s="19">
        <f ca="1">BlackScholesImpliedVolatility(P181,Strike,RiskFreeRate,G181/250,Dividend,Q181,0.01,"call")</f>
        <v>0.75180287236760734</v>
      </c>
      <c r="S181" s="19">
        <f t="shared" ca="1" si="41"/>
        <v>0.55050445010581117</v>
      </c>
      <c r="T181" s="19">
        <f t="shared" ca="1" si="42"/>
        <v>11.0365960405734</v>
      </c>
      <c r="U181" s="19">
        <f t="shared" ca="1" si="43"/>
        <v>-26.142344578669412</v>
      </c>
      <c r="V181" s="21"/>
      <c r="X181" s="22"/>
      <c r="Y181" s="22"/>
      <c r="Z181" s="22"/>
    </row>
    <row r="182" spans="7:26" x14ac:dyDescent="0.25">
      <c r="G182" s="19">
        <v>73</v>
      </c>
      <c r="H182" s="19">
        <f t="shared" ca="1" si="44"/>
        <v>0.87567409223124626</v>
      </c>
      <c r="I182" s="19">
        <f t="shared" ca="1" si="44"/>
        <v>0.71886816844290158</v>
      </c>
      <c r="J182" s="19">
        <f t="shared" ca="1" si="36"/>
        <v>-0.1001526021337156</v>
      </c>
      <c r="K182" s="19">
        <f t="shared" ca="1" si="37"/>
        <v>-0.5054622166788324</v>
      </c>
      <c r="L182" s="19">
        <f t="array" aca="1" ref="L182:M182" ca="1">MMULT(J182:K182,TRANSPOSE($B$10:$C$11))</f>
        <v>-0.1001526021337156</v>
      </c>
      <c r="M182" s="19">
        <f ca="1"/>
        <v>-0.28084457808492608</v>
      </c>
      <c r="N182" s="20">
        <f t="shared" ca="1" si="38"/>
        <v>2.9125062748659031E-2</v>
      </c>
      <c r="O182" s="20">
        <f t="shared" ca="1" si="39"/>
        <v>3.959005663975821E-2</v>
      </c>
      <c r="P182" s="19">
        <f t="shared" ca="1" si="40"/>
        <v>0.39764762691701994</v>
      </c>
      <c r="Q182" s="19">
        <f ca="1">HCTrans(P182,Strike,RiskFreeRate,Dividend,Variance_T0*AnnualVarConvtr,(Simulation!G182)/250,0.5,Variance_Avg*AnnualVarConvtr,Lambda,SQRT(Simulation!N182),Rho,1,"Call")</f>
        <v>29.023356692573202</v>
      </c>
      <c r="R182" s="19">
        <f ca="1">BlackScholesImpliedVolatility(P182,Strike,RiskFreeRate,G182/250,Dividend,Q182,0.01,"call")</f>
        <v>0.75180287236760734</v>
      </c>
      <c r="S182" s="19">
        <f t="shared" ca="1" si="41"/>
        <v>0.55050445010581117</v>
      </c>
      <c r="T182" s="19">
        <f t="shared" ca="1" si="42"/>
        <v>11.0365960405734</v>
      </c>
      <c r="U182" s="19">
        <f t="shared" ca="1" si="43"/>
        <v>-26.142344578669412</v>
      </c>
      <c r="V182" s="21"/>
      <c r="X182" s="22"/>
      <c r="Y182" s="22"/>
      <c r="Z182" s="22"/>
    </row>
    <row r="183" spans="7:26" x14ac:dyDescent="0.25">
      <c r="G183" s="19">
        <v>72</v>
      </c>
      <c r="H183" s="19">
        <f t="shared" ca="1" si="44"/>
        <v>7.4121815571503769E-2</v>
      </c>
      <c r="I183" s="19">
        <f t="shared" ca="1" si="44"/>
        <v>0.15096933618213315</v>
      </c>
      <c r="J183" s="19">
        <f t="shared" ca="1" si="36"/>
        <v>1.3296184484186941</v>
      </c>
      <c r="K183" s="19">
        <f t="shared" ca="1" si="37"/>
        <v>1.8537005009703837</v>
      </c>
      <c r="L183" s="19">
        <f t="array" aca="1" ref="L183:M183" ca="1">MMULT(J183:K183,TRANSPOSE($B$10:$C$11))</f>
        <v>1.3296184484186941</v>
      </c>
      <c r="M183" s="19">
        <f ca="1"/>
        <v>0.34044592238985405</v>
      </c>
      <c r="N183" s="20">
        <f t="shared" ca="1" si="38"/>
        <v>3.045008507923579E-2</v>
      </c>
      <c r="O183" s="20">
        <f t="shared" ca="1" si="39"/>
        <v>5.3883080731919539E-2</v>
      </c>
      <c r="P183" s="19">
        <f t="shared" ca="1" si="40"/>
        <v>0.37765745768635972</v>
      </c>
      <c r="Q183" s="19">
        <f ca="1">HCTrans(P183,Strike,RiskFreeRate,Dividend,Variance_T0*AnnualVarConvtr,(Simulation!G183)/250,0.5,Variance_Avg*AnnualVarConvtr,Lambda,SQRT(Simulation!N183),Rho,1,"Call")</f>
        <v>29.023356692573202</v>
      </c>
      <c r="R183" s="19">
        <f ca="1">BlackScholesImpliedVolatility(P183,Strike,RiskFreeRate,G183/250,Dividend,Q183,0.01,"call")</f>
        <v>0.75180287236760734</v>
      </c>
      <c r="S183" s="19">
        <f t="shared" ca="1" si="41"/>
        <v>0.55050445010581117</v>
      </c>
      <c r="T183" s="19">
        <f t="shared" ca="1" si="42"/>
        <v>11.0365960405734</v>
      </c>
      <c r="U183" s="19">
        <f t="shared" ca="1" si="43"/>
        <v>-26.142344578669412</v>
      </c>
      <c r="V183" s="21"/>
      <c r="X183" s="22"/>
      <c r="Y183" s="22"/>
      <c r="Z183" s="22"/>
    </row>
    <row r="184" spans="7:26" x14ac:dyDescent="0.25">
      <c r="G184" s="19">
        <v>71</v>
      </c>
      <c r="H184" s="19">
        <f t="shared" ca="1" si="44"/>
        <v>0.33949649575313789</v>
      </c>
      <c r="I184" s="19">
        <f t="shared" ca="1" si="44"/>
        <v>0.51549313664035701</v>
      </c>
      <c r="J184" s="19">
        <f t="shared" ca="1" si="36"/>
        <v>-1.4629332113960707</v>
      </c>
      <c r="K184" s="19">
        <f t="shared" ca="1" si="37"/>
        <v>-0.14286261457332661</v>
      </c>
      <c r="L184" s="19">
        <f t="array" aca="1" ref="L184:M184" ca="1">MMULT(J184:K184,TRANSPOSE($B$10:$C$11))</f>
        <v>-1.4629332113960707</v>
      </c>
      <c r="M184" s="19">
        <f ca="1"/>
        <v>0.94853253020428052</v>
      </c>
      <c r="N184" s="20">
        <f t="shared" ca="1" si="38"/>
        <v>3.4519814349187904E-2</v>
      </c>
      <c r="O184" s="20">
        <f t="shared" ca="1" si="39"/>
        <v>3.7676782749882433E-2</v>
      </c>
      <c r="P184" s="19">
        <f t="shared" ca="1" si="40"/>
        <v>0.36066507449691082</v>
      </c>
      <c r="Q184" s="19">
        <f ca="1">HCTrans(P184,Strike,RiskFreeRate,Dividend,Variance_T0*AnnualVarConvtr,(Simulation!G184)/250,0.5,Variance_Avg*AnnualVarConvtr,Lambda,SQRT(Simulation!N184),Rho,1,"Call")</f>
        <v>29.023356692573202</v>
      </c>
      <c r="R184" s="19">
        <f ca="1">BlackScholesImpliedVolatility(P184,Strike,RiskFreeRate,G184/250,Dividend,Q184,0.01,"call")</f>
        <v>0.75180287236760734</v>
      </c>
      <c r="S184" s="19">
        <f t="shared" ca="1" si="41"/>
        <v>0.55050445010581117</v>
      </c>
      <c r="T184" s="19">
        <f t="shared" ca="1" si="42"/>
        <v>11.0365960405734</v>
      </c>
      <c r="U184" s="19">
        <f t="shared" ca="1" si="43"/>
        <v>-26.142344578669412</v>
      </c>
      <c r="V184" s="21"/>
      <c r="X184" s="22"/>
      <c r="Y184" s="22"/>
      <c r="Z184" s="22"/>
    </row>
    <row r="185" spans="7:26" x14ac:dyDescent="0.25">
      <c r="G185" s="19">
        <v>70</v>
      </c>
      <c r="H185" s="19">
        <f t="shared" ca="1" si="44"/>
        <v>0.20076376455736078</v>
      </c>
      <c r="I185" s="19">
        <f t="shared" ca="1" si="44"/>
        <v>0.82295849296469437</v>
      </c>
      <c r="J185" s="19">
        <f t="shared" ca="1" si="36"/>
        <v>0.79300228835493602</v>
      </c>
      <c r="K185" s="19">
        <f t="shared" ca="1" si="37"/>
        <v>-1.60698478410478</v>
      </c>
      <c r="L185" s="19">
        <f t="array" aca="1" ref="L185:M185" ca="1">MMULT(J185:K185,TRANSPOSE($B$10:$C$11))</f>
        <v>0.79300228835493602</v>
      </c>
      <c r="M185" s="19">
        <f ca="1"/>
        <v>-1.6891979809727635</v>
      </c>
      <c r="N185" s="20">
        <f t="shared" ca="1" si="38"/>
        <v>2.7107499647687053E-2</v>
      </c>
      <c r="O185" s="20">
        <f t="shared" ca="1" si="39"/>
        <v>4.6926085466833974E-2</v>
      </c>
      <c r="P185" s="19">
        <f t="shared" ca="1" si="40"/>
        <v>0.34373648751563929</v>
      </c>
      <c r="Q185" s="19">
        <f ca="1">HCTrans(P185,Strike,RiskFreeRate,Dividend,Variance_T0*AnnualVarConvtr,(Simulation!G185)/250,0.5,Variance_Avg*AnnualVarConvtr,Lambda,SQRT(Simulation!N185),Rho,1,"Call")</f>
        <v>29.023356692573202</v>
      </c>
      <c r="R185" s="19">
        <f ca="1">BlackScholesImpliedVolatility(P185,Strike,RiskFreeRate,G185/250,Dividend,Q185,0.01,"call")</f>
        <v>0.75180287236760734</v>
      </c>
      <c r="S185" s="19">
        <f t="shared" ca="1" si="41"/>
        <v>0.55050445010581117</v>
      </c>
      <c r="T185" s="19">
        <f t="shared" ca="1" si="42"/>
        <v>11.0365960405734</v>
      </c>
      <c r="U185" s="19">
        <f t="shared" ca="1" si="43"/>
        <v>-26.142344578669412</v>
      </c>
      <c r="V185" s="21"/>
      <c r="X185" s="22"/>
      <c r="Y185" s="22"/>
      <c r="Z185" s="22"/>
    </row>
    <row r="186" spans="7:26" x14ac:dyDescent="0.25">
      <c r="G186" s="19">
        <v>69</v>
      </c>
      <c r="H186" s="19">
        <f t="shared" ca="1" si="44"/>
        <v>0.38001606925904563</v>
      </c>
      <c r="I186" s="19">
        <f t="shared" ca="1" si="44"/>
        <v>0.94412814011275792</v>
      </c>
      <c r="J186" s="19">
        <f t="shared" ca="1" si="36"/>
        <v>1.3062326909918611</v>
      </c>
      <c r="K186" s="19">
        <f t="shared" ca="1" si="37"/>
        <v>-0.47837185979962055</v>
      </c>
      <c r="L186" s="19">
        <f t="array" aca="1" ref="L186:M186" ca="1">MMULT(J186:K186,TRANSPOSE($B$10:$C$11))</f>
        <v>1.3062326909918611</v>
      </c>
      <c r="M186" s="19">
        <f ca="1"/>
        <v>-1.2696217573507513</v>
      </c>
      <c r="N186" s="20">
        <f t="shared" ca="1" si="38"/>
        <v>2.2117839218095431E-2</v>
      </c>
      <c r="O186" s="20">
        <f t="shared" ca="1" si="39"/>
        <v>6.0473635702010198E-2</v>
      </c>
      <c r="P186" s="19">
        <f t="shared" ca="1" si="40"/>
        <v>0.32825505973768421</v>
      </c>
      <c r="Q186" s="19">
        <f ca="1">HCTrans(P186,Strike,RiskFreeRate,Dividend,Variance_T0*AnnualVarConvtr,(Simulation!G186)/250,0.5,Variance_Avg*AnnualVarConvtr,Lambda,SQRT(Simulation!N186),Rho,1,"Call")</f>
        <v>29.023356692573202</v>
      </c>
      <c r="R186" s="19">
        <f ca="1">BlackScholesImpliedVolatility(P186,Strike,RiskFreeRate,G186/250,Dividend,Q186,0.01,"call")</f>
        <v>0.75180287236760734</v>
      </c>
      <c r="S186" s="19">
        <f t="shared" ca="1" si="41"/>
        <v>0.55050445010581117</v>
      </c>
      <c r="T186" s="19">
        <f t="shared" ca="1" si="42"/>
        <v>11.0365960405734</v>
      </c>
      <c r="U186" s="19">
        <f t="shared" ca="1" si="43"/>
        <v>-26.142344578669412</v>
      </c>
      <c r="V186" s="21"/>
      <c r="X186" s="22"/>
      <c r="Y186" s="22"/>
      <c r="Z186" s="22"/>
    </row>
    <row r="187" spans="7:26" x14ac:dyDescent="0.25">
      <c r="G187" s="19">
        <v>68</v>
      </c>
      <c r="H187" s="19">
        <f t="shared" ca="1" si="44"/>
        <v>0.5476631116787013</v>
      </c>
      <c r="I187" s="19">
        <f t="shared" ca="1" si="44"/>
        <v>3.6892051652035018E-2</v>
      </c>
      <c r="J187" s="19">
        <f t="shared" ca="1" si="36"/>
        <v>1.0680065839143065</v>
      </c>
      <c r="K187" s="19">
        <f t="shared" ca="1" si="37"/>
        <v>0.25209485970403706</v>
      </c>
      <c r="L187" s="19">
        <f t="array" aca="1" ref="L187:M187" ca="1">MMULT(J187:K187,TRANSPOSE($B$10:$C$11))</f>
        <v>1.0680065839143065</v>
      </c>
      <c r="M187" s="19">
        <f ca="1"/>
        <v>-0.58936859745265524</v>
      </c>
      <c r="N187" s="20">
        <f t="shared" ca="1" si="38"/>
        <v>1.994091459637188E-2</v>
      </c>
      <c r="O187" s="20">
        <f t="shared" ca="1" si="39"/>
        <v>7.0474985977566351E-2</v>
      </c>
      <c r="P187" s="19">
        <f t="shared" ca="1" si="40"/>
        <v>0.31394876167809788</v>
      </c>
      <c r="Q187" s="19">
        <f ca="1">HCTrans(P187,Strike,RiskFreeRate,Dividend,Variance_T0*AnnualVarConvtr,(Simulation!G187)/250,0.5,Variance_Avg*AnnualVarConvtr,Lambda,SQRT(Simulation!N187),Rho,1,"Call")</f>
        <v>29.023356692573202</v>
      </c>
      <c r="R187" s="19">
        <f ca="1">BlackScholesImpliedVolatility(P187,Strike,RiskFreeRate,G187/250,Dividend,Q187,0.01,"call")</f>
        <v>0.75180287236760734</v>
      </c>
      <c r="S187" s="19">
        <f t="shared" ca="1" si="41"/>
        <v>0.55050445010581117</v>
      </c>
      <c r="T187" s="19">
        <f t="shared" ca="1" si="42"/>
        <v>11.0365960405734</v>
      </c>
      <c r="U187" s="19">
        <f t="shared" ca="1" si="43"/>
        <v>-26.142344578669412</v>
      </c>
      <c r="V187" s="21"/>
      <c r="X187" s="22"/>
      <c r="Y187" s="22"/>
      <c r="Z187" s="22"/>
    </row>
    <row r="188" spans="7:26" x14ac:dyDescent="0.25">
      <c r="G188" s="19">
        <v>67</v>
      </c>
      <c r="H188" s="19">
        <f t="shared" ca="1" si="44"/>
        <v>0.68843650273245249</v>
      </c>
      <c r="I188" s="19">
        <f t="shared" ca="1" si="44"/>
        <v>7.5821545072142227E-2</v>
      </c>
      <c r="J188" s="19">
        <f t="shared" ca="1" si="36"/>
        <v>0.76788122578664864</v>
      </c>
      <c r="K188" s="19">
        <f t="shared" ca="1" si="37"/>
        <v>0.39626103044417949</v>
      </c>
      <c r="L188" s="19">
        <f t="array" aca="1" ref="L188:M188" ca="1">MMULT(J188:K188,TRANSPOSE($B$10:$C$11))</f>
        <v>0.76788122578664864</v>
      </c>
      <c r="M188" s="19">
        <f ca="1"/>
        <v>-0.27376031863838074</v>
      </c>
      <c r="N188" s="20">
        <f t="shared" ca="1" si="38"/>
        <v>1.8935906278555893E-2</v>
      </c>
      <c r="O188" s="20">
        <f t="shared" ca="1" si="39"/>
        <v>7.7293089954058578E-2</v>
      </c>
      <c r="P188" s="19">
        <f t="shared" ca="1" si="40"/>
        <v>0.3003606767832781</v>
      </c>
      <c r="Q188" s="19">
        <f ca="1">HCTrans(P188,Strike,RiskFreeRate,Dividend,Variance_T0*AnnualVarConvtr,(Simulation!G188)/250,0.5,Variance_Avg*AnnualVarConvtr,Lambda,SQRT(Simulation!N188),Rho,1,"Call")</f>
        <v>29.023356692573202</v>
      </c>
      <c r="R188" s="19">
        <f ca="1">BlackScholesImpliedVolatility(P188,Strike,RiskFreeRate,G188/250,Dividend,Q188,0.01,"call")</f>
        <v>0.75180287236760734</v>
      </c>
      <c r="S188" s="19">
        <f t="shared" ca="1" si="41"/>
        <v>0.55050445010581117</v>
      </c>
      <c r="T188" s="19">
        <f t="shared" ca="1" si="42"/>
        <v>11.0365960405734</v>
      </c>
      <c r="U188" s="19">
        <f t="shared" ca="1" si="43"/>
        <v>-26.142344578669412</v>
      </c>
      <c r="V188" s="21"/>
      <c r="X188" s="22"/>
      <c r="Y188" s="22"/>
      <c r="Z188" s="22"/>
    </row>
    <row r="189" spans="7:26" x14ac:dyDescent="0.25">
      <c r="G189" s="19">
        <v>66</v>
      </c>
      <c r="H189" s="19">
        <f t="shared" ca="1" si="44"/>
        <v>0.84741319792423653</v>
      </c>
      <c r="I189" s="19">
        <f t="shared" ca="1" si="44"/>
        <v>0.68644358061801858</v>
      </c>
      <c r="J189" s="19">
        <f t="shared" ca="1" si="36"/>
        <v>-0.22373617225836459</v>
      </c>
      <c r="K189" s="19">
        <f t="shared" ca="1" si="37"/>
        <v>-0.53016587765128054</v>
      </c>
      <c r="L189" s="19">
        <f t="array" aca="1" ref="L189:M189" ca="1">MMULT(J189:K189,TRANSPOSE($B$10:$C$11))</f>
        <v>-0.22373617225836459</v>
      </c>
      <c r="M189" s="19">
        <f ca="1"/>
        <v>-0.20952990509376029</v>
      </c>
      <c r="N189" s="20">
        <f t="shared" ca="1" si="38"/>
        <v>1.8172480937992376E-2</v>
      </c>
      <c r="O189" s="20">
        <f t="shared" ca="1" si="39"/>
        <v>7.5308024031734658E-2</v>
      </c>
      <c r="P189" s="19">
        <f t="shared" ca="1" si="40"/>
        <v>0.28735084262532962</v>
      </c>
      <c r="Q189" s="19">
        <f ca="1">HCTrans(P189,Strike,RiskFreeRate,Dividend,Variance_T0*AnnualVarConvtr,(Simulation!G189)/250,0.5,Variance_Avg*AnnualVarConvtr,Lambda,SQRT(Simulation!N189),Rho,1,"Call")</f>
        <v>29.023356692573202</v>
      </c>
      <c r="R189" s="19">
        <f ca="1">BlackScholesImpliedVolatility(P189,Strike,RiskFreeRate,G189/250,Dividend,Q189,0.01,"call")</f>
        <v>0.75180287236760734</v>
      </c>
      <c r="S189" s="19">
        <f t="shared" ca="1" si="41"/>
        <v>0.55050445010581117</v>
      </c>
      <c r="T189" s="19">
        <f t="shared" ca="1" si="42"/>
        <v>11.0365960405734</v>
      </c>
      <c r="U189" s="19">
        <f t="shared" ca="1" si="43"/>
        <v>-26.142344578669412</v>
      </c>
      <c r="V189" s="21"/>
      <c r="X189" s="22"/>
      <c r="Y189" s="22"/>
      <c r="Z189" s="22"/>
    </row>
    <row r="190" spans="7:26" x14ac:dyDescent="0.25">
      <c r="G190" s="19">
        <v>65</v>
      </c>
      <c r="H190" s="19">
        <f t="shared" ca="1" si="44"/>
        <v>0.7487766377091466</v>
      </c>
      <c r="I190" s="19">
        <f t="shared" ca="1" si="44"/>
        <v>0.57805728169079107</v>
      </c>
      <c r="J190" s="19">
        <f t="shared" ca="1" si="36"/>
        <v>-0.6710095057792701</v>
      </c>
      <c r="K190" s="19">
        <f t="shared" ca="1" si="37"/>
        <v>-0.3582950614311235</v>
      </c>
      <c r="L190" s="19">
        <f t="array" aca="1" ref="L190:M190" ca="1">MMULT(J190:K190,TRANSPOSE($B$10:$C$11))</f>
        <v>-0.6710095057792701</v>
      </c>
      <c r="M190" s="19">
        <f ca="1"/>
        <v>0.23083630114670201</v>
      </c>
      <c r="N190" s="20">
        <f t="shared" ca="1" si="38"/>
        <v>1.8884527488683835E-2</v>
      </c>
      <c r="O190" s="20">
        <f t="shared" ca="1" si="39"/>
        <v>6.9550760327717356E-2</v>
      </c>
      <c r="P190" s="19">
        <f t="shared" ca="1" si="40"/>
        <v>0.27504903422342075</v>
      </c>
      <c r="Q190" s="19">
        <f ca="1">HCTrans(P190,Strike,RiskFreeRate,Dividend,Variance_T0*AnnualVarConvtr,(Simulation!G190)/250,0.5,Variance_Avg*AnnualVarConvtr,Lambda,SQRT(Simulation!N190),Rho,1,"Call")</f>
        <v>29.023356692573202</v>
      </c>
      <c r="R190" s="19">
        <f ca="1">BlackScholesImpliedVolatility(P190,Strike,RiskFreeRate,G190/250,Dividend,Q190,0.01,"call")</f>
        <v>0.75180287236760734</v>
      </c>
      <c r="S190" s="19">
        <f t="shared" ca="1" si="41"/>
        <v>0.55050445010581117</v>
      </c>
      <c r="T190" s="19">
        <f t="shared" ca="1" si="42"/>
        <v>11.0365960405734</v>
      </c>
      <c r="U190" s="19">
        <f t="shared" ca="1" si="43"/>
        <v>-26.142344578669412</v>
      </c>
      <c r="V190" s="21"/>
      <c r="X190" s="22"/>
      <c r="Y190" s="22"/>
      <c r="Z190" s="22"/>
    </row>
    <row r="191" spans="7:26" x14ac:dyDescent="0.25">
      <c r="G191" s="19">
        <v>64</v>
      </c>
      <c r="H191" s="19">
        <f t="shared" ca="1" si="44"/>
        <v>0.48449465850616025</v>
      </c>
      <c r="I191" s="19">
        <f t="shared" ca="1" si="44"/>
        <v>0.47520283725471202</v>
      </c>
      <c r="J191" s="19">
        <f t="shared" ca="1" si="36"/>
        <v>-1.1892852658942528</v>
      </c>
      <c r="K191" s="19">
        <f t="shared" ca="1" si="37"/>
        <v>0.18681087029717919</v>
      </c>
      <c r="L191" s="19">
        <f t="array" aca="1" ref="L191:M191" ca="1">MMULT(J191:K191,TRANSPOSE($B$10:$C$11))</f>
        <v>-1.1892852658942528</v>
      </c>
      <c r="M191" s="19">
        <f ca="1"/>
        <v>0.98243974465397277</v>
      </c>
      <c r="N191" s="20">
        <f t="shared" ca="1" si="38"/>
        <v>2.227727949275184E-2</v>
      </c>
      <c r="O191" s="20">
        <f t="shared" ca="1" si="39"/>
        <v>5.9176596316271854E-2</v>
      </c>
      <c r="P191" s="19">
        <f t="shared" ca="1" si="40"/>
        <v>0.26325902690815078</v>
      </c>
      <c r="Q191" s="19">
        <f ca="1">HCTrans(P191,Strike,RiskFreeRate,Dividend,Variance_T0*AnnualVarConvtr,(Simulation!G191)/250,0.5,Variance_Avg*AnnualVarConvtr,Lambda,SQRT(Simulation!N191),Rho,1,"Call")</f>
        <v>29.023356692573202</v>
      </c>
      <c r="R191" s="19">
        <f ca="1">BlackScholesImpliedVolatility(P191,Strike,RiskFreeRate,G191/250,Dividend,Q191,0.01,"call")</f>
        <v>0.75180287236760734</v>
      </c>
      <c r="S191" s="19">
        <f t="shared" ca="1" si="41"/>
        <v>0.55050445010581117</v>
      </c>
      <c r="T191" s="19">
        <f t="shared" ca="1" si="42"/>
        <v>11.0365960405734</v>
      </c>
      <c r="U191" s="19">
        <f t="shared" ca="1" si="43"/>
        <v>-26.142344578669412</v>
      </c>
      <c r="V191" s="21"/>
      <c r="X191" s="22"/>
      <c r="Y191" s="22"/>
      <c r="Z191" s="22"/>
    </row>
    <row r="192" spans="7:26" x14ac:dyDescent="0.25">
      <c r="G192" s="19">
        <v>63</v>
      </c>
      <c r="H192" s="19">
        <f t="shared" ca="1" si="44"/>
        <v>0.32160745038726446</v>
      </c>
      <c r="I192" s="19">
        <f t="shared" ca="1" si="44"/>
        <v>0.74618849496817841</v>
      </c>
      <c r="J192" s="19">
        <f t="shared" ca="1" si="36"/>
        <v>-3.6069279846654E-2</v>
      </c>
      <c r="K192" s="19">
        <f t="shared" ca="1" si="37"/>
        <v>-1.5058373609684903</v>
      </c>
      <c r="L192" s="19">
        <f t="array" aca="1" ref="L192:M192" ca="1">MMULT(J192:K192,TRANSPOSE($B$10:$C$11))</f>
        <v>-3.6069279846654E-2</v>
      </c>
      <c r="M192" s="19">
        <f ca="1"/>
        <v>-1.0246090656544484</v>
      </c>
      <c r="N192" s="20">
        <f t="shared" ca="1" si="38"/>
        <v>1.8604474609306552E-2</v>
      </c>
      <c r="O192" s="20">
        <f t="shared" ca="1" si="39"/>
        <v>5.8791556318330059E-2</v>
      </c>
      <c r="P192" s="19">
        <f t="shared" ca="1" si="40"/>
        <v>0.25240759156794618</v>
      </c>
      <c r="Q192" s="19">
        <f ca="1">HCTrans(P192,Strike,RiskFreeRate,Dividend,Variance_T0*AnnualVarConvtr,(Simulation!G192)/250,0.5,Variance_Avg*AnnualVarConvtr,Lambda,SQRT(Simulation!N192),Rho,1,"Call")</f>
        <v>29.023356692573202</v>
      </c>
      <c r="R192" s="19">
        <f ca="1">BlackScholesImpliedVolatility(P192,Strike,RiskFreeRate,G192/250,Dividend,Q192,0.01,"call")</f>
        <v>0.75180287236760734</v>
      </c>
      <c r="S192" s="19">
        <f t="shared" ca="1" si="41"/>
        <v>0.55050445010581117</v>
      </c>
      <c r="T192" s="19">
        <f t="shared" ca="1" si="42"/>
        <v>11.0365960405734</v>
      </c>
      <c r="U192" s="19">
        <f t="shared" ca="1" si="43"/>
        <v>-26.142344578669412</v>
      </c>
      <c r="V192" s="21"/>
      <c r="X192" s="22"/>
      <c r="Y192" s="22"/>
      <c r="Z192" s="22"/>
    </row>
    <row r="193" spans="7:26" x14ac:dyDescent="0.25">
      <c r="G193" s="19">
        <v>62</v>
      </c>
      <c r="H193" s="19">
        <f t="shared" ca="1" si="44"/>
        <v>0.58083822285291942</v>
      </c>
      <c r="I193" s="19">
        <f t="shared" ca="1" si="44"/>
        <v>2.4646451147645076E-2</v>
      </c>
      <c r="J193" s="19">
        <f t="shared" ca="1" si="36"/>
        <v>1.0299109801266952</v>
      </c>
      <c r="K193" s="19">
        <f t="shared" ca="1" si="37"/>
        <v>0.1607774452281131</v>
      </c>
      <c r="L193" s="19">
        <f t="array" aca="1" ref="L193:M193" ca="1">MMULT(J193:K193,TRANSPOSE($B$10:$C$11))</f>
        <v>1.0299109801266952</v>
      </c>
      <c r="M193" s="19">
        <f ca="1"/>
        <v>-0.6257749468915057</v>
      </c>
      <c r="N193" s="20">
        <f t="shared" ca="1" si="38"/>
        <v>1.6509140580803539E-2</v>
      </c>
      <c r="O193" s="20">
        <f t="shared" ca="1" si="39"/>
        <v>6.7638957783625206E-2</v>
      </c>
      <c r="P193" s="19">
        <f t="shared" ca="1" si="40"/>
        <v>0.24199730166997574</v>
      </c>
      <c r="Q193" s="19">
        <f ca="1">HCTrans(P193,Strike,RiskFreeRate,Dividend,Variance_T0*AnnualVarConvtr,(Simulation!G193)/250,0.5,Variance_Avg*AnnualVarConvtr,Lambda,SQRT(Simulation!N193),Rho,1,"Call")</f>
        <v>29.023356692573202</v>
      </c>
      <c r="R193" s="19">
        <f ca="1">BlackScholesImpliedVolatility(P193,Strike,RiskFreeRate,G193/250,Dividend,Q193,0.01,"call")</f>
        <v>0.75180287236760734</v>
      </c>
      <c r="S193" s="19">
        <f t="shared" ca="1" si="41"/>
        <v>0.55050445010581117</v>
      </c>
      <c r="T193" s="19">
        <f t="shared" ca="1" si="42"/>
        <v>11.0365960405734</v>
      </c>
      <c r="U193" s="19">
        <f t="shared" ca="1" si="43"/>
        <v>-26.142344578669412</v>
      </c>
      <c r="V193" s="21"/>
      <c r="X193" s="22"/>
      <c r="Y193" s="22"/>
      <c r="Z193" s="22"/>
    </row>
    <row r="194" spans="7:26" x14ac:dyDescent="0.25">
      <c r="G194" s="19">
        <v>61</v>
      </c>
      <c r="H194" s="19">
        <f t="shared" ca="1" si="44"/>
        <v>0.85525857453904885</v>
      </c>
      <c r="I194" s="19">
        <f t="shared" ca="1" si="44"/>
        <v>0.98950227910806499</v>
      </c>
      <c r="J194" s="19">
        <f t="shared" ca="1" si="36"/>
        <v>0.55798242228176209</v>
      </c>
      <c r="K194" s="19">
        <f t="shared" ca="1" si="37"/>
        <v>-3.6857499042634252E-2</v>
      </c>
      <c r="L194" s="19">
        <f t="array" aca="1" ref="L194:M194" ca="1">MMULT(J194:K194,TRANSPOSE($B$10:$C$11))</f>
        <v>0.55798242228176209</v>
      </c>
      <c r="M194" s="19">
        <f ca="1"/>
        <v>-0.42550572111598961</v>
      </c>
      <c r="N194" s="20">
        <f t="shared" ca="1" si="38"/>
        <v>1.5145605990577174E-2</v>
      </c>
      <c r="O194" s="20">
        <f t="shared" ca="1" si="39"/>
        <v>7.2140265559328176E-2</v>
      </c>
      <c r="P194" s="19">
        <f t="shared" ca="1" si="40"/>
        <v>0.23203834177851079</v>
      </c>
      <c r="Q194" s="19">
        <f ca="1">HCTrans(P194,Strike,RiskFreeRate,Dividend,Variance_T0*AnnualVarConvtr,(Simulation!G194)/250,0.5,Variance_Avg*AnnualVarConvtr,Lambda,SQRT(Simulation!N194),Rho,1,"Call")</f>
        <v>29.023356692573202</v>
      </c>
      <c r="R194" s="19">
        <f ca="1">BlackScholesImpliedVolatility(P194,Strike,RiskFreeRate,G194/250,Dividend,Q194,0.01,"call")</f>
        <v>0.75180287236760734</v>
      </c>
      <c r="S194" s="19">
        <f t="shared" ca="1" si="41"/>
        <v>0.55050445010581117</v>
      </c>
      <c r="T194" s="19">
        <f t="shared" ca="1" si="42"/>
        <v>11.0365960405734</v>
      </c>
      <c r="U194" s="19">
        <f t="shared" ca="1" si="43"/>
        <v>-26.142344578669412</v>
      </c>
      <c r="V194" s="21"/>
      <c r="X194" s="22"/>
      <c r="Y194" s="22"/>
      <c r="Z194" s="22"/>
    </row>
    <row r="195" spans="7:26" x14ac:dyDescent="0.25">
      <c r="G195" s="19">
        <v>60</v>
      </c>
      <c r="H195" s="19">
        <f t="shared" ca="1" si="44"/>
        <v>5.9017721857147265E-2</v>
      </c>
      <c r="I195" s="19">
        <f t="shared" ca="1" si="44"/>
        <v>0.4185566725852784</v>
      </c>
      <c r="J195" s="19">
        <f t="shared" ca="1" si="36"/>
        <v>-2.0742900059559606</v>
      </c>
      <c r="K195" s="19">
        <f t="shared" ca="1" si="37"/>
        <v>1.1649703818673502</v>
      </c>
      <c r="L195" s="19">
        <f t="array" aca="1" ref="L195:M195" ca="1">MMULT(J195:K195,TRANSPOSE($B$10:$C$11))</f>
        <v>-2.0742900059559606</v>
      </c>
      <c r="M195" s="19">
        <f ca="1"/>
        <v>2.2988970894480314</v>
      </c>
      <c r="N195" s="20">
        <f t="shared" ca="1" si="38"/>
        <v>2.283432251957334E-2</v>
      </c>
      <c r="O195" s="20">
        <f t="shared" ca="1" si="39"/>
        <v>5.5964797820067178E-2</v>
      </c>
      <c r="P195" s="19">
        <f t="shared" ca="1" si="40"/>
        <v>0.2222600042832229</v>
      </c>
      <c r="Q195" s="19">
        <f ca="1">HCTrans(P195,Strike,RiskFreeRate,Dividend,Variance_T0*AnnualVarConvtr,(Simulation!G195)/250,0.5,Variance_Avg*AnnualVarConvtr,Lambda,SQRT(Simulation!N195),Rho,1,"Call")</f>
        <v>29.023356692573202</v>
      </c>
      <c r="R195" s="19">
        <f ca="1">BlackScholesImpliedVolatility(P195,Strike,RiskFreeRate,G195/250,Dividend,Q195,0.01,"call")</f>
        <v>0.75180287236760734</v>
      </c>
      <c r="S195" s="19">
        <f t="shared" ca="1" si="41"/>
        <v>0.55050445010581117</v>
      </c>
      <c r="T195" s="19">
        <f t="shared" ca="1" si="42"/>
        <v>11.0365960405734</v>
      </c>
      <c r="U195" s="19">
        <f t="shared" ca="1" si="43"/>
        <v>-26.142344578669412</v>
      </c>
      <c r="V195" s="21"/>
      <c r="X195" s="22"/>
      <c r="Y195" s="22"/>
      <c r="Z195" s="22"/>
    </row>
    <row r="196" spans="7:26" x14ac:dyDescent="0.25">
      <c r="G196" s="19">
        <v>59</v>
      </c>
      <c r="H196" s="19">
        <f t="shared" ca="1" si="44"/>
        <v>0.42983156608604678</v>
      </c>
      <c r="I196" s="19">
        <f t="shared" ca="1" si="44"/>
        <v>0.41331522104993001</v>
      </c>
      <c r="J196" s="19">
        <f t="shared" ca="1" si="36"/>
        <v>-1.1114769591775471</v>
      </c>
      <c r="K196" s="19">
        <f t="shared" ca="1" si="37"/>
        <v>0.67330726777158745</v>
      </c>
      <c r="L196" s="19">
        <f t="array" aca="1" ref="L196:M196" ca="1">MMULT(J196:K196,TRANSPOSE($B$10:$C$11))</f>
        <v>-1.1114769591775471</v>
      </c>
      <c r="M196" s="19">
        <f ca="1"/>
        <v>1.2660636997515491</v>
      </c>
      <c r="N196" s="20">
        <f t="shared" ca="1" si="38"/>
        <v>2.7682668830872219E-2</v>
      </c>
      <c r="O196" s="20">
        <f t="shared" ca="1" si="39"/>
        <v>4.5296683337754565E-2</v>
      </c>
      <c r="P196" s="19">
        <f t="shared" ca="1" si="40"/>
        <v>0.21286097431090564</v>
      </c>
      <c r="Q196" s="19">
        <f ca="1">HCTrans(P196,Strike,RiskFreeRate,Dividend,Variance_T0*AnnualVarConvtr,(Simulation!G196)/250,0.5,Variance_Avg*AnnualVarConvtr,Lambda,SQRT(Simulation!N196),Rho,1,"Call")</f>
        <v>29.023356692573202</v>
      </c>
      <c r="R196" s="19">
        <f ca="1">BlackScholesImpliedVolatility(P196,Strike,RiskFreeRate,G196/250,Dividend,Q196,0.01,"call")</f>
        <v>0.75180287236760734</v>
      </c>
      <c r="S196" s="19">
        <f t="shared" ca="1" si="41"/>
        <v>0.55050445010581117</v>
      </c>
      <c r="T196" s="19">
        <f t="shared" ca="1" si="42"/>
        <v>11.0365960405734</v>
      </c>
      <c r="U196" s="19">
        <f t="shared" ca="1" si="43"/>
        <v>-26.142344578669412</v>
      </c>
      <c r="V196" s="21"/>
      <c r="X196" s="22"/>
      <c r="Y196" s="22"/>
      <c r="Z196" s="22"/>
    </row>
    <row r="197" spans="7:26" x14ac:dyDescent="0.25">
      <c r="G197" s="19">
        <v>58</v>
      </c>
      <c r="H197" s="19">
        <f t="shared" ca="1" si="44"/>
        <v>0.87507429806534487</v>
      </c>
      <c r="I197" s="19">
        <f t="shared" ca="1" si="44"/>
        <v>0.86111085675990628</v>
      </c>
      <c r="J197" s="19">
        <f t="shared" ca="1" si="36"/>
        <v>0.33207427680270923</v>
      </c>
      <c r="K197" s="19">
        <f t="shared" ca="1" si="37"/>
        <v>-0.39575199683045881</v>
      </c>
      <c r="L197" s="19">
        <f t="array" aca="1" ref="L197:M197" ca="1">MMULT(J197:K197,TRANSPOSE($B$10:$C$11))</f>
        <v>0.33207427680270923</v>
      </c>
      <c r="M197" s="19">
        <f ca="1"/>
        <v>-0.5140027036889061</v>
      </c>
      <c r="N197" s="20">
        <f t="shared" ca="1" si="38"/>
        <v>2.5515996417253516E-2</v>
      </c>
      <c r="O197" s="20">
        <f t="shared" ca="1" si="39"/>
        <v>4.873569058786744E-2</v>
      </c>
      <c r="P197" s="19">
        <f t="shared" ca="1" si="40"/>
        <v>0.20482361476284489</v>
      </c>
      <c r="Q197" s="19">
        <f ca="1">HCTrans(P197,Strike,RiskFreeRate,Dividend,Variance_T0*AnnualVarConvtr,(Simulation!G197)/250,0.5,Variance_Avg*AnnualVarConvtr,Lambda,SQRT(Simulation!N197),Rho,1,"Call")</f>
        <v>29.023356692573202</v>
      </c>
      <c r="R197" s="19">
        <f ca="1">BlackScholesImpliedVolatility(P197,Strike,RiskFreeRate,G197/250,Dividend,Q197,0.01,"call")</f>
        <v>0.75180287236760734</v>
      </c>
      <c r="S197" s="19">
        <f t="shared" ca="1" si="41"/>
        <v>0.55050445010581117</v>
      </c>
      <c r="T197" s="19">
        <f t="shared" ca="1" si="42"/>
        <v>11.0365960405734</v>
      </c>
      <c r="U197" s="19">
        <f t="shared" ca="1" si="43"/>
        <v>-26.142344578669412</v>
      </c>
      <c r="V197" s="21"/>
      <c r="X197" s="22"/>
      <c r="Y197" s="22"/>
      <c r="Z197" s="22"/>
    </row>
    <row r="198" spans="7:26" x14ac:dyDescent="0.25">
      <c r="G198" s="19">
        <v>57</v>
      </c>
      <c r="H198" s="19">
        <f t="shared" ca="1" si="44"/>
        <v>0.48565861822048184</v>
      </c>
      <c r="I198" s="19">
        <f t="shared" ca="1" si="44"/>
        <v>7.0034786576854025E-2</v>
      </c>
      <c r="J198" s="19">
        <f t="shared" ref="J198:J254" ca="1" si="45">SQRT(-2*LN(H198))*COS(2*PI()*I198)</f>
        <v>1.0873753129462798</v>
      </c>
      <c r="K198" s="19">
        <f t="shared" ref="K198:K254" ca="1" si="46">SQRT(-2*LN(H198))*SIN(2*PI()*I198)</f>
        <v>0.51197030762521811</v>
      </c>
      <c r="L198" s="19">
        <f t="array" aca="1" ref="L198:M198" ca="1">MMULT(J198:K198,TRANSPOSE($B$10:$C$11))</f>
        <v>1.0873753129462798</v>
      </c>
      <c r="M198" s="19">
        <f ca="1"/>
        <v>-0.42196053397883043</v>
      </c>
      <c r="N198" s="20">
        <f t="shared" ref="N198:N254" ca="1" si="47">GetVariance(N197,Variance_Avg,Lambda,Eta,M198,"Daily")</f>
        <v>2.3792107679276593E-2</v>
      </c>
      <c r="O198" s="20">
        <f t="shared" ref="O198:O254" ca="1" si="48">GetStockReturns(O197,RiskFreeRate,N197,L198,"Daily")</f>
        <v>5.967005494485688E-2</v>
      </c>
      <c r="P198" s="19">
        <f t="shared" ca="1" si="40"/>
        <v>0.19711607911770851</v>
      </c>
      <c r="Q198" s="19">
        <f ca="1">HCTrans(P198,Strike,RiskFreeRate,Dividend,Variance_T0*AnnualVarConvtr,(Simulation!G198)/250,0.5,Variance_Avg*AnnualVarConvtr,Lambda,SQRT(Simulation!N198),Rho,1,"Call")</f>
        <v>29.023356692573202</v>
      </c>
      <c r="R198" s="19">
        <f ca="1">BlackScholesImpliedVolatility(P198,Strike,RiskFreeRate,G198/250,Dividend,Q198,0.01,"call")</f>
        <v>0.75180287236760734</v>
      </c>
      <c r="S198" s="19">
        <f t="shared" ca="1" si="41"/>
        <v>0.55050445010581117</v>
      </c>
      <c r="T198" s="19">
        <f t="shared" ca="1" si="42"/>
        <v>11.0365960405734</v>
      </c>
      <c r="U198" s="19">
        <f t="shared" ca="1" si="43"/>
        <v>-26.142344578669412</v>
      </c>
      <c r="V198" s="21"/>
      <c r="X198" s="22"/>
      <c r="Y198" s="22"/>
      <c r="Z198" s="22"/>
    </row>
    <row r="199" spans="7:26" x14ac:dyDescent="0.25">
      <c r="G199" s="19">
        <v>56</v>
      </c>
      <c r="H199" s="19">
        <f t="shared" ca="1" si="44"/>
        <v>0.8928414485210211</v>
      </c>
      <c r="I199" s="19">
        <f t="shared" ca="1" si="44"/>
        <v>0.11246662080308112</v>
      </c>
      <c r="J199" s="19">
        <f t="shared" ca="1" si="45"/>
        <v>0.36211114584834697</v>
      </c>
      <c r="K199" s="19">
        <f t="shared" ca="1" si="46"/>
        <v>0.30914081627681239</v>
      </c>
      <c r="L199" s="19">
        <f t="array" aca="1" ref="L199:M199" ca="1">MMULT(J199:K199,TRANSPOSE($B$10:$C$11))</f>
        <v>0.36211114584834697</v>
      </c>
      <c r="M199" s="19">
        <f ca="1"/>
        <v>-4.3799993160256734E-2</v>
      </c>
      <c r="N199" s="20">
        <f t="shared" ca="1" si="47"/>
        <v>2.3537961029647995E-2</v>
      </c>
      <c r="O199" s="20">
        <f t="shared" ca="1" si="48"/>
        <v>6.3155020966302738E-2</v>
      </c>
      <c r="P199" s="19">
        <f t="shared" ref="P199:P254" ca="1" si="49">P198*EXP(O199)</f>
        <v>0.18980053788318657</v>
      </c>
      <c r="Q199" s="19">
        <f ca="1">HCTrans(P199,Strike,RiskFreeRate,Dividend,Variance_T0*AnnualVarConvtr,(Simulation!G199)/250,0.5,Variance_Avg*AnnualVarConvtr,Lambda,SQRT(Simulation!N199),Rho,1,"Call")</f>
        <v>29.023356692573202</v>
      </c>
      <c r="R199" s="19">
        <f ca="1">BlackScholesImpliedVolatility(P199,Strike,RiskFreeRate,G199/250,Dividend,Q199,0.01,"call")</f>
        <v>0.75180287236760734</v>
      </c>
      <c r="S199" s="19">
        <f t="shared" ca="1" si="41"/>
        <v>0.55050445010581117</v>
      </c>
      <c r="T199" s="19">
        <f t="shared" ca="1" si="42"/>
        <v>11.0365960405734</v>
      </c>
      <c r="U199" s="19">
        <f t="shared" ca="1" si="43"/>
        <v>-26.142344578669412</v>
      </c>
      <c r="V199" s="21"/>
      <c r="X199" s="22"/>
      <c r="Y199" s="22"/>
      <c r="Z199" s="22"/>
    </row>
    <row r="200" spans="7:26" x14ac:dyDescent="0.25">
      <c r="G200" s="19">
        <v>55</v>
      </c>
      <c r="H200" s="19">
        <f t="shared" ca="1" si="44"/>
        <v>8.7750372759915596E-2</v>
      </c>
      <c r="I200" s="19">
        <f t="shared" ca="1" si="44"/>
        <v>0.40403525848242561</v>
      </c>
      <c r="J200" s="19">
        <f t="shared" ca="1" si="45"/>
        <v>-1.817005465524181</v>
      </c>
      <c r="K200" s="19">
        <f t="shared" ca="1" si="46"/>
        <v>1.2510033875226443</v>
      </c>
      <c r="L200" s="19">
        <f t="array" aca="1" ref="L200:M200" ca="1">MMULT(J200:K200,TRANSPOSE($B$10:$C$11))</f>
        <v>-1.817005465524181</v>
      </c>
      <c r="M200" s="19">
        <f ca="1"/>
        <v>2.1745682304027167</v>
      </c>
      <c r="N200" s="20">
        <f t="shared" ca="1" si="47"/>
        <v>3.234188100295271E-2</v>
      </c>
      <c r="O200" s="20">
        <f t="shared" ca="1" si="48"/>
        <v>4.5477200655331743E-2</v>
      </c>
      <c r="P200" s="19">
        <f t="shared" ca="1" si="49"/>
        <v>0.18279907347471722</v>
      </c>
      <c r="Q200" s="19">
        <f ca="1">HCTrans(P200,Strike,RiskFreeRate,Dividend,Variance_T0*AnnualVarConvtr,(Simulation!G200)/250,0.5,Variance_Avg*AnnualVarConvtr,Lambda,SQRT(Simulation!N200),Rho,1,"Call")</f>
        <v>29.023356692573202</v>
      </c>
      <c r="R200" s="19">
        <f ca="1">BlackScholesImpliedVolatility(P200,Strike,RiskFreeRate,G200/250,Dividend,Q200,0.01,"call")</f>
        <v>0.75180287236760734</v>
      </c>
      <c r="S200" s="19">
        <f t="shared" ca="1" si="41"/>
        <v>0.55050445010581117</v>
      </c>
      <c r="T200" s="19">
        <f t="shared" ca="1" si="42"/>
        <v>11.0365960405734</v>
      </c>
      <c r="U200" s="19">
        <f t="shared" ca="1" si="43"/>
        <v>-26.142344578669412</v>
      </c>
      <c r="V200" s="21"/>
      <c r="X200" s="22"/>
      <c r="Y200" s="22"/>
      <c r="Z200" s="22"/>
    </row>
    <row r="201" spans="7:26" x14ac:dyDescent="0.25">
      <c r="G201" s="19">
        <v>54</v>
      </c>
      <c r="H201" s="19">
        <f t="shared" ca="1" si="44"/>
        <v>0.47400045673266389</v>
      </c>
      <c r="I201" s="19">
        <f t="shared" ca="1" si="44"/>
        <v>2.2096634923157388E-2</v>
      </c>
      <c r="J201" s="19">
        <f t="shared" ca="1" si="45"/>
        <v>1.2101644022272688</v>
      </c>
      <c r="K201" s="19">
        <f t="shared" ca="1" si="46"/>
        <v>0.16910383500951387</v>
      </c>
      <c r="L201" s="19">
        <f t="array" aca="1" ref="L201:M201" ca="1">MMULT(J201:K201,TRANSPOSE($B$10:$C$11))</f>
        <v>1.2101644022272688</v>
      </c>
      <c r="M201" s="19">
        <f ca="1"/>
        <v>-0.74911814179762137</v>
      </c>
      <c r="N201" s="20">
        <f t="shared" ca="1" si="47"/>
        <v>2.8988751174952209E-2</v>
      </c>
      <c r="O201" s="20">
        <f t="shared" ca="1" si="48"/>
        <v>5.9176908078926178E-2</v>
      </c>
      <c r="P201" s="19">
        <f t="shared" ca="1" si="49"/>
        <v>0.17603994506359069</v>
      </c>
      <c r="Q201" s="19">
        <f ca="1">HCTrans(P201,Strike,RiskFreeRate,Dividend,Variance_T0*AnnualVarConvtr,(Simulation!G201)/250,0.5,Variance_Avg*AnnualVarConvtr,Lambda,SQRT(Simulation!N201),Rho,1,"Call")</f>
        <v>29.023356692573202</v>
      </c>
      <c r="R201" s="19">
        <f ca="1">BlackScholesImpliedVolatility(P201,Strike,RiskFreeRate,G201/250,Dividend,Q201,0.01,"call")</f>
        <v>0.75180287236760734</v>
      </c>
      <c r="S201" s="19">
        <f t="shared" ref="S201:S254" ca="1" si="50">BSdelta(1,P201,Strike,R201/AnnualVarConvtr,Dividend,RiskFreeRate,G201/250)</f>
        <v>0.55050445010581117</v>
      </c>
      <c r="T201" s="19">
        <f t="shared" ref="T201:T254" ca="1" si="51">(S201-S200)*P201</f>
        <v>11.0365960405734</v>
      </c>
      <c r="U201" s="19">
        <f t="shared" ref="U201:U254" ca="1" si="52">(Q201-Q200)+U200-T201</f>
        <v>-26.142344578669412</v>
      </c>
      <c r="V201" s="21"/>
      <c r="X201" s="22"/>
      <c r="Y201" s="22"/>
      <c r="Z201" s="22"/>
    </row>
    <row r="202" spans="7:26" x14ac:dyDescent="0.25">
      <c r="G202" s="19">
        <v>53</v>
      </c>
      <c r="H202" s="19">
        <f t="shared" ca="1" si="44"/>
        <v>0.79970137810787767</v>
      </c>
      <c r="I202" s="19">
        <f t="shared" ca="1" si="44"/>
        <v>1.6940385685643156E-2</v>
      </c>
      <c r="J202" s="19">
        <f t="shared" ca="1" si="45"/>
        <v>0.66482198845571638</v>
      </c>
      <c r="K202" s="19">
        <f t="shared" ca="1" si="46"/>
        <v>7.1031826635584105E-2</v>
      </c>
      <c r="L202" s="19">
        <f t="array" aca="1" ref="L202:M202" ca="1">MMULT(J202:K202,TRANSPOSE($B$10:$C$11))</f>
        <v>0.66482198845571638</v>
      </c>
      <c r="M202" s="19">
        <f ca="1"/>
        <v>-0.42679406939345044</v>
      </c>
      <c r="N202" s="20">
        <f t="shared" ca="1" si="47"/>
        <v>2.7118006994128318E-2</v>
      </c>
      <c r="O202" s="20">
        <f t="shared" ca="1" si="48"/>
        <v>6.6277893676047736E-2</v>
      </c>
      <c r="P202" s="19">
        <f t="shared" ca="1" si="49"/>
        <v>0.16992786562939333</v>
      </c>
      <c r="Q202" s="19">
        <f ca="1">HCTrans(P202,Strike,RiskFreeRate,Dividend,Variance_T0*AnnualVarConvtr,(Simulation!G202)/250,0.5,Variance_Avg*AnnualVarConvtr,Lambda,SQRT(Simulation!N202),Rho,1,"Call")</f>
        <v>29.023356692573202</v>
      </c>
      <c r="R202" s="19">
        <f ca="1">BlackScholesImpliedVolatility(P202,Strike,RiskFreeRate,G202/250,Dividend,Q202,0.01,"call")</f>
        <v>0.75180287236760734</v>
      </c>
      <c r="S202" s="19">
        <f t="shared" ca="1" si="50"/>
        <v>0.55050445010581117</v>
      </c>
      <c r="T202" s="19">
        <f t="shared" ca="1" si="51"/>
        <v>11.0365960405734</v>
      </c>
      <c r="U202" s="19">
        <f t="shared" ca="1" si="52"/>
        <v>-26.142344578669412</v>
      </c>
      <c r="V202" s="21"/>
      <c r="X202" s="22"/>
      <c r="Y202" s="22"/>
      <c r="Z202" s="22"/>
    </row>
    <row r="203" spans="7:26" x14ac:dyDescent="0.25">
      <c r="G203" s="19">
        <v>52</v>
      </c>
      <c r="H203" s="19">
        <f t="shared" ca="1" si="44"/>
        <v>0.30090124150862352</v>
      </c>
      <c r="I203" s="19">
        <f t="shared" ca="1" si="44"/>
        <v>0.79231643988819356</v>
      </c>
      <c r="J203" s="19">
        <f t="shared" ca="1" si="45"/>
        <v>0.40723170358345051</v>
      </c>
      <c r="K203" s="19">
        <f t="shared" ca="1" si="46"/>
        <v>-1.4953623903046269</v>
      </c>
      <c r="L203" s="19">
        <f t="array" aca="1" ref="L203:M203" ca="1">MMULT(J203:K203,TRANSPOSE($B$10:$C$11))</f>
        <v>0.40723170358345051</v>
      </c>
      <c r="M203" s="19">
        <f ca="1"/>
        <v>-1.3349270159648734</v>
      </c>
      <c r="N203" s="20">
        <f t="shared" ca="1" si="47"/>
        <v>2.1889168559045758E-2</v>
      </c>
      <c r="O203" s="20">
        <f t="shared" ca="1" si="48"/>
        <v>7.0464972003020987E-2</v>
      </c>
      <c r="P203" s="19">
        <f t="shared" ca="1" si="49"/>
        <v>0.16419996322768757</v>
      </c>
      <c r="Q203" s="19">
        <f ca="1">HCTrans(P203,Strike,RiskFreeRate,Dividend,Variance_T0*AnnualVarConvtr,(Simulation!G203)/250,0.5,Variance_Avg*AnnualVarConvtr,Lambda,SQRT(Simulation!N203),Rho,1,"Call")</f>
        <v>29.023356692573202</v>
      </c>
      <c r="R203" s="19">
        <f ca="1">BlackScholesImpliedVolatility(P203,Strike,RiskFreeRate,G203/250,Dividend,Q203,0.01,"call")</f>
        <v>0.75180287236760734</v>
      </c>
      <c r="S203" s="19">
        <f t="shared" ca="1" si="50"/>
        <v>0.55050445010581117</v>
      </c>
      <c r="T203" s="19">
        <f t="shared" ca="1" si="51"/>
        <v>11.0365960405734</v>
      </c>
      <c r="U203" s="19">
        <f t="shared" ca="1" si="52"/>
        <v>-26.142344578669412</v>
      </c>
      <c r="V203" s="21"/>
      <c r="X203" s="22"/>
      <c r="Y203" s="22"/>
      <c r="Z203" s="22"/>
    </row>
    <row r="204" spans="7:26" x14ac:dyDescent="0.25">
      <c r="G204" s="19">
        <v>51</v>
      </c>
      <c r="H204" s="19">
        <f t="shared" ca="1" si="44"/>
        <v>0.78327691937905097</v>
      </c>
      <c r="I204" s="19">
        <f t="shared" ca="1" si="44"/>
        <v>0.65134717038650181</v>
      </c>
      <c r="J204" s="19">
        <f t="shared" ca="1" si="45"/>
        <v>-0.40603432342726459</v>
      </c>
      <c r="K204" s="19">
        <f t="shared" ca="1" si="46"/>
        <v>-0.5689236240813148</v>
      </c>
      <c r="L204" s="19">
        <f t="array" aca="1" ref="L204:M204" ca="1">MMULT(J204:K204,TRANSPOSE($B$10:$C$11))</f>
        <v>-0.40603432342726459</v>
      </c>
      <c r="M204" s="19">
        <f ca="1"/>
        <v>-0.10595018338014761</v>
      </c>
      <c r="N204" s="20">
        <f t="shared" ca="1" si="47"/>
        <v>2.1427804696778179E-2</v>
      </c>
      <c r="O204" s="20">
        <f t="shared" ca="1" si="48"/>
        <v>6.6621860524863644E-2</v>
      </c>
      <c r="P204" s="19">
        <f t="shared" ca="1" si="49"/>
        <v>0.15862540642922124</v>
      </c>
      <c r="Q204" s="19">
        <f ca="1">HCTrans(P204,Strike,RiskFreeRate,Dividend,Variance_T0*AnnualVarConvtr,(Simulation!G204)/250,0.5,Variance_Avg*AnnualVarConvtr,Lambda,SQRT(Simulation!N204),Rho,1,"Call")</f>
        <v>29.023356692573202</v>
      </c>
      <c r="R204" s="19">
        <f ca="1">BlackScholesImpliedVolatility(P204,Strike,RiskFreeRate,G204/250,Dividend,Q204,0.01,"call")</f>
        <v>0.75180287236760734</v>
      </c>
      <c r="S204" s="19">
        <f t="shared" ca="1" si="50"/>
        <v>0.55050445010581117</v>
      </c>
      <c r="T204" s="19">
        <f t="shared" ca="1" si="51"/>
        <v>11.0365960405734</v>
      </c>
      <c r="U204" s="19">
        <f t="shared" ca="1" si="52"/>
        <v>-26.142344578669412</v>
      </c>
      <c r="V204" s="21"/>
      <c r="X204" s="22"/>
      <c r="Y204" s="22"/>
      <c r="Z204" s="22"/>
    </row>
    <row r="205" spans="7:26" x14ac:dyDescent="0.25">
      <c r="G205" s="19">
        <v>50</v>
      </c>
      <c r="H205" s="19">
        <f t="shared" ca="1" si="44"/>
        <v>0.51742194931680274</v>
      </c>
      <c r="I205" s="19">
        <f t="shared" ca="1" si="44"/>
        <v>0.4645708290162931</v>
      </c>
      <c r="J205" s="19">
        <f t="shared" ca="1" si="45"/>
        <v>-1.1196259962797968</v>
      </c>
      <c r="K205" s="19">
        <f t="shared" ca="1" si="46"/>
        <v>0.2534379688245002</v>
      </c>
      <c r="L205" s="19">
        <f t="array" aca="1" ref="L205:M205" ca="1">MMULT(J205:K205,TRANSPOSE($B$10:$C$11))</f>
        <v>-1.1196259962797968</v>
      </c>
      <c r="M205" s="19">
        <f ca="1"/>
        <v>0.97900708184111185</v>
      </c>
      <c r="N205" s="20">
        <f t="shared" ca="1" si="47"/>
        <v>2.5009618978830497E-2</v>
      </c>
      <c r="O205" s="20">
        <f t="shared" ca="1" si="48"/>
        <v>5.6213467848302244E-2</v>
      </c>
      <c r="P205" s="19">
        <f t="shared" ca="1" si="49"/>
        <v>0.15315559249080307</v>
      </c>
      <c r="Q205" s="19">
        <f ca="1">HCTrans(P205,Strike,RiskFreeRate,Dividend,Variance_T0*AnnualVarConvtr,(Simulation!G205)/250,0.5,Variance_Avg*AnnualVarConvtr,Lambda,SQRT(Simulation!N205),Rho,1,"Call")</f>
        <v>29.023356692573202</v>
      </c>
      <c r="R205" s="19">
        <f ca="1">BlackScholesImpliedVolatility(P205,Strike,RiskFreeRate,G205/250,Dividend,Q205,0.01,"call")</f>
        <v>0.75180287236760734</v>
      </c>
      <c r="S205" s="19">
        <f t="shared" ca="1" si="50"/>
        <v>0.55050445010581117</v>
      </c>
      <c r="T205" s="19">
        <f t="shared" ca="1" si="51"/>
        <v>11.0365960405734</v>
      </c>
      <c r="U205" s="19">
        <f t="shared" ca="1" si="52"/>
        <v>-26.142344578669412</v>
      </c>
      <c r="V205" s="21"/>
      <c r="X205" s="22"/>
      <c r="Y205" s="22"/>
      <c r="Z205" s="22"/>
    </row>
    <row r="206" spans="7:26" x14ac:dyDescent="0.25">
      <c r="G206" s="19">
        <v>49</v>
      </c>
      <c r="H206" s="19">
        <f t="shared" ca="1" si="44"/>
        <v>9.1616843794407377E-2</v>
      </c>
      <c r="I206" s="19">
        <f t="shared" ca="1" si="44"/>
        <v>0.20264058078982727</v>
      </c>
      <c r="J206" s="19">
        <f t="shared" ca="1" si="45"/>
        <v>0.64103931734879727</v>
      </c>
      <c r="K206" s="19">
        <f t="shared" ca="1" si="46"/>
        <v>2.09029875223364</v>
      </c>
      <c r="L206" s="19">
        <f t="array" aca="1" ref="L206:M206" ca="1">MMULT(J206:K206,TRANSPOSE($B$10:$C$11))</f>
        <v>0.64103931734879727</v>
      </c>
      <c r="M206" s="19">
        <f ca="1"/>
        <v>0.99886075571558808</v>
      </c>
      <c r="N206" s="20">
        <f t="shared" ca="1" si="47"/>
        <v>2.8937686263397461E-2</v>
      </c>
      <c r="O206" s="20">
        <f t="shared" ca="1" si="48"/>
        <v>6.2575074893955973E-2</v>
      </c>
      <c r="P206" s="19">
        <f t="shared" ca="1" si="49"/>
        <v>0.14780868807171638</v>
      </c>
      <c r="Q206" s="19">
        <f ca="1">HCTrans(P206,Strike,RiskFreeRate,Dividend,Variance_T0*AnnualVarConvtr,(Simulation!G206)/250,0.5,Variance_Avg*AnnualVarConvtr,Lambda,SQRT(Simulation!N206),Rho,1,"Call")</f>
        <v>29.023356692573202</v>
      </c>
      <c r="R206" s="19">
        <f ca="1">BlackScholesImpliedVolatility(P206,Strike,RiskFreeRate,G206/250,Dividend,Q206,0.01,"call")</f>
        <v>0.75180287236760734</v>
      </c>
      <c r="S206" s="19">
        <f t="shared" ca="1" si="50"/>
        <v>0.55050445010581117</v>
      </c>
      <c r="T206" s="19">
        <f t="shared" ca="1" si="51"/>
        <v>11.0365960405734</v>
      </c>
      <c r="U206" s="19">
        <f t="shared" ca="1" si="52"/>
        <v>-26.142344578669412</v>
      </c>
      <c r="V206" s="21"/>
      <c r="X206" s="22"/>
      <c r="Y206" s="22"/>
      <c r="Z206" s="22"/>
    </row>
    <row r="207" spans="7:26" x14ac:dyDescent="0.25">
      <c r="G207" s="19">
        <v>48</v>
      </c>
      <c r="H207" s="19">
        <f t="shared" ca="1" si="44"/>
        <v>0.98453319913661785</v>
      </c>
      <c r="I207" s="19">
        <f t="shared" ca="1" si="44"/>
        <v>0.44717219794711749</v>
      </c>
      <c r="J207" s="19">
        <f t="shared" ca="1" si="45"/>
        <v>-0.16692773262610719</v>
      </c>
      <c r="K207" s="19">
        <f t="shared" ca="1" si="46"/>
        <v>5.7536522084226646E-2</v>
      </c>
      <c r="L207" s="19">
        <f t="array" aca="1" ref="L207:M207" ca="1">MMULT(J207:K207,TRANSPOSE($B$10:$C$11))</f>
        <v>-0.16692773262610719</v>
      </c>
      <c r="M207" s="19">
        <f ca="1"/>
        <v>0.15974045551298788</v>
      </c>
      <c r="N207" s="20">
        <f t="shared" ca="1" si="47"/>
        <v>2.9491772787816943E-2</v>
      </c>
      <c r="O207" s="20">
        <f t="shared" ca="1" si="48"/>
        <v>6.0721265440644379E-2</v>
      </c>
      <c r="P207" s="19">
        <f t="shared" ca="1" si="49"/>
        <v>0.14236808339147622</v>
      </c>
      <c r="Q207" s="19">
        <f ca="1">HCTrans(P207,Strike,RiskFreeRate,Dividend,Variance_T0*AnnualVarConvtr,(Simulation!G207)/250,0.5,Variance_Avg*AnnualVarConvtr,Lambda,SQRT(Simulation!N207),Rho,1,"Call")</f>
        <v>29.023356692573202</v>
      </c>
      <c r="R207" s="19">
        <f ca="1">BlackScholesImpliedVolatility(P207,Strike,RiskFreeRate,G207/250,Dividend,Q207,0.01,"call")</f>
        <v>0.75180287236760734</v>
      </c>
      <c r="S207" s="19">
        <f t="shared" ca="1" si="50"/>
        <v>0.55050445010581117</v>
      </c>
      <c r="T207" s="19">
        <f t="shared" ca="1" si="51"/>
        <v>11.0365960405734</v>
      </c>
      <c r="U207" s="19">
        <f t="shared" ca="1" si="52"/>
        <v>-26.142344578669412</v>
      </c>
      <c r="V207" s="21"/>
      <c r="X207" s="22"/>
      <c r="Y207" s="22"/>
      <c r="Z207" s="22"/>
    </row>
    <row r="208" spans="7:26" x14ac:dyDescent="0.25">
      <c r="G208" s="19">
        <v>47</v>
      </c>
      <c r="H208" s="19">
        <f t="shared" ca="1" si="44"/>
        <v>6.5309075603181554E-4</v>
      </c>
      <c r="I208" s="19">
        <f t="shared" ca="1" si="44"/>
        <v>0.34721070162474765</v>
      </c>
      <c r="J208" s="19">
        <f t="shared" ca="1" si="45"/>
        <v>-2.1964724792352284</v>
      </c>
      <c r="K208" s="19">
        <f t="shared" ca="1" si="46"/>
        <v>3.1373711221730991</v>
      </c>
      <c r="L208" s="19">
        <f t="array" aca="1" ref="L208:M208" ca="1">MMULT(J208:K208,TRANSPOSE($B$10:$C$11))</f>
        <v>-2.1964724792352284</v>
      </c>
      <c r="M208" s="19">
        <f ca="1"/>
        <v>3.7623621269334366</v>
      </c>
      <c r="N208" s="20">
        <f t="shared" ca="1" si="47"/>
        <v>4.7343472342139828E-2</v>
      </c>
      <c r="O208" s="20">
        <f t="shared" ca="1" si="48"/>
        <v>3.6805810842452005E-2</v>
      </c>
      <c r="P208" s="19">
        <f t="shared" ca="1" si="49"/>
        <v>0.13689241620741452</v>
      </c>
      <c r="Q208" s="19">
        <f ca="1">HCTrans(P208,Strike,RiskFreeRate,Dividend,Variance_T0*AnnualVarConvtr,(Simulation!G208)/250,0.5,Variance_Avg*AnnualVarConvtr,Lambda,SQRT(Simulation!N208),Rho,1,"Call")</f>
        <v>29.023356692573202</v>
      </c>
      <c r="R208" s="19">
        <f ca="1">BlackScholesImpliedVolatility(P208,Strike,RiskFreeRate,G208/250,Dividend,Q208,0.01,"call")</f>
        <v>0.75180287236760734</v>
      </c>
      <c r="S208" s="19">
        <f t="shared" ca="1" si="50"/>
        <v>0.55050445010581117</v>
      </c>
      <c r="T208" s="19">
        <f t="shared" ca="1" si="51"/>
        <v>11.0365960405734</v>
      </c>
      <c r="U208" s="19">
        <f t="shared" ca="1" si="52"/>
        <v>-26.142344578669412</v>
      </c>
      <c r="V208" s="21"/>
      <c r="X208" s="22"/>
      <c r="Y208" s="22"/>
      <c r="Z208" s="22"/>
    </row>
    <row r="209" spans="7:26" x14ac:dyDescent="0.25">
      <c r="G209" s="19">
        <v>46</v>
      </c>
      <c r="H209" s="19">
        <f t="shared" ca="1" si="44"/>
        <v>0.49206524484224667</v>
      </c>
      <c r="I209" s="19">
        <f t="shared" ca="1" si="44"/>
        <v>0.10231175629038636</v>
      </c>
      <c r="J209" s="19">
        <f t="shared" ca="1" si="45"/>
        <v>0.95320468071152142</v>
      </c>
      <c r="K209" s="19">
        <f t="shared" ca="1" si="46"/>
        <v>0.71392489541799109</v>
      </c>
      <c r="L209" s="19">
        <f t="array" aca="1" ref="L209:M209" ca="1">MMULT(J209:K209,TRANSPOSE($B$10:$C$11))</f>
        <v>0.95320468071152142</v>
      </c>
      <c r="M209" s="19">
        <f ca="1"/>
        <v>-0.184946362502105</v>
      </c>
      <c r="N209" s="20">
        <f t="shared" ca="1" si="47"/>
        <v>4.6148250212708367E-2</v>
      </c>
      <c r="O209" s="20">
        <f t="shared" ca="1" si="48"/>
        <v>4.9828477191663868E-2</v>
      </c>
      <c r="P209" s="19">
        <f t="shared" ca="1" si="49"/>
        <v>0.1320957300913059</v>
      </c>
      <c r="Q209" s="19">
        <f ca="1">HCTrans(P209,Strike,RiskFreeRate,Dividend,Variance_T0*AnnualVarConvtr,(Simulation!G209)/250,0.5,Variance_Avg*AnnualVarConvtr,Lambda,SQRT(Simulation!N209),Rho,1,"Call")</f>
        <v>29.023356692573202</v>
      </c>
      <c r="R209" s="19">
        <f ca="1">BlackScholesImpliedVolatility(P209,Strike,RiskFreeRate,G209/250,Dividend,Q209,0.01,"call")</f>
        <v>0.75180287236760734</v>
      </c>
      <c r="S209" s="19">
        <f t="shared" ca="1" si="50"/>
        <v>0.55050445010581117</v>
      </c>
      <c r="T209" s="19">
        <f t="shared" ca="1" si="51"/>
        <v>11.0365960405734</v>
      </c>
      <c r="U209" s="19">
        <f t="shared" ca="1" si="52"/>
        <v>-26.142344578669412</v>
      </c>
      <c r="V209" s="21"/>
      <c r="X209" s="22"/>
      <c r="Y209" s="22"/>
      <c r="Z209" s="22"/>
    </row>
    <row r="210" spans="7:26" x14ac:dyDescent="0.25">
      <c r="G210" s="19">
        <v>45</v>
      </c>
      <c r="H210" s="19">
        <f t="shared" ca="1" si="44"/>
        <v>0.36493868895406301</v>
      </c>
      <c r="I210" s="19">
        <f t="shared" ca="1" si="44"/>
        <v>6.7690022678518758E-2</v>
      </c>
      <c r="J210" s="19">
        <f t="shared" ca="1" si="45"/>
        <v>1.2933823686704353</v>
      </c>
      <c r="K210" s="19">
        <f t="shared" ca="1" si="46"/>
        <v>0.58584458550651863</v>
      </c>
      <c r="L210" s="19">
        <f t="array" aca="1" ref="L210:M210" ca="1">MMULT(J210:K210,TRANSPOSE($B$10:$C$11))</f>
        <v>1.2933823686704353</v>
      </c>
      <c r="M210" s="19">
        <f ca="1"/>
        <v>-0.51803084677335098</v>
      </c>
      <c r="N210" s="20">
        <f t="shared" ca="1" si="47"/>
        <v>4.3252576832607859E-2</v>
      </c>
      <c r="O210" s="20">
        <f t="shared" ca="1" si="48"/>
        <v>6.7308721128543081E-2</v>
      </c>
      <c r="P210" s="19">
        <f t="shared" ca="1" si="49"/>
        <v>0.12762252193326501</v>
      </c>
      <c r="Q210" s="19">
        <f ca="1">HCTrans(P210,Strike,RiskFreeRate,Dividend,Variance_T0*AnnualVarConvtr,(Simulation!G210)/250,0.5,Variance_Avg*AnnualVarConvtr,Lambda,SQRT(Simulation!N210),Rho,1,"Call")</f>
        <v>29.023356692573202</v>
      </c>
      <c r="R210" s="19">
        <f ca="1">BlackScholesImpliedVolatility(P210,Strike,RiskFreeRate,G210/250,Dividend,Q210,0.01,"call")</f>
        <v>0.75180287236760734</v>
      </c>
      <c r="S210" s="19">
        <f t="shared" ca="1" si="50"/>
        <v>0.55050445010581117</v>
      </c>
      <c r="T210" s="19">
        <f t="shared" ca="1" si="51"/>
        <v>11.0365960405734</v>
      </c>
      <c r="U210" s="19">
        <f t="shared" ca="1" si="52"/>
        <v>-26.142344578669412</v>
      </c>
      <c r="V210" s="21"/>
      <c r="X210" s="22"/>
      <c r="Y210" s="22"/>
      <c r="Z210" s="22"/>
    </row>
    <row r="211" spans="7:26" x14ac:dyDescent="0.25">
      <c r="G211" s="19">
        <v>44</v>
      </c>
      <c r="H211" s="19">
        <f t="shared" ca="1" si="44"/>
        <v>0.19800200657086431</v>
      </c>
      <c r="I211" s="19">
        <f t="shared" ca="1" si="44"/>
        <v>0.16893878465367174</v>
      </c>
      <c r="J211" s="19">
        <f t="shared" ca="1" si="45"/>
        <v>0.87751336616228182</v>
      </c>
      <c r="K211" s="19">
        <f t="shared" ca="1" si="46"/>
        <v>1.5712818081082327</v>
      </c>
      <c r="L211" s="19">
        <f t="array" aca="1" ref="L211:M211" ca="1">MMULT(J211:K211,TRANSPOSE($B$10:$C$11))</f>
        <v>0.87751336616228182</v>
      </c>
      <c r="M211" s="19">
        <f ca="1"/>
        <v>0.46736757933367123</v>
      </c>
      <c r="N211" s="20">
        <f t="shared" ca="1" si="47"/>
        <v>4.5476834311499931E-2</v>
      </c>
      <c r="O211" s="20">
        <f t="shared" ca="1" si="48"/>
        <v>7.8764446105962088E-2</v>
      </c>
      <c r="P211" s="19">
        <f t="shared" ca="1" si="49"/>
        <v>0.12324401092118435</v>
      </c>
      <c r="Q211" s="19">
        <f ca="1">HCTrans(P211,Strike,RiskFreeRate,Dividend,Variance_T0*AnnualVarConvtr,(Simulation!G211)/250,0.5,Variance_Avg*AnnualVarConvtr,Lambda,SQRT(Simulation!N211),Rho,1,"Call")</f>
        <v>29.023356692573202</v>
      </c>
      <c r="R211" s="19">
        <f ca="1">BlackScholesImpliedVolatility(P211,Strike,RiskFreeRate,G211/250,Dividend,Q211,0.01,"call")</f>
        <v>0.75180287236760734</v>
      </c>
      <c r="S211" s="19">
        <f t="shared" ca="1" si="50"/>
        <v>0.55050445010581117</v>
      </c>
      <c r="T211" s="19">
        <f t="shared" ca="1" si="51"/>
        <v>11.0365960405734</v>
      </c>
      <c r="U211" s="19">
        <f t="shared" ca="1" si="52"/>
        <v>-26.142344578669412</v>
      </c>
      <c r="V211" s="21"/>
      <c r="X211" s="22"/>
      <c r="Y211" s="22"/>
      <c r="Z211" s="22"/>
    </row>
    <row r="212" spans="7:26" x14ac:dyDescent="0.25">
      <c r="G212" s="19">
        <v>43</v>
      </c>
      <c r="H212" s="19">
        <f t="shared" ca="1" si="44"/>
        <v>0.21673716659801412</v>
      </c>
      <c r="I212" s="19">
        <f t="shared" ca="1" si="44"/>
        <v>0.36333997306157639</v>
      </c>
      <c r="J212" s="19">
        <f t="shared" ca="1" si="45"/>
        <v>-1.1427269704379486</v>
      </c>
      <c r="K212" s="19">
        <f t="shared" ca="1" si="46"/>
        <v>1.3237502852916643</v>
      </c>
      <c r="L212" s="19">
        <f t="array" aca="1" ref="L212:M212" ca="1">MMULT(J212:K212,TRANSPOSE($B$10:$C$11))</f>
        <v>-1.1427269704379486</v>
      </c>
      <c r="M212" s="19">
        <f ca="1"/>
        <v>1.742194985491911</v>
      </c>
      <c r="N212" s="20">
        <f t="shared" ca="1" si="47"/>
        <v>5.4839320197496558E-2</v>
      </c>
      <c r="O212" s="20">
        <f t="shared" ca="1" si="48"/>
        <v>6.3261187751222053E-2</v>
      </c>
      <c r="P212" s="19">
        <f t="shared" ca="1" si="49"/>
        <v>0.11896052853663086</v>
      </c>
      <c r="Q212" s="19">
        <f ca="1">HCTrans(P212,Strike,RiskFreeRate,Dividend,Variance_T0*AnnualVarConvtr,(Simulation!G212)/250,0.5,Variance_Avg*AnnualVarConvtr,Lambda,SQRT(Simulation!N212),Rho,1,"Call")</f>
        <v>29.023356692573202</v>
      </c>
      <c r="R212" s="19">
        <f ca="1">BlackScholesImpliedVolatility(P212,Strike,RiskFreeRate,G212/250,Dividend,Q212,0.01,"call")</f>
        <v>0.75180287236760734</v>
      </c>
      <c r="S212" s="19">
        <f t="shared" ca="1" si="50"/>
        <v>0.55050445010581117</v>
      </c>
      <c r="T212" s="19">
        <f t="shared" ca="1" si="51"/>
        <v>11.0365960405734</v>
      </c>
      <c r="U212" s="19">
        <f t="shared" ca="1" si="52"/>
        <v>-26.142344578669412</v>
      </c>
      <c r="V212" s="21"/>
      <c r="X212" s="22"/>
      <c r="Y212" s="22"/>
      <c r="Z212" s="22"/>
    </row>
    <row r="213" spans="7:26" x14ac:dyDescent="0.25">
      <c r="G213" s="19">
        <v>42</v>
      </c>
      <c r="H213" s="19">
        <f t="shared" ca="1" si="44"/>
        <v>0.11763512176298885</v>
      </c>
      <c r="I213" s="19">
        <f t="shared" ca="1" si="44"/>
        <v>0.83890476723624974</v>
      </c>
      <c r="J213" s="19">
        <f t="shared" ca="1" si="45"/>
        <v>1.0965234737583944</v>
      </c>
      <c r="K213" s="19">
        <f t="shared" ca="1" si="46"/>
        <v>-1.7544148707801126</v>
      </c>
      <c r="L213" s="19">
        <f t="array" aca="1" ref="L213:M213" ca="1">MMULT(J213:K213,TRANSPOSE($B$10:$C$11))</f>
        <v>1.0965234737583944</v>
      </c>
      <c r="M213" s="19">
        <f ca="1"/>
        <v>-2.0095162356537468</v>
      </c>
      <c r="N213" s="20">
        <f t="shared" ca="1" si="47"/>
        <v>4.3654065770920257E-2</v>
      </c>
      <c r="O213" s="20">
        <f t="shared" ca="1" si="48"/>
        <v>7.9391805844722232E-2</v>
      </c>
      <c r="P213" s="19">
        <f t="shared" ca="1" si="49"/>
        <v>0.11452295654625956</v>
      </c>
      <c r="Q213" s="19">
        <f ca="1">HCTrans(P213,Strike,RiskFreeRate,Dividend,Variance_T0*AnnualVarConvtr,(Simulation!G213)/250,0.5,Variance_Avg*AnnualVarConvtr,Lambda,SQRT(Simulation!N213),Rho,1,"Call")</f>
        <v>29.023356692573202</v>
      </c>
      <c r="R213" s="19">
        <f ca="1">BlackScholesImpliedVolatility(P213,Strike,RiskFreeRate,G213/250,Dividend,Q213,0.01,"call")</f>
        <v>0.75180287236760734</v>
      </c>
      <c r="S213" s="19">
        <f t="shared" ca="1" si="50"/>
        <v>0.55050445010581117</v>
      </c>
      <c r="T213" s="19">
        <f t="shared" ca="1" si="51"/>
        <v>11.0365960405734</v>
      </c>
      <c r="U213" s="19">
        <f t="shared" ca="1" si="52"/>
        <v>-26.142344578669412</v>
      </c>
      <c r="V213" s="21"/>
      <c r="X213" s="22"/>
      <c r="Y213" s="22"/>
      <c r="Z213" s="22"/>
    </row>
    <row r="214" spans="7:26" x14ac:dyDescent="0.25">
      <c r="G214" s="19">
        <v>41</v>
      </c>
      <c r="H214" s="19">
        <f t="shared" ca="1" si="44"/>
        <v>0.70162742869706007</v>
      </c>
      <c r="I214" s="19">
        <f t="shared" ca="1" si="44"/>
        <v>0.75599935960609266</v>
      </c>
      <c r="J214" s="19">
        <f t="shared" ca="1" si="45"/>
        <v>3.17259625007957E-2</v>
      </c>
      <c r="K214" s="19">
        <f t="shared" ca="1" si="46"/>
        <v>-0.84124844825525047</v>
      </c>
      <c r="L214" s="19">
        <f t="array" aca="1" ref="L214:M214" ca="1">MMULT(J214:K214,TRANSPOSE($B$10:$C$11))</f>
        <v>3.17259625007957E-2</v>
      </c>
      <c r="M214" s="19">
        <f ca="1"/>
        <v>-0.60957571024195545</v>
      </c>
      <c r="N214" s="20">
        <f t="shared" ca="1" si="47"/>
        <v>4.0392895555173253E-2</v>
      </c>
      <c r="O214" s="20">
        <f t="shared" ca="1" si="48"/>
        <v>7.9723732345119619E-2</v>
      </c>
      <c r="P214" s="19">
        <f t="shared" ca="1" si="49"/>
        <v>0.11005112006170567</v>
      </c>
      <c r="Q214" s="19">
        <f ca="1">HCTrans(P214,Strike,RiskFreeRate,Dividend,Variance_T0*AnnualVarConvtr,(Simulation!G214)/250,0.5,Variance_Avg*AnnualVarConvtr,Lambda,SQRT(Simulation!N214),Rho,1,"Call")</f>
        <v>29.023356692573202</v>
      </c>
      <c r="R214" s="19">
        <f ca="1">BlackScholesImpliedVolatility(P214,Strike,RiskFreeRate,G214/250,Dividend,Q214,0.01,"call")</f>
        <v>0.75180287236760734</v>
      </c>
      <c r="S214" s="19">
        <f t="shared" ca="1" si="50"/>
        <v>0.55050445010581117</v>
      </c>
      <c r="T214" s="19">
        <f t="shared" ca="1" si="51"/>
        <v>11.0365960405734</v>
      </c>
      <c r="U214" s="19">
        <f t="shared" ca="1" si="52"/>
        <v>-26.142344578669412</v>
      </c>
      <c r="V214" s="21"/>
      <c r="X214" s="22"/>
      <c r="Y214" s="22"/>
      <c r="Z214" s="22"/>
    </row>
    <row r="215" spans="7:26" x14ac:dyDescent="0.25">
      <c r="G215" s="19">
        <v>40</v>
      </c>
      <c r="H215" s="19">
        <f t="shared" ca="1" si="44"/>
        <v>0.43848326662027937</v>
      </c>
      <c r="I215" s="19">
        <f t="shared" ca="1" si="44"/>
        <v>0.44831666538060533</v>
      </c>
      <c r="J215" s="19">
        <f t="shared" ca="1" si="45"/>
        <v>-1.2169697041729628</v>
      </c>
      <c r="K215" s="19">
        <f t="shared" ca="1" si="46"/>
        <v>0.40969744437008321</v>
      </c>
      <c r="L215" s="19">
        <f t="array" aca="1" ref="L215:M215" ca="1">MMULT(J215:K215,TRANSPOSE($B$10:$C$11))</f>
        <v>-1.2169697041729628</v>
      </c>
      <c r="M215" s="19">
        <f ca="1"/>
        <v>1.1577584415862519</v>
      </c>
      <c r="N215" s="20">
        <f t="shared" ca="1" si="47"/>
        <v>4.6123127196469195E-2</v>
      </c>
      <c r="O215" s="20">
        <f t="shared" ca="1" si="48"/>
        <v>6.4173945972441679E-2</v>
      </c>
      <c r="P215" s="19">
        <f t="shared" ca="1" si="49"/>
        <v>0.10593464735686953</v>
      </c>
      <c r="Q215" s="19">
        <f ca="1">HCTrans(P215,Strike,RiskFreeRate,Dividend,Variance_T0*AnnualVarConvtr,(Simulation!G215)/250,0.5,Variance_Avg*AnnualVarConvtr,Lambda,SQRT(Simulation!N215),Rho,1,"Call")</f>
        <v>29.023356692573202</v>
      </c>
      <c r="R215" s="19">
        <f ca="1">BlackScholesImpliedVolatility(P215,Strike,RiskFreeRate,G215/250,Dividend,Q215,0.01,"call")</f>
        <v>0.75180287236760734</v>
      </c>
      <c r="S215" s="19">
        <f t="shared" ca="1" si="50"/>
        <v>0.55050445010581117</v>
      </c>
      <c r="T215" s="19">
        <f t="shared" ca="1" si="51"/>
        <v>11.0365960405734</v>
      </c>
      <c r="U215" s="19">
        <f t="shared" ca="1" si="52"/>
        <v>-26.142344578669412</v>
      </c>
      <c r="V215" s="21"/>
      <c r="X215" s="22"/>
      <c r="Y215" s="22"/>
      <c r="Z215" s="22"/>
    </row>
    <row r="216" spans="7:26" x14ac:dyDescent="0.25">
      <c r="G216" s="19">
        <v>39</v>
      </c>
      <c r="H216" s="19">
        <f t="shared" ca="1" si="44"/>
        <v>0.156726388418714</v>
      </c>
      <c r="I216" s="19">
        <f t="shared" ca="1" si="44"/>
        <v>0.55778461797758239</v>
      </c>
      <c r="J216" s="19">
        <f t="shared" ca="1" si="45"/>
        <v>-1.7997243080683156</v>
      </c>
      <c r="K216" s="19">
        <f t="shared" ca="1" si="46"/>
        <v>-0.68373964399731946</v>
      </c>
      <c r="L216" s="19">
        <f t="array" aca="1" ref="L216:M216" ca="1">MMULT(J216:K216,TRANSPOSE($B$10:$C$11))</f>
        <v>-1.7997243080683156</v>
      </c>
      <c r="M216" s="19">
        <f ca="1"/>
        <v>0.81253451724307024</v>
      </c>
      <c r="N216" s="20">
        <f t="shared" ca="1" si="47"/>
        <v>5.0294057109388196E-2</v>
      </c>
      <c r="O216" s="20">
        <f t="shared" ca="1" si="48"/>
        <v>3.9636400878747889E-2</v>
      </c>
      <c r="P216" s="19">
        <f t="shared" ca="1" si="49"/>
        <v>0.10162963325050865</v>
      </c>
      <c r="Q216" s="19">
        <f ca="1">HCTrans(P216,Strike,RiskFreeRate,Dividend,Variance_T0*AnnualVarConvtr,(Simulation!G216)/250,0.5,Variance_Avg*AnnualVarConvtr,Lambda,SQRT(Simulation!N216),Rho,1,"Call")</f>
        <v>29.023356692573202</v>
      </c>
      <c r="R216" s="19">
        <f ca="1">BlackScholesImpliedVolatility(P216,Strike,RiskFreeRate,G216/250,Dividend,Q216,0.01,"call")</f>
        <v>0.75180287236760734</v>
      </c>
      <c r="S216" s="19">
        <f t="shared" ca="1" si="50"/>
        <v>0.55050445010581117</v>
      </c>
      <c r="T216" s="19">
        <f t="shared" ca="1" si="51"/>
        <v>11.0365960405734</v>
      </c>
      <c r="U216" s="19">
        <f t="shared" ca="1" si="52"/>
        <v>-26.142344578669412</v>
      </c>
      <c r="V216" s="21"/>
      <c r="X216" s="22"/>
      <c r="Y216" s="22"/>
      <c r="Z216" s="22"/>
    </row>
    <row r="217" spans="7:26" x14ac:dyDescent="0.25">
      <c r="G217" s="19">
        <v>38</v>
      </c>
      <c r="H217" s="19">
        <f t="shared" ca="1" si="44"/>
        <v>0.22373258383189598</v>
      </c>
      <c r="I217" s="19">
        <f t="shared" ca="1" si="44"/>
        <v>2.3357931622533079E-2</v>
      </c>
      <c r="J217" s="19">
        <f t="shared" ca="1" si="45"/>
        <v>1.7118901851416699</v>
      </c>
      <c r="K217" s="19">
        <f t="shared" ca="1" si="46"/>
        <v>0.25306030699142845</v>
      </c>
      <c r="L217" s="19">
        <f t="array" aca="1" ref="L217:M217" ca="1">MMULT(J217:K217,TRANSPOSE($B$10:$C$11))</f>
        <v>1.7118901851416699</v>
      </c>
      <c r="M217" s="19">
        <f ca="1"/>
        <v>-1.0500377141670105</v>
      </c>
      <c r="N217" s="20">
        <f t="shared" ca="1" si="47"/>
        <v>4.4456356674093526E-2</v>
      </c>
      <c r="O217" s="20">
        <f t="shared" ca="1" si="48"/>
        <v>6.3816682160489746E-2</v>
      </c>
      <c r="P217" s="19">
        <f t="shared" ca="1" si="49"/>
        <v>9.7617130014518591E-2</v>
      </c>
      <c r="Q217" s="19">
        <f ca="1">HCTrans(P217,Strike,RiskFreeRate,Dividend,Variance_T0*AnnualVarConvtr,(Simulation!G217)/250,0.5,Variance_Avg*AnnualVarConvtr,Lambda,SQRT(Simulation!N217),Rho,1,"Call")</f>
        <v>29.023356692573202</v>
      </c>
      <c r="R217" s="19">
        <f ca="1">BlackScholesImpliedVolatility(P217,Strike,RiskFreeRate,G217/250,Dividend,Q217,0.01,"call")</f>
        <v>0.75180287236760734</v>
      </c>
      <c r="S217" s="19">
        <f t="shared" ca="1" si="50"/>
        <v>0.55050445010581117</v>
      </c>
      <c r="T217" s="19">
        <f t="shared" ca="1" si="51"/>
        <v>11.0365960405734</v>
      </c>
      <c r="U217" s="19">
        <f t="shared" ca="1" si="52"/>
        <v>-26.142344578669412</v>
      </c>
      <c r="V217" s="21"/>
      <c r="X217" s="22"/>
      <c r="Y217" s="22"/>
      <c r="Z217" s="22"/>
    </row>
    <row r="218" spans="7:26" x14ac:dyDescent="0.25">
      <c r="G218" s="19">
        <v>37</v>
      </c>
      <c r="H218" s="19">
        <f t="shared" ca="1" si="44"/>
        <v>0.72272914333616878</v>
      </c>
      <c r="I218" s="19">
        <f t="shared" ca="1" si="44"/>
        <v>0.67559286090549697</v>
      </c>
      <c r="J218" s="19">
        <f t="shared" ca="1" si="45"/>
        <v>-0.36318428003010167</v>
      </c>
      <c r="K218" s="19">
        <f t="shared" ca="1" si="46"/>
        <v>-0.7194016197383859</v>
      </c>
      <c r="L218" s="19">
        <f t="array" aca="1" ref="L218:M218" ca="1">MMULT(J218:K218,TRANSPOSE($B$10:$C$11))</f>
        <v>-0.36318428003010167</v>
      </c>
      <c r="M218" s="19">
        <f ca="1"/>
        <v>-0.24162374677485104</v>
      </c>
      <c r="N218" s="20">
        <f t="shared" ca="1" si="47"/>
        <v>4.301761024174211E-2</v>
      </c>
      <c r="O218" s="20">
        <f t="shared" ca="1" si="48"/>
        <v>5.888466347336916E-2</v>
      </c>
      <c r="P218" s="19">
        <f t="shared" ca="1" si="49"/>
        <v>9.3010648977609897E-2</v>
      </c>
      <c r="Q218" s="19">
        <f ca="1">HCTrans(P218,Strike,RiskFreeRate,Dividend,Variance_T0*AnnualVarConvtr,(Simulation!G218)/250,0.5,Variance_Avg*AnnualVarConvtr,Lambda,SQRT(Simulation!N218),Rho,1,"Call")</f>
        <v>29.023356692573202</v>
      </c>
      <c r="R218" s="19">
        <f ca="1">BlackScholesImpliedVolatility(P218,Strike,RiskFreeRate,G218/250,Dividend,Q218,0.01,"call")</f>
        <v>0.75180287236760734</v>
      </c>
      <c r="S218" s="19">
        <f t="shared" ca="1" si="50"/>
        <v>0.55050445010581117</v>
      </c>
      <c r="T218" s="19">
        <f t="shared" ca="1" si="51"/>
        <v>11.0365960405734</v>
      </c>
      <c r="U218" s="19">
        <f t="shared" ca="1" si="52"/>
        <v>-26.142344578669412</v>
      </c>
      <c r="V218" s="21"/>
      <c r="X218" s="22"/>
      <c r="Y218" s="22"/>
      <c r="Z218" s="22"/>
    </row>
    <row r="219" spans="7:26" x14ac:dyDescent="0.25">
      <c r="G219" s="19">
        <v>36</v>
      </c>
      <c r="H219" s="19">
        <f t="shared" ca="1" si="44"/>
        <v>0.72704552226955932</v>
      </c>
      <c r="I219" s="19">
        <f t="shared" ca="1" si="44"/>
        <v>0.21393415955613404</v>
      </c>
      <c r="J219" s="19">
        <f t="shared" ca="1" si="45"/>
        <v>0.1793922715660814</v>
      </c>
      <c r="K219" s="19">
        <f t="shared" ca="1" si="46"/>
        <v>0.77804292074186521</v>
      </c>
      <c r="L219" s="19">
        <f t="array" aca="1" ref="L219:M219" ca="1">MMULT(J219:K219,TRANSPOSE($B$10:$C$11))</f>
        <v>0.1793922715660814</v>
      </c>
      <c r="M219" s="19">
        <f ca="1"/>
        <v>0.41421813543855551</v>
      </c>
      <c r="N219" s="20">
        <f t="shared" ca="1" si="47"/>
        <v>4.4959286820589701E-2</v>
      </c>
      <c r="O219" s="20">
        <f t="shared" ca="1" si="48"/>
        <v>6.1151817553156185E-2</v>
      </c>
      <c r="P219" s="19">
        <f t="shared" ca="1" si="49"/>
        <v>8.876135959772255E-2</v>
      </c>
      <c r="Q219" s="19">
        <f ca="1">HCTrans(P219,Strike,RiskFreeRate,Dividend,Variance_T0*AnnualVarConvtr,(Simulation!G219)/250,0.5,Variance_Avg*AnnualVarConvtr,Lambda,SQRT(Simulation!N219),Rho,1,"Call")</f>
        <v>29.023356692573202</v>
      </c>
      <c r="R219" s="19">
        <f ca="1">BlackScholesImpliedVolatility(P219,Strike,RiskFreeRate,G219/250,Dividend,Q219,0.01,"call")</f>
        <v>0.75180287236760734</v>
      </c>
      <c r="S219" s="19">
        <f t="shared" ca="1" si="50"/>
        <v>0.55050445010581117</v>
      </c>
      <c r="T219" s="19">
        <f t="shared" ca="1" si="51"/>
        <v>11.0365960405734</v>
      </c>
      <c r="U219" s="19">
        <f t="shared" ca="1" si="52"/>
        <v>-26.142344578669412</v>
      </c>
      <c r="V219" s="21"/>
      <c r="X219" s="22"/>
      <c r="Y219" s="22"/>
      <c r="Z219" s="22"/>
    </row>
    <row r="220" spans="7:26" x14ac:dyDescent="0.25">
      <c r="G220" s="19">
        <v>35</v>
      </c>
      <c r="H220" s="19">
        <f t="shared" ca="1" si="44"/>
        <v>0.99704762303394745</v>
      </c>
      <c r="I220" s="19">
        <f t="shared" ca="1" si="44"/>
        <v>0.90309490141732851</v>
      </c>
      <c r="J220" s="19">
        <f t="shared" ca="1" si="45"/>
        <v>6.3079901875673347E-2</v>
      </c>
      <c r="K220" s="19">
        <f t="shared" ca="1" si="46"/>
        <v>-4.3981969437602471E-2</v>
      </c>
      <c r="L220" s="19">
        <f t="array" aca="1" ref="L220:M220" ca="1">MMULT(J220:K220,TRANSPOSE($B$10:$C$11))</f>
        <v>6.3079901875673347E-2</v>
      </c>
      <c r="M220" s="19">
        <f ca="1"/>
        <v>-7.5878003825169391E-2</v>
      </c>
      <c r="N220" s="20">
        <f t="shared" ca="1" si="47"/>
        <v>4.4364661261809338E-2</v>
      </c>
      <c r="O220" s="20">
        <f t="shared" ca="1" si="48"/>
        <v>6.1907821742359266E-2</v>
      </c>
      <c r="P220" s="19">
        <f t="shared" ca="1" si="49"/>
        <v>8.4362717132726542E-2</v>
      </c>
      <c r="Q220" s="19">
        <f ca="1">HCTrans(P220,Strike,RiskFreeRate,Dividend,Variance_T0*AnnualVarConvtr,(Simulation!G220)/250,0.5,Variance_Avg*AnnualVarConvtr,Lambda,SQRT(Simulation!N220),Rho,1,"Call")</f>
        <v>29.023356692573202</v>
      </c>
      <c r="R220" s="19">
        <f ca="1">BlackScholesImpliedVolatility(P220,Strike,RiskFreeRate,G220/250,Dividend,Q220,0.01,"call")</f>
        <v>0.75180287236760734</v>
      </c>
      <c r="S220" s="19">
        <f t="shared" ca="1" si="50"/>
        <v>0.55050445010581117</v>
      </c>
      <c r="T220" s="19">
        <f t="shared" ca="1" si="51"/>
        <v>11.0365960405734</v>
      </c>
      <c r="U220" s="19">
        <f t="shared" ca="1" si="52"/>
        <v>-26.142344578669412</v>
      </c>
      <c r="V220" s="21"/>
      <c r="X220" s="22"/>
      <c r="Y220" s="22"/>
      <c r="Z220" s="22"/>
    </row>
    <row r="221" spans="7:26" x14ac:dyDescent="0.25">
      <c r="G221" s="19">
        <v>34</v>
      </c>
      <c r="H221" s="19">
        <f t="shared" ca="1" si="44"/>
        <v>0.77921173690984391</v>
      </c>
      <c r="I221" s="19">
        <f t="shared" ca="1" si="44"/>
        <v>0.19182878369344103</v>
      </c>
      <c r="J221" s="19">
        <f t="shared" ca="1" si="45"/>
        <v>0.25246505767582805</v>
      </c>
      <c r="K221" s="19">
        <f t="shared" ca="1" si="46"/>
        <v>0.65970169216747898</v>
      </c>
      <c r="L221" s="19">
        <f t="array" aca="1" ref="L221:M221" ca="1">MMULT(J221:K221,TRANSPOSE($B$10:$C$11))</f>
        <v>0.25246505767582805</v>
      </c>
      <c r="M221" s="19">
        <f ca="1"/>
        <v>0.27930817076447023</v>
      </c>
      <c r="N221" s="20">
        <f t="shared" ca="1" si="47"/>
        <v>4.5621093276111052E-2</v>
      </c>
      <c r="O221" s="20">
        <f t="shared" ca="1" si="48"/>
        <v>6.518227046182587E-2</v>
      </c>
      <c r="P221" s="19">
        <f t="shared" ca="1" si="49"/>
        <v>7.9813180796149255E-2</v>
      </c>
      <c r="Q221" s="19">
        <f ca="1">HCTrans(P221,Strike,RiskFreeRate,Dividend,Variance_T0*AnnualVarConvtr,(Simulation!G221)/250,0.5,Variance_Avg*AnnualVarConvtr,Lambda,SQRT(Simulation!N221),Rho,1,"Call")</f>
        <v>29.023356692573202</v>
      </c>
      <c r="R221" s="19">
        <f ca="1">BlackScholesImpliedVolatility(P221,Strike,RiskFreeRate,G221/250,Dividend,Q221,0.01,"call")</f>
        <v>0.75180287236760734</v>
      </c>
      <c r="S221" s="19">
        <f t="shared" ca="1" si="50"/>
        <v>0.55050445010581117</v>
      </c>
      <c r="T221" s="19">
        <f t="shared" ca="1" si="51"/>
        <v>11.0365960405734</v>
      </c>
      <c r="U221" s="19">
        <f t="shared" ca="1" si="52"/>
        <v>-26.142344578669412</v>
      </c>
      <c r="V221" s="21"/>
      <c r="X221" s="22"/>
      <c r="Y221" s="22"/>
      <c r="Z221" s="22"/>
    </row>
    <row r="222" spans="7:26" x14ac:dyDescent="0.25">
      <c r="G222" s="19">
        <v>33</v>
      </c>
      <c r="H222" s="19">
        <f t="shared" ca="1" si="44"/>
        <v>0.28807960705001801</v>
      </c>
      <c r="I222" s="19">
        <f t="shared" ca="1" si="44"/>
        <v>0.15956435777732747</v>
      </c>
      <c r="J222" s="19">
        <f t="shared" ca="1" si="45"/>
        <v>0.84899987420446532</v>
      </c>
      <c r="K222" s="19">
        <f t="shared" ca="1" si="46"/>
        <v>1.3297503754266145</v>
      </c>
      <c r="L222" s="19">
        <f t="array" aca="1" ref="L222:M222" ca="1">MMULT(J222:K222,TRANSPOSE($B$10:$C$11))</f>
        <v>0.84899987420446532</v>
      </c>
      <c r="M222" s="19">
        <f ca="1"/>
        <v>0.31930828673062095</v>
      </c>
      <c r="N222" s="20">
        <f t="shared" ca="1" si="47"/>
        <v>4.7104241202065661E-2</v>
      </c>
      <c r="O222" s="20">
        <f t="shared" ca="1" si="48"/>
        <v>7.6559893940161702E-2</v>
      </c>
      <c r="P222" s="19">
        <f t="shared" ca="1" si="49"/>
        <v>7.5221941963348263E-2</v>
      </c>
      <c r="Q222" s="19">
        <f ca="1">HCTrans(P222,Strike,RiskFreeRate,Dividend,Variance_T0*AnnualVarConvtr,(Simulation!G222)/250,0.5,Variance_Avg*AnnualVarConvtr,Lambda,SQRT(Simulation!N222),Rho,1,"Call")</f>
        <v>29.023356692573202</v>
      </c>
      <c r="R222" s="19">
        <f ca="1">BlackScholesImpliedVolatility(P222,Strike,RiskFreeRate,G222/250,Dividend,Q222,0.01,"call")</f>
        <v>0.75180287236760734</v>
      </c>
      <c r="S222" s="19">
        <f t="shared" ca="1" si="50"/>
        <v>0.55050445010581117</v>
      </c>
      <c r="T222" s="19">
        <f t="shared" ca="1" si="51"/>
        <v>11.0365960405734</v>
      </c>
      <c r="U222" s="19">
        <f t="shared" ca="1" si="52"/>
        <v>-26.142344578669412</v>
      </c>
      <c r="V222" s="21"/>
      <c r="X222" s="22"/>
      <c r="Y222" s="22"/>
      <c r="Z222" s="22"/>
    </row>
    <row r="223" spans="7:26" x14ac:dyDescent="0.25">
      <c r="G223" s="19">
        <v>32</v>
      </c>
      <c r="H223" s="19">
        <f t="shared" ref="H223:I254" ca="1" si="53">RAND()</f>
        <v>6.1620613729690632E-2</v>
      </c>
      <c r="I223" s="19">
        <f t="shared" ca="1" si="53"/>
        <v>0.88953187169359871</v>
      </c>
      <c r="J223" s="19">
        <f t="shared" ca="1" si="45"/>
        <v>1.8146165430284702</v>
      </c>
      <c r="K223" s="19">
        <f t="shared" ca="1" si="46"/>
        <v>-1.5101935153061183</v>
      </c>
      <c r="L223" s="19">
        <f t="array" aca="1" ref="L223:M223" ca="1">MMULT(J223:K223,TRANSPOSE($B$10:$C$11))</f>
        <v>1.8146165430284702</v>
      </c>
      <c r="M223" s="19">
        <f ca="1"/>
        <v>-2.353664254778276</v>
      </c>
      <c r="N223" s="20">
        <f t="shared" ca="1" si="47"/>
        <v>3.5198916946324862E-2</v>
      </c>
      <c r="O223" s="20">
        <f t="shared" ca="1" si="48"/>
        <v>0.10137403018057828</v>
      </c>
      <c r="P223" s="19">
        <f t="shared" ca="1" si="49"/>
        <v>7.0821519946205017E-2</v>
      </c>
      <c r="Q223" s="19">
        <f ca="1">HCTrans(P223,Strike,RiskFreeRate,Dividend,Variance_T0*AnnualVarConvtr,(Simulation!G223)/250,0.5,Variance_Avg*AnnualVarConvtr,Lambda,SQRT(Simulation!N223),Rho,1,"Call")</f>
        <v>29.023356692573202</v>
      </c>
      <c r="R223" s="19">
        <f ca="1">BlackScholesImpliedVolatility(P223,Strike,RiskFreeRate,G223/250,Dividend,Q223,0.01,"call")</f>
        <v>0.75180287236760734</v>
      </c>
      <c r="S223" s="19">
        <f t="shared" ca="1" si="50"/>
        <v>0.55050445010581117</v>
      </c>
      <c r="T223" s="19">
        <f t="shared" ca="1" si="51"/>
        <v>11.0365960405734</v>
      </c>
      <c r="U223" s="19">
        <f t="shared" ca="1" si="52"/>
        <v>-26.142344578669412</v>
      </c>
      <c r="V223" s="21"/>
      <c r="X223" s="22"/>
      <c r="Y223" s="22"/>
      <c r="Z223" s="22"/>
    </row>
    <row r="224" spans="7:26" x14ac:dyDescent="0.25">
      <c r="G224" s="19">
        <v>31</v>
      </c>
      <c r="H224" s="19">
        <f t="shared" ca="1" si="53"/>
        <v>0.56692310248430999</v>
      </c>
      <c r="I224" s="19">
        <f t="shared" ca="1" si="53"/>
        <v>0.6224932035517674</v>
      </c>
      <c r="J224" s="19">
        <f t="shared" ca="1" si="45"/>
        <v>-0.76511871741267301</v>
      </c>
      <c r="K224" s="19">
        <f t="shared" ca="1" si="46"/>
        <v>-0.74138826576231809</v>
      </c>
      <c r="L224" s="19">
        <f t="array" aca="1" ref="L224:M224" ca="1">MMULT(J224:K224,TRANSPOSE($B$10:$C$11))</f>
        <v>-0.76511871741267301</v>
      </c>
      <c r="M224" s="19">
        <f ca="1"/>
        <v>3.1024677161670455E-2</v>
      </c>
      <c r="N224" s="20">
        <f t="shared" ca="1" si="47"/>
        <v>3.5192540550089545E-2</v>
      </c>
      <c r="O224" s="20">
        <f t="shared" ca="1" si="48"/>
        <v>9.2224936379917286E-2</v>
      </c>
      <c r="P224" s="19">
        <f t="shared" ca="1" si="49"/>
        <v>6.7767081282049585E-2</v>
      </c>
      <c r="Q224" s="19">
        <f ca="1">HCTrans(P224,Strike,RiskFreeRate,Dividend,Variance_T0*AnnualVarConvtr,(Simulation!G224)/250,0.5,Variance_Avg*AnnualVarConvtr,Lambda,SQRT(Simulation!N224),Rho,1,"Call")</f>
        <v>29.023356692573202</v>
      </c>
      <c r="R224" s="19">
        <f ca="1">BlackScholesImpliedVolatility(P224,Strike,RiskFreeRate,G224/250,Dividend,Q224,0.01,"call")</f>
        <v>0.75180287236760734</v>
      </c>
      <c r="S224" s="19">
        <f t="shared" ca="1" si="50"/>
        <v>0.55050445010581117</v>
      </c>
      <c r="T224" s="19">
        <f t="shared" ca="1" si="51"/>
        <v>11.0365960405734</v>
      </c>
      <c r="U224" s="19">
        <f t="shared" ca="1" si="52"/>
        <v>-26.142344578669412</v>
      </c>
      <c r="V224" s="21"/>
      <c r="X224" s="22"/>
      <c r="Y224" s="22"/>
      <c r="Z224" s="22"/>
    </row>
    <row r="225" spans="7:26" x14ac:dyDescent="0.25">
      <c r="G225" s="19">
        <v>30</v>
      </c>
      <c r="H225" s="19">
        <f t="shared" ca="1" si="53"/>
        <v>0.31468211665944124</v>
      </c>
      <c r="I225" s="19">
        <f t="shared" ca="1" si="53"/>
        <v>0.12281840211896977</v>
      </c>
      <c r="J225" s="19">
        <f t="shared" ca="1" si="45"/>
        <v>1.0899014065976003</v>
      </c>
      <c r="K225" s="19">
        <f t="shared" ca="1" si="46"/>
        <v>1.0604242218141444</v>
      </c>
      <c r="L225" s="19">
        <f t="array" aca="1" ref="L225:M225" ca="1">MMULT(J225:K225,TRANSPOSE($B$10:$C$11))</f>
        <v>1.0899014065976003</v>
      </c>
      <c r="M225" s="19">
        <f ca="1"/>
        <v>-4.1176109348562195E-2</v>
      </c>
      <c r="N225" s="20">
        <f t="shared" ca="1" si="47"/>
        <v>3.4854176722745087E-2</v>
      </c>
      <c r="O225" s="20">
        <f t="shared" ca="1" si="48"/>
        <v>0.1050858611643514</v>
      </c>
      <c r="P225" s="19">
        <f t="shared" ca="1" si="49"/>
        <v>6.4956540031525331E-2</v>
      </c>
      <c r="Q225" s="19">
        <f ca="1">HCTrans(P225,Strike,RiskFreeRate,Dividend,Variance_T0*AnnualVarConvtr,(Simulation!G225)/250,0.5,Variance_Avg*AnnualVarConvtr,Lambda,SQRT(Simulation!N225),Rho,1,"Call")</f>
        <v>29.023356692573202</v>
      </c>
      <c r="R225" s="19">
        <f ca="1">BlackScholesImpliedVolatility(P225,Strike,RiskFreeRate,G225/250,Dividend,Q225,0.01,"call")</f>
        <v>0.75180287236760734</v>
      </c>
      <c r="S225" s="19">
        <f t="shared" ca="1" si="50"/>
        <v>0.55050445010581117</v>
      </c>
      <c r="T225" s="19">
        <f t="shared" ca="1" si="51"/>
        <v>11.0365960405734</v>
      </c>
      <c r="U225" s="19">
        <f t="shared" ca="1" si="52"/>
        <v>-26.142344578669412</v>
      </c>
      <c r="V225" s="21"/>
      <c r="X225" s="22"/>
      <c r="Y225" s="22"/>
      <c r="Z225" s="22"/>
    </row>
    <row r="226" spans="7:26" x14ac:dyDescent="0.25">
      <c r="G226" s="19">
        <v>29</v>
      </c>
      <c r="H226" s="19">
        <f t="shared" ca="1" si="53"/>
        <v>0.24536076367948367</v>
      </c>
      <c r="I226" s="19">
        <f t="shared" ca="1" si="53"/>
        <v>0.20665048465842495</v>
      </c>
      <c r="J226" s="19">
        <f t="shared" ca="1" si="45"/>
        <v>0.45096003661004358</v>
      </c>
      <c r="K226" s="19">
        <f t="shared" ca="1" si="46"/>
        <v>1.6145235640185931</v>
      </c>
      <c r="L226" s="19">
        <f t="array" aca="1" ref="L226:M226" ca="1">MMULT(J226:K226,TRANSPOSE($B$10:$C$11))</f>
        <v>0.45096003661004358</v>
      </c>
      <c r="M226" s="19">
        <f ca="1"/>
        <v>0.80315793068766217</v>
      </c>
      <c r="N226" s="20">
        <f t="shared" ca="1" si="47"/>
        <v>3.8480385018555448E-2</v>
      </c>
      <c r="O226" s="20">
        <f t="shared" ca="1" si="48"/>
        <v>0.11034085677169668</v>
      </c>
      <c r="P226" s="19">
        <f t="shared" ca="1" si="49"/>
        <v>6.2451459198466723E-2</v>
      </c>
      <c r="Q226" s="19">
        <f ca="1">HCTrans(P226,Strike,RiskFreeRate,Dividend,Variance_T0*AnnualVarConvtr,(Simulation!G226)/250,0.5,Variance_Avg*AnnualVarConvtr,Lambda,SQRT(Simulation!N226),Rho,1,"Call")</f>
        <v>29.023356692573202</v>
      </c>
      <c r="R226" s="19">
        <f ca="1">BlackScholesImpliedVolatility(P226,Strike,RiskFreeRate,G226/250,Dividend,Q226,0.01,"call")</f>
        <v>0.75180287236760734</v>
      </c>
      <c r="S226" s="19">
        <f t="shared" ca="1" si="50"/>
        <v>0.55050445010581117</v>
      </c>
      <c r="T226" s="19">
        <f t="shared" ca="1" si="51"/>
        <v>11.0365960405734</v>
      </c>
      <c r="U226" s="19">
        <f t="shared" ca="1" si="52"/>
        <v>-26.142344578669412</v>
      </c>
      <c r="V226" s="21"/>
      <c r="X226" s="22"/>
      <c r="Y226" s="22"/>
      <c r="Z226" s="22"/>
    </row>
    <row r="227" spans="7:26" x14ac:dyDescent="0.25">
      <c r="G227" s="19">
        <v>28</v>
      </c>
      <c r="H227" s="19">
        <f t="shared" ca="1" si="53"/>
        <v>0.95201388111955421</v>
      </c>
      <c r="I227" s="19">
        <f t="shared" ca="1" si="53"/>
        <v>0.15307323669264461</v>
      </c>
      <c r="J227" s="19">
        <f t="shared" ca="1" si="45"/>
        <v>0.17940217822192614</v>
      </c>
      <c r="K227" s="19">
        <f t="shared" ca="1" si="46"/>
        <v>0.25722788540029107</v>
      </c>
      <c r="L227" s="19">
        <f t="array" aca="1" ref="L227:M227" ca="1">MMULT(J227:K227,TRANSPOSE($B$10:$C$11))</f>
        <v>0.17940217822192614</v>
      </c>
      <c r="M227" s="19">
        <f ca="1"/>
        <v>5.0897191691143179E-2</v>
      </c>
      <c r="N227" s="20">
        <f t="shared" ca="1" si="47"/>
        <v>3.8558949107945134E-2</v>
      </c>
      <c r="O227" s="20">
        <f t="shared" ca="1" si="48"/>
        <v>0.11248965127908825</v>
      </c>
      <c r="P227" s="19">
        <f t="shared" ca="1" si="49"/>
        <v>6.0131477796575288E-2</v>
      </c>
      <c r="Q227" s="19">
        <f ca="1">HCTrans(P227,Strike,RiskFreeRate,Dividend,Variance_T0*AnnualVarConvtr,(Simulation!G227)/250,0.5,Variance_Avg*AnnualVarConvtr,Lambda,SQRT(Simulation!N227),Rho,1,"Call")</f>
        <v>29.023356692573202</v>
      </c>
      <c r="R227" s="19">
        <f ca="1">BlackScholesImpliedVolatility(P227,Strike,RiskFreeRate,G227/250,Dividend,Q227,0.01,"call")</f>
        <v>0.75180287236760734</v>
      </c>
      <c r="S227" s="19">
        <f t="shared" ca="1" si="50"/>
        <v>0.55050445010581117</v>
      </c>
      <c r="T227" s="19">
        <f t="shared" ca="1" si="51"/>
        <v>11.0365960405734</v>
      </c>
      <c r="U227" s="19">
        <f t="shared" ca="1" si="52"/>
        <v>-26.142344578669412</v>
      </c>
      <c r="V227" s="21"/>
      <c r="X227" s="22"/>
      <c r="Y227" s="22"/>
      <c r="Z227" s="22"/>
    </row>
    <row r="228" spans="7:26" x14ac:dyDescent="0.25">
      <c r="G228" s="19">
        <v>27</v>
      </c>
      <c r="H228" s="19">
        <f t="shared" ca="1" si="53"/>
        <v>0.69561289850558761</v>
      </c>
      <c r="I228" s="19">
        <f t="shared" ca="1" si="53"/>
        <v>0.17630755225411354</v>
      </c>
      <c r="J228" s="19">
        <f t="shared" ca="1" si="45"/>
        <v>0.38055537510907156</v>
      </c>
      <c r="K228" s="19">
        <f t="shared" ca="1" si="46"/>
        <v>0.76230014681779845</v>
      </c>
      <c r="L228" s="19">
        <f t="array" aca="1" ref="L228:M228" ca="1">MMULT(J228:K228,TRANSPOSE($B$10:$C$11))</f>
        <v>0.38055537510907156</v>
      </c>
      <c r="M228" s="19">
        <f ca="1"/>
        <v>0.25910281587873757</v>
      </c>
      <c r="N228" s="20">
        <f t="shared" ca="1" si="47"/>
        <v>3.9649539999446141E-2</v>
      </c>
      <c r="O228" s="20">
        <f t="shared" ca="1" si="48"/>
        <v>0.11713871547706729</v>
      </c>
      <c r="P228" s="19">
        <f t="shared" ca="1" si="49"/>
        <v>5.7892276609900463E-2</v>
      </c>
      <c r="Q228" s="19">
        <f ca="1">HCTrans(P228,Strike,RiskFreeRate,Dividend,Variance_T0*AnnualVarConvtr,(Simulation!G228)/250,0.5,Variance_Avg*AnnualVarConvtr,Lambda,SQRT(Simulation!N228),Rho,1,"Call")</f>
        <v>29.023356692573202</v>
      </c>
      <c r="R228" s="19">
        <f ca="1">BlackScholesImpliedVolatility(P228,Strike,RiskFreeRate,G228/250,Dividend,Q228,0.01,"call")</f>
        <v>0.75180287236760734</v>
      </c>
      <c r="S228" s="19">
        <f t="shared" ca="1" si="50"/>
        <v>0.55050445010581117</v>
      </c>
      <c r="T228" s="19">
        <f t="shared" ca="1" si="51"/>
        <v>11.0365960405734</v>
      </c>
      <c r="U228" s="19">
        <f t="shared" ca="1" si="52"/>
        <v>-26.142344578669412</v>
      </c>
      <c r="V228" s="21"/>
      <c r="X228" s="22"/>
      <c r="Y228" s="22"/>
      <c r="Z228" s="22"/>
    </row>
    <row r="229" spans="7:26" x14ac:dyDescent="0.25">
      <c r="G229" s="19">
        <v>26</v>
      </c>
      <c r="H229" s="19">
        <f t="shared" ca="1" si="53"/>
        <v>0.91221704741297327</v>
      </c>
      <c r="I229" s="19">
        <f t="shared" ca="1" si="53"/>
        <v>0.89117562206314538</v>
      </c>
      <c r="J229" s="19">
        <f t="shared" ca="1" si="45"/>
        <v>0.33230224672899306</v>
      </c>
      <c r="K229" s="19">
        <f t="shared" ca="1" si="46"/>
        <v>-0.2707948856537124</v>
      </c>
      <c r="L229" s="19">
        <f t="array" aca="1" ref="L229:M229" ca="1">MMULT(J229:K229,TRANSPOSE($B$10:$C$11))</f>
        <v>0.33230224672899306</v>
      </c>
      <c r="M229" s="19">
        <f ca="1"/>
        <v>-0.42699757641342917</v>
      </c>
      <c r="N229" s="20">
        <f t="shared" ca="1" si="47"/>
        <v>3.7419278593831366E-2</v>
      </c>
      <c r="O229" s="20">
        <f t="shared" ca="1" si="48"/>
        <v>0.12124429004279327</v>
      </c>
      <c r="P229" s="19">
        <f t="shared" ca="1" si="49"/>
        <v>5.5900002058572845E-2</v>
      </c>
      <c r="Q229" s="19">
        <f ca="1">HCTrans(P229,Strike,RiskFreeRate,Dividend,Variance_T0*AnnualVarConvtr,(Simulation!G229)/250,0.5,Variance_Avg*AnnualVarConvtr,Lambda,SQRT(Simulation!N229),Rho,1,"Call")</f>
        <v>29.023356692573202</v>
      </c>
      <c r="R229" s="19">
        <f ca="1">BlackScholesImpliedVolatility(P229,Strike,RiskFreeRate,G229/250,Dividend,Q229,0.01,"call")</f>
        <v>0.75180287236760734</v>
      </c>
      <c r="S229" s="19">
        <f t="shared" ca="1" si="50"/>
        <v>0.55050445010581117</v>
      </c>
      <c r="T229" s="19">
        <f t="shared" ca="1" si="51"/>
        <v>11.0365960405734</v>
      </c>
      <c r="U229" s="19">
        <f t="shared" ca="1" si="52"/>
        <v>-26.142344578669412</v>
      </c>
      <c r="V229" s="21"/>
      <c r="X229" s="22"/>
      <c r="Y229" s="22"/>
      <c r="Z229" s="22"/>
    </row>
    <row r="230" spans="7:26" x14ac:dyDescent="0.25">
      <c r="G230" s="19">
        <v>25</v>
      </c>
      <c r="H230" s="19">
        <f t="shared" ca="1" si="53"/>
        <v>0.63379424396129791</v>
      </c>
      <c r="I230" s="19">
        <f t="shared" ca="1" si="53"/>
        <v>0.11628442191876398</v>
      </c>
      <c r="J230" s="19">
        <f t="shared" ca="1" si="45"/>
        <v>0.71125036252430074</v>
      </c>
      <c r="K230" s="19">
        <f t="shared" ca="1" si="46"/>
        <v>0.63732624998723764</v>
      </c>
      <c r="L230" s="19">
        <f t="array" aca="1" ref="L230:M230" ca="1">MMULT(J230:K230,TRANSPOSE($B$10:$C$11))</f>
        <v>0.71125036252430074</v>
      </c>
      <c r="M230" s="19">
        <f ca="1"/>
        <v>-6.5020319787353953E-2</v>
      </c>
      <c r="N230" s="20">
        <f t="shared" ca="1" si="47"/>
        <v>3.6950492319539806E-2</v>
      </c>
      <c r="O230" s="20">
        <f t="shared" ca="1" si="48"/>
        <v>0.12987107324779695</v>
      </c>
      <c r="P230" s="19">
        <f t="shared" ca="1" si="49"/>
        <v>5.3861049701426578E-2</v>
      </c>
      <c r="Q230" s="19">
        <f ca="1">HCTrans(P230,Strike,RiskFreeRate,Dividend,Variance_T0*AnnualVarConvtr,(Simulation!G230)/250,0.5,Variance_Avg*AnnualVarConvtr,Lambda,SQRT(Simulation!N230),Rho,1,"Call")</f>
        <v>29.023356692573202</v>
      </c>
      <c r="R230" s="19">
        <f ca="1">BlackScholesImpliedVolatility(P230,Strike,RiskFreeRate,G230/250,Dividend,Q230,0.01,"call")</f>
        <v>0.75180287236760734</v>
      </c>
      <c r="S230" s="19">
        <f t="shared" ca="1" si="50"/>
        <v>0.55050445010581117</v>
      </c>
      <c r="T230" s="19">
        <f t="shared" ca="1" si="51"/>
        <v>11.0365960405734</v>
      </c>
      <c r="U230" s="19">
        <f t="shared" ca="1" si="52"/>
        <v>-26.142344578669412</v>
      </c>
      <c r="V230" s="21"/>
      <c r="X230" s="22"/>
      <c r="Y230" s="22"/>
      <c r="Z230" s="22"/>
    </row>
    <row r="231" spans="7:26" x14ac:dyDescent="0.25">
      <c r="G231" s="19">
        <v>24</v>
      </c>
      <c r="H231" s="19">
        <f t="shared" ca="1" si="53"/>
        <v>0.84161027340722028</v>
      </c>
      <c r="I231" s="19">
        <f t="shared" ca="1" si="53"/>
        <v>0.3387079855747499</v>
      </c>
      <c r="J231" s="19">
        <f t="shared" ca="1" si="45"/>
        <v>-0.31063507629652426</v>
      </c>
      <c r="K231" s="19">
        <f t="shared" ca="1" si="46"/>
        <v>0.49837968410650818</v>
      </c>
      <c r="L231" s="19">
        <f t="array" aca="1" ref="L231:M231" ca="1">MMULT(J231:K231,TRANSPOSE($B$10:$C$11))</f>
        <v>-0.31063507629652426</v>
      </c>
      <c r="M231" s="19">
        <f ca="1"/>
        <v>0.57023326638376592</v>
      </c>
      <c r="N231" s="20">
        <f t="shared" ca="1" si="47"/>
        <v>3.9528585142455247E-2</v>
      </c>
      <c r="O231" s="20">
        <f t="shared" ca="1" si="48"/>
        <v>0.12602066256684982</v>
      </c>
      <c r="P231" s="19">
        <f t="shared" ca="1" si="49"/>
        <v>5.1783881565396254E-2</v>
      </c>
      <c r="Q231" s="19">
        <f ca="1">HCTrans(P231,Strike,RiskFreeRate,Dividend,Variance_T0*AnnualVarConvtr,(Simulation!G231)/250,0.5,Variance_Avg*AnnualVarConvtr,Lambda,SQRT(Simulation!N231),Rho,1,"Call")</f>
        <v>29.023356692573202</v>
      </c>
      <c r="R231" s="19">
        <f ca="1">BlackScholesImpliedVolatility(P231,Strike,RiskFreeRate,G231/250,Dividend,Q231,0.01,"call")</f>
        <v>0.75180287236760734</v>
      </c>
      <c r="S231" s="19">
        <f t="shared" ca="1" si="50"/>
        <v>0.55050445010581117</v>
      </c>
      <c r="T231" s="19">
        <f t="shared" ca="1" si="51"/>
        <v>11.0365960405734</v>
      </c>
      <c r="U231" s="19">
        <f t="shared" ca="1" si="52"/>
        <v>-26.142344578669412</v>
      </c>
      <c r="V231" s="21"/>
      <c r="X231" s="22"/>
      <c r="Y231" s="22"/>
      <c r="Z231" s="22"/>
    </row>
    <row r="232" spans="7:26" x14ac:dyDescent="0.25">
      <c r="G232" s="19">
        <v>23</v>
      </c>
      <c r="H232" s="19">
        <f t="shared" ca="1" si="53"/>
        <v>0.86698577574846247</v>
      </c>
      <c r="I232" s="19">
        <f t="shared" ca="1" si="53"/>
        <v>8.8946683314169883E-2</v>
      </c>
      <c r="J232" s="19">
        <f t="shared" ca="1" si="45"/>
        <v>0.45300046640407882</v>
      </c>
      <c r="K232" s="19">
        <f t="shared" ca="1" si="46"/>
        <v>0.28329488997453012</v>
      </c>
      <c r="L232" s="19">
        <f t="array" aca="1" ref="L232:M232" ca="1">MMULT(J232:K232,TRANSPOSE($B$10:$C$11))</f>
        <v>0.45300046640407882</v>
      </c>
      <c r="M232" s="19">
        <f ca="1"/>
        <v>-0.12695197589055787</v>
      </c>
      <c r="N232" s="20">
        <f t="shared" ca="1" si="47"/>
        <v>3.8739909345210571E-2</v>
      </c>
      <c r="O232" s="20">
        <f t="shared" ca="1" si="48"/>
        <v>0.13163779293975147</v>
      </c>
      <c r="P232" s="19">
        <f t="shared" ca="1" si="49"/>
        <v>4.9327807648000994E-2</v>
      </c>
      <c r="Q232" s="19">
        <f ca="1">HCTrans(P232,Strike,RiskFreeRate,Dividend,Variance_T0*AnnualVarConvtr,(Simulation!G232)/250,0.5,Variance_Avg*AnnualVarConvtr,Lambda,SQRT(Simulation!N232),Rho,1,"Call")</f>
        <v>29.023356692573202</v>
      </c>
      <c r="R232" s="19">
        <f ca="1">BlackScholesImpliedVolatility(P232,Strike,RiskFreeRate,G232/250,Dividend,Q232,0.01,"call")</f>
        <v>0.75180287236760734</v>
      </c>
      <c r="S232" s="19">
        <f t="shared" ca="1" si="50"/>
        <v>0.55050445010581117</v>
      </c>
      <c r="T232" s="19">
        <f t="shared" ca="1" si="51"/>
        <v>11.0365960405734</v>
      </c>
      <c r="U232" s="19">
        <f t="shared" ca="1" si="52"/>
        <v>-26.142344578669412</v>
      </c>
      <c r="V232" s="21"/>
      <c r="X232" s="22"/>
      <c r="Y232" s="22"/>
      <c r="Z232" s="22"/>
    </row>
    <row r="233" spans="7:26" x14ac:dyDescent="0.25">
      <c r="G233" s="19">
        <v>22</v>
      </c>
      <c r="H233" s="19">
        <f t="shared" ca="1" si="53"/>
        <v>0.13648572322480079</v>
      </c>
      <c r="I233" s="19">
        <f t="shared" ca="1" si="53"/>
        <v>0.9155249393949868</v>
      </c>
      <c r="J233" s="19">
        <f t="shared" ca="1" si="45"/>
        <v>1.7211786835646639</v>
      </c>
      <c r="K233" s="19">
        <f t="shared" ca="1" si="46"/>
        <v>-1.0102546522617242</v>
      </c>
      <c r="L233" s="19">
        <f t="array" aca="1" ref="L233:M233" ca="1">MMULT(J233:K233,TRANSPOSE($B$10:$C$11))</f>
        <v>1.7211786835646639</v>
      </c>
      <c r="M233" s="19">
        <f ca="1"/>
        <v>-1.9379651311549986</v>
      </c>
      <c r="N233" s="20">
        <f t="shared" ca="1" si="47"/>
        <v>2.9783415361507703E-2</v>
      </c>
      <c r="O233" s="20">
        <f t="shared" ca="1" si="48"/>
        <v>0.1529860247062487</v>
      </c>
      <c r="P233" s="19">
        <f t="shared" ca="1" si="49"/>
        <v>4.7179912412715519E-2</v>
      </c>
      <c r="Q233" s="19">
        <f ca="1">HCTrans(P233,Strike,RiskFreeRate,Dividend,Variance_T0*AnnualVarConvtr,(Simulation!G233)/250,0.5,Variance_Avg*AnnualVarConvtr,Lambda,SQRT(Simulation!N233),Rho,1,"Call")</f>
        <v>29.023356692573202</v>
      </c>
      <c r="R233" s="19">
        <f ca="1">BlackScholesImpliedVolatility(P233,Strike,RiskFreeRate,G233/250,Dividend,Q233,0.01,"call")</f>
        <v>0.75180287236760734</v>
      </c>
      <c r="S233" s="19">
        <f t="shared" ca="1" si="50"/>
        <v>0.55050445010581117</v>
      </c>
      <c r="T233" s="19">
        <f t="shared" ca="1" si="51"/>
        <v>11.0365960405734</v>
      </c>
      <c r="U233" s="19">
        <f t="shared" ca="1" si="52"/>
        <v>-26.142344578669412</v>
      </c>
      <c r="V233" s="21"/>
      <c r="X233" s="22"/>
      <c r="Y233" s="22"/>
      <c r="Z233" s="22"/>
    </row>
    <row r="234" spans="7:26" x14ac:dyDescent="0.25">
      <c r="G234" s="19">
        <v>21</v>
      </c>
      <c r="H234" s="19">
        <f t="shared" ca="1" si="53"/>
        <v>0.23788628439712312</v>
      </c>
      <c r="I234" s="19">
        <f t="shared" ca="1" si="53"/>
        <v>0.74363667674202105</v>
      </c>
      <c r="J234" s="19">
        <f t="shared" ca="1" si="45"/>
        <v>-6.7738361970045041E-2</v>
      </c>
      <c r="K234" s="19">
        <f t="shared" ca="1" si="46"/>
        <v>-1.6933211587300292</v>
      </c>
      <c r="L234" s="19">
        <f t="array" aca="1" ref="L234:M234" ca="1">MMULT(J234:K234,TRANSPOSE($B$10:$C$11))</f>
        <v>-6.7738361970045041E-2</v>
      </c>
      <c r="M234" s="19">
        <f ca="1"/>
        <v>-1.1327044454663229</v>
      </c>
      <c r="N234" s="20">
        <f t="shared" ca="1" si="47"/>
        <v>2.5062485753075799E-2</v>
      </c>
      <c r="O234" s="20">
        <f t="shared" ca="1" si="48"/>
        <v>0.15218710471239238</v>
      </c>
      <c r="P234" s="19">
        <f t="shared" ca="1" si="49"/>
        <v>4.5218900965590926E-2</v>
      </c>
      <c r="Q234" s="19">
        <f ca="1">HCTrans(P234,Strike,RiskFreeRate,Dividend,Variance_T0*AnnualVarConvtr,(Simulation!G234)/250,0.5,Variance_Avg*AnnualVarConvtr,Lambda,SQRT(Simulation!N234),Rho,1,"Call")</f>
        <v>29.023356692573202</v>
      </c>
      <c r="R234" s="19">
        <f ca="1">BlackScholesImpliedVolatility(P234,Strike,RiskFreeRate,G234/250,Dividend,Q234,0.01,"call")</f>
        <v>0.75180287236760734</v>
      </c>
      <c r="S234" s="19">
        <f t="shared" ca="1" si="50"/>
        <v>0.55050445010581117</v>
      </c>
      <c r="T234" s="19">
        <f t="shared" ca="1" si="51"/>
        <v>11.0365960405734</v>
      </c>
      <c r="U234" s="19">
        <f t="shared" ca="1" si="52"/>
        <v>-26.142344578669412</v>
      </c>
      <c r="V234" s="21"/>
      <c r="X234" s="22"/>
      <c r="Y234" s="22"/>
      <c r="Z234" s="22"/>
    </row>
    <row r="235" spans="7:26" x14ac:dyDescent="0.25">
      <c r="G235" s="19">
        <v>20</v>
      </c>
      <c r="H235" s="19">
        <f t="shared" ca="1" si="53"/>
        <v>0.40231624802509947</v>
      </c>
      <c r="I235" s="19">
        <f t="shared" ca="1" si="53"/>
        <v>0.58048994092704143</v>
      </c>
      <c r="J235" s="19">
        <f t="shared" ca="1" si="45"/>
        <v>-1.1805311200019875</v>
      </c>
      <c r="K235" s="19">
        <f t="shared" ca="1" si="46"/>
        <v>-0.65374299286902837</v>
      </c>
      <c r="L235" s="19">
        <f t="array" aca="1" ref="L235:M235" ca="1">MMULT(J235:K235,TRANSPOSE($B$10:$C$11))</f>
        <v>-1.1805311200019875</v>
      </c>
      <c r="M235" s="19">
        <f ca="1"/>
        <v>0.38980787460398097</v>
      </c>
      <c r="N235" s="20">
        <f t="shared" ca="1" si="47"/>
        <v>2.6502988147986243E-2</v>
      </c>
      <c r="O235" s="20">
        <f t="shared" ca="1" si="48"/>
        <v>0.14031692447284616</v>
      </c>
      <c r="P235" s="19">
        <f t="shared" ca="1" si="49"/>
        <v>4.3611939649722098E-2</v>
      </c>
      <c r="Q235" s="19">
        <f ca="1">HCTrans(P235,Strike,RiskFreeRate,Dividend,Variance_T0*AnnualVarConvtr,(Simulation!G235)/250,0.5,Variance_Avg*AnnualVarConvtr,Lambda,SQRT(Simulation!N235),Rho,1,"Call")</f>
        <v>29.023356692573202</v>
      </c>
      <c r="R235" s="19">
        <f ca="1">BlackScholesImpliedVolatility(P235,Strike,RiskFreeRate,G235/250,Dividend,Q235,0.01,"call")</f>
        <v>0.75180287236760734</v>
      </c>
      <c r="S235" s="19">
        <f t="shared" ca="1" si="50"/>
        <v>0.55050445010581117</v>
      </c>
      <c r="T235" s="19">
        <f t="shared" ca="1" si="51"/>
        <v>11.0365960405734</v>
      </c>
      <c r="U235" s="19">
        <f t="shared" ca="1" si="52"/>
        <v>-26.142344578669412</v>
      </c>
      <c r="V235" s="21"/>
      <c r="X235" s="22"/>
      <c r="Y235" s="22"/>
      <c r="Z235" s="22"/>
    </row>
    <row r="236" spans="7:26" x14ac:dyDescent="0.25">
      <c r="G236" s="19">
        <v>19</v>
      </c>
      <c r="H236" s="19">
        <f t="shared" ca="1" si="53"/>
        <v>0.14255874831701021</v>
      </c>
      <c r="I236" s="19">
        <f t="shared" ca="1" si="53"/>
        <v>0.36410264615751253</v>
      </c>
      <c r="J236" s="19">
        <f t="shared" ca="1" si="45"/>
        <v>-1.2969481175419444</v>
      </c>
      <c r="K236" s="19">
        <f t="shared" ca="1" si="46"/>
        <v>1.4879273406613678</v>
      </c>
      <c r="L236" s="19">
        <f t="array" aca="1" ref="L236:M236" ca="1">MMULT(J236:K236,TRANSPOSE($B$10:$C$11))</f>
        <v>-1.2969481175419444</v>
      </c>
      <c r="M236" s="19">
        <f ca="1"/>
        <v>1.9672222319115469</v>
      </c>
      <c r="N236" s="20">
        <f t="shared" ca="1" si="47"/>
        <v>3.4834378935452763E-2</v>
      </c>
      <c r="O236" s="20">
        <f t="shared" ca="1" si="48"/>
        <v>0.12691026754910173</v>
      </c>
      <c r="P236" s="19">
        <f t="shared" ca="1" si="49"/>
        <v>4.2245699776354735E-2</v>
      </c>
      <c r="Q236" s="19">
        <f ca="1">HCTrans(P236,Strike,RiskFreeRate,Dividend,Variance_T0*AnnualVarConvtr,(Simulation!G236)/250,0.5,Variance_Avg*AnnualVarConvtr,Lambda,SQRT(Simulation!N236),Rho,1,"Call")</f>
        <v>29.023356692573202</v>
      </c>
      <c r="R236" s="19">
        <f ca="1">BlackScholesImpliedVolatility(P236,Strike,RiskFreeRate,G236/250,Dividend,Q236,0.01,"call")</f>
        <v>0.75180287236760734</v>
      </c>
      <c r="S236" s="19">
        <f t="shared" ca="1" si="50"/>
        <v>0.55050445010581117</v>
      </c>
      <c r="T236" s="19">
        <f t="shared" ca="1" si="51"/>
        <v>11.0365960405734</v>
      </c>
      <c r="U236" s="19">
        <f t="shared" ca="1" si="52"/>
        <v>-26.142344578669412</v>
      </c>
      <c r="V236" s="21"/>
      <c r="X236" s="22"/>
      <c r="Y236" s="22"/>
      <c r="Z236" s="22"/>
    </row>
    <row r="237" spans="7:26" x14ac:dyDescent="0.25">
      <c r="G237" s="19">
        <v>18</v>
      </c>
      <c r="H237" s="19">
        <f t="shared" ca="1" si="53"/>
        <v>0.74994180990923864</v>
      </c>
      <c r="I237" s="19">
        <f t="shared" ca="1" si="53"/>
        <v>0.75328541479989464</v>
      </c>
      <c r="J237" s="19">
        <f t="shared" ca="1" si="45"/>
        <v>1.5659186201844883E-2</v>
      </c>
      <c r="K237" s="19">
        <f t="shared" ca="1" si="46"/>
        <v>-0.75846826854288529</v>
      </c>
      <c r="L237" s="19">
        <f t="array" aca="1" ref="L237:M237" ca="1">MMULT(J237:K237,TRANSPOSE($B$10:$C$11))</f>
        <v>1.5659186201844883E-2</v>
      </c>
      <c r="M237" s="19">
        <f ca="1"/>
        <v>-0.54031748023785509</v>
      </c>
      <c r="N237" s="20">
        <f t="shared" ca="1" si="47"/>
        <v>3.2258206184883481E-2</v>
      </c>
      <c r="O237" s="20">
        <f t="shared" ca="1" si="48"/>
        <v>0.12702544188120468</v>
      </c>
      <c r="P237" s="19">
        <f t="shared" ca="1" si="49"/>
        <v>4.1104186929567972E-2</v>
      </c>
      <c r="Q237" s="19">
        <f ca="1">HCTrans(P237,Strike,RiskFreeRate,Dividend,Variance_T0*AnnualVarConvtr,(Simulation!G237)/250,0.5,Variance_Avg*AnnualVarConvtr,Lambda,SQRT(Simulation!N237),Rho,1,"Call")</f>
        <v>29.023356692573202</v>
      </c>
      <c r="R237" s="19">
        <f ca="1">BlackScholesImpliedVolatility(P237,Strike,RiskFreeRate,G237/250,Dividend,Q237,0.01,"call")</f>
        <v>0.75180287236760734</v>
      </c>
      <c r="S237" s="19">
        <f t="shared" ca="1" si="50"/>
        <v>0.55050445010581117</v>
      </c>
      <c r="T237" s="19">
        <f t="shared" ca="1" si="51"/>
        <v>11.0365960405734</v>
      </c>
      <c r="U237" s="19">
        <f t="shared" ca="1" si="52"/>
        <v>-26.142344578669412</v>
      </c>
      <c r="V237" s="21"/>
      <c r="X237" s="22"/>
      <c r="Y237" s="22"/>
      <c r="Z237" s="22"/>
    </row>
    <row r="238" spans="7:26" x14ac:dyDescent="0.25">
      <c r="G238" s="19">
        <v>17</v>
      </c>
      <c r="H238" s="19">
        <f t="shared" ca="1" si="53"/>
        <v>0.2285023390806078</v>
      </c>
      <c r="I238" s="19">
        <f t="shared" ca="1" si="53"/>
        <v>0.83247247738462904</v>
      </c>
      <c r="J238" s="19">
        <f t="shared" ca="1" si="45"/>
        <v>0.85106872939036093</v>
      </c>
      <c r="K238" s="19">
        <f t="shared" ca="1" si="46"/>
        <v>-1.4926820431361729</v>
      </c>
      <c r="L238" s="19">
        <f t="array" aca="1" ref="L238:M238" ca="1">MMULT(J238:K238,TRANSPOSE($B$10:$C$11))</f>
        <v>0.85106872939036093</v>
      </c>
      <c r="M238" s="19">
        <f ca="1"/>
        <v>-1.6510664693705097</v>
      </c>
      <c r="N238" s="20">
        <f t="shared" ca="1" si="47"/>
        <v>2.5263028652308808E-2</v>
      </c>
      <c r="O238" s="20">
        <f t="shared" ca="1" si="48"/>
        <v>0.13662843782962109</v>
      </c>
      <c r="P238" s="19">
        <f t="shared" ca="1" si="49"/>
        <v>4.0098578557318493E-2</v>
      </c>
      <c r="Q238" s="19">
        <f ca="1">HCTrans(P238,Strike,RiskFreeRate,Dividend,Variance_T0*AnnualVarConvtr,(Simulation!G238)/250,0.5,Variance_Avg*AnnualVarConvtr,Lambda,SQRT(Simulation!N238),Rho,1,"Call")</f>
        <v>29.023356692573202</v>
      </c>
      <c r="R238" s="19">
        <f ca="1">BlackScholesImpliedVolatility(P238,Strike,RiskFreeRate,G238/250,Dividend,Q238,0.01,"call")</f>
        <v>0.75180287236760734</v>
      </c>
      <c r="S238" s="19">
        <f t="shared" ca="1" si="50"/>
        <v>0.55050445010581117</v>
      </c>
      <c r="T238" s="19">
        <f t="shared" ca="1" si="51"/>
        <v>11.0365960405734</v>
      </c>
      <c r="U238" s="19">
        <f t="shared" ca="1" si="52"/>
        <v>-26.142344578669412</v>
      </c>
      <c r="V238" s="21"/>
      <c r="X238" s="22"/>
      <c r="Y238" s="22"/>
      <c r="Z238" s="22"/>
    </row>
    <row r="239" spans="7:26" x14ac:dyDescent="0.25">
      <c r="G239" s="19">
        <v>16</v>
      </c>
      <c r="H239" s="19">
        <f t="shared" ca="1" si="53"/>
        <v>2.7207957688694662E-2</v>
      </c>
      <c r="I239" s="19">
        <f t="shared" ca="1" si="53"/>
        <v>0.91907095821964402</v>
      </c>
      <c r="J239" s="19">
        <f t="shared" ca="1" si="45"/>
        <v>2.3451734387697365</v>
      </c>
      <c r="K239" s="19">
        <f t="shared" ca="1" si="46"/>
        <v>-1.3071545872070587</v>
      </c>
      <c r="L239" s="19">
        <f t="array" aca="1" ref="L239:M239" ca="1">MMULT(J239:K239,TRANSPOSE($B$10:$C$11))</f>
        <v>2.3451734387697365</v>
      </c>
      <c r="M239" s="19">
        <f ca="1"/>
        <v>-2.5921709352960902</v>
      </c>
      <c r="N239" s="20">
        <f t="shared" ca="1" si="47"/>
        <v>1.6073873327215521E-2</v>
      </c>
      <c r="O239" s="20">
        <f t="shared" ca="1" si="48"/>
        <v>0.16015269292042278</v>
      </c>
      <c r="P239" s="19">
        <f t="shared" ca="1" si="49"/>
        <v>3.9124276884121616E-2</v>
      </c>
      <c r="Q239" s="19">
        <f ca="1">HCTrans(P239,Strike,RiskFreeRate,Dividend,Variance_T0*AnnualVarConvtr,(Simulation!G239)/250,0.5,Variance_Avg*AnnualVarConvtr,Lambda,SQRT(Simulation!N239),Rho,1,"Call")</f>
        <v>29.023356692573202</v>
      </c>
      <c r="R239" s="19">
        <f ca="1">BlackScholesImpliedVolatility(P239,Strike,RiskFreeRate,G239/250,Dividend,Q239,0.01,"call")</f>
        <v>0.75180287236760734</v>
      </c>
      <c r="S239" s="19">
        <f t="shared" ca="1" si="50"/>
        <v>0.55050445010581117</v>
      </c>
      <c r="T239" s="19">
        <f t="shared" ca="1" si="51"/>
        <v>11.0365960405734</v>
      </c>
      <c r="U239" s="19">
        <f t="shared" ca="1" si="52"/>
        <v>-26.142344578669412</v>
      </c>
      <c r="V239" s="21"/>
      <c r="X239" s="22"/>
      <c r="Y239" s="22"/>
      <c r="Z239" s="22"/>
    </row>
    <row r="240" spans="7:26" x14ac:dyDescent="0.25">
      <c r="G240" s="19">
        <v>15</v>
      </c>
      <c r="H240" s="19">
        <f t="shared" ca="1" si="53"/>
        <v>0.42984798586488426</v>
      </c>
      <c r="I240" s="19">
        <f t="shared" ca="1" si="53"/>
        <v>0.8567424215786732</v>
      </c>
      <c r="J240" s="19">
        <f t="shared" ca="1" si="45"/>
        <v>0.80765353328523559</v>
      </c>
      <c r="K240" s="19">
        <f t="shared" ca="1" si="46"/>
        <v>-1.0180093704168816</v>
      </c>
      <c r="L240" s="19">
        <f t="array" aca="1" ref="L240:M240" ca="1">MMULT(J240:K240,TRANSPOSE($B$10:$C$11))</f>
        <v>0.80765353328523559</v>
      </c>
      <c r="M240" s="19">
        <f ca="1"/>
        <v>-1.2888339522617827</v>
      </c>
      <c r="N240" s="20">
        <f t="shared" ca="1" si="47"/>
        <v>1.2269029693018459E-2</v>
      </c>
      <c r="O240" s="20">
        <f t="shared" ca="1" si="48"/>
        <v>0.16659667227599978</v>
      </c>
      <c r="P240" s="19">
        <f t="shared" ca="1" si="49"/>
        <v>3.860485759975258E-2</v>
      </c>
      <c r="Q240" s="19">
        <f ca="1">HCTrans(P240,Strike,RiskFreeRate,Dividend,Variance_T0*AnnualVarConvtr,(Simulation!G240)/250,0.5,Variance_Avg*AnnualVarConvtr,Lambda,SQRT(Simulation!N240),Rho,1,"Call")</f>
        <v>29.023356692573202</v>
      </c>
      <c r="R240" s="19">
        <f ca="1">BlackScholesImpliedVolatility(P240,Strike,RiskFreeRate,G240/250,Dividend,Q240,0.01,"call")</f>
        <v>0.75180287236760734</v>
      </c>
      <c r="S240" s="19">
        <f t="shared" ca="1" si="50"/>
        <v>0.55050445010581117</v>
      </c>
      <c r="T240" s="19">
        <f t="shared" ca="1" si="51"/>
        <v>11.0365960405734</v>
      </c>
      <c r="U240" s="19">
        <f t="shared" ca="1" si="52"/>
        <v>-26.142344578669412</v>
      </c>
      <c r="V240" s="21"/>
      <c r="X240" s="22"/>
      <c r="Y240" s="22"/>
      <c r="Z240" s="22"/>
    </row>
    <row r="241" spans="7:26" x14ac:dyDescent="0.25">
      <c r="G241" s="19">
        <v>14</v>
      </c>
      <c r="H241" s="19">
        <f t="shared" ca="1" si="53"/>
        <v>0.53112398338555378</v>
      </c>
      <c r="I241" s="19">
        <f t="shared" ca="1" si="53"/>
        <v>0.19326197005862467</v>
      </c>
      <c r="J241" s="19">
        <f t="shared" ca="1" si="45"/>
        <v>0.39259996340608688</v>
      </c>
      <c r="K241" s="19">
        <f t="shared" ca="1" si="46"/>
        <v>1.0542223949369762</v>
      </c>
      <c r="L241" s="19">
        <f t="array" aca="1" ref="L241:M241" ca="1">MMULT(J241:K241,TRANSPOSE($B$10:$C$11))</f>
        <v>0.39259996340608688</v>
      </c>
      <c r="M241" s="19">
        <f ca="1"/>
        <v>0.45411406032593787</v>
      </c>
      <c r="N241" s="20">
        <f t="shared" ca="1" si="47"/>
        <v>1.3505714458764409E-2</v>
      </c>
      <c r="O241" s="20">
        <f t="shared" ca="1" si="48"/>
        <v>0.16932246771976103</v>
      </c>
      <c r="P241" s="19">
        <f t="shared" ca="1" si="49"/>
        <v>3.8164730982095683E-2</v>
      </c>
      <c r="Q241" s="19">
        <f ca="1">HCTrans(P241,Strike,RiskFreeRate,Dividend,Variance_T0*AnnualVarConvtr,(Simulation!G241)/250,0.5,Variance_Avg*AnnualVarConvtr,Lambda,SQRT(Simulation!N241),Rho,1,"Call")</f>
        <v>29.023356692573202</v>
      </c>
      <c r="R241" s="19">
        <f ca="1">BlackScholesImpliedVolatility(P241,Strike,RiskFreeRate,G241/250,Dividend,Q241,0.01,"call")</f>
        <v>0.75180287236760734</v>
      </c>
      <c r="S241" s="19">
        <f t="shared" ca="1" si="50"/>
        <v>0.55050445010581117</v>
      </c>
      <c r="T241" s="19">
        <f t="shared" ca="1" si="51"/>
        <v>11.0365960405734</v>
      </c>
      <c r="U241" s="19">
        <f t="shared" ca="1" si="52"/>
        <v>-26.142344578669412</v>
      </c>
      <c r="V241" s="21"/>
      <c r="X241" s="22"/>
      <c r="Y241" s="22"/>
      <c r="Z241" s="22"/>
    </row>
    <row r="242" spans="7:26" x14ac:dyDescent="0.25">
      <c r="G242" s="19">
        <v>13</v>
      </c>
      <c r="H242" s="19">
        <f t="shared" ca="1" si="53"/>
        <v>0.13292211843758062</v>
      </c>
      <c r="I242" s="19">
        <f t="shared" ca="1" si="53"/>
        <v>0.82309609302207754</v>
      </c>
      <c r="J242" s="19">
        <f t="shared" ca="1" si="45"/>
        <v>0.89057800219985128</v>
      </c>
      <c r="K242" s="19">
        <f t="shared" ca="1" si="46"/>
        <v>-1.8007927748260866</v>
      </c>
      <c r="L242" s="19">
        <f t="array" aca="1" ref="L242:M242" ca="1">MMULT(J242:K242,TRANSPOSE($B$10:$C$11))</f>
        <v>0.89057800219985128</v>
      </c>
      <c r="M242" s="19">
        <f ca="1"/>
        <v>-1.8943089324677875</v>
      </c>
      <c r="N242" s="20">
        <f t="shared" ca="1" si="47"/>
        <v>8.6128159999195267E-3</v>
      </c>
      <c r="O242" s="20">
        <f t="shared" ca="1" si="48"/>
        <v>0.17584122628589016</v>
      </c>
      <c r="P242" s="19">
        <f t="shared" ca="1" si="49"/>
        <v>3.7611766788023422E-2</v>
      </c>
      <c r="Q242" s="19">
        <f ca="1">HCTrans(P242,Strike,RiskFreeRate,Dividend,Variance_T0*AnnualVarConvtr,(Simulation!G242)/250,0.5,Variance_Avg*AnnualVarConvtr,Lambda,SQRT(Simulation!N242),Rho,1,"Call")</f>
        <v>29.023356692573202</v>
      </c>
      <c r="R242" s="19">
        <f ca="1">BlackScholesImpliedVolatility(P242,Strike,RiskFreeRate,G242/250,Dividend,Q242,0.01,"call")</f>
        <v>0.75180287236760734</v>
      </c>
      <c r="S242" s="19">
        <f t="shared" ca="1" si="50"/>
        <v>0.55050445010581117</v>
      </c>
      <c r="T242" s="19">
        <f t="shared" ca="1" si="51"/>
        <v>11.0365960405734</v>
      </c>
      <c r="U242" s="19">
        <f t="shared" ca="1" si="52"/>
        <v>-26.142344578669412</v>
      </c>
      <c r="V242" s="21"/>
      <c r="X242" s="22"/>
      <c r="Y242" s="22"/>
      <c r="Z242" s="22"/>
    </row>
    <row r="243" spans="7:26" x14ac:dyDescent="0.25">
      <c r="G243" s="19">
        <v>12</v>
      </c>
      <c r="H243" s="19">
        <f t="shared" ca="1" si="53"/>
        <v>0.18915304831454471</v>
      </c>
      <c r="I243" s="19">
        <f t="shared" ca="1" si="53"/>
        <v>0.85445942236818628</v>
      </c>
      <c r="J243" s="19">
        <f t="shared" ca="1" si="45"/>
        <v>1.1136129800824357</v>
      </c>
      <c r="K243" s="19">
        <f t="shared" ca="1" si="46"/>
        <v>-1.445774448156347</v>
      </c>
      <c r="L243" s="19">
        <f t="array" aca="1" ref="L243:M243" ca="1">MMULT(J243:K243,TRANSPOSE($B$10:$C$11))</f>
        <v>1.1136129800824357</v>
      </c>
      <c r="M243" s="19">
        <f ca="1"/>
        <v>-1.8064572922477911</v>
      </c>
      <c r="N243" s="20">
        <f t="shared" ca="1" si="47"/>
        <v>4.9842204876835742E-3</v>
      </c>
      <c r="O243" s="20">
        <f t="shared" ca="1" si="48"/>
        <v>0.18236037421496532</v>
      </c>
      <c r="P243" s="19">
        <f t="shared" ca="1" si="49"/>
        <v>3.7099214578688866E-2</v>
      </c>
      <c r="Q243" s="19">
        <f ca="1">HCTrans(P243,Strike,RiskFreeRate,Dividend,Variance_T0*AnnualVarConvtr,(Simulation!G243)/250,0.5,Variance_Avg*AnnualVarConvtr,Lambda,SQRT(Simulation!N243),Rho,1,"Call")</f>
        <v>29.023356692573202</v>
      </c>
      <c r="R243" s="19">
        <f ca="1">BlackScholesImpliedVolatility(P243,Strike,RiskFreeRate,G243/250,Dividend,Q243,0.01,"call")</f>
        <v>0.75180287236760734</v>
      </c>
      <c r="S243" s="19">
        <f t="shared" ca="1" si="50"/>
        <v>0.55050445010581117</v>
      </c>
      <c r="T243" s="19">
        <f t="shared" ca="1" si="51"/>
        <v>11.0365960405734</v>
      </c>
      <c r="U243" s="19">
        <f t="shared" ca="1" si="52"/>
        <v>-26.142344578669412</v>
      </c>
      <c r="V243" s="21"/>
      <c r="X243" s="22"/>
      <c r="Y243" s="22"/>
      <c r="Z243" s="22"/>
    </row>
    <row r="244" spans="7:26" x14ac:dyDescent="0.25">
      <c r="G244" s="19">
        <v>11</v>
      </c>
      <c r="H244" s="19">
        <f t="shared" ca="1" si="53"/>
        <v>0.94660439896006043</v>
      </c>
      <c r="I244" s="19">
        <f t="shared" ca="1" si="53"/>
        <v>0.9403781715916727</v>
      </c>
      <c r="J244" s="19">
        <f t="shared" ca="1" si="45"/>
        <v>0.30830749194090867</v>
      </c>
      <c r="K244" s="19">
        <f t="shared" ca="1" si="46"/>
        <v>-0.12122095207745709</v>
      </c>
      <c r="L244" s="19">
        <f t="array" aca="1" ref="L244:M244" ca="1">MMULT(J244:K244,TRANSPOSE($B$10:$C$11))</f>
        <v>0.30830749194090867</v>
      </c>
      <c r="M244" s="19">
        <f ca="1"/>
        <v>-0.30546448934447484</v>
      </c>
      <c r="N244" s="20">
        <f t="shared" ca="1" si="47"/>
        <v>4.4803823239154142E-3</v>
      </c>
      <c r="O244" s="20">
        <f t="shared" ca="1" si="48"/>
        <v>0.18372702140648758</v>
      </c>
      <c r="P244" s="19">
        <f t="shared" ca="1" si="49"/>
        <v>3.647296137955041E-2</v>
      </c>
      <c r="Q244" s="19">
        <f ca="1">HCTrans(P244,Strike,RiskFreeRate,Dividend,Variance_T0*AnnualVarConvtr,(Simulation!G244)/250,0.5,Variance_Avg*AnnualVarConvtr,Lambda,SQRT(Simulation!N244),Rho,1,"Call")</f>
        <v>29.023356692573202</v>
      </c>
      <c r="R244" s="19">
        <f ca="1">BlackScholesImpliedVolatility(P244,Strike,RiskFreeRate,G244/250,Dividend,Q244,0.01,"call")</f>
        <v>0.75180287236760734</v>
      </c>
      <c r="S244" s="19">
        <f t="shared" ca="1" si="50"/>
        <v>0.55050445010581117</v>
      </c>
      <c r="T244" s="19">
        <f t="shared" ca="1" si="51"/>
        <v>11.0365960405734</v>
      </c>
      <c r="U244" s="19">
        <f t="shared" ca="1" si="52"/>
        <v>-26.142344578669412</v>
      </c>
      <c r="V244" s="21"/>
      <c r="X244" s="22"/>
      <c r="Y244" s="22"/>
      <c r="Z244" s="22"/>
    </row>
    <row r="245" spans="7:26" x14ac:dyDescent="0.25">
      <c r="G245" s="19">
        <v>10</v>
      </c>
      <c r="H245" s="19">
        <f t="shared" ca="1" si="53"/>
        <v>0.99261463949766315</v>
      </c>
      <c r="I245" s="19">
        <f t="shared" ca="1" si="53"/>
        <v>0.55846787218012905</v>
      </c>
      <c r="J245" s="19">
        <f t="shared" ca="1" si="45"/>
        <v>-0.11363596793663357</v>
      </c>
      <c r="K245" s="19">
        <f t="shared" ca="1" si="46"/>
        <v>-4.3731011777173548E-2</v>
      </c>
      <c r="L245" s="19">
        <f t="array" aca="1" ref="L245:M245" ca="1">MMULT(J245:K245,TRANSPOSE($B$10:$C$11))</f>
        <v>-0.11363596793663357</v>
      </c>
      <c r="M245" s="19">
        <f ca="1"/>
        <v>5.0913981719735879E-2</v>
      </c>
      <c r="N245" s="20">
        <f t="shared" ca="1" si="47"/>
        <v>4.5779359794149163E-3</v>
      </c>
      <c r="O245" s="20">
        <f t="shared" ca="1" si="48"/>
        <v>0.18323699609824709</v>
      </c>
      <c r="P245" s="19">
        <f t="shared" ca="1" si="49"/>
        <v>3.574653859858265E-2</v>
      </c>
      <c r="Q245" s="19">
        <f ca="1">HCTrans(P245,Strike,RiskFreeRate,Dividend,Variance_T0*AnnualVarConvtr,(Simulation!G245)/250,0.5,Variance_Avg*AnnualVarConvtr,Lambda,SQRT(Simulation!N245),Rho,1,"Call")</f>
        <v>29.023356692573202</v>
      </c>
      <c r="R245" s="19">
        <f ca="1">BlackScholesImpliedVolatility(P245,Strike,RiskFreeRate,G245/250,Dividend,Q245,0.01,"call")</f>
        <v>0.75180287236760734</v>
      </c>
      <c r="S245" s="19">
        <f t="shared" ca="1" si="50"/>
        <v>0.55050445010581117</v>
      </c>
      <c r="T245" s="19">
        <f t="shared" ca="1" si="51"/>
        <v>11.0365960405734</v>
      </c>
      <c r="U245" s="19">
        <f t="shared" ca="1" si="52"/>
        <v>-26.142344578669412</v>
      </c>
      <c r="V245" s="21"/>
      <c r="X245" s="22"/>
      <c r="Y245" s="22"/>
      <c r="Z245" s="22"/>
    </row>
    <row r="246" spans="7:26" x14ac:dyDescent="0.25">
      <c r="G246" s="19">
        <v>9</v>
      </c>
      <c r="H246" s="19">
        <f t="shared" ca="1" si="53"/>
        <v>8.5046098547085447E-2</v>
      </c>
      <c r="I246" s="19">
        <f t="shared" ca="1" si="53"/>
        <v>0.27797088387319657</v>
      </c>
      <c r="J246" s="19">
        <f t="shared" ca="1" si="45"/>
        <v>-0.38817981832525439</v>
      </c>
      <c r="K246" s="19">
        <f t="shared" ca="1" si="46"/>
        <v>2.1859643400463691</v>
      </c>
      <c r="L246" s="19">
        <f t="array" aca="1" ref="L246:M246" ca="1">MMULT(J246:K246,TRANSPOSE($B$10:$C$11))</f>
        <v>-0.38817981832525439</v>
      </c>
      <c r="M246" s="19">
        <f ca="1"/>
        <v>1.8030313455693709</v>
      </c>
      <c r="N246" s="20">
        <f t="shared" ca="1" si="47"/>
        <v>8.0709961761291898E-3</v>
      </c>
      <c r="O246" s="20">
        <f t="shared" ca="1" si="48"/>
        <v>0.18156673247203159</v>
      </c>
      <c r="P246" s="19">
        <f t="shared" ca="1" si="49"/>
        <v>3.5031134839568705E-2</v>
      </c>
      <c r="Q246" s="19">
        <f ca="1">HCTrans(P246,Strike,RiskFreeRate,Dividend,Variance_T0*AnnualVarConvtr,(Simulation!G246)/250,0.5,Variance_Avg*AnnualVarConvtr,Lambda,SQRT(Simulation!N246),Rho,1,"Call")</f>
        <v>29.023356692573202</v>
      </c>
      <c r="R246" s="19">
        <f ca="1">BlackScholesImpliedVolatility(P246,Strike,RiskFreeRate,G246/250,Dividend,Q246,0.01,"call")</f>
        <v>0.75180287236760734</v>
      </c>
      <c r="S246" s="19">
        <f t="shared" ca="1" si="50"/>
        <v>0.55050445010581117</v>
      </c>
      <c r="T246" s="19">
        <f t="shared" ca="1" si="51"/>
        <v>11.0365960405734</v>
      </c>
      <c r="U246" s="19">
        <f t="shared" ca="1" si="52"/>
        <v>-26.142344578669412</v>
      </c>
      <c r="V246" s="21"/>
      <c r="X246" s="22"/>
      <c r="Y246" s="22"/>
      <c r="Z246" s="22"/>
    </row>
    <row r="247" spans="7:26" x14ac:dyDescent="0.25">
      <c r="G247" s="19">
        <v>8</v>
      </c>
      <c r="H247" s="19">
        <f t="shared" ca="1" si="53"/>
        <v>0.1137422641225172</v>
      </c>
      <c r="I247" s="19">
        <f t="shared" ca="1" si="53"/>
        <v>0.81286306227571692</v>
      </c>
      <c r="J247" s="19">
        <f t="shared" ca="1" si="45"/>
        <v>0.80232543891417085</v>
      </c>
      <c r="K247" s="19">
        <f t="shared" ca="1" si="46"/>
        <v>-1.9245556246642668</v>
      </c>
      <c r="L247" s="19">
        <f t="array" aca="1" ref="L247:M247" ca="1">MMULT(J247:K247,TRANSPOSE($B$10:$C$11))</f>
        <v>0.80232543891417085</v>
      </c>
      <c r="M247" s="19">
        <f ca="1"/>
        <v>-1.9174113373077901</v>
      </c>
      <c r="N247" s="20">
        <f t="shared" ca="1" si="47"/>
        <v>4.3943630185001104E-3</v>
      </c>
      <c r="O247" s="20">
        <f t="shared" ca="1" si="48"/>
        <v>0.18610932318590812</v>
      </c>
      <c r="P247" s="19">
        <f t="shared" ca="1" si="49"/>
        <v>3.4461417007460318E-2</v>
      </c>
      <c r="Q247" s="19">
        <f ca="1">HCTrans(P247,Strike,RiskFreeRate,Dividend,Variance_T0*AnnualVarConvtr,(Simulation!G247)/250,0.5,Variance_Avg*AnnualVarConvtr,Lambda,SQRT(Simulation!N247),Rho,1,"Call")</f>
        <v>29.023356692573202</v>
      </c>
      <c r="R247" s="19">
        <f ca="1">BlackScholesImpliedVolatility(P247,Strike,RiskFreeRate,G247/250,Dividend,Q247,0.01,"call")</f>
        <v>0.75180287236760734</v>
      </c>
      <c r="S247" s="19">
        <f t="shared" ca="1" si="50"/>
        <v>0.55050445010581117</v>
      </c>
      <c r="T247" s="19">
        <f t="shared" ca="1" si="51"/>
        <v>11.0365960405734</v>
      </c>
      <c r="U247" s="19">
        <f t="shared" ca="1" si="52"/>
        <v>-26.142344578669412</v>
      </c>
      <c r="V247" s="21"/>
      <c r="X247" s="22"/>
      <c r="Y247" s="22"/>
      <c r="Z247" s="22"/>
    </row>
    <row r="248" spans="7:26" x14ac:dyDescent="0.25">
      <c r="G248" s="19">
        <v>7</v>
      </c>
      <c r="H248" s="19">
        <f t="shared" ca="1" si="53"/>
        <v>0.83911653539203734</v>
      </c>
      <c r="I248" s="19">
        <f t="shared" ca="1" si="53"/>
        <v>0.90196650190701322</v>
      </c>
      <c r="J248" s="19">
        <f t="shared" ca="1" si="45"/>
        <v>0.48344026665536582</v>
      </c>
      <c r="K248" s="19">
        <f t="shared" ca="1" si="46"/>
        <v>-0.34219420943133061</v>
      </c>
      <c r="L248" s="19">
        <f t="array" aca="1" ref="L248:M248" ca="1">MMULT(J248:K248,TRANSPOSE($B$10:$C$11))</f>
        <v>0.48344026665536582</v>
      </c>
      <c r="M248" s="19">
        <f ca="1"/>
        <v>-0.58509521428813183</v>
      </c>
      <c r="N248" s="20">
        <f t="shared" ca="1" si="47"/>
        <v>3.5088324997490168E-3</v>
      </c>
      <c r="O248" s="20">
        <f t="shared" ca="1" si="48"/>
        <v>0.18812738059907394</v>
      </c>
      <c r="P248" s="19">
        <f t="shared" ca="1" si="49"/>
        <v>3.3839955008501621E-2</v>
      </c>
      <c r="Q248" s="19">
        <f ca="1">HCTrans(P248,Strike,RiskFreeRate,Dividend,Variance_T0*AnnualVarConvtr,(Simulation!G248)/250,0.5,Variance_Avg*AnnualVarConvtr,Lambda,SQRT(Simulation!N248),Rho,1,"Call")</f>
        <v>29.023356692573202</v>
      </c>
      <c r="R248" s="19">
        <f ca="1">BlackScholesImpliedVolatility(P248,Strike,RiskFreeRate,G248/250,Dividend,Q248,0.01,"call")</f>
        <v>0.75180287236760734</v>
      </c>
      <c r="S248" s="19">
        <f t="shared" ca="1" si="50"/>
        <v>0.55050445010581117</v>
      </c>
      <c r="T248" s="19">
        <f t="shared" ca="1" si="51"/>
        <v>11.0365960405734</v>
      </c>
      <c r="U248" s="19">
        <f t="shared" ca="1" si="52"/>
        <v>-26.142344578669412</v>
      </c>
      <c r="V248" s="21"/>
      <c r="X248" s="22"/>
      <c r="Y248" s="22"/>
      <c r="Z248" s="22"/>
    </row>
    <row r="249" spans="7:26" x14ac:dyDescent="0.25">
      <c r="G249" s="19">
        <v>6</v>
      </c>
      <c r="H249" s="19">
        <f t="shared" ca="1" si="53"/>
        <v>0.13795904327743957</v>
      </c>
      <c r="I249" s="19">
        <f t="shared" ca="1" si="53"/>
        <v>0.4453577484682818</v>
      </c>
      <c r="J249" s="19">
        <f t="shared" ca="1" si="45"/>
        <v>-1.8742173257934653</v>
      </c>
      <c r="K249" s="19">
        <f t="shared" ca="1" si="46"/>
        <v>0.67000467695023902</v>
      </c>
      <c r="L249" s="19">
        <f t="array" aca="1" ref="L249:M249" ca="1">MMULT(J249:K249,TRANSPOSE($B$10:$C$11))</f>
        <v>-1.8742173257934653</v>
      </c>
      <c r="M249" s="19">
        <f ca="1"/>
        <v>1.810263327706914</v>
      </c>
      <c r="N249" s="20">
        <f t="shared" ca="1" si="47"/>
        <v>6.6495136152795193E-3</v>
      </c>
      <c r="O249" s="20">
        <f t="shared" ca="1" si="48"/>
        <v>0.18109884090996323</v>
      </c>
      <c r="P249" s="19">
        <f t="shared" ca="1" si="49"/>
        <v>3.3137844404178232E-2</v>
      </c>
      <c r="Q249" s="19">
        <f ca="1">HCTrans(P249,Strike,RiskFreeRate,Dividend,Variance_T0*AnnualVarConvtr,(Simulation!G249)/250,0.5,Variance_Avg*AnnualVarConvtr,Lambda,SQRT(Simulation!N249),Rho,1,"Call")</f>
        <v>29.023356692573202</v>
      </c>
      <c r="R249" s="19">
        <f ca="1">BlackScholesImpliedVolatility(P249,Strike,RiskFreeRate,G249/250,Dividend,Q249,0.01,"call")</f>
        <v>0.75180287236760734</v>
      </c>
      <c r="S249" s="19">
        <f t="shared" ca="1" si="50"/>
        <v>0.55050445010581117</v>
      </c>
      <c r="T249" s="19">
        <f t="shared" ca="1" si="51"/>
        <v>11.0365960405734</v>
      </c>
      <c r="U249" s="19">
        <f t="shared" ca="1" si="52"/>
        <v>-26.142344578669412</v>
      </c>
      <c r="V249" s="21"/>
      <c r="X249" s="22"/>
      <c r="Y249" s="22"/>
      <c r="Z249" s="22"/>
    </row>
    <row r="250" spans="7:26" x14ac:dyDescent="0.25">
      <c r="G250" s="19">
        <v>5</v>
      </c>
      <c r="H250" s="19">
        <f t="shared" ca="1" si="53"/>
        <v>0.87708747742010973</v>
      </c>
      <c r="I250" s="19">
        <f t="shared" ca="1" si="53"/>
        <v>0.67275297524842215</v>
      </c>
      <c r="J250" s="19">
        <f t="shared" ca="1" si="45"/>
        <v>-0.2389302737266342</v>
      </c>
      <c r="K250" s="19">
        <f t="shared" ca="1" si="46"/>
        <v>-0.45300045812260242</v>
      </c>
      <c r="L250" s="19">
        <f t="array" aca="1" ref="L250:M250" ca="1">MMULT(J250:K250,TRANSPOSE($B$10:$C$11))</f>
        <v>-0.2389302737266342</v>
      </c>
      <c r="M250" s="19">
        <f ca="1"/>
        <v>-0.14481373083093607</v>
      </c>
      <c r="N250" s="20">
        <f t="shared" ca="1" si="47"/>
        <v>6.3652119775069339E-3</v>
      </c>
      <c r="O250" s="20">
        <f t="shared" ca="1" si="48"/>
        <v>0.17985329957400872</v>
      </c>
      <c r="P250" s="19">
        <f t="shared" ca="1" si="49"/>
        <v>3.252970427075625E-2</v>
      </c>
      <c r="Q250" s="19">
        <f ca="1">HCTrans(P250,Strike,RiskFreeRate,Dividend,Variance_T0*AnnualVarConvtr,(Simulation!G250)/250,0.5,Variance_Avg*AnnualVarConvtr,Lambda,SQRT(Simulation!N250),Rho,1,"Call")</f>
        <v>29.023356692573202</v>
      </c>
      <c r="R250" s="19">
        <f ca="1">BlackScholesImpliedVolatility(P250,Strike,RiskFreeRate,G250/250,Dividend,Q250,0.01,"call")</f>
        <v>0.75180287236760734</v>
      </c>
      <c r="S250" s="19">
        <f t="shared" ca="1" si="50"/>
        <v>0.55050445010581117</v>
      </c>
      <c r="T250" s="19">
        <f t="shared" ca="1" si="51"/>
        <v>11.0365960405734</v>
      </c>
      <c r="U250" s="19">
        <f t="shared" ca="1" si="52"/>
        <v>-26.142344578669412</v>
      </c>
      <c r="V250" s="21"/>
      <c r="X250" s="22"/>
      <c r="Y250" s="22"/>
      <c r="Z250" s="22"/>
    </row>
    <row r="251" spans="7:26" x14ac:dyDescent="0.25">
      <c r="G251" s="19">
        <v>4</v>
      </c>
      <c r="H251" s="19">
        <f t="shared" ca="1" si="53"/>
        <v>7.8187022593715794E-2</v>
      </c>
      <c r="I251" s="19">
        <f t="shared" ca="1" si="53"/>
        <v>0.15750157264937836</v>
      </c>
      <c r="J251" s="19">
        <f t="shared" ca="1" si="45"/>
        <v>1.2395215875877743</v>
      </c>
      <c r="K251" s="19">
        <f t="shared" ca="1" si="46"/>
        <v>1.8870319094500208</v>
      </c>
      <c r="L251" s="19">
        <f t="array" aca="1" ref="L251:M251" ca="1">MMULT(J251:K251,TRANSPOSE($B$10:$C$11))</f>
        <v>1.2395215875877743</v>
      </c>
      <c r="M251" s="19">
        <f ca="1"/>
        <v>0.42825188346668308</v>
      </c>
      <c r="N251" s="20">
        <f t="shared" ca="1" si="47"/>
        <v>7.2341698906163484E-3</v>
      </c>
      <c r="O251" s="20">
        <f t="shared" ca="1" si="48"/>
        <v>0.18609503932948906</v>
      </c>
      <c r="P251" s="19">
        <f t="shared" ca="1" si="49"/>
        <v>3.1954089588291851E-2</v>
      </c>
      <c r="Q251" s="19">
        <f ca="1">HCTrans(P251,Strike,RiskFreeRate,Dividend,Variance_T0*AnnualVarConvtr,(Simulation!G251)/250,0.5,Variance_Avg*AnnualVarConvtr,Lambda,SQRT(Simulation!N251),Rho,1,"Call")</f>
        <v>29.023356692573202</v>
      </c>
      <c r="R251" s="19">
        <f ca="1">BlackScholesImpliedVolatility(P251,Strike,RiskFreeRate,G251/250,Dividend,Q251,0.01,"call")</f>
        <v>0.75180287236760734</v>
      </c>
      <c r="S251" s="19">
        <f t="shared" ca="1" si="50"/>
        <v>0.55050445010581117</v>
      </c>
      <c r="T251" s="19">
        <f t="shared" ca="1" si="51"/>
        <v>11.0365960405734</v>
      </c>
      <c r="U251" s="19">
        <f t="shared" ca="1" si="52"/>
        <v>-26.142344578669412</v>
      </c>
      <c r="V251" s="21"/>
      <c r="X251" s="22"/>
      <c r="Y251" s="22"/>
      <c r="Z251" s="22"/>
    </row>
    <row r="252" spans="7:26" x14ac:dyDescent="0.25">
      <c r="G252" s="19">
        <v>3</v>
      </c>
      <c r="H252" s="19">
        <f t="shared" ca="1" si="53"/>
        <v>0.87271736485908213</v>
      </c>
      <c r="I252" s="19">
        <f t="shared" ca="1" si="53"/>
        <v>0.38550610142069419</v>
      </c>
      <c r="J252" s="19">
        <f t="shared" ca="1" si="45"/>
        <v>-0.39251179696298122</v>
      </c>
      <c r="K252" s="19">
        <f t="shared" ca="1" si="46"/>
        <v>0.34383359864069096</v>
      </c>
      <c r="L252" s="19">
        <f t="array" aca="1" ref="L252:M252" ca="1">MMULT(J252:K252,TRANSPOSE($B$10:$C$11))</f>
        <v>-0.39251179696298122</v>
      </c>
      <c r="M252" s="19">
        <f ca="1"/>
        <v>0.52108858250366519</v>
      </c>
      <c r="N252" s="20">
        <f t="shared" ca="1" si="47"/>
        <v>8.3607409691722531E-3</v>
      </c>
      <c r="O252" s="20">
        <f t="shared" ca="1" si="48"/>
        <v>0.1839691391730611</v>
      </c>
      <c r="P252" s="19">
        <f t="shared" ca="1" si="49"/>
        <v>3.1388660668835083E-2</v>
      </c>
      <c r="Q252" s="19">
        <f ca="1">HCTrans(P252,Strike,RiskFreeRate,Dividend,Variance_T0*AnnualVarConvtr,(Simulation!G252)/250,0.5,Variance_Avg*AnnualVarConvtr,Lambda,SQRT(Simulation!N252),Rho,1,"Call")</f>
        <v>29.023356692573202</v>
      </c>
      <c r="R252" s="19">
        <f ca="1">BlackScholesImpliedVolatility(P252,Strike,RiskFreeRate,G252/250,Dividend,Q252,0.01,"call")</f>
        <v>0.75180287236760734</v>
      </c>
      <c r="S252" s="19">
        <f t="shared" ca="1" si="50"/>
        <v>0.55050445010581117</v>
      </c>
      <c r="T252" s="19">
        <f t="shared" ca="1" si="51"/>
        <v>11.0365960405734</v>
      </c>
      <c r="U252" s="19">
        <f t="shared" ca="1" si="52"/>
        <v>-26.142344578669412</v>
      </c>
      <c r="V252" s="21"/>
      <c r="X252" s="22"/>
      <c r="Y252" s="22"/>
      <c r="Z252" s="22"/>
    </row>
    <row r="253" spans="7:26" x14ac:dyDescent="0.25">
      <c r="G253" s="19">
        <v>2</v>
      </c>
      <c r="H253" s="19">
        <f t="shared" ca="1" si="53"/>
        <v>0.35810120738382223</v>
      </c>
      <c r="I253" s="19">
        <f t="shared" ca="1" si="53"/>
        <v>0.80368447089294226</v>
      </c>
      <c r="J253" s="19">
        <f t="shared" ca="1" si="45"/>
        <v>0.47429553407009006</v>
      </c>
      <c r="K253" s="19">
        <f t="shared" ca="1" si="46"/>
        <v>-1.3523767992133757</v>
      </c>
      <c r="L253" s="19">
        <f t="array" aca="1" ref="L253:M253" ca="1">MMULT(J253:K253,TRANSPOSE($B$10:$C$11))</f>
        <v>0.47429553407009006</v>
      </c>
      <c r="M253" s="19">
        <f ca="1"/>
        <v>-1.2832333479161049</v>
      </c>
      <c r="N253" s="20">
        <f t="shared" ca="1" si="47"/>
        <v>5.7241935150914077E-3</v>
      </c>
      <c r="O253" s="20">
        <f t="shared" ca="1" si="48"/>
        <v>0.18669526363362093</v>
      </c>
      <c r="P253" s="19">
        <f t="shared" ca="1" si="49"/>
        <v>3.0776907809186675E-2</v>
      </c>
      <c r="Q253" s="19">
        <f ca="1">HCTrans(P253,Strike,RiskFreeRate,Dividend,Variance_T0*AnnualVarConvtr,(Simulation!G253)/250,0.5,Variance_Avg*AnnualVarConvtr,Lambda,SQRT(Simulation!N253),Rho,1,"Call")</f>
        <v>29.023356692573202</v>
      </c>
      <c r="R253" s="19">
        <f ca="1">BlackScholesImpliedVolatility(P253,Strike,RiskFreeRate,G253/250,Dividend,Q253,0.01,"call")</f>
        <v>0.75180287236760734</v>
      </c>
      <c r="S253" s="19">
        <f t="shared" ca="1" si="50"/>
        <v>0.55050445010581117</v>
      </c>
      <c r="T253" s="19">
        <f t="shared" ca="1" si="51"/>
        <v>11.0365960405734</v>
      </c>
      <c r="U253" s="19">
        <f t="shared" ca="1" si="52"/>
        <v>-26.142344578669412</v>
      </c>
      <c r="V253" s="21"/>
      <c r="X253" s="22"/>
      <c r="Y253" s="22"/>
      <c r="Z253" s="22"/>
    </row>
    <row r="254" spans="7:26" x14ac:dyDescent="0.25">
      <c r="G254" s="19">
        <v>1</v>
      </c>
      <c r="H254" s="19">
        <f t="shared" ca="1" si="53"/>
        <v>0.95472843477837999</v>
      </c>
      <c r="I254" s="19">
        <f t="shared" ca="1" si="53"/>
        <v>0.54038862737497406</v>
      </c>
      <c r="J254" s="19">
        <f t="shared" ca="1" si="45"/>
        <v>-0.29464672712599027</v>
      </c>
      <c r="K254" s="19">
        <f t="shared" ca="1" si="46"/>
        <v>-7.6419807973844456E-2</v>
      </c>
      <c r="L254" s="19">
        <f t="array" aca="1" ref="L254:M254" ca="1">MMULT(J254:K254,TRANSPOSE($B$10:$C$11))</f>
        <v>-0.29464672712599027</v>
      </c>
      <c r="M254" s="19">
        <f ca="1"/>
        <v>0.15780490842076669</v>
      </c>
      <c r="N254" s="20">
        <f t="shared" ca="1" si="47"/>
        <v>6.027697138711134E-3</v>
      </c>
      <c r="O254" s="20">
        <f t="shared" ca="1" si="48"/>
        <v>0.1852739137526043</v>
      </c>
      <c r="P254" s="19">
        <f t="shared" ca="1" si="49"/>
        <v>3.0171686879545453E-2</v>
      </c>
      <c r="Q254" s="19">
        <f ca="1">HCTrans(P254,Strike,RiskFreeRate,Dividend,Variance_T0*AnnualVarConvtr,(Simulation!G254)/250,0.5,Variance_Avg*AnnualVarConvtr,Lambda,SQRT(Simulation!N254),Rho,1,"Call")</f>
        <v>29.023356692573202</v>
      </c>
      <c r="R254" s="19">
        <f ca="1">BlackScholesImpliedVolatility(P254,Strike,RiskFreeRate,G254/250,Dividend,Q254,0.01,"call")</f>
        <v>0.75180287236760734</v>
      </c>
      <c r="S254" s="19">
        <f t="shared" ca="1" si="50"/>
        <v>0.55050445010581117</v>
      </c>
      <c r="T254" s="19">
        <f t="shared" ca="1" si="51"/>
        <v>11.0365960405734</v>
      </c>
      <c r="U254" s="19">
        <f t="shared" ca="1" si="52"/>
        <v>-26.142344578669412</v>
      </c>
      <c r="V254" s="21"/>
      <c r="X254" s="22"/>
      <c r="Y254" s="22"/>
      <c r="Z254" s="22"/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2015-01-05T00:21:12Z</dcterms:modified>
</cp:coreProperties>
</file>