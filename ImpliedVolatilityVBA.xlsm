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showHorizontalScroll="0" showVerticalScroll="0" xWindow="240" yWindow="90" windowWidth="18555" windowHeight="9240"/>
  </bookViews>
  <sheets>
    <sheet name="Implied Volatility" sheetId="1" r:id="rId1"/>
  </sheets>
  <functionGroups builtInGroupCount="17"/>
  <calcPr calcId="145621" calcMode="autoNoTable"/>
</workbook>
</file>

<file path=xl/calcChain.xml><?xml version="1.0" encoding="utf-8"?>
<calcChain xmlns="http://schemas.openxmlformats.org/spreadsheetml/2006/main">
  <c r="C16" i="1" l="1"/>
  <c r="B16" i="1"/>
  <c r="B17" i="1"/>
  <c r="C17" i="1"/>
</calcChain>
</file>

<file path=xl/sharedStrings.xml><?xml version="1.0" encoding="utf-8"?>
<sst xmlns="http://schemas.openxmlformats.org/spreadsheetml/2006/main" count="17" uniqueCount="16">
  <si>
    <t>Implied Volatility</t>
  </si>
  <si>
    <t>Put</t>
  </si>
  <si>
    <t>http://investexcel.net</t>
  </si>
  <si>
    <t>This spreadsheet calculates the implied volatility of a European Option</t>
  </si>
  <si>
    <t>Option Value</t>
  </si>
  <si>
    <t>Asset Price</t>
  </si>
  <si>
    <t>Strike Price</t>
  </si>
  <si>
    <t>Risk-Free Rate</t>
  </si>
  <si>
    <t>Time to Maturity</t>
  </si>
  <si>
    <t>Dividend Yield</t>
  </si>
  <si>
    <t>Guess Value for Volatility</t>
  </si>
  <si>
    <t>Parameters</t>
  </si>
  <si>
    <t>Call</t>
  </si>
  <si>
    <t>Results</t>
  </si>
  <si>
    <t>Back-solved Option Value</t>
  </si>
  <si>
    <t>with a Newton-Raphson method programmed in VBA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</si>
</sst>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$&quot;#,##0.00"/>
    <numFmt numFmtId="165" formatCode="0.0%"/>
  </numFmts>
  <fonts count="8" x14ac:knownFonts="1">
    <font>
      <sz val="10"/>
      <name val="Times New Roman"/>
    </font>
    <font>
      <sz val="10"/>
      <name val="Times New Roman"/>
      <family val="1"/>
    </font>
    <font>
      <sz val="8"/>
      <name val="Times New Roman"/>
      <family val="1"/>
    </font>
    <font>
      <u/>
      <sz val="10"/>
      <color indexed="12"/>
      <name val="Times New Roman"/>
      <family val="1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24"/>
      <name val="Calibri"/>
      <family val="2"/>
      <scheme val="minor"/>
    </font>
    <font>
      <u/>
      <sz val="11"/>
      <color indexed="1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5">
    <xf numFmtId="0" fontId="0" fillId="0" borderId="0" xfId="0"/>
    <xf numFmtId="0" fontId="4" fillId="0" borderId="0" xfId="0" applyFont="1" applyFill="1" applyBorder="1"/>
    <xf numFmtId="164" fontId="4" fillId="0" borderId="0" xfId="0" applyNumberFormat="1" applyFont="1" applyFill="1" applyBorder="1"/>
    <xf numFmtId="10" fontId="4" fillId="0" borderId="0" xfId="2" applyNumberFormat="1" applyFont="1" applyFill="1" applyBorder="1"/>
    <xf numFmtId="165" fontId="4" fillId="0" borderId="0" xfId="2" applyNumberFormat="1" applyFont="1" applyFill="1" applyBorder="1"/>
    <xf numFmtId="0" fontId="6" fillId="0" borderId="0" xfId="0" applyFont="1" applyFill="1" applyBorder="1"/>
    <xf numFmtId="0" fontId="7" fillId="0" borderId="0" xfId="1" applyFont="1" applyFill="1" applyBorder="1" applyAlignment="1" applyProtection="1"/>
    <xf numFmtId="0" fontId="4" fillId="2" borderId="2" xfId="0" applyFont="1" applyFill="1" applyBorder="1"/>
    <xf numFmtId="0" fontId="4" fillId="2" borderId="3" xfId="0" applyFont="1" applyFill="1" applyBorder="1"/>
    <xf numFmtId="10" fontId="4" fillId="2" borderId="4" xfId="2" applyNumberFormat="1" applyFont="1" applyFill="1" applyBorder="1"/>
    <xf numFmtId="0" fontId="4" fillId="2" borderId="4" xfId="0" applyFont="1" applyFill="1" applyBorder="1"/>
    <xf numFmtId="165" fontId="4" fillId="2" borderId="4" xfId="2" applyNumberFormat="1" applyFont="1" applyFill="1" applyBorder="1"/>
    <xf numFmtId="0" fontId="4" fillId="2" borderId="5" xfId="0" applyFont="1" applyFill="1" applyBorder="1"/>
    <xf numFmtId="165" fontId="4" fillId="2" borderId="6" xfId="2" applyNumberFormat="1" applyFont="1" applyFill="1" applyBorder="1" applyAlignment="1">
      <alignment horizontal="right"/>
    </xf>
    <xf numFmtId="0" fontId="5" fillId="2" borderId="1" xfId="0" applyFont="1" applyFill="1" applyBorder="1"/>
    <xf numFmtId="0" fontId="4" fillId="3" borderId="5" xfId="0" applyFont="1" applyFill="1" applyBorder="1"/>
    <xf numFmtId="0" fontId="4" fillId="3" borderId="3" xfId="0" applyFont="1" applyFill="1" applyBorder="1"/>
    <xf numFmtId="0" fontId="5" fillId="3" borderId="1" xfId="0" applyFont="1" applyFill="1" applyBorder="1"/>
    <xf numFmtId="0" fontId="4" fillId="2" borderId="4" xfId="0" applyNumberFormat="1" applyFont="1" applyFill="1" applyBorder="1"/>
    <xf numFmtId="10" fontId="4" fillId="3" borderId="0" xfId="2" applyNumberFormat="1" applyFont="1" applyFill="1" applyBorder="1"/>
    <xf numFmtId="10" fontId="4" fillId="3" borderId="4" xfId="0" applyNumberFormat="1" applyFont="1" applyFill="1" applyBorder="1"/>
    <xf numFmtId="0" fontId="4" fillId="3" borderId="7" xfId="0" applyFont="1" applyFill="1" applyBorder="1" applyAlignment="1">
      <alignment horizontal="right"/>
    </xf>
    <xf numFmtId="0" fontId="4" fillId="3" borderId="2" xfId="0" applyFont="1" applyFill="1" applyBorder="1" applyAlignment="1">
      <alignment horizontal="right"/>
    </xf>
    <xf numFmtId="2" fontId="4" fillId="3" borderId="8" xfId="0" applyNumberFormat="1" applyFont="1" applyFill="1" applyBorder="1"/>
    <xf numFmtId="2" fontId="4" fillId="3" borderId="6" xfId="0" applyNumberFormat="1" applyFont="1" applyFill="1" applyBorder="1"/>
  </cellXfs>
  <cellStyles count="3">
    <cellStyle name="Hyperlink" xfId="1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57151</xdr:colOff>
      <xdr:row>16</xdr:row>
      <xdr:rowOff>190502</xdr:rowOff>
    </xdr:from>
    <xdr:to>
      <xdr:col>2</xdr:col>
      <xdr:colOff>66675</xdr:colOff>
      <xdr:row>19</xdr:row>
      <xdr:rowOff>28575</xdr:rowOff>
    </xdr:to>
    <xdr:cxnSp macro="">
      <xdr:nvCxnSpPr>
        <xdr:cNvPr id="3" name="Straight Arrow Connector 2"/>
        <xdr:cNvCxnSpPr/>
      </xdr:nvCxnSpPr>
      <xdr:spPr>
        <a:xfrm flipH="1" flipV="1">
          <a:off x="2162176" y="3524252"/>
          <a:ext cx="9524" cy="438148"/>
        </a:xfrm>
        <a:prstGeom prst="straightConnector1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1200150</xdr:colOff>
      <xdr:row>19</xdr:row>
      <xdr:rowOff>28575</xdr:rowOff>
    </xdr:from>
    <xdr:to>
      <xdr:col>3</xdr:col>
      <xdr:colOff>66675</xdr:colOff>
      <xdr:row>22</xdr:row>
      <xdr:rowOff>38100</xdr:rowOff>
    </xdr:to>
    <xdr:sp macro="" textlink="">
      <xdr:nvSpPr>
        <xdr:cNvPr id="5" name="TextBox 4"/>
        <xdr:cNvSpPr txBox="1"/>
      </xdr:nvSpPr>
      <xdr:spPr>
        <a:xfrm>
          <a:off x="1200150" y="3962400"/>
          <a:ext cx="1533525" cy="609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/>
            <a:t>Should</a:t>
          </a:r>
          <a:r>
            <a:rPr lang="en-CA" sz="1100" baseline="0"/>
            <a:t> the same as the option value specified in </a:t>
          </a:r>
          <a:r>
            <a:rPr lang="en-CA" sz="1100" b="1" baseline="0"/>
            <a:t>Parameters</a:t>
          </a:r>
          <a:endParaRPr lang="en-CA" sz="1100" b="1"/>
        </a:p>
      </xdr:txBody>
    </xdr:sp>
    <xdr:clientData/>
  </xdr:twoCellAnchor>
  <xdr:twoCellAnchor>
    <xdr:from>
      <xdr:col>1</xdr:col>
      <xdr:colOff>152400</xdr:colOff>
      <xdr:row>16</xdr:row>
      <xdr:rowOff>9525</xdr:rowOff>
    </xdr:from>
    <xdr:to>
      <xdr:col>3</xdr:col>
      <xdr:colOff>0</xdr:colOff>
      <xdr:row>16</xdr:row>
      <xdr:rowOff>190500</xdr:rowOff>
    </xdr:to>
    <xdr:sp macro="" textlink="">
      <xdr:nvSpPr>
        <xdr:cNvPr id="8" name="Rectangle 7"/>
        <xdr:cNvSpPr/>
      </xdr:nvSpPr>
      <xdr:spPr>
        <a:xfrm>
          <a:off x="1704975" y="3343275"/>
          <a:ext cx="962025" cy="180975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investexcel.net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C21"/>
  <sheetViews>
    <sheetView showGridLines="0" tabSelected="1" workbookViewId="0">
      <selection activeCell="I27" sqref="I27"/>
    </sheetView>
  </sheetViews>
  <sheetFormatPr defaultRowHeight="15.75" customHeight="1" x14ac:dyDescent="0.25"/>
  <cols>
    <col min="1" max="1" width="27.1640625" style="1" customWidth="1"/>
    <col min="2" max="2" width="9.6640625" style="1" customWidth="1"/>
    <col min="3" max="3" width="11.5" style="1" bestFit="1" customWidth="1"/>
    <col min="4" max="16384" width="9.33203125" style="1"/>
  </cols>
  <sheetData>
    <row r="1" spans="1:3" ht="26.25" customHeight="1" x14ac:dyDescent="0.5">
      <c r="A1" s="5" t="s">
        <v>0</v>
      </c>
    </row>
    <row r="2" spans="1:3" ht="15.75" customHeight="1" x14ac:dyDescent="0.25">
      <c r="A2" s="6" t="s">
        <v>2</v>
      </c>
    </row>
    <row r="3" spans="1:3" ht="15.75" customHeight="1" x14ac:dyDescent="0.25">
      <c r="A3" s="1" t="s">
        <v>3</v>
      </c>
    </row>
    <row r="4" spans="1:3" ht="15.75" customHeight="1" x14ac:dyDescent="0.25">
      <c r="A4" s="1" t="s">
        <v>15</v>
      </c>
    </row>
    <row r="5" spans="1:3" ht="15.75" customHeight="1" thickBot="1" x14ac:dyDescent="0.3"/>
    <row r="6" spans="1:3" ht="15.75" customHeight="1" x14ac:dyDescent="0.25">
      <c r="A6" s="14" t="s">
        <v>11</v>
      </c>
      <c r="B6" s="7"/>
    </row>
    <row r="7" spans="1:3" ht="15.75" customHeight="1" x14ac:dyDescent="0.25">
      <c r="A7" s="8" t="s">
        <v>4</v>
      </c>
      <c r="B7" s="18">
        <v>15</v>
      </c>
    </row>
    <row r="8" spans="1:3" ht="15.75" customHeight="1" x14ac:dyDescent="0.25">
      <c r="A8" s="8" t="s">
        <v>5</v>
      </c>
      <c r="B8" s="18">
        <v>100</v>
      </c>
    </row>
    <row r="9" spans="1:3" ht="15.75" customHeight="1" x14ac:dyDescent="0.25">
      <c r="A9" s="8" t="s">
        <v>6</v>
      </c>
      <c r="B9" s="18">
        <v>90</v>
      </c>
    </row>
    <row r="10" spans="1:3" ht="15.75" customHeight="1" x14ac:dyDescent="0.25">
      <c r="A10" s="8" t="s">
        <v>7</v>
      </c>
      <c r="B10" s="9">
        <v>0.02</v>
      </c>
    </row>
    <row r="11" spans="1:3" ht="15.75" customHeight="1" x14ac:dyDescent="0.25">
      <c r="A11" s="8" t="s">
        <v>8</v>
      </c>
      <c r="B11" s="10">
        <v>1</v>
      </c>
    </row>
    <row r="12" spans="1:3" ht="15.75" customHeight="1" x14ac:dyDescent="0.25">
      <c r="A12" s="8" t="s">
        <v>9</v>
      </c>
      <c r="B12" s="11">
        <v>1.4999999999999999E-2</v>
      </c>
    </row>
    <row r="13" spans="1:3" ht="15.75" customHeight="1" thickBot="1" x14ac:dyDescent="0.3">
      <c r="A13" s="12" t="s">
        <v>10</v>
      </c>
      <c r="B13" s="13">
        <v>0.7</v>
      </c>
    </row>
    <row r="14" spans="1:3" ht="15.75" customHeight="1" thickBot="1" x14ac:dyDescent="0.3"/>
    <row r="15" spans="1:3" ht="15.75" customHeight="1" x14ac:dyDescent="0.25">
      <c r="A15" s="17" t="s">
        <v>13</v>
      </c>
      <c r="B15" s="21" t="s">
        <v>12</v>
      </c>
      <c r="C15" s="22" t="s">
        <v>1</v>
      </c>
    </row>
    <row r="16" spans="1:3" ht="15.75" customHeight="1" x14ac:dyDescent="0.25">
      <c r="A16" s="16" t="s">
        <v>0</v>
      </c>
      <c r="B16" s="19">
        <f>ImpliedVolatility("Call",B8,B9,B10,B11,B12,B7,B13)</f>
        <v>0.24043619734147265</v>
      </c>
      <c r="C16" s="20">
        <f>ImpliedVolatility("Put",B8,B9,B10,B11,B12,B7,B13)</f>
        <v>0.53635204480133258</v>
      </c>
    </row>
    <row r="17" spans="1:3" ht="15.75" customHeight="1" thickBot="1" x14ac:dyDescent="0.3">
      <c r="A17" s="15" t="s">
        <v>14</v>
      </c>
      <c r="B17" s="23">
        <f>EuropeanOption("Call",B8,B9,B16,B10,B11,B12)</f>
        <v>14.999999999999986</v>
      </c>
      <c r="C17" s="24">
        <f>EuropeanOption("Put",B8,B9,C16,B10,B11,B12)</f>
        <v>15</v>
      </c>
    </row>
    <row r="18" spans="1:3" ht="15.75" customHeight="1" x14ac:dyDescent="0.25">
      <c r="B18" s="2"/>
    </row>
    <row r="19" spans="1:3" ht="15.75" customHeight="1" x14ac:dyDescent="0.25">
      <c r="B19" s="2"/>
    </row>
    <row r="20" spans="1:3" ht="15.75" customHeight="1" x14ac:dyDescent="0.25">
      <c r="B20" s="4"/>
    </row>
    <row r="21" spans="1:3" ht="15.75" customHeight="1" x14ac:dyDescent="0.25">
      <c r="B21" s="3"/>
    </row>
  </sheetData>
  <phoneticPr fontId="2" type="noConversion"/>
  <hyperlinks>
    <hyperlink ref="A2" r:id="rId1"/>
  </hyperlinks>
  <printOptions horizontalCentered="1"/>
  <pageMargins left="0.75" right="0.75" top="1" bottom="1" header="0.5" footer="0.5"/>
  <pageSetup scale="91" orientation="landscape" horizontalDpi="300" verticalDpi="300" r:id="rId2"/>
  <headerFooter alignWithMargins="0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Implied Volatility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simulationconsultant@gmail.com</dc:creator>
  <cp:lastModifiedBy>Samir</cp:lastModifiedBy>
  <cp:lastPrinted>2008-09-07T20:37:23Z</cp:lastPrinted>
  <dcterms:created xsi:type="dcterms:W3CDTF">2007-06-28T02:37:35Z</dcterms:created>
  <dcterms:modified xsi:type="dcterms:W3CDTF">2012-03-24T15:51:39Z</dcterms:modified>
</cp:coreProperties>
</file>