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05" windowWidth="19155" windowHeight="11760" activeTab="1"/>
  </bookViews>
  <sheets>
    <sheet name="Inputs" sheetId="4" r:id="rId1"/>
    <sheet name="Simulation" sheetId="5" r:id="rId2"/>
    <sheet name="Graph" sheetId="6" r:id="rId3"/>
  </sheets>
  <functionGroups builtInGroupCount="17"/>
  <definedNames>
    <definedName name="AnnualVarConvtr">Inputs!$H$4</definedName>
    <definedName name="Dividend">Inputs!$C$10</definedName>
    <definedName name="Eta">Inputs!$C$6</definedName>
    <definedName name="Lambda">Inputs!$C$8</definedName>
    <definedName name="Rho">Inputs!$C$7</definedName>
    <definedName name="RiskFreeRate">Inputs!$C$9</definedName>
    <definedName name="StockPrice_T0">Inputs!$C$11</definedName>
    <definedName name="Strike">Inputs!$C$12</definedName>
    <definedName name="Variance_Avg">Inputs!$C$4</definedName>
    <definedName name="Variance_T0">Inputs!$C$5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4" i="5" l="1"/>
  <c r="R5" i="5"/>
  <c r="N5" i="5" l="1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I202" i="5"/>
  <c r="H202" i="5"/>
  <c r="I201" i="5"/>
  <c r="H201" i="5"/>
  <c r="I200" i="5"/>
  <c r="H200" i="5"/>
  <c r="I199" i="5"/>
  <c r="H199" i="5"/>
  <c r="I198" i="5"/>
  <c r="H198" i="5"/>
  <c r="I197" i="5"/>
  <c r="H197" i="5"/>
  <c r="I196" i="5"/>
  <c r="H196" i="5"/>
  <c r="I195" i="5"/>
  <c r="H195" i="5"/>
  <c r="I194" i="5"/>
  <c r="H194" i="5"/>
  <c r="I193" i="5"/>
  <c r="H193" i="5"/>
  <c r="I192" i="5"/>
  <c r="H192" i="5"/>
  <c r="I191" i="5"/>
  <c r="H191" i="5"/>
  <c r="I190" i="5"/>
  <c r="H190" i="5"/>
  <c r="I189" i="5"/>
  <c r="H189" i="5"/>
  <c r="I188" i="5"/>
  <c r="H188" i="5"/>
  <c r="I187" i="5"/>
  <c r="H187" i="5"/>
  <c r="I186" i="5"/>
  <c r="H186" i="5"/>
  <c r="I185" i="5"/>
  <c r="H185" i="5"/>
  <c r="I184" i="5"/>
  <c r="H184" i="5"/>
  <c r="I183" i="5"/>
  <c r="H183" i="5"/>
  <c r="I182" i="5"/>
  <c r="H182" i="5"/>
  <c r="I181" i="5"/>
  <c r="H181" i="5"/>
  <c r="I180" i="5"/>
  <c r="H180" i="5"/>
  <c r="I179" i="5"/>
  <c r="H179" i="5"/>
  <c r="I178" i="5"/>
  <c r="H178" i="5"/>
  <c r="I177" i="5"/>
  <c r="H177" i="5"/>
  <c r="I176" i="5"/>
  <c r="H176" i="5"/>
  <c r="I175" i="5"/>
  <c r="H175" i="5"/>
  <c r="I174" i="5"/>
  <c r="H174" i="5"/>
  <c r="I173" i="5"/>
  <c r="H173" i="5"/>
  <c r="I172" i="5"/>
  <c r="H172" i="5"/>
  <c r="I171" i="5"/>
  <c r="H171" i="5"/>
  <c r="I170" i="5"/>
  <c r="H170" i="5"/>
  <c r="I169" i="5"/>
  <c r="H169" i="5"/>
  <c r="I168" i="5"/>
  <c r="H168" i="5"/>
  <c r="I167" i="5"/>
  <c r="H167" i="5"/>
  <c r="I166" i="5"/>
  <c r="H166" i="5"/>
  <c r="I165" i="5"/>
  <c r="H165" i="5"/>
  <c r="I164" i="5"/>
  <c r="H164" i="5"/>
  <c r="I163" i="5"/>
  <c r="H163" i="5"/>
  <c r="I162" i="5"/>
  <c r="H162" i="5"/>
  <c r="I161" i="5"/>
  <c r="H161" i="5"/>
  <c r="I160" i="5"/>
  <c r="H160" i="5"/>
  <c r="I159" i="5"/>
  <c r="H159" i="5"/>
  <c r="I158" i="5"/>
  <c r="H158" i="5"/>
  <c r="I157" i="5"/>
  <c r="H157" i="5"/>
  <c r="I156" i="5"/>
  <c r="H156" i="5"/>
  <c r="I155" i="5"/>
  <c r="H155" i="5"/>
  <c r="I154" i="5"/>
  <c r="H154" i="5"/>
  <c r="I153" i="5"/>
  <c r="H153" i="5"/>
  <c r="I152" i="5"/>
  <c r="H152" i="5"/>
  <c r="I151" i="5"/>
  <c r="H151" i="5"/>
  <c r="I150" i="5"/>
  <c r="H150" i="5"/>
  <c r="K150" i="5" s="1"/>
  <c r="I149" i="5"/>
  <c r="H149" i="5"/>
  <c r="I148" i="5"/>
  <c r="H148" i="5"/>
  <c r="I147" i="5"/>
  <c r="H147" i="5"/>
  <c r="I146" i="5"/>
  <c r="H146" i="5"/>
  <c r="I145" i="5"/>
  <c r="H145" i="5"/>
  <c r="I144" i="5"/>
  <c r="H144" i="5"/>
  <c r="I143" i="5"/>
  <c r="H143" i="5"/>
  <c r="I142" i="5"/>
  <c r="H142" i="5"/>
  <c r="I141" i="5"/>
  <c r="H141" i="5"/>
  <c r="I140" i="5"/>
  <c r="H140" i="5"/>
  <c r="I139" i="5"/>
  <c r="H139" i="5"/>
  <c r="I138" i="5"/>
  <c r="H138" i="5"/>
  <c r="I137" i="5"/>
  <c r="H137" i="5"/>
  <c r="I136" i="5"/>
  <c r="H136" i="5"/>
  <c r="I135" i="5"/>
  <c r="H135" i="5"/>
  <c r="I134" i="5"/>
  <c r="H134" i="5"/>
  <c r="I133" i="5"/>
  <c r="H133" i="5"/>
  <c r="I132" i="5"/>
  <c r="H132" i="5"/>
  <c r="I131" i="5"/>
  <c r="H131" i="5"/>
  <c r="I130" i="5"/>
  <c r="H130" i="5"/>
  <c r="I129" i="5"/>
  <c r="H129" i="5"/>
  <c r="I128" i="5"/>
  <c r="H128" i="5"/>
  <c r="I127" i="5"/>
  <c r="H127" i="5"/>
  <c r="I126" i="5"/>
  <c r="H126" i="5"/>
  <c r="I125" i="5"/>
  <c r="H125" i="5"/>
  <c r="I124" i="5"/>
  <c r="H124" i="5"/>
  <c r="I123" i="5"/>
  <c r="H123" i="5"/>
  <c r="I122" i="5"/>
  <c r="H122" i="5"/>
  <c r="I121" i="5"/>
  <c r="H121" i="5"/>
  <c r="I120" i="5"/>
  <c r="H120" i="5"/>
  <c r="I119" i="5"/>
  <c r="H119" i="5"/>
  <c r="I118" i="5"/>
  <c r="H118" i="5"/>
  <c r="I117" i="5"/>
  <c r="H117" i="5"/>
  <c r="I116" i="5"/>
  <c r="H116" i="5"/>
  <c r="I115" i="5"/>
  <c r="H115" i="5"/>
  <c r="I114" i="5"/>
  <c r="H114" i="5"/>
  <c r="I113" i="5"/>
  <c r="H113" i="5"/>
  <c r="I112" i="5"/>
  <c r="H112" i="5"/>
  <c r="I111" i="5"/>
  <c r="H111" i="5"/>
  <c r="I110" i="5"/>
  <c r="H110" i="5"/>
  <c r="I109" i="5"/>
  <c r="H109" i="5"/>
  <c r="I108" i="5"/>
  <c r="H108" i="5"/>
  <c r="I107" i="5"/>
  <c r="H107" i="5"/>
  <c r="I106" i="5"/>
  <c r="H106" i="5"/>
  <c r="I105" i="5"/>
  <c r="H105" i="5"/>
  <c r="I104" i="5"/>
  <c r="H104" i="5"/>
  <c r="I103" i="5"/>
  <c r="H103" i="5"/>
  <c r="I102" i="5"/>
  <c r="H102" i="5"/>
  <c r="I101" i="5"/>
  <c r="H101" i="5"/>
  <c r="I100" i="5"/>
  <c r="H100" i="5"/>
  <c r="I99" i="5"/>
  <c r="H99" i="5"/>
  <c r="I98" i="5"/>
  <c r="H98" i="5"/>
  <c r="I97" i="5"/>
  <c r="H97" i="5"/>
  <c r="I96" i="5"/>
  <c r="H96" i="5"/>
  <c r="I95" i="5"/>
  <c r="H95" i="5"/>
  <c r="I94" i="5"/>
  <c r="H94" i="5"/>
  <c r="I93" i="5"/>
  <c r="H93" i="5"/>
  <c r="I92" i="5"/>
  <c r="H92" i="5"/>
  <c r="I91" i="5"/>
  <c r="H91" i="5"/>
  <c r="I90" i="5"/>
  <c r="H90" i="5"/>
  <c r="I89" i="5"/>
  <c r="H89" i="5"/>
  <c r="I88" i="5"/>
  <c r="H88" i="5"/>
  <c r="I87" i="5"/>
  <c r="H87" i="5"/>
  <c r="I86" i="5"/>
  <c r="H86" i="5"/>
  <c r="I85" i="5"/>
  <c r="H85" i="5"/>
  <c r="I84" i="5"/>
  <c r="H84" i="5"/>
  <c r="I83" i="5"/>
  <c r="H83" i="5"/>
  <c r="I82" i="5"/>
  <c r="H82" i="5"/>
  <c r="I81" i="5"/>
  <c r="H81" i="5"/>
  <c r="I80" i="5"/>
  <c r="H80" i="5"/>
  <c r="I79" i="5"/>
  <c r="H79" i="5"/>
  <c r="I78" i="5"/>
  <c r="H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47" i="5"/>
  <c r="H47" i="5"/>
  <c r="I46" i="5"/>
  <c r="H46" i="5"/>
  <c r="I45" i="5"/>
  <c r="H45" i="5"/>
  <c r="I44" i="5"/>
  <c r="H44" i="5"/>
  <c r="I43" i="5"/>
  <c r="H43" i="5"/>
  <c r="I42" i="5"/>
  <c r="H42" i="5"/>
  <c r="I41" i="5"/>
  <c r="H41" i="5"/>
  <c r="I40" i="5"/>
  <c r="H40" i="5"/>
  <c r="I39" i="5"/>
  <c r="H39" i="5"/>
  <c r="I38" i="5"/>
  <c r="H38" i="5"/>
  <c r="I37" i="5"/>
  <c r="H37" i="5"/>
  <c r="I36" i="5"/>
  <c r="H36" i="5"/>
  <c r="I35" i="5"/>
  <c r="H35" i="5"/>
  <c r="I34" i="5"/>
  <c r="H34" i="5"/>
  <c r="I33" i="5"/>
  <c r="H33" i="5"/>
  <c r="I32" i="5"/>
  <c r="H32" i="5"/>
  <c r="I31" i="5"/>
  <c r="H31" i="5"/>
  <c r="I30" i="5"/>
  <c r="H30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I11" i="5"/>
  <c r="H11" i="5"/>
  <c r="I10" i="5"/>
  <c r="H10" i="5"/>
  <c r="I9" i="5"/>
  <c r="H9" i="5"/>
  <c r="I8" i="5"/>
  <c r="H8" i="5"/>
  <c r="I7" i="5"/>
  <c r="H7" i="5"/>
  <c r="I6" i="5"/>
  <c r="H6" i="5"/>
  <c r="B6" i="5"/>
  <c r="W5" i="5"/>
  <c r="V5" i="5"/>
  <c r="I5" i="5"/>
  <c r="H5" i="5"/>
  <c r="C5" i="4"/>
  <c r="H4" i="4"/>
  <c r="Q5" i="5"/>
  <c r="B10" i="5" a="1"/>
  <c r="J198" i="5" l="1"/>
  <c r="J214" i="5"/>
  <c r="J238" i="5"/>
  <c r="J144" i="5"/>
  <c r="J168" i="5"/>
  <c r="K65" i="5"/>
  <c r="K73" i="5"/>
  <c r="K101" i="5"/>
  <c r="K105" i="5"/>
  <c r="K19" i="5"/>
  <c r="J31" i="5"/>
  <c r="J39" i="5"/>
  <c r="J63" i="5"/>
  <c r="J71" i="5"/>
  <c r="J79" i="5"/>
  <c r="K83" i="5"/>
  <c r="K99" i="5"/>
  <c r="J105" i="5"/>
  <c r="K41" i="5"/>
  <c r="J20" i="5"/>
  <c r="K28" i="5"/>
  <c r="J40" i="5"/>
  <c r="J44" i="5"/>
  <c r="J48" i="5"/>
  <c r="K56" i="5"/>
  <c r="K60" i="5"/>
  <c r="K232" i="5"/>
  <c r="K119" i="5"/>
  <c r="J127" i="5"/>
  <c r="J131" i="5"/>
  <c r="K135" i="5"/>
  <c r="J215" i="5"/>
  <c r="J239" i="5"/>
  <c r="J176" i="5"/>
  <c r="J240" i="5"/>
  <c r="J145" i="5"/>
  <c r="K214" i="5"/>
  <c r="K120" i="5"/>
  <c r="J140" i="5"/>
  <c r="J184" i="5"/>
  <c r="K188" i="5"/>
  <c r="J192" i="5"/>
  <c r="J200" i="5"/>
  <c r="K212" i="5"/>
  <c r="J137" i="5"/>
  <c r="K160" i="5"/>
  <c r="J216" i="5"/>
  <c r="J220" i="5"/>
  <c r="J228" i="5"/>
  <c r="J248" i="5"/>
  <c r="J167" i="5"/>
  <c r="J114" i="5"/>
  <c r="K115" i="5"/>
  <c r="K9" i="5"/>
  <c r="J17" i="5"/>
  <c r="K21" i="5"/>
  <c r="K33" i="5"/>
  <c r="J72" i="5"/>
  <c r="K96" i="5"/>
  <c r="J112" i="5"/>
  <c r="J116" i="5"/>
  <c r="J120" i="5"/>
  <c r="K139" i="5"/>
  <c r="J166" i="5"/>
  <c r="K236" i="5"/>
  <c r="K240" i="5"/>
  <c r="J135" i="5"/>
  <c r="K252" i="5"/>
  <c r="J51" i="5"/>
  <c r="K6" i="5"/>
  <c r="K14" i="5"/>
  <c r="J117" i="5"/>
  <c r="J151" i="5"/>
  <c r="K155" i="5"/>
  <c r="J163" i="5"/>
  <c r="J175" i="5"/>
  <c r="J182" i="5"/>
  <c r="J180" i="5"/>
  <c r="K246" i="5"/>
  <c r="K102" i="5"/>
  <c r="K121" i="5"/>
  <c r="J125" i="5"/>
  <c r="K129" i="5"/>
  <c r="J152" i="5"/>
  <c r="J160" i="5"/>
  <c r="J179" i="5"/>
  <c r="J207" i="5"/>
  <c r="J218" i="5"/>
  <c r="K222" i="5"/>
  <c r="K17" i="5"/>
  <c r="K117" i="5"/>
  <c r="K167" i="5"/>
  <c r="K10" i="5"/>
  <c r="K57" i="5"/>
  <c r="J60" i="5"/>
  <c r="K76" i="5"/>
  <c r="K111" i="5"/>
  <c r="J115" i="5"/>
  <c r="J126" i="5"/>
  <c r="J155" i="5"/>
  <c r="J199" i="5"/>
  <c r="K238" i="5"/>
  <c r="K242" i="5"/>
  <c r="J246" i="5"/>
  <c r="K137" i="5"/>
  <c r="J159" i="5"/>
  <c r="J232" i="5"/>
  <c r="K254" i="5"/>
  <c r="K93" i="5"/>
  <c r="J108" i="5"/>
  <c r="K112" i="5"/>
  <c r="J123" i="5"/>
  <c r="K152" i="5"/>
  <c r="K166" i="5"/>
  <c r="K192" i="5"/>
  <c r="J196" i="5"/>
  <c r="K12" i="5"/>
  <c r="J43" i="5"/>
  <c r="J47" i="5"/>
  <c r="K86" i="5"/>
  <c r="K94" i="5"/>
  <c r="K124" i="5"/>
  <c r="K127" i="5"/>
  <c r="K153" i="5"/>
  <c r="K163" i="5"/>
  <c r="J178" i="5"/>
  <c r="K200" i="5"/>
  <c r="K208" i="5"/>
  <c r="J222" i="5"/>
  <c r="J230" i="5"/>
  <c r="K244" i="5"/>
  <c r="J15" i="5"/>
  <c r="J132" i="5"/>
  <c r="K190" i="5"/>
  <c r="K216" i="5"/>
  <c r="K44" i="5"/>
  <c r="J75" i="5"/>
  <c r="K110" i="5"/>
  <c r="J136" i="5"/>
  <c r="K154" i="5"/>
  <c r="J161" i="5"/>
  <c r="K172" i="5"/>
  <c r="K176" i="5"/>
  <c r="K198" i="5"/>
  <c r="J202" i="5"/>
  <c r="K206" i="5"/>
  <c r="K210" i="5"/>
  <c r="K224" i="5"/>
  <c r="J190" i="5"/>
  <c r="J208" i="5"/>
  <c r="J254" i="5"/>
  <c r="J21" i="5"/>
  <c r="J28" i="5"/>
  <c r="J56" i="5"/>
  <c r="K146" i="5"/>
  <c r="J172" i="5"/>
  <c r="J236" i="5"/>
  <c r="J6" i="5"/>
  <c r="J19" i="5"/>
  <c r="J36" i="5"/>
  <c r="J76" i="5"/>
  <c r="K114" i="5"/>
  <c r="J119" i="5"/>
  <c r="J121" i="5"/>
  <c r="J124" i="5"/>
  <c r="K144" i="5"/>
  <c r="J147" i="5"/>
  <c r="K184" i="5"/>
  <c r="J191" i="5"/>
  <c r="K194" i="5"/>
  <c r="J206" i="5"/>
  <c r="J212" i="5"/>
  <c r="J224" i="5"/>
  <c r="K228" i="5"/>
  <c r="K230" i="5"/>
  <c r="K248" i="5"/>
  <c r="J12" i="5"/>
  <c r="J110" i="5"/>
  <c r="K132" i="5"/>
  <c r="K175" i="5"/>
  <c r="J59" i="5"/>
  <c r="J107" i="5"/>
  <c r="K116" i="5"/>
  <c r="J143" i="5"/>
  <c r="J150" i="5"/>
  <c r="K178" i="5"/>
  <c r="K80" i="5"/>
  <c r="J188" i="5"/>
  <c r="K204" i="5"/>
  <c r="J231" i="5"/>
  <c r="J234" i="5"/>
  <c r="J252" i="5"/>
  <c r="J67" i="5"/>
  <c r="J128" i="5"/>
  <c r="J158" i="5"/>
  <c r="K174" i="5"/>
  <c r="J186" i="5"/>
  <c r="J204" i="5"/>
  <c r="K220" i="5"/>
  <c r="J247" i="5"/>
  <c r="J250" i="5"/>
  <c r="J129" i="5"/>
  <c r="K68" i="5"/>
  <c r="J142" i="5"/>
  <c r="K171" i="5"/>
  <c r="K196" i="5"/>
  <c r="J223" i="5"/>
  <c r="K226" i="5"/>
  <c r="J244" i="5"/>
  <c r="K29" i="5"/>
  <c r="K113" i="5"/>
  <c r="K123" i="5"/>
  <c r="J193" i="5"/>
  <c r="K249" i="5"/>
  <c r="K143" i="5"/>
  <c r="J169" i="5"/>
  <c r="J49" i="5"/>
  <c r="K72" i="5"/>
  <c r="J109" i="5"/>
  <c r="K168" i="5"/>
  <c r="J104" i="5"/>
  <c r="K20" i="5"/>
  <c r="J138" i="5"/>
  <c r="K159" i="5"/>
  <c r="J185" i="5"/>
  <c r="J225" i="5"/>
  <c r="J241" i="5"/>
  <c r="J106" i="5"/>
  <c r="J164" i="5"/>
  <c r="K182" i="5"/>
  <c r="K85" i="5"/>
  <c r="J187" i="5"/>
  <c r="J227" i="5"/>
  <c r="J251" i="5"/>
  <c r="K131" i="5"/>
  <c r="K142" i="5"/>
  <c r="K186" i="5"/>
  <c r="K202" i="5"/>
  <c r="K218" i="5"/>
  <c r="K234" i="5"/>
  <c r="K250" i="5"/>
  <c r="K36" i="5"/>
  <c r="J68" i="5"/>
  <c r="J111" i="5"/>
  <c r="J139" i="5"/>
  <c r="K145" i="5"/>
  <c r="K147" i="5"/>
  <c r="J171" i="5"/>
  <c r="J189" i="5"/>
  <c r="J194" i="5"/>
  <c r="J197" i="5"/>
  <c r="J205" i="5"/>
  <c r="J210" i="5"/>
  <c r="J213" i="5"/>
  <c r="J221" i="5"/>
  <c r="J226" i="5"/>
  <c r="J229" i="5"/>
  <c r="J237" i="5"/>
  <c r="J242" i="5"/>
  <c r="J245" i="5"/>
  <c r="K253" i="5"/>
  <c r="K18" i="5"/>
  <c r="J64" i="5"/>
  <c r="J162" i="5"/>
  <c r="J32" i="5"/>
  <c r="K179" i="5"/>
  <c r="J201" i="5"/>
  <c r="J209" i="5"/>
  <c r="J217" i="5"/>
  <c r="J233" i="5"/>
  <c r="K35" i="5"/>
  <c r="K125" i="5"/>
  <c r="J195" i="5"/>
  <c r="J203" i="5"/>
  <c r="J211" i="5"/>
  <c r="J219" i="5"/>
  <c r="J235" i="5"/>
  <c r="J243" i="5"/>
  <c r="K88" i="5"/>
  <c r="J148" i="5"/>
  <c r="K40" i="5"/>
  <c r="K48" i="5"/>
  <c r="K128" i="5"/>
  <c r="K136" i="5"/>
  <c r="J10" i="5"/>
  <c r="J13" i="5"/>
  <c r="K16" i="5"/>
  <c r="J18" i="5"/>
  <c r="J52" i="5"/>
  <c r="K91" i="5"/>
  <c r="J113" i="5"/>
  <c r="K126" i="5"/>
  <c r="J153" i="5"/>
  <c r="J174" i="5"/>
  <c r="J183" i="5"/>
  <c r="J5" i="5"/>
  <c r="K43" i="5"/>
  <c r="J66" i="5"/>
  <c r="J78" i="5"/>
  <c r="J57" i="5"/>
  <c r="K15" i="5"/>
  <c r="J42" i="5"/>
  <c r="J54" i="5"/>
  <c r="J74" i="5"/>
  <c r="J90" i="5"/>
  <c r="K31" i="5"/>
  <c r="J33" i="5"/>
  <c r="K53" i="5"/>
  <c r="K64" i="5"/>
  <c r="K148" i="5"/>
  <c r="K169" i="5"/>
  <c r="K205" i="5"/>
  <c r="K37" i="5"/>
  <c r="K69" i="5"/>
  <c r="K45" i="5"/>
  <c r="K63" i="5"/>
  <c r="K77" i="5"/>
  <c r="J65" i="5"/>
  <c r="K39" i="5"/>
  <c r="J50" i="5"/>
  <c r="J62" i="5"/>
  <c r="K71" i="5"/>
  <c r="K104" i="5"/>
  <c r="K185" i="5"/>
  <c r="K187" i="5"/>
  <c r="K189" i="5"/>
  <c r="K191" i="5"/>
  <c r="K193" i="5"/>
  <c r="K195" i="5"/>
  <c r="K197" i="5"/>
  <c r="K199" i="5"/>
  <c r="K201" i="5"/>
  <c r="K203" i="5"/>
  <c r="K207" i="5"/>
  <c r="K209" i="5"/>
  <c r="K211" i="5"/>
  <c r="K213" i="5"/>
  <c r="K215" i="5"/>
  <c r="K217" i="5"/>
  <c r="K219" i="5"/>
  <c r="K221" i="5"/>
  <c r="K223" i="5"/>
  <c r="K225" i="5"/>
  <c r="K227" i="5"/>
  <c r="K229" i="5"/>
  <c r="K231" i="5"/>
  <c r="K233" i="5"/>
  <c r="K235" i="5"/>
  <c r="K237" i="5"/>
  <c r="K239" i="5"/>
  <c r="K241" i="5"/>
  <c r="K243" i="5"/>
  <c r="K245" i="5"/>
  <c r="K247" i="5"/>
  <c r="K251" i="5"/>
  <c r="J11" i="5"/>
  <c r="J30" i="5"/>
  <c r="K49" i="5"/>
  <c r="J73" i="5"/>
  <c r="K164" i="5"/>
  <c r="J249" i="5"/>
  <c r="J253" i="5"/>
  <c r="J46" i="5"/>
  <c r="K55" i="5"/>
  <c r="K75" i="5"/>
  <c r="J34" i="5"/>
  <c r="K87" i="5"/>
  <c r="J8" i="5"/>
  <c r="J14" i="5"/>
  <c r="K32" i="5"/>
  <c r="J35" i="5"/>
  <c r="J41" i="5"/>
  <c r="K52" i="5"/>
  <c r="K95" i="5"/>
  <c r="K109" i="5"/>
  <c r="J38" i="5"/>
  <c r="K47" i="5"/>
  <c r="J55" i="5"/>
  <c r="J58" i="5"/>
  <c r="K61" i="5"/>
  <c r="K67" i="5"/>
  <c r="J70" i="5"/>
  <c r="K79" i="5"/>
  <c r="J82" i="5"/>
  <c r="J98" i="5"/>
  <c r="K106" i="5"/>
  <c r="K138" i="5"/>
  <c r="K162" i="5"/>
  <c r="AA7" i="5"/>
  <c r="AA8" i="5"/>
  <c r="AA5" i="5"/>
  <c r="AA6" i="5"/>
  <c r="C10" i="5"/>
  <c r="B11" i="5"/>
  <c r="C11" i="5"/>
  <c r="B10" i="5"/>
  <c r="J103" i="5"/>
  <c r="K5" i="5"/>
  <c r="K11" i="5"/>
  <c r="K13" i="5"/>
  <c r="J16" i="5"/>
  <c r="J29" i="5"/>
  <c r="K30" i="5"/>
  <c r="J37" i="5"/>
  <c r="K38" i="5"/>
  <c r="J45" i="5"/>
  <c r="K46" i="5"/>
  <c r="J53" i="5"/>
  <c r="K54" i="5"/>
  <c r="J61" i="5"/>
  <c r="K62" i="5"/>
  <c r="J69" i="5"/>
  <c r="K70" i="5"/>
  <c r="J77" i="5"/>
  <c r="K78" i="5"/>
  <c r="K82" i="5"/>
  <c r="K90" i="5"/>
  <c r="K98" i="5"/>
  <c r="K107" i="5"/>
  <c r="K122" i="5"/>
  <c r="J122" i="5"/>
  <c r="J22" i="5"/>
  <c r="K22" i="5"/>
  <c r="J25" i="5"/>
  <c r="K25" i="5"/>
  <c r="J7" i="5"/>
  <c r="K7" i="5"/>
  <c r="J9" i="5"/>
  <c r="J85" i="5"/>
  <c r="J93" i="5"/>
  <c r="J101" i="5"/>
  <c r="K103" i="5"/>
  <c r="J24" i="5"/>
  <c r="K24" i="5"/>
  <c r="J87" i="5"/>
  <c r="J95" i="5"/>
  <c r="K8" i="5"/>
  <c r="K34" i="5"/>
  <c r="K42" i="5"/>
  <c r="K50" i="5"/>
  <c r="K58" i="5"/>
  <c r="K66" i="5"/>
  <c r="K74" i="5"/>
  <c r="J23" i="5"/>
  <c r="K23" i="5"/>
  <c r="J84" i="5"/>
  <c r="K84" i="5"/>
  <c r="J92" i="5"/>
  <c r="K92" i="5"/>
  <c r="J100" i="5"/>
  <c r="K100" i="5"/>
  <c r="K118" i="5"/>
  <c r="J118" i="5"/>
  <c r="K51" i="5"/>
  <c r="K59" i="5"/>
  <c r="K108" i="5"/>
  <c r="K130" i="5"/>
  <c r="J130" i="5"/>
  <c r="J27" i="5"/>
  <c r="K27" i="5"/>
  <c r="J134" i="5"/>
  <c r="K134" i="5"/>
  <c r="J26" i="5"/>
  <c r="K26" i="5"/>
  <c r="J81" i="5"/>
  <c r="K81" i="5"/>
  <c r="J89" i="5"/>
  <c r="K89" i="5"/>
  <c r="J97" i="5"/>
  <c r="K97" i="5"/>
  <c r="K170" i="5"/>
  <c r="J170" i="5"/>
  <c r="J149" i="5"/>
  <c r="K149" i="5"/>
  <c r="J156" i="5"/>
  <c r="K156" i="5"/>
  <c r="J177" i="5"/>
  <c r="K177" i="5"/>
  <c r="J80" i="5"/>
  <c r="J88" i="5"/>
  <c r="J96" i="5"/>
  <c r="J83" i="5"/>
  <c r="J91" i="5"/>
  <c r="J99" i="5"/>
  <c r="J86" i="5"/>
  <c r="J94" i="5"/>
  <c r="J102" i="5"/>
  <c r="J173" i="5"/>
  <c r="K173" i="5"/>
  <c r="J181" i="5"/>
  <c r="K181" i="5"/>
  <c r="K140" i="5"/>
  <c r="J146" i="5"/>
  <c r="K161" i="5"/>
  <c r="J154" i="5"/>
  <c r="J133" i="5"/>
  <c r="K133" i="5"/>
  <c r="J141" i="5"/>
  <c r="K141" i="5"/>
  <c r="J157" i="5"/>
  <c r="K157" i="5"/>
  <c r="K151" i="5"/>
  <c r="K158" i="5"/>
  <c r="K180" i="5"/>
  <c r="K183" i="5"/>
  <c r="J165" i="5"/>
  <c r="K165" i="5"/>
  <c r="AB5" i="5"/>
  <c r="S5" i="5"/>
  <c r="L39" i="5" l="1" a="1"/>
  <c r="L39" i="5" s="1"/>
  <c r="L59" i="5" a="1"/>
  <c r="L59" i="5" s="1"/>
  <c r="L13" i="5" a="1"/>
  <c r="L13" i="5" s="1"/>
  <c r="L175" i="5" a="1"/>
  <c r="L175" i="5" s="1"/>
  <c r="L113" i="5" a="1"/>
  <c r="L113" i="5" s="1"/>
  <c r="L68" i="5" a="1"/>
  <c r="L68" i="5" s="1"/>
  <c r="L10" i="5" a="1"/>
  <c r="M10" i="5" s="1"/>
  <c r="B16" i="5" a="1"/>
  <c r="C17" i="5" s="1"/>
  <c r="L124" i="5" a="1"/>
  <c r="L56" i="5" a="1"/>
  <c r="M56" i="5" s="1"/>
  <c r="L241" i="5" a="1"/>
  <c r="L241" i="5" s="1"/>
  <c r="L129" i="5" a="1"/>
  <c r="L129" i="5" s="1"/>
  <c r="L180" i="5" a="1"/>
  <c r="M180" i="5" s="1"/>
  <c r="L76" i="5" a="1"/>
  <c r="L76" i="5" s="1"/>
  <c r="L75" i="5" a="1"/>
  <c r="L75" i="5" s="1"/>
  <c r="L126" i="5" a="1"/>
  <c r="M126" i="5" s="1"/>
  <c r="L111" i="5" a="1"/>
  <c r="L111" i="5" s="1"/>
  <c r="L26" i="5" a="1"/>
  <c r="L26" i="5" s="1"/>
  <c r="L187" i="5" a="1"/>
  <c r="M187" i="5" s="1"/>
  <c r="L159" i="5" a="1"/>
  <c r="M159" i="5" s="1"/>
  <c r="L92" i="5" a="1"/>
  <c r="L92" i="5" s="1"/>
  <c r="L54" i="5" a="1"/>
  <c r="L54" i="5" s="1"/>
  <c r="L16" i="5" a="1"/>
  <c r="L16" i="5" s="1"/>
  <c r="L123" i="5" a="1"/>
  <c r="L123" i="5" s="1"/>
  <c r="L138" i="5" a="1"/>
  <c r="M138" i="5" s="1"/>
  <c r="L233" i="5" a="1"/>
  <c r="M233" i="5" s="1"/>
  <c r="L178" i="5" a="1"/>
  <c r="M178" i="5" s="1"/>
  <c r="L78" i="5" a="1"/>
  <c r="M78" i="5" s="1"/>
  <c r="B17" i="5"/>
  <c r="L151" i="5" a="1"/>
  <c r="L151" i="5" s="1"/>
  <c r="L135" i="5" a="1"/>
  <c r="L135" i="5" s="1"/>
  <c r="L81" i="5" a="1"/>
  <c r="L81" i="5" s="1"/>
  <c r="L100" i="5" a="1"/>
  <c r="L100" i="5" s="1"/>
  <c r="L229" i="5" a="1"/>
  <c r="L229" i="5" s="1"/>
  <c r="L46" i="5" a="1"/>
  <c r="L46" i="5" s="1"/>
  <c r="L11" i="5" a="1"/>
  <c r="M11" i="5" s="1"/>
  <c r="L36" i="5" a="1"/>
  <c r="L36" i="5" s="1"/>
  <c r="L154" i="5" a="1"/>
  <c r="L154" i="5" s="1"/>
  <c r="L108" i="5" a="1"/>
  <c r="L108" i="5" s="1"/>
  <c r="L43" i="5" a="1"/>
  <c r="M43" i="5" s="1"/>
  <c r="L5" i="5" a="1"/>
  <c r="L53" i="5" a="1"/>
  <c r="L53" i="5" s="1"/>
  <c r="L218" i="5" a="1"/>
  <c r="M218" i="5" s="1"/>
  <c r="L51" i="5" a="1"/>
  <c r="L51" i="5" s="1"/>
  <c r="L24" i="5" a="1"/>
  <c r="L24" i="5" s="1"/>
  <c r="L21" i="5" a="1"/>
  <c r="L21" i="5" s="1"/>
  <c r="L65" i="5" a="1"/>
  <c r="M65" i="5" s="1"/>
  <c r="L249" i="5" a="1"/>
  <c r="M249" i="5" s="1"/>
  <c r="L25" i="5" a="1"/>
  <c r="M25" i="5" s="1"/>
  <c r="L153" i="5" a="1"/>
  <c r="L153" i="5" s="1"/>
  <c r="L70" i="5" a="1"/>
  <c r="M70" i="5" s="1"/>
  <c r="L141" i="5" a="1"/>
  <c r="L141" i="5" s="1"/>
  <c r="L140" i="5" a="1"/>
  <c r="L140" i="5" s="1"/>
  <c r="L40" i="5" a="1"/>
  <c r="L40" i="5" s="1"/>
  <c r="L30" i="5" a="1"/>
  <c r="L30" i="5" s="1"/>
  <c r="L221" i="5" a="1"/>
  <c r="L221" i="5" s="1"/>
  <c r="L58" i="5" a="1"/>
  <c r="M58" i="5" s="1"/>
  <c r="L22" i="5" a="1"/>
  <c r="L22" i="5" s="1"/>
  <c r="L34" i="5" a="1"/>
  <c r="M34" i="5" s="1"/>
  <c r="L38" i="5" a="1"/>
  <c r="L38" i="5" s="1"/>
  <c r="L42" i="5" a="1"/>
  <c r="L42" i="5" s="1"/>
  <c r="L134" i="5" a="1"/>
  <c r="L134" i="5" s="1"/>
  <c r="L82" i="5" a="1"/>
  <c r="M82" i="5" s="1"/>
  <c r="L98" i="5" a="1"/>
  <c r="M98" i="5" s="1"/>
  <c r="L90" i="5" a="1"/>
  <c r="M90" i="5" s="1"/>
  <c r="L50" i="5" a="1"/>
  <c r="M50" i="5" s="1"/>
  <c r="L62" i="5" a="1"/>
  <c r="M62" i="5" s="1"/>
  <c r="L31" i="5" a="1"/>
  <c r="M31" i="5" s="1"/>
  <c r="T5" i="5"/>
  <c r="U5" i="5" s="1"/>
  <c r="AC5" i="5"/>
  <c r="AD5" i="5" s="1"/>
  <c r="L170" i="5" a="1"/>
  <c r="L15" i="5" a="1"/>
  <c r="L213" i="5" a="1"/>
  <c r="L188" i="5" a="1"/>
  <c r="L228" i="5" a="1"/>
  <c r="L41" i="5" a="1"/>
  <c r="L89" i="5" a="1"/>
  <c r="L33" i="5" a="1"/>
  <c r="M39" i="5"/>
  <c r="L254" i="5" a="1"/>
  <c r="L244" i="5" a="1"/>
  <c r="L236" i="5" a="1"/>
  <c r="L222" i="5" a="1"/>
  <c r="L214" i="5" a="1"/>
  <c r="L206" i="5" a="1"/>
  <c r="L198" i="5" a="1"/>
  <c r="L190" i="5" a="1"/>
  <c r="L247" i="5" a="1"/>
  <c r="L239" i="5" a="1"/>
  <c r="L231" i="5" a="1"/>
  <c r="L223" i="5" a="1"/>
  <c r="L215" i="5" a="1"/>
  <c r="L207" i="5" a="1"/>
  <c r="L199" i="5" a="1"/>
  <c r="L191" i="5" a="1"/>
  <c r="L246" i="5" a="1"/>
  <c r="L245" i="5" a="1"/>
  <c r="L209" i="5" a="1"/>
  <c r="L203" i="5" a="1"/>
  <c r="L192" i="5" a="1"/>
  <c r="L160" i="5" a="1"/>
  <c r="L139" i="5" a="1"/>
  <c r="L253" i="5" a="1"/>
  <c r="L250" i="5" a="1"/>
  <c r="L217" i="5" a="1"/>
  <c r="L200" i="5" a="1"/>
  <c r="L152" i="5" a="1"/>
  <c r="L234" i="5" a="1"/>
  <c r="L232" i="5" a="1"/>
  <c r="L227" i="5" a="1"/>
  <c r="L216" i="5" a="1"/>
  <c r="L204" i="5" a="1"/>
  <c r="L194" i="5" a="1"/>
  <c r="L179" i="5" a="1"/>
  <c r="L136" i="5" a="1"/>
  <c r="L114" i="5" a="1"/>
  <c r="L235" i="5" a="1"/>
  <c r="L224" i="5" a="1"/>
  <c r="L212" i="5" a="1"/>
  <c r="L202" i="5" a="1"/>
  <c r="L171" i="5" a="1"/>
  <c r="L164" i="5" a="1"/>
  <c r="L142" i="5" a="1"/>
  <c r="L128" i="5" a="1"/>
  <c r="L127" i="5" a="1"/>
  <c r="L121" i="5" a="1"/>
  <c r="L238" i="5" a="1"/>
  <c r="L237" i="5" a="1"/>
  <c r="L220" i="5" a="1"/>
  <c r="L210" i="5" a="1"/>
  <c r="L185" i="5" a="1"/>
  <c r="L182" i="5" a="1"/>
  <c r="L163" i="5" a="1"/>
  <c r="L242" i="5" a="1"/>
  <c r="L193" i="5" a="1"/>
  <c r="L176" i="5" a="1"/>
  <c r="L243" i="5" a="1"/>
  <c r="L226" i="5" a="1"/>
  <c r="L201" i="5" a="1"/>
  <c r="L195" i="5" a="1"/>
  <c r="L184" i="5" a="1"/>
  <c r="L168" i="5" a="1"/>
  <c r="L251" i="5" a="1"/>
  <c r="L225" i="5" a="1"/>
  <c r="L230" i="5" a="1"/>
  <c r="L147" i="5" a="1"/>
  <c r="L219" i="5" a="1"/>
  <c r="L208" i="5" a="1"/>
  <c r="L117" i="5" a="1"/>
  <c r="L116" i="5" a="1"/>
  <c r="L109" i="5" a="1"/>
  <c r="L137" i="5" a="1"/>
  <c r="L186" i="5" a="1"/>
  <c r="L158" i="5" a="1"/>
  <c r="L252" i="5" a="1"/>
  <c r="L144" i="5" a="1"/>
  <c r="L107" i="5" a="1"/>
  <c r="L102" i="5" a="1"/>
  <c r="L94" i="5" a="1"/>
  <c r="L86" i="5" a="1"/>
  <c r="L88" i="5" a="1"/>
  <c r="L125" i="5" a="1"/>
  <c r="L9" i="5" a="1"/>
  <c r="L115" i="5" a="1"/>
  <c r="L6" i="5" a="1"/>
  <c r="L196" i="5" a="1"/>
  <c r="L96" i="5" a="1"/>
  <c r="L106" i="5" a="1"/>
  <c r="L104" i="5" a="1"/>
  <c r="L112" i="5" a="1"/>
  <c r="L80" i="5" a="1"/>
  <c r="L14" i="5" a="1"/>
  <c r="L110" i="5" a="1"/>
  <c r="L8" i="5" a="1"/>
  <c r="L181" i="5" a="1"/>
  <c r="L131" i="5" a="1"/>
  <c r="L133" i="5" a="1"/>
  <c r="L169" i="5" a="1"/>
  <c r="L248" i="5" a="1"/>
  <c r="L72" i="5" a="1"/>
  <c r="L67" i="5" a="1"/>
  <c r="L18" i="5" a="1"/>
  <c r="L83" i="5" a="1"/>
  <c r="L44" i="5" a="1"/>
  <c r="L118" i="5" a="1"/>
  <c r="L87" i="5" a="1"/>
  <c r="L85" i="5" a="1"/>
  <c r="L63" i="5" a="1"/>
  <c r="L172" i="5" a="1"/>
  <c r="L69" i="5" a="1"/>
  <c r="L37" i="5" a="1"/>
  <c r="L103" i="5" a="1"/>
  <c r="L73" i="5" a="1"/>
  <c r="L120" i="5" a="1"/>
  <c r="L20" i="5" a="1"/>
  <c r="L124" i="5"/>
  <c r="M124" i="5"/>
  <c r="M113" i="5"/>
  <c r="L197" i="5" a="1"/>
  <c r="L166" i="5" a="1"/>
  <c r="L174" i="5" a="1"/>
  <c r="L61" i="5" a="1"/>
  <c r="L74" i="5" a="1"/>
  <c r="L155" i="5" a="1"/>
  <c r="L177" i="5" a="1"/>
  <c r="L64" i="5" a="1"/>
  <c r="L211" i="5" a="1"/>
  <c r="L149" i="5" a="1"/>
  <c r="L146" i="5" a="1"/>
  <c r="L240" i="5" a="1"/>
  <c r="L161" i="5" a="1"/>
  <c r="L52" i="5" a="1"/>
  <c r="L130" i="5" a="1"/>
  <c r="L95" i="5" a="1"/>
  <c r="L167" i="5" a="1"/>
  <c r="L165" i="5" a="1"/>
  <c r="L150" i="5" a="1"/>
  <c r="L32" i="5" a="1"/>
  <c r="L29" i="5" a="1"/>
  <c r="L157" i="5" a="1"/>
  <c r="L145" i="5" a="1"/>
  <c r="L28" i="5" a="1"/>
  <c r="L23" i="5" a="1"/>
  <c r="L55" i="5" a="1"/>
  <c r="L47" i="5" a="1"/>
  <c r="L189" i="5" a="1"/>
  <c r="L35" i="5" a="1"/>
  <c r="L162" i="5" a="1"/>
  <c r="L173" i="5" a="1"/>
  <c r="L91" i="5" a="1"/>
  <c r="L97" i="5" a="1"/>
  <c r="L143" i="5" a="1"/>
  <c r="L71" i="5" a="1"/>
  <c r="L84" i="5" a="1"/>
  <c r="L119" i="5" a="1"/>
  <c r="L93" i="5" a="1"/>
  <c r="L7" i="5" a="1"/>
  <c r="L12" i="5" a="1"/>
  <c r="L17" i="5" a="1"/>
  <c r="L57" i="5" a="1"/>
  <c r="L205" i="5" a="1"/>
  <c r="L99" i="5" a="1"/>
  <c r="L183" i="5" a="1"/>
  <c r="L156" i="5" a="1"/>
  <c r="L60" i="5" a="1"/>
  <c r="L148" i="5" a="1"/>
  <c r="L27" i="5" a="1"/>
  <c r="L79" i="5" a="1"/>
  <c r="L132" i="5" a="1"/>
  <c r="L101" i="5" a="1"/>
  <c r="L48" i="5" a="1"/>
  <c r="L122" i="5" a="1"/>
  <c r="L77" i="5" a="1"/>
  <c r="L45" i="5" a="1"/>
  <c r="L66" i="5" a="1"/>
  <c r="L19" i="5" a="1"/>
  <c r="L105" i="5" a="1"/>
  <c r="L49" i="5" a="1"/>
  <c r="M68" i="5" l="1"/>
  <c r="M13" i="5"/>
  <c r="M175" i="5"/>
  <c r="M229" i="5"/>
  <c r="L10" i="5"/>
  <c r="M153" i="5"/>
  <c r="B16" i="5"/>
  <c r="C16" i="5"/>
  <c r="M59" i="5"/>
  <c r="L56" i="5"/>
  <c r="M53" i="5"/>
  <c r="M241" i="5"/>
  <c r="M75" i="5"/>
  <c r="L126" i="5"/>
  <c r="M129" i="5"/>
  <c r="L25" i="5"/>
  <c r="L78" i="5"/>
  <c r="L180" i="5"/>
  <c r="M92" i="5"/>
  <c r="M26" i="5"/>
  <c r="M76" i="5"/>
  <c r="M54" i="5"/>
  <c r="L65" i="5"/>
  <c r="L187" i="5"/>
  <c r="L159" i="5"/>
  <c r="M111" i="5"/>
  <c r="M100" i="5"/>
  <c r="M51" i="5"/>
  <c r="M141" i="5"/>
  <c r="M140" i="5"/>
  <c r="L70" i="5"/>
  <c r="L11" i="5"/>
  <c r="L31" i="5"/>
  <c r="M36" i="5"/>
  <c r="M38" i="5"/>
  <c r="M16" i="5"/>
  <c r="M40" i="5"/>
  <c r="M151" i="5"/>
  <c r="M42" i="5"/>
  <c r="L43" i="5"/>
  <c r="M123" i="5"/>
  <c r="M24" i="5"/>
  <c r="M81" i="5"/>
  <c r="L233" i="5"/>
  <c r="L178" i="5"/>
  <c r="L138" i="5"/>
  <c r="M21" i="5"/>
  <c r="M135" i="5"/>
  <c r="L249" i="5"/>
  <c r="L50" i="5"/>
  <c r="M221" i="5"/>
  <c r="M30" i="5"/>
  <c r="M154" i="5"/>
  <c r="L218" i="5"/>
  <c r="M108" i="5"/>
  <c r="M46" i="5"/>
  <c r="M5" i="5"/>
  <c r="L5" i="5"/>
  <c r="L58" i="5"/>
  <c r="L90" i="5"/>
  <c r="M134" i="5"/>
  <c r="L34" i="5"/>
  <c r="L62" i="5"/>
  <c r="M22" i="5"/>
  <c r="L82" i="5"/>
  <c r="L98" i="5"/>
  <c r="L66" i="5"/>
  <c r="M66" i="5"/>
  <c r="M211" i="5"/>
  <c r="L211" i="5"/>
  <c r="L197" i="5"/>
  <c r="M197" i="5"/>
  <c r="L69" i="5"/>
  <c r="M69" i="5"/>
  <c r="M18" i="5"/>
  <c r="L18" i="5"/>
  <c r="M8" i="5"/>
  <c r="L8" i="5"/>
  <c r="L196" i="5"/>
  <c r="M196" i="5"/>
  <c r="L102" i="5"/>
  <c r="M102" i="5"/>
  <c r="L116" i="5"/>
  <c r="M116" i="5"/>
  <c r="L168" i="5"/>
  <c r="M168" i="5"/>
  <c r="L242" i="5"/>
  <c r="M242" i="5"/>
  <c r="M121" i="5"/>
  <c r="L121" i="5"/>
  <c r="L224" i="5"/>
  <c r="M224" i="5"/>
  <c r="M227" i="5"/>
  <c r="L227" i="5"/>
  <c r="L139" i="5"/>
  <c r="M139" i="5"/>
  <c r="L199" i="5"/>
  <c r="M199" i="5"/>
  <c r="L198" i="5"/>
  <c r="M198" i="5"/>
  <c r="L213" i="5"/>
  <c r="M213" i="5"/>
  <c r="M181" i="5"/>
  <c r="L181" i="5"/>
  <c r="L253" i="5"/>
  <c r="M253" i="5"/>
  <c r="L150" i="5"/>
  <c r="M150" i="5"/>
  <c r="L103" i="5"/>
  <c r="M103" i="5"/>
  <c r="M137" i="5"/>
  <c r="L137" i="5"/>
  <c r="L202" i="5"/>
  <c r="M202" i="5"/>
  <c r="L246" i="5"/>
  <c r="M246" i="5"/>
  <c r="L228" i="5"/>
  <c r="M228" i="5"/>
  <c r="L97" i="5"/>
  <c r="M97" i="5"/>
  <c r="M165" i="5"/>
  <c r="L165" i="5"/>
  <c r="L212" i="5"/>
  <c r="M212" i="5"/>
  <c r="L104" i="5"/>
  <c r="M104" i="5"/>
  <c r="L23" i="5"/>
  <c r="M23" i="5"/>
  <c r="L57" i="5"/>
  <c r="M57" i="5"/>
  <c r="L37" i="5"/>
  <c r="M37" i="5"/>
  <c r="L251" i="5"/>
  <c r="M251" i="5"/>
  <c r="L190" i="5"/>
  <c r="M190" i="5"/>
  <c r="L174" i="5"/>
  <c r="M174" i="5"/>
  <c r="L247" i="5"/>
  <c r="M247" i="5"/>
  <c r="L27" i="5"/>
  <c r="M27" i="5"/>
  <c r="L55" i="5"/>
  <c r="M55" i="5"/>
  <c r="M166" i="5"/>
  <c r="L166" i="5"/>
  <c r="L96" i="5"/>
  <c r="M96" i="5"/>
  <c r="M193" i="5"/>
  <c r="L193" i="5"/>
  <c r="L191" i="5"/>
  <c r="M191" i="5"/>
  <c r="L132" i="5"/>
  <c r="M132" i="5"/>
  <c r="L71" i="5"/>
  <c r="M71" i="5"/>
  <c r="L44" i="5"/>
  <c r="M44" i="5"/>
  <c r="L86" i="5"/>
  <c r="M86" i="5"/>
  <c r="M176" i="5"/>
  <c r="L176" i="5"/>
  <c r="L250" i="5"/>
  <c r="M250" i="5"/>
  <c r="M101" i="5"/>
  <c r="L101" i="5"/>
  <c r="L189" i="5"/>
  <c r="M189" i="5"/>
  <c r="L61" i="5"/>
  <c r="M61" i="5"/>
  <c r="L133" i="5"/>
  <c r="M133" i="5"/>
  <c r="L230" i="5"/>
  <c r="M230" i="5"/>
  <c r="L171" i="5"/>
  <c r="M171" i="5"/>
  <c r="L245" i="5"/>
  <c r="M245" i="5"/>
  <c r="L41" i="5"/>
  <c r="M41" i="5"/>
  <c r="L48" i="5"/>
  <c r="M48" i="5"/>
  <c r="L35" i="5"/>
  <c r="M35" i="5"/>
  <c r="L74" i="5"/>
  <c r="M74" i="5"/>
  <c r="L87" i="5"/>
  <c r="M87" i="5"/>
  <c r="L125" i="5"/>
  <c r="M125" i="5"/>
  <c r="L226" i="5"/>
  <c r="M226" i="5"/>
  <c r="L179" i="5"/>
  <c r="M179" i="5"/>
  <c r="L231" i="5"/>
  <c r="M231" i="5"/>
  <c r="L170" i="5"/>
  <c r="M170" i="5"/>
  <c r="M122" i="5"/>
  <c r="L122" i="5"/>
  <c r="L162" i="5"/>
  <c r="M162" i="5"/>
  <c r="M20" i="5"/>
  <c r="L20" i="5"/>
  <c r="M85" i="5"/>
  <c r="L85" i="5"/>
  <c r="L248" i="5"/>
  <c r="M248" i="5"/>
  <c r="L80" i="5"/>
  <c r="M80" i="5"/>
  <c r="L9" i="5"/>
  <c r="M9" i="5"/>
  <c r="L252" i="5"/>
  <c r="M252" i="5"/>
  <c r="M219" i="5"/>
  <c r="L219" i="5"/>
  <c r="L201" i="5"/>
  <c r="M201" i="5"/>
  <c r="L185" i="5"/>
  <c r="M185" i="5"/>
  <c r="L142" i="5"/>
  <c r="M142" i="5"/>
  <c r="L136" i="5"/>
  <c r="M136" i="5"/>
  <c r="M152" i="5"/>
  <c r="L152" i="5"/>
  <c r="M203" i="5"/>
  <c r="L203" i="5"/>
  <c r="M223" i="5"/>
  <c r="L223" i="5"/>
  <c r="L222" i="5"/>
  <c r="M222" i="5"/>
  <c r="L33" i="5"/>
  <c r="M33" i="5"/>
  <c r="M15" i="5"/>
  <c r="L15" i="5"/>
  <c r="M17" i="5"/>
  <c r="L17" i="5"/>
  <c r="L79" i="5"/>
  <c r="M79" i="5"/>
  <c r="L149" i="5"/>
  <c r="M149" i="5"/>
  <c r="L94" i="5"/>
  <c r="M94" i="5"/>
  <c r="L238" i="5"/>
  <c r="M238" i="5"/>
  <c r="L188" i="5"/>
  <c r="M188" i="5"/>
  <c r="L19" i="5"/>
  <c r="M19" i="5"/>
  <c r="L47" i="5"/>
  <c r="M47" i="5"/>
  <c r="M131" i="5"/>
  <c r="L131" i="5"/>
  <c r="L225" i="5"/>
  <c r="M225" i="5"/>
  <c r="L204" i="5"/>
  <c r="M204" i="5"/>
  <c r="M99" i="5"/>
  <c r="L99" i="5"/>
  <c r="L32" i="5"/>
  <c r="M32" i="5"/>
  <c r="L73" i="5"/>
  <c r="M73" i="5"/>
  <c r="L88" i="5"/>
  <c r="M88" i="5"/>
  <c r="L243" i="5"/>
  <c r="M243" i="5"/>
  <c r="L194" i="5"/>
  <c r="M194" i="5"/>
  <c r="L239" i="5"/>
  <c r="M239" i="5"/>
  <c r="L49" i="5"/>
  <c r="M49" i="5"/>
  <c r="L119" i="5"/>
  <c r="M119" i="5"/>
  <c r="M161" i="5"/>
  <c r="L161" i="5"/>
  <c r="M169" i="5"/>
  <c r="L169" i="5"/>
  <c r="L158" i="5"/>
  <c r="M158" i="5"/>
  <c r="L210" i="5"/>
  <c r="M210" i="5"/>
  <c r="M200" i="5"/>
  <c r="L200" i="5"/>
  <c r="L236" i="5"/>
  <c r="M236" i="5"/>
  <c r="L156" i="5"/>
  <c r="M156" i="5"/>
  <c r="L157" i="5"/>
  <c r="M157" i="5"/>
  <c r="L52" i="5"/>
  <c r="M52" i="5"/>
  <c r="L60" i="5"/>
  <c r="M60" i="5"/>
  <c r="M145" i="5"/>
  <c r="L145" i="5"/>
  <c r="M177" i="5"/>
  <c r="L177" i="5"/>
  <c r="L72" i="5"/>
  <c r="M72" i="5"/>
  <c r="L115" i="5"/>
  <c r="M115" i="5"/>
  <c r="L144" i="5"/>
  <c r="M144" i="5"/>
  <c r="M195" i="5"/>
  <c r="L195" i="5"/>
  <c r="L182" i="5"/>
  <c r="M182" i="5"/>
  <c r="L128" i="5"/>
  <c r="M128" i="5"/>
  <c r="L114" i="5"/>
  <c r="M114" i="5"/>
  <c r="L234" i="5"/>
  <c r="M234" i="5"/>
  <c r="L192" i="5"/>
  <c r="M192" i="5"/>
  <c r="L215" i="5"/>
  <c r="M215" i="5"/>
  <c r="L214" i="5"/>
  <c r="M214" i="5"/>
  <c r="L167" i="5"/>
  <c r="M167" i="5"/>
  <c r="L143" i="5"/>
  <c r="M143" i="5"/>
  <c r="M83" i="5"/>
  <c r="L83" i="5"/>
  <c r="M109" i="5"/>
  <c r="L109" i="5"/>
  <c r="L216" i="5"/>
  <c r="M216" i="5"/>
  <c r="L205" i="5"/>
  <c r="M205" i="5"/>
  <c r="M146" i="5"/>
  <c r="L146" i="5"/>
  <c r="M106" i="5"/>
  <c r="L106" i="5"/>
  <c r="L237" i="5"/>
  <c r="M237" i="5"/>
  <c r="L254" i="5"/>
  <c r="M254" i="5"/>
  <c r="L105" i="5"/>
  <c r="M105" i="5"/>
  <c r="L84" i="5"/>
  <c r="M84" i="5"/>
  <c r="L240" i="5"/>
  <c r="M240" i="5"/>
  <c r="M118" i="5"/>
  <c r="L118" i="5"/>
  <c r="L186" i="5"/>
  <c r="M186" i="5"/>
  <c r="L220" i="5"/>
  <c r="M220" i="5"/>
  <c r="M217" i="5"/>
  <c r="L217" i="5"/>
  <c r="L244" i="5"/>
  <c r="M244" i="5"/>
  <c r="L183" i="5"/>
  <c r="M183" i="5"/>
  <c r="L29" i="5"/>
  <c r="M29" i="5"/>
  <c r="L120" i="5"/>
  <c r="M120" i="5"/>
  <c r="M112" i="5"/>
  <c r="L112" i="5"/>
  <c r="L147" i="5"/>
  <c r="M147" i="5"/>
  <c r="L164" i="5"/>
  <c r="M164" i="5"/>
  <c r="L209" i="5"/>
  <c r="M209" i="5"/>
  <c r="L89" i="5"/>
  <c r="M89" i="5"/>
  <c r="M93" i="5"/>
  <c r="L93" i="5"/>
  <c r="M155" i="5"/>
  <c r="L155" i="5"/>
  <c r="L77" i="5"/>
  <c r="M77" i="5"/>
  <c r="M7" i="5"/>
  <c r="L7" i="5"/>
  <c r="L173" i="5"/>
  <c r="M173" i="5"/>
  <c r="L130" i="5"/>
  <c r="M130" i="5"/>
  <c r="L63" i="5"/>
  <c r="M63" i="5"/>
  <c r="M14" i="5"/>
  <c r="L14" i="5"/>
  <c r="L208" i="5"/>
  <c r="M208" i="5"/>
  <c r="L45" i="5"/>
  <c r="M45" i="5"/>
  <c r="L148" i="5"/>
  <c r="M148" i="5"/>
  <c r="M12" i="5"/>
  <c r="L12" i="5"/>
  <c r="M91" i="5"/>
  <c r="L91" i="5"/>
  <c r="L28" i="5"/>
  <c r="M28" i="5"/>
  <c r="L95" i="5"/>
  <c r="M95" i="5"/>
  <c r="L64" i="5"/>
  <c r="M64" i="5"/>
  <c r="L172" i="5"/>
  <c r="M172" i="5"/>
  <c r="L67" i="5"/>
  <c r="M67" i="5"/>
  <c r="M110" i="5"/>
  <c r="L110" i="5"/>
  <c r="M6" i="5"/>
  <c r="L6" i="5"/>
  <c r="L107" i="5"/>
  <c r="M107" i="5"/>
  <c r="L117" i="5"/>
  <c r="M117" i="5"/>
  <c r="L184" i="5"/>
  <c r="M184" i="5"/>
  <c r="L163" i="5"/>
  <c r="M163" i="5"/>
  <c r="L127" i="5"/>
  <c r="M127" i="5"/>
  <c r="L235" i="5"/>
  <c r="M235" i="5"/>
  <c r="L232" i="5"/>
  <c r="M232" i="5"/>
  <c r="L160" i="5"/>
  <c r="M160" i="5"/>
  <c r="L207" i="5"/>
  <c r="M207" i="5"/>
  <c r="L206" i="5"/>
  <c r="M206" i="5"/>
  <c r="O6" i="5"/>
  <c r="N6" i="5"/>
  <c r="O7" i="5"/>
  <c r="V7" i="5" l="1"/>
  <c r="W7" i="5" s="1"/>
  <c r="P6" i="5"/>
  <c r="V6" i="5"/>
  <c r="W6" i="5" s="1"/>
  <c r="B14" i="5"/>
  <c r="N7" i="5"/>
  <c r="Q6" i="5"/>
  <c r="R6" i="5"/>
  <c r="X6" i="5"/>
  <c r="AB6" i="5"/>
  <c r="O8" i="5"/>
  <c r="N8" i="5"/>
  <c r="O9" i="5"/>
  <c r="N9" i="5"/>
  <c r="O10" i="5"/>
  <c r="N10" i="5"/>
  <c r="N11" i="5"/>
  <c r="O11" i="5"/>
  <c r="O12" i="5"/>
  <c r="N12" i="5"/>
  <c r="N13" i="5"/>
  <c r="O13" i="5"/>
  <c r="N14" i="5"/>
  <c r="O14" i="5"/>
  <c r="O15" i="5"/>
  <c r="N15" i="5"/>
  <c r="N16" i="5"/>
  <c r="O16" i="5"/>
  <c r="O17" i="5"/>
  <c r="N17" i="5"/>
  <c r="O18" i="5"/>
  <c r="N18" i="5"/>
  <c r="O19" i="5"/>
  <c r="N19" i="5"/>
  <c r="N20" i="5"/>
  <c r="O20" i="5"/>
  <c r="N21" i="5"/>
  <c r="O21" i="5"/>
  <c r="O22" i="5"/>
  <c r="N22" i="5"/>
  <c r="O23" i="5"/>
  <c r="N23" i="5"/>
  <c r="N24" i="5"/>
  <c r="O24" i="5"/>
  <c r="O25" i="5"/>
  <c r="N25" i="5"/>
  <c r="N26" i="5"/>
  <c r="O26" i="5"/>
  <c r="N27" i="5"/>
  <c r="O27" i="5"/>
  <c r="N28" i="5"/>
  <c r="O28" i="5"/>
  <c r="N29" i="5"/>
  <c r="O29" i="5"/>
  <c r="N30" i="5"/>
  <c r="O30" i="5"/>
  <c r="N31" i="5"/>
  <c r="O31" i="5"/>
  <c r="N32" i="5"/>
  <c r="O32" i="5"/>
  <c r="N33" i="5"/>
  <c r="O33" i="5"/>
  <c r="O34" i="5"/>
  <c r="N34" i="5"/>
  <c r="O35" i="5"/>
  <c r="N35" i="5"/>
  <c r="N36" i="5"/>
  <c r="O36" i="5"/>
  <c r="O37" i="5"/>
  <c r="N37" i="5"/>
  <c r="N38" i="5"/>
  <c r="O38" i="5"/>
  <c r="O39" i="5"/>
  <c r="N39" i="5"/>
  <c r="N40" i="5"/>
  <c r="O40" i="5"/>
  <c r="O41" i="5"/>
  <c r="N41" i="5"/>
  <c r="N42" i="5"/>
  <c r="O42" i="5"/>
  <c r="N43" i="5"/>
  <c r="O43" i="5"/>
  <c r="N44" i="5"/>
  <c r="O44" i="5"/>
  <c r="N45" i="5"/>
  <c r="O45" i="5"/>
  <c r="N46" i="5"/>
  <c r="O46" i="5"/>
  <c r="O47" i="5"/>
  <c r="N47" i="5"/>
  <c r="N48" i="5"/>
  <c r="O48" i="5"/>
  <c r="N49" i="5"/>
  <c r="O49" i="5"/>
  <c r="O50" i="5"/>
  <c r="N50" i="5"/>
  <c r="O51" i="5"/>
  <c r="N51" i="5"/>
  <c r="O52" i="5"/>
  <c r="N52" i="5"/>
  <c r="O53" i="5"/>
  <c r="N53" i="5"/>
  <c r="O54" i="5"/>
  <c r="N54" i="5"/>
  <c r="O55" i="5"/>
  <c r="N55" i="5"/>
  <c r="N56" i="5"/>
  <c r="O56" i="5"/>
  <c r="N57" i="5"/>
  <c r="O57" i="5"/>
  <c r="N58" i="5"/>
  <c r="O58" i="5"/>
  <c r="O59" i="5"/>
  <c r="N59" i="5"/>
  <c r="N60" i="5"/>
  <c r="O60" i="5"/>
  <c r="N61" i="5"/>
  <c r="O61" i="5"/>
  <c r="N62" i="5"/>
  <c r="O62" i="5"/>
  <c r="O63" i="5"/>
  <c r="N63" i="5"/>
  <c r="N64" i="5"/>
  <c r="O64" i="5"/>
  <c r="O65" i="5"/>
  <c r="N65" i="5"/>
  <c r="O66" i="5"/>
  <c r="N66" i="5"/>
  <c r="O67" i="5"/>
  <c r="N67" i="5"/>
  <c r="N68" i="5"/>
  <c r="O68" i="5"/>
  <c r="N69" i="5"/>
  <c r="O69" i="5"/>
  <c r="N70" i="5"/>
  <c r="O70" i="5"/>
  <c r="O71" i="5"/>
  <c r="N71" i="5"/>
  <c r="O72" i="5"/>
  <c r="N72" i="5"/>
  <c r="N73" i="5"/>
  <c r="O73" i="5"/>
  <c r="O74" i="5"/>
  <c r="N74" i="5"/>
  <c r="N75" i="5"/>
  <c r="O75" i="5"/>
  <c r="N76" i="5"/>
  <c r="O76" i="5"/>
  <c r="N77" i="5"/>
  <c r="O77" i="5"/>
  <c r="N78" i="5"/>
  <c r="O78" i="5"/>
  <c r="O79" i="5"/>
  <c r="N79" i="5"/>
  <c r="N80" i="5"/>
  <c r="O80" i="5"/>
  <c r="N81" i="5"/>
  <c r="O81" i="5"/>
  <c r="N82" i="5"/>
  <c r="O82" i="5"/>
  <c r="N83" i="5"/>
  <c r="O83" i="5"/>
  <c r="N84" i="5"/>
  <c r="O84" i="5"/>
  <c r="O85" i="5"/>
  <c r="N85" i="5"/>
  <c r="N86" i="5"/>
  <c r="O86" i="5"/>
  <c r="O87" i="5"/>
  <c r="N87" i="5"/>
  <c r="N88" i="5"/>
  <c r="O88" i="5"/>
  <c r="N89" i="5"/>
  <c r="O89" i="5"/>
  <c r="O90" i="5"/>
  <c r="N90" i="5"/>
  <c r="N91" i="5"/>
  <c r="O91" i="5"/>
  <c r="N92" i="5"/>
  <c r="O92" i="5"/>
  <c r="O93" i="5"/>
  <c r="N93" i="5"/>
  <c r="N94" i="5"/>
  <c r="O94" i="5"/>
  <c r="O95" i="5"/>
  <c r="N95" i="5"/>
  <c r="O96" i="5"/>
  <c r="N96" i="5"/>
  <c r="N97" i="5"/>
  <c r="O97" i="5"/>
  <c r="O98" i="5"/>
  <c r="N98" i="5"/>
  <c r="N99" i="5"/>
  <c r="O99" i="5"/>
  <c r="N100" i="5"/>
  <c r="O100" i="5"/>
  <c r="N101" i="5"/>
  <c r="O101" i="5"/>
  <c r="N102" i="5"/>
  <c r="O102" i="5"/>
  <c r="O103" i="5"/>
  <c r="N103" i="5"/>
  <c r="O104" i="5"/>
  <c r="N104" i="5"/>
  <c r="N105" i="5"/>
  <c r="O105" i="5"/>
  <c r="N106" i="5"/>
  <c r="O106" i="5"/>
  <c r="O107" i="5"/>
  <c r="N107" i="5"/>
  <c r="N108" i="5"/>
  <c r="O108" i="5"/>
  <c r="O109" i="5"/>
  <c r="N109" i="5"/>
  <c r="N110" i="5"/>
  <c r="O110" i="5"/>
  <c r="O111" i="5"/>
  <c r="N111" i="5"/>
  <c r="O112" i="5"/>
  <c r="N112" i="5"/>
  <c r="N113" i="5"/>
  <c r="O113" i="5"/>
  <c r="N114" i="5"/>
  <c r="O114" i="5"/>
  <c r="O115" i="5"/>
  <c r="N115" i="5"/>
  <c r="O116" i="5"/>
  <c r="N116" i="5"/>
  <c r="N117" i="5"/>
  <c r="O117" i="5"/>
  <c r="O118" i="5"/>
  <c r="N118" i="5"/>
  <c r="O119" i="5"/>
  <c r="N119" i="5"/>
  <c r="O120" i="5"/>
  <c r="N120" i="5"/>
  <c r="O121" i="5"/>
  <c r="N121" i="5"/>
  <c r="O122" i="5"/>
  <c r="N122" i="5"/>
  <c r="O123" i="5"/>
  <c r="N123" i="5"/>
  <c r="N124" i="5"/>
  <c r="O124" i="5"/>
  <c r="O125" i="5"/>
  <c r="N125" i="5"/>
  <c r="O126" i="5"/>
  <c r="N126" i="5"/>
  <c r="O127" i="5"/>
  <c r="N127" i="5"/>
  <c r="N128" i="5"/>
  <c r="O128" i="5"/>
  <c r="N129" i="5"/>
  <c r="O129" i="5"/>
  <c r="N130" i="5"/>
  <c r="O130" i="5"/>
  <c r="N131" i="5"/>
  <c r="O131" i="5"/>
  <c r="O132" i="5"/>
  <c r="N132" i="5"/>
  <c r="N133" i="5"/>
  <c r="O133" i="5"/>
  <c r="O134" i="5"/>
  <c r="N134" i="5"/>
  <c r="O135" i="5"/>
  <c r="N135" i="5"/>
  <c r="O136" i="5"/>
  <c r="N136" i="5"/>
  <c r="O137" i="5"/>
  <c r="N137" i="5"/>
  <c r="N138" i="5"/>
  <c r="O138" i="5"/>
  <c r="O139" i="5"/>
  <c r="N139" i="5"/>
  <c r="N140" i="5"/>
  <c r="O140" i="5"/>
  <c r="N141" i="5"/>
  <c r="O141" i="5"/>
  <c r="N142" i="5"/>
  <c r="O142" i="5"/>
  <c r="N143" i="5"/>
  <c r="O143" i="5"/>
  <c r="O144" i="5"/>
  <c r="N144" i="5"/>
  <c r="O145" i="5"/>
  <c r="N145" i="5"/>
  <c r="N146" i="5"/>
  <c r="O146" i="5"/>
  <c r="O147" i="5"/>
  <c r="N147" i="5"/>
  <c r="N148" i="5"/>
  <c r="O148" i="5"/>
  <c r="N149" i="5"/>
  <c r="O149" i="5"/>
  <c r="O150" i="5"/>
  <c r="N150" i="5"/>
  <c r="O151" i="5"/>
  <c r="N151" i="5"/>
  <c r="O152" i="5"/>
  <c r="N152" i="5"/>
  <c r="N153" i="5"/>
  <c r="O153" i="5"/>
  <c r="N154" i="5"/>
  <c r="O154" i="5"/>
  <c r="N155" i="5"/>
  <c r="O155" i="5"/>
  <c r="O156" i="5"/>
  <c r="N156" i="5"/>
  <c r="N157" i="5"/>
  <c r="O157" i="5"/>
  <c r="N158" i="5"/>
  <c r="O158" i="5"/>
  <c r="N159" i="5"/>
  <c r="O159" i="5"/>
  <c r="O160" i="5"/>
  <c r="N160" i="5"/>
  <c r="O161" i="5"/>
  <c r="N161" i="5"/>
  <c r="N162" i="5"/>
  <c r="O162" i="5"/>
  <c r="O163" i="5"/>
  <c r="N163" i="5"/>
  <c r="O164" i="5"/>
  <c r="N164" i="5"/>
  <c r="O165" i="5"/>
  <c r="N165" i="5"/>
  <c r="O166" i="5"/>
  <c r="N166" i="5"/>
  <c r="N167" i="5"/>
  <c r="O167" i="5"/>
  <c r="N168" i="5"/>
  <c r="O168" i="5"/>
  <c r="O169" i="5"/>
  <c r="N169" i="5"/>
  <c r="N170" i="5"/>
  <c r="O170" i="5"/>
  <c r="O171" i="5"/>
  <c r="N171" i="5"/>
  <c r="O172" i="5"/>
  <c r="N172" i="5"/>
  <c r="N173" i="5"/>
  <c r="O173" i="5"/>
  <c r="N174" i="5"/>
  <c r="O174" i="5"/>
  <c r="N175" i="5"/>
  <c r="O175" i="5"/>
  <c r="N176" i="5"/>
  <c r="O176" i="5"/>
  <c r="N177" i="5"/>
  <c r="O177" i="5"/>
  <c r="O178" i="5"/>
  <c r="N178" i="5"/>
  <c r="O179" i="5"/>
  <c r="N179" i="5"/>
  <c r="N180" i="5"/>
  <c r="O180" i="5"/>
  <c r="O181" i="5"/>
  <c r="N181" i="5"/>
  <c r="N182" i="5"/>
  <c r="O182" i="5"/>
  <c r="O183" i="5"/>
  <c r="N183" i="5"/>
  <c r="N184" i="5"/>
  <c r="O184" i="5"/>
  <c r="N185" i="5"/>
  <c r="O185" i="5"/>
  <c r="N186" i="5"/>
  <c r="O186" i="5"/>
  <c r="N187" i="5"/>
  <c r="O187" i="5"/>
  <c r="O188" i="5"/>
  <c r="N188" i="5"/>
  <c r="N189" i="5"/>
  <c r="O189" i="5"/>
  <c r="O190" i="5"/>
  <c r="N190" i="5"/>
  <c r="O191" i="5"/>
  <c r="N191" i="5"/>
  <c r="N192" i="5"/>
  <c r="O192" i="5"/>
  <c r="O193" i="5"/>
  <c r="N193" i="5"/>
  <c r="O194" i="5"/>
  <c r="N194" i="5"/>
  <c r="N195" i="5"/>
  <c r="O195" i="5"/>
  <c r="O196" i="5"/>
  <c r="N196" i="5"/>
  <c r="N197" i="5"/>
  <c r="O197" i="5"/>
  <c r="N198" i="5"/>
  <c r="O198" i="5"/>
  <c r="O199" i="5"/>
  <c r="N199" i="5"/>
  <c r="N200" i="5"/>
  <c r="O200" i="5"/>
  <c r="N201" i="5"/>
  <c r="O201" i="5"/>
  <c r="O202" i="5"/>
  <c r="N202" i="5"/>
  <c r="N203" i="5"/>
  <c r="O203" i="5"/>
  <c r="O204" i="5"/>
  <c r="N204" i="5"/>
  <c r="N205" i="5"/>
  <c r="O205" i="5"/>
  <c r="N206" i="5"/>
  <c r="O206" i="5"/>
  <c r="O207" i="5"/>
  <c r="N207" i="5"/>
  <c r="O208" i="5"/>
  <c r="N208" i="5"/>
  <c r="O209" i="5"/>
  <c r="N209" i="5"/>
  <c r="N210" i="5"/>
  <c r="O210" i="5"/>
  <c r="N211" i="5"/>
  <c r="O211" i="5"/>
  <c r="N212" i="5"/>
  <c r="O212" i="5"/>
  <c r="O213" i="5"/>
  <c r="N213" i="5"/>
  <c r="N214" i="5"/>
  <c r="O214" i="5"/>
  <c r="O215" i="5"/>
  <c r="N215" i="5"/>
  <c r="N216" i="5"/>
  <c r="O216" i="5"/>
  <c r="O217" i="5"/>
  <c r="N217" i="5"/>
  <c r="O218" i="5"/>
  <c r="N218" i="5"/>
  <c r="N219" i="5"/>
  <c r="O219" i="5"/>
  <c r="O220" i="5"/>
  <c r="N220" i="5"/>
  <c r="N221" i="5"/>
  <c r="O221" i="5"/>
  <c r="N222" i="5"/>
  <c r="O222" i="5"/>
  <c r="O223" i="5"/>
  <c r="N223" i="5"/>
  <c r="O224" i="5"/>
  <c r="N224" i="5"/>
  <c r="N225" i="5"/>
  <c r="O225" i="5"/>
  <c r="O226" i="5"/>
  <c r="N226" i="5"/>
  <c r="O227" i="5"/>
  <c r="N227" i="5"/>
  <c r="N228" i="5"/>
  <c r="O228" i="5"/>
  <c r="N229" i="5"/>
  <c r="O229" i="5"/>
  <c r="O230" i="5"/>
  <c r="N230" i="5"/>
  <c r="O231" i="5"/>
  <c r="N231" i="5"/>
  <c r="O232" i="5"/>
  <c r="N232" i="5"/>
  <c r="O233" i="5"/>
  <c r="N233" i="5"/>
  <c r="O234" i="5"/>
  <c r="N234" i="5"/>
  <c r="O235" i="5"/>
  <c r="N235" i="5"/>
  <c r="N236" i="5"/>
  <c r="O236" i="5"/>
  <c r="N237" i="5"/>
  <c r="O237" i="5"/>
  <c r="N238" i="5"/>
  <c r="O238" i="5"/>
  <c r="O239" i="5"/>
  <c r="N239" i="5"/>
  <c r="O240" i="5"/>
  <c r="N240" i="5"/>
  <c r="O241" i="5"/>
  <c r="N241" i="5"/>
  <c r="O242" i="5"/>
  <c r="N242" i="5"/>
  <c r="O243" i="5"/>
  <c r="N243" i="5"/>
  <c r="N244" i="5"/>
  <c r="O244" i="5"/>
  <c r="N245" i="5"/>
  <c r="O245" i="5"/>
  <c r="O246" i="5"/>
  <c r="N246" i="5"/>
  <c r="O247" i="5"/>
  <c r="N247" i="5"/>
  <c r="N248" i="5"/>
  <c r="O248" i="5"/>
  <c r="O249" i="5"/>
  <c r="N249" i="5"/>
  <c r="O250" i="5"/>
  <c r="N250" i="5"/>
  <c r="O251" i="5"/>
  <c r="N251" i="5"/>
  <c r="N252" i="5"/>
  <c r="O252" i="5"/>
  <c r="N253" i="5"/>
  <c r="O253" i="5"/>
  <c r="O254" i="5"/>
  <c r="N254" i="5"/>
  <c r="V8" i="5" l="1"/>
  <c r="W8" i="5" s="1"/>
  <c r="P7" i="5"/>
  <c r="P8" i="5" s="1"/>
  <c r="Y6" i="5"/>
  <c r="Z6" i="5" s="1"/>
  <c r="AC6" i="5"/>
  <c r="AD6" i="5" s="1"/>
  <c r="AB7" i="5"/>
  <c r="S6" i="5"/>
  <c r="Q7" i="5"/>
  <c r="R7" i="5" s="1"/>
  <c r="Q8" i="5"/>
  <c r="X7" i="5"/>
  <c r="P9" i="5" l="1"/>
  <c r="T6" i="5"/>
  <c r="U6" i="5" s="1"/>
  <c r="AC7" i="5"/>
  <c r="AD7" i="5" s="1"/>
  <c r="Y7" i="5"/>
  <c r="Z7" i="5" s="1"/>
  <c r="R8" i="5"/>
  <c r="Q9" i="5"/>
  <c r="R9" i="5"/>
  <c r="X8" i="5"/>
  <c r="S7" i="5"/>
  <c r="AB8" i="5"/>
  <c r="T7" i="5" l="1"/>
  <c r="U7" i="5" s="1"/>
  <c r="P10" i="5"/>
  <c r="AC8" i="5"/>
  <c r="AD8" i="5" s="1"/>
  <c r="Y8" i="5"/>
  <c r="Z8" i="5" s="1"/>
  <c r="S9" i="5"/>
  <c r="S8" i="5"/>
  <c r="Q10" i="5"/>
  <c r="R10" i="5"/>
  <c r="T8" i="5" l="1"/>
  <c r="T9" i="5"/>
  <c r="U8" i="5"/>
  <c r="U9" i="5" s="1"/>
  <c r="P11" i="5"/>
  <c r="S10" i="5"/>
  <c r="Q11" i="5"/>
  <c r="R11" i="5"/>
  <c r="T10" i="5" l="1"/>
  <c r="U10" i="5"/>
  <c r="P12" i="5"/>
  <c r="S11" i="5"/>
  <c r="Q12" i="5"/>
  <c r="R12" i="5"/>
  <c r="T11" i="5" l="1"/>
  <c r="U11" i="5"/>
  <c r="P13" i="5"/>
  <c r="Q13" i="5"/>
  <c r="R13" i="5"/>
  <c r="S12" i="5"/>
  <c r="T12" i="5" l="1"/>
  <c r="U12" i="5"/>
  <c r="P14" i="5"/>
  <c r="S13" i="5"/>
  <c r="Q14" i="5"/>
  <c r="R14" i="5"/>
  <c r="T13" i="5" l="1"/>
  <c r="U13" i="5"/>
  <c r="P15" i="5"/>
  <c r="S14" i="5"/>
  <c r="Q15" i="5"/>
  <c r="R15" i="5"/>
  <c r="T14" i="5" l="1"/>
  <c r="U14" i="5"/>
  <c r="P16" i="5"/>
  <c r="S15" i="5"/>
  <c r="Q16" i="5"/>
  <c r="R16" i="5"/>
  <c r="T15" i="5" l="1"/>
  <c r="U15" i="5"/>
  <c r="P17" i="5"/>
  <c r="S16" i="5"/>
  <c r="Q17" i="5"/>
  <c r="R17" i="5"/>
  <c r="T16" i="5" l="1"/>
  <c r="U16" i="5"/>
  <c r="P18" i="5"/>
  <c r="Q18" i="5"/>
  <c r="R18" i="5"/>
  <c r="S17" i="5"/>
  <c r="T17" i="5" l="1"/>
  <c r="U17" i="5" s="1"/>
  <c r="P19" i="5"/>
  <c r="S18" i="5"/>
  <c r="Q19" i="5"/>
  <c r="R19" i="5"/>
  <c r="T18" i="5" l="1"/>
  <c r="U18" i="5"/>
  <c r="P20" i="5"/>
  <c r="Q20" i="5"/>
  <c r="R20" i="5"/>
  <c r="S19" i="5"/>
  <c r="T19" i="5" l="1"/>
  <c r="U19" i="5"/>
  <c r="P21" i="5"/>
  <c r="S20" i="5"/>
  <c r="Q21" i="5"/>
  <c r="R21" i="5"/>
  <c r="T20" i="5" l="1"/>
  <c r="U20" i="5"/>
  <c r="P22" i="5"/>
  <c r="S21" i="5"/>
  <c r="Q22" i="5"/>
  <c r="R22" i="5"/>
  <c r="T21" i="5" l="1"/>
  <c r="U21" i="5"/>
  <c r="P23" i="5"/>
  <c r="Q23" i="5"/>
  <c r="R23" i="5"/>
  <c r="S22" i="5"/>
  <c r="T22" i="5" l="1"/>
  <c r="U22" i="5" s="1"/>
  <c r="P24" i="5"/>
  <c r="S23" i="5"/>
  <c r="Q24" i="5"/>
  <c r="R24" i="5"/>
  <c r="T23" i="5" l="1"/>
  <c r="U23" i="5" s="1"/>
  <c r="P25" i="5"/>
  <c r="Q25" i="5"/>
  <c r="R25" i="5"/>
  <c r="S24" i="5"/>
  <c r="T24" i="5" l="1"/>
  <c r="U24" i="5"/>
  <c r="P26" i="5"/>
  <c r="S25" i="5"/>
  <c r="Q26" i="5"/>
  <c r="R26" i="5"/>
  <c r="T25" i="5" l="1"/>
  <c r="U25" i="5"/>
  <c r="P27" i="5"/>
  <c r="S26" i="5"/>
  <c r="Q27" i="5"/>
  <c r="R27" i="5"/>
  <c r="T26" i="5" l="1"/>
  <c r="U26" i="5"/>
  <c r="P28" i="5"/>
  <c r="Q28" i="5"/>
  <c r="R28" i="5"/>
  <c r="S27" i="5"/>
  <c r="T27" i="5" l="1"/>
  <c r="U27" i="5" s="1"/>
  <c r="P29" i="5"/>
  <c r="Q29" i="5"/>
  <c r="R29" i="5"/>
  <c r="S28" i="5"/>
  <c r="T28" i="5" l="1"/>
  <c r="U28" i="5" s="1"/>
  <c r="P30" i="5"/>
  <c r="S29" i="5"/>
  <c r="Q30" i="5"/>
  <c r="R30" i="5"/>
  <c r="T29" i="5" l="1"/>
  <c r="U29" i="5"/>
  <c r="P31" i="5"/>
  <c r="Q31" i="5"/>
  <c r="R31" i="5"/>
  <c r="S30" i="5"/>
  <c r="T30" i="5" l="1"/>
  <c r="U30" i="5" s="1"/>
  <c r="P32" i="5"/>
  <c r="S31" i="5"/>
  <c r="Q32" i="5"/>
  <c r="R32" i="5"/>
  <c r="T31" i="5" l="1"/>
  <c r="U31" i="5"/>
  <c r="P33" i="5"/>
  <c r="Q33" i="5"/>
  <c r="R33" i="5"/>
  <c r="S32" i="5"/>
  <c r="T32" i="5" l="1"/>
  <c r="U32" i="5"/>
  <c r="P34" i="5"/>
  <c r="S33" i="5"/>
  <c r="Q34" i="5"/>
  <c r="R34" i="5"/>
  <c r="T33" i="5" l="1"/>
  <c r="U33" i="5"/>
  <c r="P35" i="5"/>
  <c r="S34" i="5"/>
  <c r="Q35" i="5"/>
  <c r="R35" i="5"/>
  <c r="T34" i="5" l="1"/>
  <c r="U34" i="5"/>
  <c r="P36" i="5"/>
  <c r="S35" i="5"/>
  <c r="Q36" i="5"/>
  <c r="R36" i="5"/>
  <c r="T35" i="5" l="1"/>
  <c r="U35" i="5"/>
  <c r="P37" i="5"/>
  <c r="Q37" i="5"/>
  <c r="R37" i="5"/>
  <c r="S36" i="5"/>
  <c r="T36" i="5" l="1"/>
  <c r="U36" i="5"/>
  <c r="P38" i="5"/>
  <c r="Q38" i="5"/>
  <c r="R38" i="5"/>
  <c r="S37" i="5"/>
  <c r="T37" i="5" l="1"/>
  <c r="U37" i="5"/>
  <c r="P39" i="5"/>
  <c r="S38" i="5"/>
  <c r="Q39" i="5"/>
  <c r="R39" i="5"/>
  <c r="T38" i="5" l="1"/>
  <c r="U38" i="5"/>
  <c r="P40" i="5"/>
  <c r="Q40" i="5"/>
  <c r="R40" i="5"/>
  <c r="S39" i="5"/>
  <c r="T39" i="5" l="1"/>
  <c r="U39" i="5"/>
  <c r="P41" i="5"/>
  <c r="S40" i="5"/>
  <c r="Q41" i="5"/>
  <c r="R41" i="5"/>
  <c r="T40" i="5" l="1"/>
  <c r="U40" i="5"/>
  <c r="P42" i="5"/>
  <c r="Q42" i="5"/>
  <c r="R42" i="5"/>
  <c r="S41" i="5"/>
  <c r="T41" i="5" l="1"/>
  <c r="U41" i="5"/>
  <c r="P43" i="5"/>
  <c r="S42" i="5"/>
  <c r="Q43" i="5"/>
  <c r="R43" i="5"/>
  <c r="T42" i="5" l="1"/>
  <c r="U42" i="5" s="1"/>
  <c r="P44" i="5"/>
  <c r="Q44" i="5"/>
  <c r="R44" i="5"/>
  <c r="S43" i="5"/>
  <c r="T43" i="5" l="1"/>
  <c r="U43" i="5" s="1"/>
  <c r="P45" i="5"/>
  <c r="S44" i="5"/>
  <c r="Q45" i="5"/>
  <c r="R45" i="5"/>
  <c r="T44" i="5" l="1"/>
  <c r="U44" i="5"/>
  <c r="P46" i="5"/>
  <c r="Q46" i="5"/>
  <c r="R46" i="5"/>
  <c r="S45" i="5"/>
  <c r="T45" i="5" l="1"/>
  <c r="U45" i="5"/>
  <c r="P47" i="5"/>
  <c r="S46" i="5"/>
  <c r="Q47" i="5"/>
  <c r="R47" i="5"/>
  <c r="T46" i="5" l="1"/>
  <c r="U46" i="5"/>
  <c r="P48" i="5"/>
  <c r="S47" i="5"/>
  <c r="Q48" i="5"/>
  <c r="R48" i="5"/>
  <c r="T47" i="5" l="1"/>
  <c r="U47" i="5"/>
  <c r="P49" i="5"/>
  <c r="Q49" i="5"/>
  <c r="R49" i="5"/>
  <c r="S48" i="5"/>
  <c r="T48" i="5" l="1"/>
  <c r="U48" i="5"/>
  <c r="P50" i="5"/>
  <c r="S49" i="5"/>
  <c r="Q50" i="5"/>
  <c r="R50" i="5"/>
  <c r="T49" i="5" l="1"/>
  <c r="U49" i="5"/>
  <c r="P51" i="5"/>
  <c r="S50" i="5"/>
  <c r="Q51" i="5"/>
  <c r="R51" i="5"/>
  <c r="T50" i="5" l="1"/>
  <c r="U50" i="5"/>
  <c r="P52" i="5"/>
  <c r="S51" i="5"/>
  <c r="Q52" i="5"/>
  <c r="R52" i="5"/>
  <c r="T51" i="5" l="1"/>
  <c r="U51" i="5" s="1"/>
  <c r="P53" i="5"/>
  <c r="S52" i="5"/>
  <c r="Q53" i="5"/>
  <c r="R53" i="5"/>
  <c r="T52" i="5" l="1"/>
  <c r="U52" i="5" s="1"/>
  <c r="P54" i="5"/>
  <c r="S53" i="5"/>
  <c r="Q54" i="5"/>
  <c r="R54" i="5"/>
  <c r="T53" i="5" l="1"/>
  <c r="U53" i="5"/>
  <c r="P55" i="5"/>
  <c r="Q55" i="5"/>
  <c r="R55" i="5"/>
  <c r="S54" i="5"/>
  <c r="T54" i="5" l="1"/>
  <c r="U54" i="5" s="1"/>
  <c r="P56" i="5"/>
  <c r="S55" i="5"/>
  <c r="Q56" i="5"/>
  <c r="R56" i="5"/>
  <c r="T55" i="5" l="1"/>
  <c r="U55" i="5"/>
  <c r="P57" i="5"/>
  <c r="Q57" i="5"/>
  <c r="R57" i="5"/>
  <c r="S56" i="5"/>
  <c r="T56" i="5" l="1"/>
  <c r="U56" i="5" s="1"/>
  <c r="P58" i="5"/>
  <c r="S57" i="5"/>
  <c r="Q58" i="5"/>
  <c r="R58" i="5"/>
  <c r="T57" i="5" l="1"/>
  <c r="U57" i="5"/>
  <c r="P59" i="5"/>
  <c r="Q59" i="5"/>
  <c r="R59" i="5"/>
  <c r="S58" i="5"/>
  <c r="T58" i="5" l="1"/>
  <c r="U58" i="5"/>
  <c r="P60" i="5"/>
  <c r="S59" i="5"/>
  <c r="Q60" i="5"/>
  <c r="R60" i="5"/>
  <c r="T59" i="5" l="1"/>
  <c r="U59" i="5"/>
  <c r="P61" i="5"/>
  <c r="Q61" i="5"/>
  <c r="R61" i="5"/>
  <c r="S60" i="5"/>
  <c r="T60" i="5" l="1"/>
  <c r="U60" i="5"/>
  <c r="P62" i="5"/>
  <c r="S61" i="5"/>
  <c r="Q62" i="5"/>
  <c r="R62" i="5"/>
  <c r="T61" i="5" l="1"/>
  <c r="U61" i="5"/>
  <c r="P63" i="5"/>
  <c r="Q63" i="5"/>
  <c r="R63" i="5"/>
  <c r="S62" i="5"/>
  <c r="T62" i="5" l="1"/>
  <c r="U62" i="5"/>
  <c r="P64" i="5"/>
  <c r="S63" i="5"/>
  <c r="Q64" i="5"/>
  <c r="R64" i="5"/>
  <c r="T63" i="5" l="1"/>
  <c r="U63" i="5" s="1"/>
  <c r="P65" i="5"/>
  <c r="S64" i="5"/>
  <c r="Q65" i="5"/>
  <c r="R65" i="5"/>
  <c r="T64" i="5" l="1"/>
  <c r="U64" i="5"/>
  <c r="P66" i="5"/>
  <c r="Q66" i="5"/>
  <c r="R66" i="5"/>
  <c r="S65" i="5"/>
  <c r="T65" i="5" l="1"/>
  <c r="U65" i="5"/>
  <c r="P67" i="5"/>
  <c r="Q67" i="5"/>
  <c r="R67" i="5"/>
  <c r="S66" i="5"/>
  <c r="T66" i="5" l="1"/>
  <c r="U66" i="5"/>
  <c r="P68" i="5"/>
  <c r="S67" i="5"/>
  <c r="Q68" i="5"/>
  <c r="R68" i="5"/>
  <c r="T67" i="5" l="1"/>
  <c r="U67" i="5"/>
  <c r="P69" i="5"/>
  <c r="Q69" i="5"/>
  <c r="R69" i="5"/>
  <c r="S68" i="5"/>
  <c r="T68" i="5" l="1"/>
  <c r="U68" i="5"/>
  <c r="P70" i="5"/>
  <c r="Q70" i="5"/>
  <c r="R70" i="5"/>
  <c r="S69" i="5"/>
  <c r="T69" i="5" l="1"/>
  <c r="U69" i="5"/>
  <c r="U70" i="5" s="1"/>
  <c r="P71" i="5"/>
  <c r="S70" i="5"/>
  <c r="T70" i="5" s="1"/>
  <c r="Q71" i="5"/>
  <c r="U71" i="5" s="1"/>
  <c r="R71" i="5"/>
  <c r="S71" i="5" s="1"/>
  <c r="T71" i="5" s="1"/>
  <c r="P72" i="5" l="1"/>
  <c r="Q72" i="5"/>
  <c r="U72" i="5" s="1"/>
  <c r="R72" i="5"/>
  <c r="S72" i="5" s="1"/>
  <c r="T72" i="5" s="1"/>
  <c r="P73" i="5" l="1"/>
  <c r="Q73" i="5"/>
  <c r="U73" i="5" s="1"/>
  <c r="R73" i="5"/>
  <c r="S73" i="5" s="1"/>
  <c r="T73" i="5" s="1"/>
  <c r="P74" i="5" l="1"/>
  <c r="Q74" i="5"/>
  <c r="U74" i="5" s="1"/>
  <c r="R74" i="5"/>
  <c r="S74" i="5" s="1"/>
  <c r="T74" i="5" s="1"/>
  <c r="P75" i="5" l="1"/>
  <c r="Q75" i="5"/>
  <c r="U75" i="5" s="1"/>
  <c r="R75" i="5"/>
  <c r="S75" i="5" s="1"/>
  <c r="T75" i="5" s="1"/>
  <c r="P76" i="5" l="1"/>
  <c r="Q76" i="5"/>
  <c r="U76" i="5" s="1"/>
  <c r="R76" i="5"/>
  <c r="S76" i="5" s="1"/>
  <c r="T76" i="5" s="1"/>
  <c r="P77" i="5" l="1"/>
  <c r="Q77" i="5"/>
  <c r="U77" i="5" s="1"/>
  <c r="R77" i="5"/>
  <c r="S77" i="5" s="1"/>
  <c r="T77" i="5" s="1"/>
  <c r="P78" i="5" l="1"/>
  <c r="Q78" i="5"/>
  <c r="U78" i="5" s="1"/>
  <c r="R78" i="5"/>
  <c r="S78" i="5" s="1"/>
  <c r="T78" i="5" s="1"/>
  <c r="P79" i="5" l="1"/>
  <c r="Q79" i="5"/>
  <c r="U79" i="5" s="1"/>
  <c r="R79" i="5"/>
  <c r="S79" i="5" s="1"/>
  <c r="T79" i="5" s="1"/>
  <c r="P80" i="5" l="1"/>
  <c r="Q80" i="5"/>
  <c r="U80" i="5" s="1"/>
  <c r="R80" i="5"/>
  <c r="S80" i="5" s="1"/>
  <c r="T80" i="5" s="1"/>
  <c r="P81" i="5" l="1"/>
  <c r="Q81" i="5"/>
  <c r="U81" i="5" s="1"/>
  <c r="R81" i="5"/>
  <c r="S81" i="5" s="1"/>
  <c r="T81" i="5" s="1"/>
  <c r="P82" i="5" l="1"/>
  <c r="Q82" i="5"/>
  <c r="U82" i="5" s="1"/>
  <c r="R82" i="5"/>
  <c r="S82" i="5" s="1"/>
  <c r="T82" i="5" s="1"/>
  <c r="P83" i="5" l="1"/>
  <c r="Q83" i="5"/>
  <c r="U83" i="5" s="1"/>
  <c r="R83" i="5"/>
  <c r="S83" i="5" s="1"/>
  <c r="T83" i="5" s="1"/>
  <c r="P84" i="5" l="1"/>
  <c r="Q84" i="5"/>
  <c r="U84" i="5" s="1"/>
  <c r="R84" i="5"/>
  <c r="S84" i="5" s="1"/>
  <c r="T84" i="5" s="1"/>
  <c r="P85" i="5" l="1"/>
  <c r="Q85" i="5"/>
  <c r="U85" i="5" s="1"/>
  <c r="R85" i="5"/>
  <c r="S85" i="5" s="1"/>
  <c r="T85" i="5" s="1"/>
  <c r="P86" i="5" l="1"/>
  <c r="Q86" i="5"/>
  <c r="U86" i="5" s="1"/>
  <c r="R86" i="5"/>
  <c r="S86" i="5" s="1"/>
  <c r="T86" i="5" s="1"/>
  <c r="P87" i="5" l="1"/>
  <c r="Q87" i="5"/>
  <c r="U87" i="5" s="1"/>
  <c r="R87" i="5"/>
  <c r="S87" i="5" s="1"/>
  <c r="T87" i="5" s="1"/>
  <c r="P88" i="5" l="1"/>
  <c r="Q88" i="5"/>
  <c r="U88" i="5" s="1"/>
  <c r="R88" i="5"/>
  <c r="S88" i="5" s="1"/>
  <c r="T88" i="5" s="1"/>
  <c r="P89" i="5" l="1"/>
  <c r="Q89" i="5"/>
  <c r="U89" i="5" s="1"/>
  <c r="R89" i="5"/>
  <c r="S89" i="5" s="1"/>
  <c r="T89" i="5" s="1"/>
  <c r="P90" i="5" l="1"/>
  <c r="Q90" i="5"/>
  <c r="U90" i="5" s="1"/>
  <c r="R90" i="5"/>
  <c r="S90" i="5" s="1"/>
  <c r="T90" i="5" s="1"/>
  <c r="P91" i="5" l="1"/>
  <c r="Q91" i="5"/>
  <c r="U91" i="5" s="1"/>
  <c r="R91" i="5"/>
  <c r="S91" i="5" s="1"/>
  <c r="T91" i="5" s="1"/>
  <c r="P92" i="5" l="1"/>
  <c r="Q92" i="5"/>
  <c r="U92" i="5" s="1"/>
  <c r="R92" i="5"/>
  <c r="S92" i="5" s="1"/>
  <c r="T92" i="5" s="1"/>
  <c r="P93" i="5" l="1"/>
  <c r="Q93" i="5"/>
  <c r="U93" i="5" s="1"/>
  <c r="R93" i="5"/>
  <c r="S93" i="5" s="1"/>
  <c r="T93" i="5" s="1"/>
  <c r="P94" i="5" l="1"/>
  <c r="Q94" i="5"/>
  <c r="U94" i="5" s="1"/>
  <c r="R94" i="5"/>
  <c r="S94" i="5" s="1"/>
  <c r="T94" i="5" s="1"/>
  <c r="P95" i="5" l="1"/>
  <c r="Q95" i="5"/>
  <c r="U95" i="5" s="1"/>
  <c r="R95" i="5"/>
  <c r="S95" i="5" s="1"/>
  <c r="T95" i="5" s="1"/>
  <c r="P96" i="5" l="1"/>
  <c r="Q96" i="5"/>
  <c r="U96" i="5" s="1"/>
  <c r="R96" i="5"/>
  <c r="S96" i="5" s="1"/>
  <c r="T96" i="5" s="1"/>
  <c r="P97" i="5" l="1"/>
  <c r="Q97" i="5"/>
  <c r="U97" i="5" s="1"/>
  <c r="R97" i="5"/>
  <c r="S97" i="5" s="1"/>
  <c r="T97" i="5" s="1"/>
  <c r="P98" i="5" l="1"/>
  <c r="Q98" i="5"/>
  <c r="U98" i="5" s="1"/>
  <c r="R98" i="5"/>
  <c r="S98" i="5" s="1"/>
  <c r="T98" i="5" s="1"/>
  <c r="P99" i="5" l="1"/>
  <c r="Q99" i="5"/>
  <c r="U99" i="5" s="1"/>
  <c r="R99" i="5"/>
  <c r="S99" i="5" s="1"/>
  <c r="T99" i="5" s="1"/>
  <c r="P100" i="5" l="1"/>
  <c r="Q100" i="5"/>
  <c r="U100" i="5" s="1"/>
  <c r="R100" i="5"/>
  <c r="S100" i="5" s="1"/>
  <c r="T100" i="5" s="1"/>
  <c r="P101" i="5" l="1"/>
  <c r="Q101" i="5"/>
  <c r="U101" i="5" s="1"/>
  <c r="R101" i="5"/>
  <c r="S101" i="5" s="1"/>
  <c r="T101" i="5" s="1"/>
  <c r="P102" i="5" l="1"/>
  <c r="Q102" i="5"/>
  <c r="U102" i="5" s="1"/>
  <c r="R102" i="5"/>
  <c r="S102" i="5" s="1"/>
  <c r="T102" i="5" s="1"/>
  <c r="P103" i="5" l="1"/>
  <c r="Q103" i="5"/>
  <c r="U103" i="5" s="1"/>
  <c r="R103" i="5"/>
  <c r="S103" i="5" s="1"/>
  <c r="T103" i="5" s="1"/>
  <c r="P104" i="5" l="1"/>
  <c r="Q104" i="5"/>
  <c r="U104" i="5" s="1"/>
  <c r="R104" i="5"/>
  <c r="S104" i="5" s="1"/>
  <c r="T104" i="5" s="1"/>
  <c r="P105" i="5" l="1"/>
  <c r="Q105" i="5"/>
  <c r="U105" i="5" s="1"/>
  <c r="R105" i="5"/>
  <c r="S105" i="5" s="1"/>
  <c r="T105" i="5" s="1"/>
  <c r="P106" i="5" l="1"/>
  <c r="Q106" i="5"/>
  <c r="U106" i="5" s="1"/>
  <c r="R106" i="5"/>
  <c r="S106" i="5" s="1"/>
  <c r="T106" i="5" s="1"/>
  <c r="P107" i="5" l="1"/>
  <c r="Q107" i="5"/>
  <c r="U107" i="5" s="1"/>
  <c r="R107" i="5"/>
  <c r="S107" i="5" s="1"/>
  <c r="T107" i="5" s="1"/>
  <c r="P108" i="5" l="1"/>
  <c r="Q108" i="5"/>
  <c r="U108" i="5" s="1"/>
  <c r="R108" i="5"/>
  <c r="S108" i="5" s="1"/>
  <c r="T108" i="5" s="1"/>
  <c r="P109" i="5" l="1"/>
  <c r="Q109" i="5"/>
  <c r="U109" i="5" s="1"/>
  <c r="R109" i="5"/>
  <c r="S109" i="5" s="1"/>
  <c r="T109" i="5" s="1"/>
  <c r="P110" i="5" l="1"/>
  <c r="Q110" i="5"/>
  <c r="U110" i="5" s="1"/>
  <c r="R110" i="5"/>
  <c r="S110" i="5" s="1"/>
  <c r="T110" i="5" s="1"/>
  <c r="P111" i="5" l="1"/>
  <c r="Q111" i="5"/>
  <c r="U111" i="5" s="1"/>
  <c r="R111" i="5"/>
  <c r="S111" i="5" s="1"/>
  <c r="T111" i="5" s="1"/>
  <c r="P112" i="5" l="1"/>
  <c r="Q112" i="5"/>
  <c r="U112" i="5" s="1"/>
  <c r="R112" i="5"/>
  <c r="S112" i="5" s="1"/>
  <c r="T112" i="5" s="1"/>
  <c r="P113" i="5" l="1"/>
  <c r="Q113" i="5"/>
  <c r="U113" i="5" s="1"/>
  <c r="R113" i="5"/>
  <c r="S113" i="5" s="1"/>
  <c r="T113" i="5" s="1"/>
  <c r="P114" i="5" l="1"/>
  <c r="Q114" i="5"/>
  <c r="U114" i="5" s="1"/>
  <c r="R114" i="5"/>
  <c r="S114" i="5" s="1"/>
  <c r="T114" i="5" s="1"/>
  <c r="P115" i="5" l="1"/>
  <c r="Q115" i="5"/>
  <c r="U115" i="5" s="1"/>
  <c r="R115" i="5"/>
  <c r="S115" i="5" s="1"/>
  <c r="T115" i="5" s="1"/>
  <c r="P116" i="5" l="1"/>
  <c r="Q116" i="5"/>
  <c r="U116" i="5" s="1"/>
  <c r="R116" i="5"/>
  <c r="S116" i="5" s="1"/>
  <c r="T116" i="5" s="1"/>
  <c r="P117" i="5" l="1"/>
  <c r="Q117" i="5"/>
  <c r="U117" i="5" s="1"/>
  <c r="R117" i="5"/>
  <c r="S117" i="5" s="1"/>
  <c r="T117" i="5" s="1"/>
  <c r="P118" i="5" l="1"/>
  <c r="Q118" i="5"/>
  <c r="U118" i="5" s="1"/>
  <c r="R118" i="5"/>
  <c r="S118" i="5" s="1"/>
  <c r="T118" i="5" s="1"/>
  <c r="P119" i="5" l="1"/>
  <c r="Q119" i="5"/>
  <c r="U119" i="5" s="1"/>
  <c r="R119" i="5"/>
  <c r="S119" i="5" s="1"/>
  <c r="T119" i="5" s="1"/>
  <c r="P120" i="5" l="1"/>
  <c r="Q120" i="5"/>
  <c r="U120" i="5" s="1"/>
  <c r="R120" i="5"/>
  <c r="S120" i="5" s="1"/>
  <c r="T120" i="5" s="1"/>
  <c r="P121" i="5" l="1"/>
  <c r="Q121" i="5"/>
  <c r="U121" i="5" s="1"/>
  <c r="R121" i="5"/>
  <c r="S121" i="5" s="1"/>
  <c r="T121" i="5" s="1"/>
  <c r="P122" i="5" l="1"/>
  <c r="Q122" i="5"/>
  <c r="U122" i="5" s="1"/>
  <c r="R122" i="5"/>
  <c r="S122" i="5" s="1"/>
  <c r="T122" i="5" s="1"/>
  <c r="P123" i="5" l="1"/>
  <c r="Q123" i="5"/>
  <c r="U123" i="5" s="1"/>
  <c r="R123" i="5"/>
  <c r="S123" i="5" s="1"/>
  <c r="T123" i="5" s="1"/>
  <c r="P124" i="5" l="1"/>
  <c r="Q124" i="5"/>
  <c r="U124" i="5" s="1"/>
  <c r="R124" i="5"/>
  <c r="S124" i="5" s="1"/>
  <c r="T124" i="5" s="1"/>
  <c r="P125" i="5" l="1"/>
  <c r="Q125" i="5"/>
  <c r="U125" i="5" s="1"/>
  <c r="R125" i="5"/>
  <c r="S125" i="5" s="1"/>
  <c r="T125" i="5" s="1"/>
  <c r="P126" i="5" l="1"/>
  <c r="Q126" i="5"/>
  <c r="U126" i="5" s="1"/>
  <c r="R126" i="5"/>
  <c r="S126" i="5" s="1"/>
  <c r="T126" i="5" s="1"/>
  <c r="P127" i="5" l="1"/>
  <c r="Q127" i="5"/>
  <c r="U127" i="5" s="1"/>
  <c r="R127" i="5"/>
  <c r="S127" i="5" s="1"/>
  <c r="T127" i="5" s="1"/>
  <c r="P128" i="5" l="1"/>
  <c r="Q128" i="5"/>
  <c r="U128" i="5" s="1"/>
  <c r="R128" i="5"/>
  <c r="S128" i="5" s="1"/>
  <c r="T128" i="5" s="1"/>
  <c r="P129" i="5" l="1"/>
  <c r="Q129" i="5"/>
  <c r="U129" i="5" s="1"/>
  <c r="R129" i="5"/>
  <c r="S129" i="5" s="1"/>
  <c r="T129" i="5" s="1"/>
  <c r="P130" i="5" l="1"/>
  <c r="Q130" i="5"/>
  <c r="U130" i="5" s="1"/>
  <c r="R130" i="5"/>
  <c r="S130" i="5" s="1"/>
  <c r="T130" i="5" s="1"/>
  <c r="P131" i="5" l="1"/>
  <c r="Q131" i="5"/>
  <c r="U131" i="5" s="1"/>
  <c r="R131" i="5"/>
  <c r="S131" i="5" s="1"/>
  <c r="T131" i="5" s="1"/>
  <c r="P132" i="5" l="1"/>
  <c r="Q132" i="5"/>
  <c r="U132" i="5" s="1"/>
  <c r="R132" i="5"/>
  <c r="S132" i="5" s="1"/>
  <c r="T132" i="5" s="1"/>
  <c r="P133" i="5" l="1"/>
  <c r="Q133" i="5"/>
  <c r="U133" i="5" s="1"/>
  <c r="R133" i="5"/>
  <c r="S133" i="5" s="1"/>
  <c r="T133" i="5" s="1"/>
  <c r="P134" i="5" l="1"/>
  <c r="Q134" i="5"/>
  <c r="U134" i="5" s="1"/>
  <c r="R134" i="5"/>
  <c r="S134" i="5" s="1"/>
  <c r="T134" i="5" s="1"/>
  <c r="P135" i="5" l="1"/>
  <c r="Q135" i="5"/>
  <c r="U135" i="5" s="1"/>
  <c r="R135" i="5"/>
  <c r="S135" i="5" s="1"/>
  <c r="T135" i="5" s="1"/>
  <c r="P136" i="5" l="1"/>
  <c r="Q136" i="5"/>
  <c r="U136" i="5" s="1"/>
  <c r="R136" i="5"/>
  <c r="S136" i="5" s="1"/>
  <c r="T136" i="5" s="1"/>
  <c r="P137" i="5" l="1"/>
  <c r="Q137" i="5"/>
  <c r="U137" i="5" s="1"/>
  <c r="R137" i="5"/>
  <c r="S137" i="5" s="1"/>
  <c r="T137" i="5" s="1"/>
  <c r="P138" i="5" l="1"/>
  <c r="Q138" i="5"/>
  <c r="U138" i="5" s="1"/>
  <c r="R138" i="5"/>
  <c r="S138" i="5" s="1"/>
  <c r="T138" i="5" s="1"/>
  <c r="P139" i="5" l="1"/>
  <c r="Q139" i="5"/>
  <c r="U139" i="5" s="1"/>
  <c r="R139" i="5"/>
  <c r="S139" i="5" s="1"/>
  <c r="T139" i="5" s="1"/>
  <c r="P140" i="5" l="1"/>
  <c r="Q140" i="5"/>
  <c r="U140" i="5" s="1"/>
  <c r="R140" i="5"/>
  <c r="S140" i="5" s="1"/>
  <c r="T140" i="5" s="1"/>
  <c r="P141" i="5" l="1"/>
  <c r="Q141" i="5"/>
  <c r="U141" i="5" s="1"/>
  <c r="R141" i="5"/>
  <c r="S141" i="5" s="1"/>
  <c r="T141" i="5" s="1"/>
  <c r="P142" i="5" l="1"/>
  <c r="Q142" i="5"/>
  <c r="U142" i="5" s="1"/>
  <c r="R142" i="5"/>
  <c r="S142" i="5" s="1"/>
  <c r="T142" i="5" s="1"/>
  <c r="P143" i="5" l="1"/>
  <c r="Q143" i="5"/>
  <c r="U143" i="5" s="1"/>
  <c r="R143" i="5"/>
  <c r="S143" i="5" s="1"/>
  <c r="T143" i="5" s="1"/>
  <c r="P144" i="5" l="1"/>
  <c r="Q144" i="5"/>
  <c r="U144" i="5" s="1"/>
  <c r="R144" i="5"/>
  <c r="S144" i="5" s="1"/>
  <c r="T144" i="5" s="1"/>
  <c r="P145" i="5" l="1"/>
  <c r="Q145" i="5"/>
  <c r="U145" i="5" s="1"/>
  <c r="R145" i="5"/>
  <c r="S145" i="5" s="1"/>
  <c r="T145" i="5" s="1"/>
  <c r="P146" i="5" l="1"/>
  <c r="Q146" i="5"/>
  <c r="U146" i="5" s="1"/>
  <c r="R146" i="5"/>
  <c r="S146" i="5" s="1"/>
  <c r="T146" i="5" s="1"/>
  <c r="P147" i="5" l="1"/>
  <c r="Q147" i="5"/>
  <c r="U147" i="5" s="1"/>
  <c r="R147" i="5"/>
  <c r="S147" i="5" s="1"/>
  <c r="T147" i="5" s="1"/>
  <c r="P148" i="5" l="1"/>
  <c r="Q148" i="5"/>
  <c r="U148" i="5" s="1"/>
  <c r="R148" i="5"/>
  <c r="S148" i="5" s="1"/>
  <c r="T148" i="5" s="1"/>
  <c r="P149" i="5" l="1"/>
  <c r="Q149" i="5"/>
  <c r="U149" i="5" s="1"/>
  <c r="R149" i="5"/>
  <c r="S149" i="5" s="1"/>
  <c r="T149" i="5" s="1"/>
  <c r="P150" i="5" l="1"/>
  <c r="Q150" i="5"/>
  <c r="U150" i="5" s="1"/>
  <c r="R150" i="5"/>
  <c r="S150" i="5" s="1"/>
  <c r="T150" i="5" s="1"/>
  <c r="P151" i="5" l="1"/>
  <c r="Q151" i="5"/>
  <c r="U151" i="5" s="1"/>
  <c r="R151" i="5"/>
  <c r="S151" i="5" s="1"/>
  <c r="T151" i="5" s="1"/>
  <c r="P152" i="5" l="1"/>
  <c r="Q152" i="5"/>
  <c r="U152" i="5" s="1"/>
  <c r="R152" i="5"/>
  <c r="S152" i="5" s="1"/>
  <c r="T152" i="5" s="1"/>
  <c r="P153" i="5" l="1"/>
  <c r="Q153" i="5"/>
  <c r="U153" i="5" s="1"/>
  <c r="R153" i="5"/>
  <c r="S153" i="5" s="1"/>
  <c r="T153" i="5" s="1"/>
  <c r="P154" i="5" l="1"/>
  <c r="Q154" i="5"/>
  <c r="U154" i="5" s="1"/>
  <c r="R154" i="5"/>
  <c r="S154" i="5" s="1"/>
  <c r="T154" i="5" s="1"/>
  <c r="P155" i="5" l="1"/>
  <c r="Q155" i="5"/>
  <c r="U155" i="5" s="1"/>
  <c r="R155" i="5"/>
  <c r="S155" i="5" s="1"/>
  <c r="T155" i="5" s="1"/>
  <c r="P156" i="5" l="1"/>
  <c r="Q156" i="5"/>
  <c r="U156" i="5" s="1"/>
  <c r="R156" i="5"/>
  <c r="S156" i="5" s="1"/>
  <c r="T156" i="5" s="1"/>
  <c r="P157" i="5" l="1"/>
  <c r="Q157" i="5"/>
  <c r="U157" i="5" s="1"/>
  <c r="R157" i="5"/>
  <c r="S157" i="5" s="1"/>
  <c r="T157" i="5" s="1"/>
  <c r="P158" i="5" l="1"/>
  <c r="Q158" i="5"/>
  <c r="U158" i="5" s="1"/>
  <c r="R158" i="5"/>
  <c r="S158" i="5" s="1"/>
  <c r="T158" i="5" s="1"/>
  <c r="P159" i="5" l="1"/>
  <c r="Q159" i="5"/>
  <c r="U159" i="5" s="1"/>
  <c r="R159" i="5"/>
  <c r="S159" i="5" s="1"/>
  <c r="T159" i="5" s="1"/>
  <c r="P160" i="5" l="1"/>
  <c r="Q160" i="5"/>
  <c r="U160" i="5" s="1"/>
  <c r="R160" i="5"/>
  <c r="S160" i="5" s="1"/>
  <c r="T160" i="5" s="1"/>
  <c r="P161" i="5" l="1"/>
  <c r="Q161" i="5"/>
  <c r="U161" i="5" s="1"/>
  <c r="R161" i="5"/>
  <c r="S161" i="5" s="1"/>
  <c r="T161" i="5" s="1"/>
  <c r="P162" i="5" l="1"/>
  <c r="Q162" i="5"/>
  <c r="U162" i="5" s="1"/>
  <c r="R162" i="5"/>
  <c r="S162" i="5" s="1"/>
  <c r="T162" i="5" s="1"/>
  <c r="P163" i="5" l="1"/>
  <c r="Q163" i="5"/>
  <c r="U163" i="5" s="1"/>
  <c r="R163" i="5"/>
  <c r="S163" i="5" s="1"/>
  <c r="T163" i="5" s="1"/>
  <c r="P164" i="5" l="1"/>
  <c r="Q164" i="5"/>
  <c r="U164" i="5" s="1"/>
  <c r="R164" i="5"/>
  <c r="S164" i="5" s="1"/>
  <c r="T164" i="5" s="1"/>
  <c r="P165" i="5" l="1"/>
  <c r="Q165" i="5"/>
  <c r="U165" i="5" s="1"/>
  <c r="R165" i="5"/>
  <c r="S165" i="5" s="1"/>
  <c r="T165" i="5" s="1"/>
  <c r="P166" i="5" l="1"/>
  <c r="Q166" i="5"/>
  <c r="U166" i="5" s="1"/>
  <c r="R166" i="5"/>
  <c r="S166" i="5" s="1"/>
  <c r="T166" i="5" s="1"/>
  <c r="P167" i="5" l="1"/>
  <c r="Q167" i="5"/>
  <c r="U167" i="5" s="1"/>
  <c r="R167" i="5"/>
  <c r="S167" i="5" s="1"/>
  <c r="T167" i="5" s="1"/>
  <c r="P168" i="5" l="1"/>
  <c r="Q168" i="5"/>
  <c r="U168" i="5" s="1"/>
  <c r="R168" i="5"/>
  <c r="S168" i="5" s="1"/>
  <c r="T168" i="5" s="1"/>
  <c r="P169" i="5" l="1"/>
  <c r="Q169" i="5"/>
  <c r="U169" i="5" s="1"/>
  <c r="R169" i="5"/>
  <c r="S169" i="5" s="1"/>
  <c r="T169" i="5" s="1"/>
  <c r="P170" i="5" l="1"/>
  <c r="Q170" i="5"/>
  <c r="U170" i="5" s="1"/>
  <c r="R170" i="5"/>
  <c r="S170" i="5" s="1"/>
  <c r="T170" i="5" s="1"/>
  <c r="P171" i="5" l="1"/>
  <c r="Q171" i="5"/>
  <c r="U171" i="5" s="1"/>
  <c r="R171" i="5"/>
  <c r="S171" i="5" s="1"/>
  <c r="T171" i="5" s="1"/>
  <c r="P172" i="5" l="1"/>
  <c r="Q172" i="5"/>
  <c r="U172" i="5" s="1"/>
  <c r="R172" i="5"/>
  <c r="S172" i="5" s="1"/>
  <c r="T172" i="5" s="1"/>
  <c r="P173" i="5" l="1"/>
  <c r="Q173" i="5"/>
  <c r="U173" i="5" s="1"/>
  <c r="R173" i="5"/>
  <c r="S173" i="5" s="1"/>
  <c r="T173" i="5" s="1"/>
  <c r="P174" i="5" l="1"/>
  <c r="Q174" i="5"/>
  <c r="U174" i="5" s="1"/>
  <c r="R174" i="5"/>
  <c r="S174" i="5" s="1"/>
  <c r="T174" i="5" s="1"/>
  <c r="P175" i="5" l="1"/>
  <c r="Q175" i="5"/>
  <c r="U175" i="5" s="1"/>
  <c r="R175" i="5"/>
  <c r="S175" i="5" s="1"/>
  <c r="T175" i="5" s="1"/>
  <c r="P176" i="5" l="1"/>
  <c r="Q176" i="5"/>
  <c r="U176" i="5" s="1"/>
  <c r="R176" i="5"/>
  <c r="S176" i="5" s="1"/>
  <c r="T176" i="5" s="1"/>
  <c r="P177" i="5" l="1"/>
  <c r="Q177" i="5"/>
  <c r="U177" i="5" s="1"/>
  <c r="R177" i="5"/>
  <c r="S177" i="5" s="1"/>
  <c r="T177" i="5" s="1"/>
  <c r="P178" i="5" l="1"/>
  <c r="Q178" i="5"/>
  <c r="U178" i="5" s="1"/>
  <c r="R178" i="5"/>
  <c r="S178" i="5" s="1"/>
  <c r="T178" i="5" s="1"/>
  <c r="P179" i="5" l="1"/>
  <c r="Q179" i="5"/>
  <c r="U179" i="5" s="1"/>
  <c r="R179" i="5"/>
  <c r="S179" i="5" s="1"/>
  <c r="T179" i="5" s="1"/>
  <c r="P180" i="5" l="1"/>
  <c r="Q180" i="5"/>
  <c r="U180" i="5" s="1"/>
  <c r="R180" i="5"/>
  <c r="S180" i="5" s="1"/>
  <c r="T180" i="5" s="1"/>
  <c r="P181" i="5" l="1"/>
  <c r="Q181" i="5"/>
  <c r="U181" i="5" s="1"/>
  <c r="R181" i="5"/>
  <c r="S181" i="5" s="1"/>
  <c r="T181" i="5" s="1"/>
  <c r="P182" i="5" l="1"/>
  <c r="Q182" i="5"/>
  <c r="U182" i="5" s="1"/>
  <c r="R182" i="5"/>
  <c r="S182" i="5" s="1"/>
  <c r="T182" i="5" s="1"/>
  <c r="P183" i="5" l="1"/>
  <c r="Q183" i="5"/>
  <c r="U183" i="5" s="1"/>
  <c r="R183" i="5"/>
  <c r="S183" i="5" s="1"/>
  <c r="T183" i="5" s="1"/>
  <c r="P184" i="5" l="1"/>
  <c r="Q184" i="5"/>
  <c r="U184" i="5" s="1"/>
  <c r="R184" i="5"/>
  <c r="S184" i="5" s="1"/>
  <c r="T184" i="5" s="1"/>
  <c r="P185" i="5" l="1"/>
  <c r="Q185" i="5"/>
  <c r="U185" i="5" s="1"/>
  <c r="R185" i="5"/>
  <c r="S185" i="5" s="1"/>
  <c r="T185" i="5" s="1"/>
  <c r="P186" i="5" l="1"/>
  <c r="Q186" i="5"/>
  <c r="U186" i="5" s="1"/>
  <c r="R186" i="5"/>
  <c r="S186" i="5" s="1"/>
  <c r="T186" i="5" s="1"/>
  <c r="P187" i="5" l="1"/>
  <c r="Q187" i="5"/>
  <c r="U187" i="5" s="1"/>
  <c r="R187" i="5"/>
  <c r="S187" i="5" s="1"/>
  <c r="T187" i="5" s="1"/>
  <c r="P188" i="5" l="1"/>
  <c r="Q188" i="5"/>
  <c r="U188" i="5" s="1"/>
  <c r="R188" i="5"/>
  <c r="S188" i="5" s="1"/>
  <c r="T188" i="5" s="1"/>
  <c r="P189" i="5" l="1"/>
  <c r="Q189" i="5"/>
  <c r="U189" i="5" s="1"/>
  <c r="R189" i="5"/>
  <c r="S189" i="5" s="1"/>
  <c r="T189" i="5" s="1"/>
  <c r="P190" i="5" l="1"/>
  <c r="Q190" i="5"/>
  <c r="U190" i="5" s="1"/>
  <c r="R190" i="5"/>
  <c r="S190" i="5" s="1"/>
  <c r="T190" i="5" s="1"/>
  <c r="P191" i="5" l="1"/>
  <c r="Q191" i="5"/>
  <c r="U191" i="5" s="1"/>
  <c r="R191" i="5"/>
  <c r="S191" i="5" s="1"/>
  <c r="T191" i="5" s="1"/>
  <c r="P192" i="5" l="1"/>
  <c r="Q192" i="5"/>
  <c r="U192" i="5" s="1"/>
  <c r="R192" i="5"/>
  <c r="S192" i="5" s="1"/>
  <c r="T192" i="5" s="1"/>
  <c r="P193" i="5" l="1"/>
  <c r="Q193" i="5"/>
  <c r="U193" i="5" s="1"/>
  <c r="R193" i="5"/>
  <c r="S193" i="5" s="1"/>
  <c r="T193" i="5" s="1"/>
  <c r="P194" i="5" l="1"/>
  <c r="Q194" i="5"/>
  <c r="U194" i="5" s="1"/>
  <c r="R194" i="5"/>
  <c r="S194" i="5" s="1"/>
  <c r="T194" i="5" s="1"/>
  <c r="P195" i="5" l="1"/>
  <c r="Q195" i="5"/>
  <c r="U195" i="5" s="1"/>
  <c r="R195" i="5"/>
  <c r="S195" i="5" s="1"/>
  <c r="T195" i="5" s="1"/>
  <c r="P196" i="5" l="1"/>
  <c r="Q196" i="5"/>
  <c r="U196" i="5" s="1"/>
  <c r="R196" i="5"/>
  <c r="S196" i="5" s="1"/>
  <c r="T196" i="5" s="1"/>
  <c r="P197" i="5" l="1"/>
  <c r="Q197" i="5"/>
  <c r="U197" i="5" s="1"/>
  <c r="R197" i="5"/>
  <c r="S197" i="5" s="1"/>
  <c r="T197" i="5" s="1"/>
  <c r="P198" i="5" l="1"/>
  <c r="Q198" i="5"/>
  <c r="U198" i="5" s="1"/>
  <c r="R198" i="5"/>
  <c r="S198" i="5" s="1"/>
  <c r="T198" i="5" s="1"/>
  <c r="P199" i="5" l="1"/>
  <c r="Q199" i="5"/>
  <c r="U199" i="5" s="1"/>
  <c r="R199" i="5"/>
  <c r="S199" i="5" s="1"/>
  <c r="T199" i="5" s="1"/>
  <c r="P200" i="5" l="1"/>
  <c r="Q200" i="5"/>
  <c r="U200" i="5" s="1"/>
  <c r="R200" i="5"/>
  <c r="S200" i="5" s="1"/>
  <c r="T200" i="5" s="1"/>
  <c r="P201" i="5" l="1"/>
  <c r="Q201" i="5"/>
  <c r="U201" i="5" s="1"/>
  <c r="R201" i="5"/>
  <c r="S201" i="5" s="1"/>
  <c r="T201" i="5" s="1"/>
  <c r="P202" i="5" l="1"/>
  <c r="Q202" i="5"/>
  <c r="U202" i="5" s="1"/>
  <c r="R202" i="5"/>
  <c r="S202" i="5" s="1"/>
  <c r="T202" i="5" s="1"/>
  <c r="P203" i="5" l="1"/>
  <c r="Q203" i="5"/>
  <c r="U203" i="5" s="1"/>
  <c r="R203" i="5"/>
  <c r="S203" i="5" s="1"/>
  <c r="T203" i="5" s="1"/>
  <c r="P204" i="5" l="1"/>
  <c r="Q204" i="5"/>
  <c r="U204" i="5" s="1"/>
  <c r="R204" i="5"/>
  <c r="S204" i="5" s="1"/>
  <c r="T204" i="5" s="1"/>
  <c r="P205" i="5" l="1"/>
  <c r="Q205" i="5"/>
  <c r="U205" i="5" s="1"/>
  <c r="R205" i="5"/>
  <c r="S205" i="5" s="1"/>
  <c r="T205" i="5" s="1"/>
  <c r="P206" i="5" l="1"/>
  <c r="Q206" i="5"/>
  <c r="U206" i="5" s="1"/>
  <c r="R206" i="5"/>
  <c r="S206" i="5" s="1"/>
  <c r="T206" i="5" s="1"/>
  <c r="P207" i="5" l="1"/>
  <c r="Q207" i="5"/>
  <c r="U207" i="5" s="1"/>
  <c r="R207" i="5"/>
  <c r="S207" i="5" s="1"/>
  <c r="T207" i="5" s="1"/>
  <c r="P208" i="5" l="1"/>
  <c r="Q208" i="5"/>
  <c r="U208" i="5" s="1"/>
  <c r="R208" i="5"/>
  <c r="S208" i="5" s="1"/>
  <c r="T208" i="5" s="1"/>
  <c r="P209" i="5" l="1"/>
  <c r="Q209" i="5"/>
  <c r="U209" i="5" s="1"/>
  <c r="R209" i="5"/>
  <c r="S209" i="5" s="1"/>
  <c r="T209" i="5" s="1"/>
  <c r="P210" i="5" l="1"/>
  <c r="Q210" i="5"/>
  <c r="U210" i="5" s="1"/>
  <c r="R210" i="5"/>
  <c r="S210" i="5" s="1"/>
  <c r="T210" i="5" s="1"/>
  <c r="P211" i="5" l="1"/>
  <c r="Q211" i="5"/>
  <c r="U211" i="5" s="1"/>
  <c r="R211" i="5"/>
  <c r="S211" i="5" s="1"/>
  <c r="T211" i="5" s="1"/>
  <c r="P212" i="5" l="1"/>
  <c r="Q212" i="5"/>
  <c r="U212" i="5" s="1"/>
  <c r="R212" i="5"/>
  <c r="S212" i="5" s="1"/>
  <c r="T212" i="5" s="1"/>
  <c r="P213" i="5" l="1"/>
  <c r="Q213" i="5"/>
  <c r="U213" i="5" s="1"/>
  <c r="R213" i="5"/>
  <c r="S213" i="5" s="1"/>
  <c r="T213" i="5" s="1"/>
  <c r="P214" i="5" l="1"/>
  <c r="Q214" i="5"/>
  <c r="U214" i="5" s="1"/>
  <c r="R214" i="5"/>
  <c r="S214" i="5" s="1"/>
  <c r="T214" i="5" s="1"/>
  <c r="P215" i="5" l="1"/>
  <c r="Q215" i="5"/>
  <c r="U215" i="5" s="1"/>
  <c r="R215" i="5"/>
  <c r="S215" i="5" s="1"/>
  <c r="T215" i="5" s="1"/>
  <c r="P216" i="5" l="1"/>
  <c r="Q216" i="5"/>
  <c r="U216" i="5" s="1"/>
  <c r="R216" i="5"/>
  <c r="S216" i="5" s="1"/>
  <c r="T216" i="5" s="1"/>
  <c r="P217" i="5" l="1"/>
  <c r="Q217" i="5"/>
  <c r="U217" i="5" s="1"/>
  <c r="R217" i="5"/>
  <c r="S217" i="5" s="1"/>
  <c r="T217" i="5" s="1"/>
  <c r="P218" i="5" l="1"/>
  <c r="Q218" i="5"/>
  <c r="U218" i="5" s="1"/>
  <c r="R218" i="5"/>
  <c r="S218" i="5" s="1"/>
  <c r="T218" i="5" s="1"/>
  <c r="P219" i="5" l="1"/>
  <c r="Q219" i="5"/>
  <c r="U219" i="5" s="1"/>
  <c r="R219" i="5"/>
  <c r="S219" i="5" s="1"/>
  <c r="T219" i="5" s="1"/>
  <c r="P220" i="5" l="1"/>
  <c r="Q220" i="5"/>
  <c r="U220" i="5" s="1"/>
  <c r="R220" i="5"/>
  <c r="S220" i="5" s="1"/>
  <c r="T220" i="5" s="1"/>
  <c r="P221" i="5" l="1"/>
  <c r="Q221" i="5"/>
  <c r="U221" i="5" s="1"/>
  <c r="R221" i="5"/>
  <c r="S221" i="5" s="1"/>
  <c r="T221" i="5" s="1"/>
  <c r="P222" i="5" l="1"/>
  <c r="Q222" i="5"/>
  <c r="U222" i="5" s="1"/>
  <c r="R222" i="5"/>
  <c r="S222" i="5" s="1"/>
  <c r="T222" i="5" s="1"/>
  <c r="P223" i="5" l="1"/>
  <c r="Q223" i="5"/>
  <c r="U223" i="5" s="1"/>
  <c r="R223" i="5"/>
  <c r="S223" i="5" s="1"/>
  <c r="T223" i="5" s="1"/>
  <c r="P224" i="5" l="1"/>
  <c r="Q224" i="5"/>
  <c r="U224" i="5" s="1"/>
  <c r="R224" i="5"/>
  <c r="S224" i="5" s="1"/>
  <c r="T224" i="5" s="1"/>
  <c r="P225" i="5" l="1"/>
  <c r="Q225" i="5"/>
  <c r="U225" i="5" s="1"/>
  <c r="R225" i="5"/>
  <c r="S225" i="5" s="1"/>
  <c r="T225" i="5" s="1"/>
  <c r="P226" i="5" l="1"/>
  <c r="Q226" i="5"/>
  <c r="U226" i="5" s="1"/>
  <c r="R226" i="5"/>
  <c r="S226" i="5" s="1"/>
  <c r="T226" i="5" s="1"/>
  <c r="P227" i="5" l="1"/>
  <c r="Q227" i="5"/>
  <c r="U227" i="5" s="1"/>
  <c r="R227" i="5"/>
  <c r="S227" i="5" s="1"/>
  <c r="T227" i="5" s="1"/>
  <c r="P228" i="5" l="1"/>
  <c r="Q228" i="5"/>
  <c r="U228" i="5" s="1"/>
  <c r="R228" i="5"/>
  <c r="S228" i="5" s="1"/>
  <c r="T228" i="5" s="1"/>
  <c r="P229" i="5" l="1"/>
  <c r="Q229" i="5"/>
  <c r="U229" i="5" s="1"/>
  <c r="R229" i="5"/>
  <c r="S229" i="5" s="1"/>
  <c r="T229" i="5" s="1"/>
  <c r="P230" i="5" l="1"/>
  <c r="Q230" i="5"/>
  <c r="U230" i="5" s="1"/>
  <c r="R230" i="5"/>
  <c r="S230" i="5" s="1"/>
  <c r="T230" i="5" s="1"/>
  <c r="P231" i="5" l="1"/>
  <c r="Q231" i="5"/>
  <c r="U231" i="5" s="1"/>
  <c r="R231" i="5"/>
  <c r="S231" i="5" s="1"/>
  <c r="T231" i="5" s="1"/>
  <c r="P232" i="5" l="1"/>
  <c r="Q232" i="5"/>
  <c r="U232" i="5" s="1"/>
  <c r="R232" i="5"/>
  <c r="S232" i="5" s="1"/>
  <c r="T232" i="5" s="1"/>
  <c r="P233" i="5" l="1"/>
  <c r="Q233" i="5"/>
  <c r="U233" i="5" s="1"/>
  <c r="R233" i="5"/>
  <c r="S233" i="5" s="1"/>
  <c r="T233" i="5" s="1"/>
  <c r="P234" i="5" l="1"/>
  <c r="Q234" i="5"/>
  <c r="U234" i="5" s="1"/>
  <c r="R234" i="5"/>
  <c r="S234" i="5" s="1"/>
  <c r="T234" i="5" s="1"/>
  <c r="P235" i="5" l="1"/>
  <c r="Q235" i="5"/>
  <c r="U235" i="5" s="1"/>
  <c r="R235" i="5"/>
  <c r="S235" i="5" s="1"/>
  <c r="T235" i="5" s="1"/>
  <c r="P236" i="5" l="1"/>
  <c r="Q236" i="5"/>
  <c r="U236" i="5" s="1"/>
  <c r="R236" i="5"/>
  <c r="S236" i="5" s="1"/>
  <c r="T236" i="5" s="1"/>
  <c r="P237" i="5" l="1"/>
  <c r="Q237" i="5"/>
  <c r="U237" i="5" s="1"/>
  <c r="R237" i="5"/>
  <c r="S237" i="5" s="1"/>
  <c r="T237" i="5" s="1"/>
  <c r="P238" i="5" l="1"/>
  <c r="Q238" i="5"/>
  <c r="U238" i="5" s="1"/>
  <c r="R238" i="5"/>
  <c r="S238" i="5" s="1"/>
  <c r="T238" i="5" s="1"/>
  <c r="P239" i="5" l="1"/>
  <c r="Q239" i="5"/>
  <c r="U239" i="5" s="1"/>
  <c r="R239" i="5"/>
  <c r="S239" i="5" s="1"/>
  <c r="T239" i="5" s="1"/>
  <c r="P240" i="5" l="1"/>
  <c r="Q240" i="5"/>
  <c r="U240" i="5" s="1"/>
  <c r="R240" i="5"/>
  <c r="S240" i="5" s="1"/>
  <c r="T240" i="5" s="1"/>
  <c r="P241" i="5" l="1"/>
  <c r="Q241" i="5"/>
  <c r="U241" i="5" s="1"/>
  <c r="R241" i="5"/>
  <c r="S241" i="5" s="1"/>
  <c r="T241" i="5" s="1"/>
  <c r="P242" i="5" l="1"/>
  <c r="Q242" i="5"/>
  <c r="U242" i="5" s="1"/>
  <c r="R242" i="5"/>
  <c r="S242" i="5" s="1"/>
  <c r="T242" i="5" s="1"/>
  <c r="P243" i="5" l="1"/>
  <c r="Q243" i="5"/>
  <c r="U243" i="5" s="1"/>
  <c r="R243" i="5"/>
  <c r="S243" i="5" s="1"/>
  <c r="T243" i="5" s="1"/>
  <c r="P244" i="5" l="1"/>
  <c r="Q244" i="5"/>
  <c r="U244" i="5" s="1"/>
  <c r="R244" i="5"/>
  <c r="S244" i="5" s="1"/>
  <c r="T244" i="5" s="1"/>
  <c r="P245" i="5" l="1"/>
  <c r="Q245" i="5"/>
  <c r="U245" i="5" s="1"/>
  <c r="R245" i="5"/>
  <c r="S245" i="5" s="1"/>
  <c r="T245" i="5" s="1"/>
  <c r="P246" i="5" l="1"/>
  <c r="Q246" i="5"/>
  <c r="U246" i="5" s="1"/>
  <c r="R246" i="5"/>
  <c r="S246" i="5" s="1"/>
  <c r="T246" i="5" s="1"/>
  <c r="P247" i="5" l="1"/>
  <c r="Q247" i="5"/>
  <c r="U247" i="5" s="1"/>
  <c r="R247" i="5"/>
  <c r="S247" i="5" s="1"/>
  <c r="T247" i="5" s="1"/>
  <c r="P248" i="5" l="1"/>
  <c r="Q248" i="5"/>
  <c r="U248" i="5" s="1"/>
  <c r="R248" i="5"/>
  <c r="S248" i="5" s="1"/>
  <c r="T248" i="5" s="1"/>
  <c r="P249" i="5" l="1"/>
  <c r="Q249" i="5"/>
  <c r="U249" i="5" s="1"/>
  <c r="R249" i="5"/>
  <c r="S249" i="5" s="1"/>
  <c r="T249" i="5" s="1"/>
  <c r="P250" i="5" l="1"/>
  <c r="Q250" i="5"/>
  <c r="U250" i="5" s="1"/>
  <c r="R250" i="5"/>
  <c r="S250" i="5" s="1"/>
  <c r="T250" i="5" s="1"/>
  <c r="P251" i="5" l="1"/>
  <c r="Q251" i="5"/>
  <c r="U251" i="5" s="1"/>
  <c r="R251" i="5"/>
  <c r="S251" i="5" s="1"/>
  <c r="T251" i="5" s="1"/>
  <c r="P252" i="5" l="1"/>
  <c r="Q252" i="5"/>
  <c r="U252" i="5" s="1"/>
  <c r="R252" i="5"/>
  <c r="S252" i="5" s="1"/>
  <c r="T252" i="5" s="1"/>
  <c r="P253" i="5" l="1"/>
  <c r="Q253" i="5"/>
  <c r="U253" i="5" s="1"/>
  <c r="R253" i="5"/>
  <c r="S253" i="5" s="1"/>
  <c r="T253" i="5" s="1"/>
  <c r="P254" i="5" l="1"/>
  <c r="Q254" i="5"/>
  <c r="U254" i="5" s="1"/>
  <c r="R254" i="5"/>
  <c r="S254" i="5" s="1"/>
  <c r="T254" i="5" s="1"/>
</calcChain>
</file>

<file path=xl/comments1.xml><?xml version="1.0" encoding="utf-8"?>
<comments xmlns="http://schemas.openxmlformats.org/spreadsheetml/2006/main">
  <authors>
    <author>Edwin</author>
  </authors>
  <commentList>
    <comment ref="Q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Verfiy params, time to maturity in years
Verify the rest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Edwin:</t>
        </r>
        <r>
          <rPr>
            <sz val="9"/>
            <color indexed="81"/>
            <rFont val="Tahoma"/>
            <family val="2"/>
          </rPr>
          <t xml:space="preserve">
Time to Maturity in Years
verify starting volatility
What is the initialVariance?</t>
        </r>
      </text>
    </comment>
  </commentList>
</comments>
</file>

<file path=xl/sharedStrings.xml><?xml version="1.0" encoding="utf-8"?>
<sst xmlns="http://schemas.openxmlformats.org/spreadsheetml/2006/main" count="58" uniqueCount="49">
  <si>
    <t>Inputs</t>
  </si>
  <si>
    <t>ν</t>
  </si>
  <si>
    <t>current Variance V</t>
  </si>
  <si>
    <t>ν bar</t>
  </si>
  <si>
    <t>Theta</t>
  </si>
  <si>
    <t>SQRT(250)</t>
  </si>
  <si>
    <t>ν0</t>
  </si>
  <si>
    <t>η eta</t>
  </si>
  <si>
    <t>eta</t>
  </si>
  <si>
    <t>ρ</t>
  </si>
  <si>
    <t>λ</t>
  </si>
  <si>
    <t>Kappa</t>
  </si>
  <si>
    <t>r</t>
  </si>
  <si>
    <t>δ</t>
  </si>
  <si>
    <t>S0</t>
  </si>
  <si>
    <t>K</t>
  </si>
  <si>
    <t>Simulation-1</t>
  </si>
  <si>
    <t>Cholesky Decomposition</t>
  </si>
  <si>
    <t>Milstein Schem</t>
  </si>
  <si>
    <t>Heston</t>
  </si>
  <si>
    <t>ImpliedVol</t>
  </si>
  <si>
    <t>Realised Vol</t>
  </si>
  <si>
    <t>T0 Implied Vol</t>
  </si>
  <si>
    <t>Time</t>
  </si>
  <si>
    <t>Uniform S</t>
  </si>
  <si>
    <r>
      <t xml:space="preserve">Uniform </t>
    </r>
    <r>
      <rPr>
        <b/>
        <sz val="11"/>
        <color theme="1"/>
        <rFont val="Calibri"/>
        <family val="2"/>
      </rPr>
      <t>σ</t>
    </r>
  </si>
  <si>
    <t>Std.S</t>
  </si>
  <si>
    <r>
      <t>Std.</t>
    </r>
    <r>
      <rPr>
        <b/>
        <sz val="11"/>
        <color theme="1"/>
        <rFont val="Calibri"/>
        <family val="2"/>
      </rPr>
      <t>σ</t>
    </r>
  </si>
  <si>
    <t>W1</t>
  </si>
  <si>
    <t>W2</t>
  </si>
  <si>
    <t>Variance</t>
  </si>
  <si>
    <t>Returns</t>
  </si>
  <si>
    <t>StockPrice</t>
  </si>
  <si>
    <t>CallPrice
ClosedForm</t>
  </si>
  <si>
    <t>IV(BS)</t>
  </si>
  <si>
    <t>Delta(BS)</t>
  </si>
  <si>
    <t>Short
Stock in $</t>
  </si>
  <si>
    <t>P&amp;L</t>
  </si>
  <si>
    <t>Realised
Variance</t>
  </si>
  <si>
    <t>Realised
Vol</t>
  </si>
  <si>
    <t>Delta(BS) in
RealVol</t>
  </si>
  <si>
    <t>Short Stock in $</t>
  </si>
  <si>
    <t>InitialVol</t>
  </si>
  <si>
    <t>PnL</t>
  </si>
  <si>
    <t>Correlation Matrix</t>
  </si>
  <si>
    <t>S</t>
  </si>
  <si>
    <t>σ</t>
  </si>
  <si>
    <t>Cholesky Decom</t>
  </si>
  <si>
    <t>Correlation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</si>
</sst>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00"/>
    <numFmt numFmtId="166" formatCode="0.000000000000000"/>
    <numFmt numFmtId="167" formatCode="0.000000000000000000"/>
    <numFmt numFmtId="168" formatCode="0.00000000000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0" fillId="0" borderId="1" xfId="0" applyFont="1" applyBorder="1"/>
    <xf numFmtId="0" fontId="4" fillId="0" borderId="1" xfId="0" applyFont="1" applyBorder="1"/>
    <xf numFmtId="0" fontId="3" fillId="0" borderId="2" xfId="0" applyFont="1" applyFill="1" applyBorder="1"/>
    <xf numFmtId="0" fontId="0" fillId="0" borderId="2" xfId="0" applyFont="1" applyFill="1" applyBorder="1"/>
    <xf numFmtId="0" fontId="0" fillId="0" borderId="0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 wrapText="1"/>
    </xf>
    <xf numFmtId="0" fontId="6" fillId="2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Fill="1" applyBorder="1"/>
    <xf numFmtId="0" fontId="0" fillId="0" borderId="3" xfId="0" applyFill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165" fontId="0" fillId="0" borderId="1" xfId="0" applyNumberFormat="1" applyBorder="1"/>
    <xf numFmtId="165" fontId="0" fillId="0" borderId="0" xfId="0" applyNumberFormat="1"/>
    <xf numFmtId="164" fontId="0" fillId="0" borderId="0" xfId="0" applyNumberFormat="1"/>
    <xf numFmtId="0" fontId="0" fillId="2" borderId="1" xfId="0" applyFill="1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1" xfId="0" applyNumberFormat="1" applyBorder="1"/>
    <xf numFmtId="0" fontId="1" fillId="2" borderId="1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v>IV</c:v>
          </c:tx>
          <c:marker>
            <c:symbol val="none"/>
          </c:marker>
          <c:val>
            <c:numRef>
              <c:f>Simulation!$U$5:$U$254</c:f>
              <c:numCache>
                <c:formatCode>General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-26.142344578669412</c:v>
                </c:pt>
                <c:pt idx="66">
                  <c:v>-26.142344578669412</c:v>
                </c:pt>
                <c:pt idx="67">
                  <c:v>-26.142344578669412</c:v>
                </c:pt>
                <c:pt idx="68">
                  <c:v>-26.142344578669412</c:v>
                </c:pt>
                <c:pt idx="69">
                  <c:v>-26.142344578669412</c:v>
                </c:pt>
                <c:pt idx="70">
                  <c:v>-26.142344578669412</c:v>
                </c:pt>
                <c:pt idx="71">
                  <c:v>-26.142344578669412</c:v>
                </c:pt>
                <c:pt idx="72">
                  <c:v>-26.142344578669412</c:v>
                </c:pt>
                <c:pt idx="73">
                  <c:v>-26.142344578669412</c:v>
                </c:pt>
                <c:pt idx="74">
                  <c:v>-26.142344578669412</c:v>
                </c:pt>
                <c:pt idx="75">
                  <c:v>-26.142344578669412</c:v>
                </c:pt>
                <c:pt idx="76">
                  <c:v>-26.142344578669412</c:v>
                </c:pt>
                <c:pt idx="77">
                  <c:v>-26.142344578669412</c:v>
                </c:pt>
                <c:pt idx="78">
                  <c:v>-26.142344578669412</c:v>
                </c:pt>
                <c:pt idx="79">
                  <c:v>-26.142344578669412</c:v>
                </c:pt>
                <c:pt idx="80">
                  <c:v>-26.142344578669412</c:v>
                </c:pt>
                <c:pt idx="81">
                  <c:v>-26.142344578669412</c:v>
                </c:pt>
                <c:pt idx="82">
                  <c:v>-26.142344578669412</c:v>
                </c:pt>
                <c:pt idx="83">
                  <c:v>-26.142344578669412</c:v>
                </c:pt>
                <c:pt idx="84">
                  <c:v>-26.142344578669412</c:v>
                </c:pt>
                <c:pt idx="85">
                  <c:v>-26.142344578669412</c:v>
                </c:pt>
                <c:pt idx="86">
                  <c:v>-26.142344578669412</c:v>
                </c:pt>
                <c:pt idx="87">
                  <c:v>-26.142344578669412</c:v>
                </c:pt>
                <c:pt idx="88">
                  <c:v>-26.142344578669412</c:v>
                </c:pt>
                <c:pt idx="89">
                  <c:v>-26.142344578669412</c:v>
                </c:pt>
                <c:pt idx="90">
                  <c:v>-26.142344578669412</c:v>
                </c:pt>
                <c:pt idx="91">
                  <c:v>-26.142344578669412</c:v>
                </c:pt>
                <c:pt idx="92">
                  <c:v>-26.142344578669412</c:v>
                </c:pt>
                <c:pt idx="93">
                  <c:v>-26.142344578669412</c:v>
                </c:pt>
                <c:pt idx="94">
                  <c:v>-26.142344578669412</c:v>
                </c:pt>
                <c:pt idx="95">
                  <c:v>-26.142344578669412</c:v>
                </c:pt>
                <c:pt idx="96">
                  <c:v>-26.142344578669412</c:v>
                </c:pt>
                <c:pt idx="97">
                  <c:v>-26.142344578669412</c:v>
                </c:pt>
                <c:pt idx="98">
                  <c:v>-26.142344578669412</c:v>
                </c:pt>
                <c:pt idx="99">
                  <c:v>-26.142344578669412</c:v>
                </c:pt>
                <c:pt idx="100">
                  <c:v>-26.142344578669412</c:v>
                </c:pt>
                <c:pt idx="101">
                  <c:v>-26.142344578669412</c:v>
                </c:pt>
                <c:pt idx="102">
                  <c:v>-26.142344578669412</c:v>
                </c:pt>
                <c:pt idx="103">
                  <c:v>-26.142344578669412</c:v>
                </c:pt>
                <c:pt idx="104">
                  <c:v>-26.142344578669412</c:v>
                </c:pt>
                <c:pt idx="105">
                  <c:v>-26.142344578669412</c:v>
                </c:pt>
                <c:pt idx="106">
                  <c:v>-26.142344578669412</c:v>
                </c:pt>
                <c:pt idx="107">
                  <c:v>-26.142344578669412</c:v>
                </c:pt>
                <c:pt idx="108">
                  <c:v>-26.142344578669412</c:v>
                </c:pt>
                <c:pt idx="109">
                  <c:v>-26.142344578669412</c:v>
                </c:pt>
                <c:pt idx="110">
                  <c:v>-26.142344578669412</c:v>
                </c:pt>
                <c:pt idx="111">
                  <c:v>-26.142344578669412</c:v>
                </c:pt>
                <c:pt idx="112">
                  <c:v>-26.142344578669412</c:v>
                </c:pt>
                <c:pt idx="113">
                  <c:v>-26.142344578669412</c:v>
                </c:pt>
                <c:pt idx="114">
                  <c:v>-26.142344578669412</c:v>
                </c:pt>
                <c:pt idx="115">
                  <c:v>-26.142344578669412</c:v>
                </c:pt>
                <c:pt idx="116">
                  <c:v>-26.142344578669412</c:v>
                </c:pt>
                <c:pt idx="117">
                  <c:v>-26.142344578669412</c:v>
                </c:pt>
                <c:pt idx="118">
                  <c:v>-26.142344578669412</c:v>
                </c:pt>
                <c:pt idx="119">
                  <c:v>-26.142344578669412</c:v>
                </c:pt>
                <c:pt idx="120">
                  <c:v>-26.142344578669412</c:v>
                </c:pt>
                <c:pt idx="121">
                  <c:v>-26.142344578669412</c:v>
                </c:pt>
                <c:pt idx="122">
                  <c:v>-26.142344578669412</c:v>
                </c:pt>
                <c:pt idx="123">
                  <c:v>-26.142344578669412</c:v>
                </c:pt>
                <c:pt idx="124">
                  <c:v>-26.142344578669412</c:v>
                </c:pt>
                <c:pt idx="125">
                  <c:v>-26.142344578669412</c:v>
                </c:pt>
                <c:pt idx="126">
                  <c:v>-26.142344578669412</c:v>
                </c:pt>
                <c:pt idx="127">
                  <c:v>-26.142344578669412</c:v>
                </c:pt>
                <c:pt idx="128">
                  <c:v>-26.142344578669412</c:v>
                </c:pt>
                <c:pt idx="129">
                  <c:v>-26.142344578669412</c:v>
                </c:pt>
                <c:pt idx="130">
                  <c:v>-26.142344578669412</c:v>
                </c:pt>
                <c:pt idx="131">
                  <c:v>-26.142344578669412</c:v>
                </c:pt>
                <c:pt idx="132">
                  <c:v>-26.142344578669412</c:v>
                </c:pt>
                <c:pt idx="133">
                  <c:v>-26.142344578669412</c:v>
                </c:pt>
                <c:pt idx="134">
                  <c:v>-26.142344578669412</c:v>
                </c:pt>
                <c:pt idx="135">
                  <c:v>-26.142344578669412</c:v>
                </c:pt>
                <c:pt idx="136">
                  <c:v>-26.142344578669412</c:v>
                </c:pt>
                <c:pt idx="137">
                  <c:v>-26.142344578669412</c:v>
                </c:pt>
                <c:pt idx="138">
                  <c:v>-26.142344578669412</c:v>
                </c:pt>
                <c:pt idx="139">
                  <c:v>-26.142344578669412</c:v>
                </c:pt>
                <c:pt idx="140">
                  <c:v>-26.142344578669412</c:v>
                </c:pt>
                <c:pt idx="141">
                  <c:v>-26.142344578669412</c:v>
                </c:pt>
                <c:pt idx="142">
                  <c:v>-26.142344578669412</c:v>
                </c:pt>
                <c:pt idx="143">
                  <c:v>-26.142344578669412</c:v>
                </c:pt>
                <c:pt idx="144">
                  <c:v>-26.142344578669412</c:v>
                </c:pt>
                <c:pt idx="145">
                  <c:v>-26.142344578669412</c:v>
                </c:pt>
                <c:pt idx="146">
                  <c:v>-26.142344578669412</c:v>
                </c:pt>
                <c:pt idx="147">
                  <c:v>-26.142344578669412</c:v>
                </c:pt>
                <c:pt idx="148">
                  <c:v>-26.142344578669412</c:v>
                </c:pt>
                <c:pt idx="149">
                  <c:v>-26.142344578669412</c:v>
                </c:pt>
                <c:pt idx="150">
                  <c:v>-26.142344578669412</c:v>
                </c:pt>
                <c:pt idx="151">
                  <c:v>-26.142344578669412</c:v>
                </c:pt>
                <c:pt idx="152">
                  <c:v>-26.142344578669412</c:v>
                </c:pt>
                <c:pt idx="153">
                  <c:v>-26.142344578669412</c:v>
                </c:pt>
                <c:pt idx="154">
                  <c:v>-26.142344578669412</c:v>
                </c:pt>
                <c:pt idx="155">
                  <c:v>-26.142344578669412</c:v>
                </c:pt>
                <c:pt idx="156">
                  <c:v>-26.142344578669412</c:v>
                </c:pt>
                <c:pt idx="157">
                  <c:v>-26.142344578669412</c:v>
                </c:pt>
                <c:pt idx="158">
                  <c:v>-26.142344578669412</c:v>
                </c:pt>
                <c:pt idx="159">
                  <c:v>-26.142344578669412</c:v>
                </c:pt>
                <c:pt idx="160">
                  <c:v>-26.142344578669412</c:v>
                </c:pt>
                <c:pt idx="161">
                  <c:v>-26.142344578669412</c:v>
                </c:pt>
                <c:pt idx="162">
                  <c:v>-26.142344578669412</c:v>
                </c:pt>
                <c:pt idx="163">
                  <c:v>-26.142344578669412</c:v>
                </c:pt>
                <c:pt idx="164">
                  <c:v>-26.142344578669412</c:v>
                </c:pt>
                <c:pt idx="165">
                  <c:v>-26.142344578669412</c:v>
                </c:pt>
                <c:pt idx="166">
                  <c:v>-26.142344578669412</c:v>
                </c:pt>
                <c:pt idx="167">
                  <c:v>-26.142344578669412</c:v>
                </c:pt>
                <c:pt idx="168">
                  <c:v>-26.142344578669412</c:v>
                </c:pt>
                <c:pt idx="169">
                  <c:v>-26.142344578669412</c:v>
                </c:pt>
                <c:pt idx="170">
                  <c:v>-26.142344578669412</c:v>
                </c:pt>
                <c:pt idx="171">
                  <c:v>-26.142344578669412</c:v>
                </c:pt>
                <c:pt idx="172">
                  <c:v>-26.142344578669412</c:v>
                </c:pt>
                <c:pt idx="173">
                  <c:v>-26.142344578669412</c:v>
                </c:pt>
                <c:pt idx="174">
                  <c:v>-26.142344578669412</c:v>
                </c:pt>
                <c:pt idx="175">
                  <c:v>-26.142344578669412</c:v>
                </c:pt>
                <c:pt idx="176">
                  <c:v>-26.142344578669412</c:v>
                </c:pt>
                <c:pt idx="177">
                  <c:v>-26.142344578669412</c:v>
                </c:pt>
                <c:pt idx="178">
                  <c:v>-26.142344578669412</c:v>
                </c:pt>
                <c:pt idx="179">
                  <c:v>-26.142344578669412</c:v>
                </c:pt>
                <c:pt idx="180">
                  <c:v>-26.142344578669412</c:v>
                </c:pt>
                <c:pt idx="181">
                  <c:v>-26.142344578669412</c:v>
                </c:pt>
                <c:pt idx="182">
                  <c:v>-26.142344578669412</c:v>
                </c:pt>
                <c:pt idx="183">
                  <c:v>-26.142344578669412</c:v>
                </c:pt>
                <c:pt idx="184">
                  <c:v>-26.142344578669412</c:v>
                </c:pt>
                <c:pt idx="185">
                  <c:v>-26.142344578669412</c:v>
                </c:pt>
                <c:pt idx="186">
                  <c:v>-26.142344578669412</c:v>
                </c:pt>
                <c:pt idx="187">
                  <c:v>-26.142344578669412</c:v>
                </c:pt>
                <c:pt idx="188">
                  <c:v>-26.142344578669412</c:v>
                </c:pt>
                <c:pt idx="189">
                  <c:v>-26.142344578669412</c:v>
                </c:pt>
                <c:pt idx="190">
                  <c:v>-26.142344578669412</c:v>
                </c:pt>
                <c:pt idx="191">
                  <c:v>-26.142344578669412</c:v>
                </c:pt>
                <c:pt idx="192">
                  <c:v>-26.142344578669412</c:v>
                </c:pt>
                <c:pt idx="193">
                  <c:v>-26.142344578669412</c:v>
                </c:pt>
                <c:pt idx="194">
                  <c:v>-26.142344578669412</c:v>
                </c:pt>
                <c:pt idx="195">
                  <c:v>-26.142344578669412</c:v>
                </c:pt>
                <c:pt idx="196">
                  <c:v>-26.142344578669412</c:v>
                </c:pt>
                <c:pt idx="197">
                  <c:v>-26.142344578669412</c:v>
                </c:pt>
                <c:pt idx="198">
                  <c:v>-26.142344578669412</c:v>
                </c:pt>
                <c:pt idx="199">
                  <c:v>-26.142344578669412</c:v>
                </c:pt>
                <c:pt idx="200">
                  <c:v>-26.142344578669412</c:v>
                </c:pt>
                <c:pt idx="201">
                  <c:v>-26.142344578669412</c:v>
                </c:pt>
                <c:pt idx="202">
                  <c:v>-26.142344578669412</c:v>
                </c:pt>
                <c:pt idx="203">
                  <c:v>-26.142344578669412</c:v>
                </c:pt>
                <c:pt idx="204">
                  <c:v>-26.142344578669412</c:v>
                </c:pt>
                <c:pt idx="205">
                  <c:v>-26.142344578669412</c:v>
                </c:pt>
                <c:pt idx="206">
                  <c:v>-26.142344578669412</c:v>
                </c:pt>
                <c:pt idx="207">
                  <c:v>-26.142344578669412</c:v>
                </c:pt>
                <c:pt idx="208">
                  <c:v>-26.142344578669412</c:v>
                </c:pt>
                <c:pt idx="209">
                  <c:v>-26.142344578669412</c:v>
                </c:pt>
                <c:pt idx="210">
                  <c:v>-26.142344578669412</c:v>
                </c:pt>
                <c:pt idx="211">
                  <c:v>-26.142344578669412</c:v>
                </c:pt>
                <c:pt idx="212">
                  <c:v>-26.142344578669412</c:v>
                </c:pt>
                <c:pt idx="213">
                  <c:v>-26.142344578669412</c:v>
                </c:pt>
                <c:pt idx="214">
                  <c:v>-26.142344578669412</c:v>
                </c:pt>
                <c:pt idx="215">
                  <c:v>-26.142344578669412</c:v>
                </c:pt>
                <c:pt idx="216">
                  <c:v>-26.142344578669412</c:v>
                </c:pt>
                <c:pt idx="217">
                  <c:v>-26.142344578669412</c:v>
                </c:pt>
                <c:pt idx="218">
                  <c:v>-26.142344578669412</c:v>
                </c:pt>
                <c:pt idx="219">
                  <c:v>-26.142344578669412</c:v>
                </c:pt>
                <c:pt idx="220">
                  <c:v>-26.142344578669412</c:v>
                </c:pt>
                <c:pt idx="221">
                  <c:v>-26.142344578669412</c:v>
                </c:pt>
                <c:pt idx="222">
                  <c:v>-26.142344578669412</c:v>
                </c:pt>
                <c:pt idx="223">
                  <c:v>-26.142344578669412</c:v>
                </c:pt>
                <c:pt idx="224">
                  <c:v>-26.142344578669412</c:v>
                </c:pt>
                <c:pt idx="225">
                  <c:v>-26.142344578669412</c:v>
                </c:pt>
                <c:pt idx="226">
                  <c:v>-26.142344578669412</c:v>
                </c:pt>
                <c:pt idx="227">
                  <c:v>-26.142344578669412</c:v>
                </c:pt>
                <c:pt idx="228">
                  <c:v>-26.142344578669412</c:v>
                </c:pt>
                <c:pt idx="229">
                  <c:v>-26.142344578669412</c:v>
                </c:pt>
                <c:pt idx="230">
                  <c:v>-26.142344578669412</c:v>
                </c:pt>
                <c:pt idx="231">
                  <c:v>-26.142344578669412</c:v>
                </c:pt>
                <c:pt idx="232">
                  <c:v>-26.142344578669412</c:v>
                </c:pt>
                <c:pt idx="233">
                  <c:v>-26.142344578669412</c:v>
                </c:pt>
                <c:pt idx="234">
                  <c:v>-26.142344578669412</c:v>
                </c:pt>
                <c:pt idx="235">
                  <c:v>-26.142344578669412</c:v>
                </c:pt>
                <c:pt idx="236">
                  <c:v>-26.142344578669412</c:v>
                </c:pt>
                <c:pt idx="237">
                  <c:v>-26.142344578669412</c:v>
                </c:pt>
                <c:pt idx="238">
                  <c:v>-26.142344578669412</c:v>
                </c:pt>
                <c:pt idx="239">
                  <c:v>-26.142344578669412</c:v>
                </c:pt>
                <c:pt idx="240">
                  <c:v>-26.142344578669412</c:v>
                </c:pt>
                <c:pt idx="241">
                  <c:v>-26.142344578669412</c:v>
                </c:pt>
                <c:pt idx="242">
                  <c:v>-26.142344578669412</c:v>
                </c:pt>
                <c:pt idx="243">
                  <c:v>-26.142344578669412</c:v>
                </c:pt>
                <c:pt idx="244">
                  <c:v>-26.142344578669412</c:v>
                </c:pt>
                <c:pt idx="245">
                  <c:v>-26.142344578669412</c:v>
                </c:pt>
                <c:pt idx="246">
                  <c:v>-26.142344578669412</c:v>
                </c:pt>
                <c:pt idx="247">
                  <c:v>-26.142344578669412</c:v>
                </c:pt>
                <c:pt idx="248">
                  <c:v>-26.142344578669412</c:v>
                </c:pt>
                <c:pt idx="249">
                  <c:v>-26.142344578669412</c:v>
                </c:pt>
              </c:numCache>
            </c:numRef>
          </c:val>
          <c:smooth val="0"/>
        </c:ser>
        <c:ser>
          <c:idx val="1"/>
          <c:order val="1"/>
          <c:tx>
            <c:v>RealVol</c:v>
          </c:tx>
          <c:marker>
            <c:symbol val="none"/>
          </c:marker>
          <c:val>
            <c:numRef>
              <c:f>Simulation!$Z$6:$Z$254</c:f>
              <c:numCache>
                <c:formatCode>0.0000</c:formatCode>
                <c:ptCount val="249"/>
                <c:pt idx="0">
                  <c:v>-25.194178561723724</c:v>
                </c:pt>
                <c:pt idx="1">
                  <c:v>-25.18603272024367</c:v>
                </c:pt>
                <c:pt idx="2">
                  <c:v>-23.087555120083774</c:v>
                </c:pt>
              </c:numCache>
            </c:numRef>
          </c:val>
          <c:smooth val="0"/>
        </c:ser>
        <c:ser>
          <c:idx val="2"/>
          <c:order val="2"/>
          <c:tx>
            <c:v>InitialVol</c:v>
          </c:tx>
          <c:marker>
            <c:symbol val="none"/>
          </c:marker>
          <c:val>
            <c:numRef>
              <c:f>Simulation!$AD$5:$AD$254</c:f>
              <c:numCache>
                <c:formatCode>General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65856"/>
        <c:axId val="185078272"/>
      </c:lineChart>
      <c:catAx>
        <c:axId val="18546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85078272"/>
        <c:crosses val="autoZero"/>
        <c:auto val="1"/>
        <c:lblAlgn val="ctr"/>
        <c:lblOffset val="100"/>
        <c:noMultiLvlLbl val="0"/>
      </c:catAx>
      <c:valAx>
        <c:axId val="18507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6585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171450</xdr:rowOff>
    </xdr:from>
    <xdr:to>
      <xdr:col>15</xdr:col>
      <xdr:colOff>104775</xdr:colOff>
      <xdr:row>26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2"/>
  <sheetViews>
    <sheetView workbookViewId="0">
      <selection activeCell="H4" sqref="H4"/>
    </sheetView>
  </sheetViews>
  <sheetFormatPr defaultRowHeight="15" x14ac:dyDescent="0.25"/>
  <cols>
    <col min="3" max="3" width="7.7109375" bestFit="1" customWidth="1"/>
    <col min="4" max="4" width="9.28515625" customWidth="1"/>
  </cols>
  <sheetData>
    <row r="2" spans="2:8" ht="18.75" x14ac:dyDescent="0.3">
      <c r="B2" s="1" t="s">
        <v>0</v>
      </c>
      <c r="H2" s="2"/>
    </row>
    <row r="3" spans="2:8" ht="15.75" x14ac:dyDescent="0.25">
      <c r="B3" s="3" t="s">
        <v>1</v>
      </c>
      <c r="C3" s="4">
        <v>1.7399999999999999E-2</v>
      </c>
      <c r="D3" t="s">
        <v>2</v>
      </c>
    </row>
    <row r="4" spans="2:8" ht="15.75" x14ac:dyDescent="0.25">
      <c r="B4" s="3" t="s">
        <v>3</v>
      </c>
      <c r="C4" s="4">
        <v>3.5400000000000001E-2</v>
      </c>
      <c r="D4" t="s">
        <v>4</v>
      </c>
      <c r="G4" t="s">
        <v>5</v>
      </c>
      <c r="H4">
        <f>SQRT(250)</f>
        <v>15.811388300841896</v>
      </c>
    </row>
    <row r="5" spans="2:8" ht="15.75" x14ac:dyDescent="0.25">
      <c r="B5" s="3" t="s">
        <v>6</v>
      </c>
      <c r="C5" s="4">
        <f>C4</f>
        <v>3.5400000000000001E-2</v>
      </c>
    </row>
    <row r="6" spans="2:8" ht="15.75" x14ac:dyDescent="0.25">
      <c r="B6" s="3" t="s">
        <v>7</v>
      </c>
      <c r="C6" s="4">
        <v>0.38769999999999999</v>
      </c>
      <c r="D6" t="s">
        <v>8</v>
      </c>
    </row>
    <row r="7" spans="2:8" ht="15.75" x14ac:dyDescent="0.25">
      <c r="B7" s="5" t="s">
        <v>9</v>
      </c>
      <c r="C7" s="4">
        <v>-0.71650000000000003</v>
      </c>
    </row>
    <row r="8" spans="2:8" ht="15.75" x14ac:dyDescent="0.25">
      <c r="B8" s="3" t="s">
        <v>10</v>
      </c>
      <c r="C8" s="4">
        <v>1.3252999999999999</v>
      </c>
      <c r="D8" t="s">
        <v>11</v>
      </c>
    </row>
    <row r="9" spans="2:8" ht="15.75" x14ac:dyDescent="0.25">
      <c r="B9" s="3" t="s">
        <v>12</v>
      </c>
      <c r="C9" s="4">
        <v>0</v>
      </c>
    </row>
    <row r="10" spans="2:8" ht="15.75" x14ac:dyDescent="0.25">
      <c r="B10" s="3" t="s">
        <v>13</v>
      </c>
      <c r="C10" s="4">
        <v>0</v>
      </c>
    </row>
    <row r="11" spans="2:8" ht="15.75" x14ac:dyDescent="0.25">
      <c r="B11" s="3" t="s">
        <v>14</v>
      </c>
      <c r="C11" s="4">
        <v>100</v>
      </c>
    </row>
    <row r="12" spans="2:8" ht="15.75" x14ac:dyDescent="0.25">
      <c r="B12" s="6" t="s">
        <v>15</v>
      </c>
      <c r="C12" s="7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254"/>
  <sheetViews>
    <sheetView tabSelected="1" workbookViewId="0">
      <pane ySplit="3" topLeftCell="A4" activePane="bottomLeft" state="frozen"/>
      <selection pane="bottomLeft" activeCell="B5" sqref="B5"/>
    </sheetView>
  </sheetViews>
  <sheetFormatPr defaultRowHeight="15" x14ac:dyDescent="0.25"/>
  <cols>
    <col min="1" max="1" width="17.5703125" bestFit="1" customWidth="1"/>
    <col min="8" max="8" width="20.85546875" bestFit="1" customWidth="1"/>
    <col min="9" max="9" width="22" bestFit="1" customWidth="1"/>
    <col min="10" max="11" width="18.5703125" bestFit="1" customWidth="1"/>
    <col min="14" max="14" width="13.5703125" customWidth="1"/>
    <col min="15" max="15" width="9.42578125" customWidth="1"/>
    <col min="17" max="17" width="12.5703125" customWidth="1"/>
    <col min="18" max="18" width="12" bestFit="1" customWidth="1"/>
    <col min="22" max="22" width="12" customWidth="1"/>
    <col min="26" max="26" width="10.28515625" customWidth="1"/>
  </cols>
  <sheetData>
    <row r="1" spans="1:30" x14ac:dyDescent="0.25">
      <c r="A1" s="8"/>
      <c r="B1" s="8"/>
      <c r="C1" s="8"/>
      <c r="G1" s="27" t="s">
        <v>16</v>
      </c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</row>
    <row r="2" spans="1:30" x14ac:dyDescent="0.25">
      <c r="A2" s="8"/>
      <c r="B2" s="8"/>
      <c r="C2" s="8"/>
      <c r="G2" s="27" t="s">
        <v>17</v>
      </c>
      <c r="H2" s="27"/>
      <c r="I2" s="27"/>
      <c r="J2" s="27"/>
      <c r="K2" s="27"/>
      <c r="L2" s="27"/>
      <c r="M2" s="27"/>
      <c r="N2" s="27" t="s">
        <v>18</v>
      </c>
      <c r="O2" s="27"/>
      <c r="P2" s="27"/>
      <c r="Q2" s="9" t="s">
        <v>19</v>
      </c>
      <c r="R2" s="27" t="s">
        <v>20</v>
      </c>
      <c r="S2" s="27"/>
      <c r="T2" s="27"/>
      <c r="U2" s="27"/>
      <c r="V2" s="27" t="s">
        <v>21</v>
      </c>
      <c r="W2" s="27"/>
      <c r="X2" s="27"/>
      <c r="Y2" s="27"/>
      <c r="Z2" s="27"/>
      <c r="AA2" s="27" t="s">
        <v>22</v>
      </c>
      <c r="AB2" s="27"/>
      <c r="AC2" s="27"/>
      <c r="AD2" s="27"/>
    </row>
    <row r="3" spans="1:30" ht="45" x14ac:dyDescent="0.25">
      <c r="A3" s="10"/>
      <c r="G3" s="11" t="s">
        <v>23</v>
      </c>
      <c r="H3" s="11" t="s">
        <v>24</v>
      </c>
      <c r="I3" s="11" t="s">
        <v>25</v>
      </c>
      <c r="J3" s="11" t="s">
        <v>26</v>
      </c>
      <c r="K3" s="11" t="s">
        <v>27</v>
      </c>
      <c r="L3" s="9" t="s">
        <v>28</v>
      </c>
      <c r="M3" s="9" t="s">
        <v>29</v>
      </c>
      <c r="N3" s="9" t="s">
        <v>30</v>
      </c>
      <c r="O3" s="11" t="s">
        <v>31</v>
      </c>
      <c r="P3" s="9" t="s">
        <v>32</v>
      </c>
      <c r="Q3" s="12" t="s">
        <v>33</v>
      </c>
      <c r="R3" s="9" t="s">
        <v>34</v>
      </c>
      <c r="S3" s="9" t="s">
        <v>35</v>
      </c>
      <c r="T3" s="12" t="s">
        <v>36</v>
      </c>
      <c r="U3" s="9" t="s">
        <v>37</v>
      </c>
      <c r="V3" s="12" t="s">
        <v>38</v>
      </c>
      <c r="W3" s="12" t="s">
        <v>39</v>
      </c>
      <c r="X3" s="12" t="s">
        <v>40</v>
      </c>
      <c r="Y3" s="12" t="s">
        <v>41</v>
      </c>
      <c r="Z3" s="12" t="s">
        <v>37</v>
      </c>
      <c r="AA3" s="12" t="s">
        <v>42</v>
      </c>
      <c r="AB3" s="12" t="s">
        <v>35</v>
      </c>
      <c r="AC3" s="12" t="s">
        <v>41</v>
      </c>
      <c r="AD3" s="12" t="s">
        <v>43</v>
      </c>
    </row>
    <row r="4" spans="1:30" x14ac:dyDescent="0.25">
      <c r="A4" s="11" t="s">
        <v>44</v>
      </c>
      <c r="B4" s="11" t="s">
        <v>45</v>
      </c>
      <c r="C4" s="13" t="s">
        <v>46</v>
      </c>
      <c r="F4">
        <f>Variance_T0*AnnualVarConvtr</f>
        <v>0.55972314584980309</v>
      </c>
      <c r="G4" s="14"/>
      <c r="H4" s="14"/>
      <c r="I4" s="14"/>
      <c r="J4" s="14"/>
      <c r="K4" s="14"/>
      <c r="L4" s="15"/>
      <c r="M4" s="15"/>
      <c r="N4" s="15"/>
      <c r="O4" s="16"/>
      <c r="P4" s="17"/>
      <c r="Q4" s="14"/>
      <c r="R4" s="14"/>
      <c r="S4" s="14"/>
      <c r="T4" s="14"/>
      <c r="U4" s="14"/>
    </row>
    <row r="5" spans="1:30" x14ac:dyDescent="0.25">
      <c r="A5" s="11" t="s">
        <v>45</v>
      </c>
      <c r="B5" s="18">
        <v>1</v>
      </c>
      <c r="C5" s="18"/>
      <c r="G5" s="19">
        <v>250</v>
      </c>
      <c r="H5" s="25">
        <f ca="1">RAND()</f>
        <v>0.40099895348959569</v>
      </c>
      <c r="I5" s="26">
        <f ca="1">RAND()</f>
        <v>0.78846722404284542</v>
      </c>
      <c r="J5" s="24">
        <f ca="1">SQRT(-2*LN(H5))*COS(2*PI()*I5)</f>
        <v>0.32357413587457656</v>
      </c>
      <c r="K5" s="24">
        <f ca="1">SQRT(-2*LN(H5))*SIN(2*PI()*I5)</f>
        <v>-1.3125900736537019</v>
      </c>
      <c r="L5" s="19">
        <f t="array" aca="1" ref="L5:M5" ca="1">MMULT(J5:K5,TRANSPOSE($B$10:$C$11))</f>
        <v>0.32357413587457656</v>
      </c>
      <c r="M5" s="19">
        <f ca="1"/>
        <v>-1.1474867599520235</v>
      </c>
      <c r="N5" s="20">
        <f>Variance_T0</f>
        <v>3.5400000000000001E-2</v>
      </c>
      <c r="O5" s="20">
        <v>0</v>
      </c>
      <c r="P5" s="19">
        <v>100</v>
      </c>
      <c r="Q5" s="19">
        <f>HCTrans(P5,Strike,RiskFreeRate,Dividend,Variance_T0*AnnualVarConvtr,(Simulation!G5)/250,0.5,Variance_Avg*AnnualVarConvtr,Lambda,SQRT(Simulation!N5),Rho,1,"Call")</f>
        <v>28.818569228825197</v>
      </c>
      <c r="R5" s="19" t="e">
        <f>BlackScholesImpliedVolatility(P5,Strike,RiskFreeRate,G5/250,Dividend,Q5,0.01,"call")</f>
        <v>#VALUE!</v>
      </c>
      <c r="S5" s="19" t="e">
        <f>BSdelta(1,P5,Strike,R5/AnnualVarConvtr,Dividend,RiskFreeRate,G5/250)</f>
        <v>#VALUE!</v>
      </c>
      <c r="T5" s="19" t="e">
        <f>(S5)*P5</f>
        <v>#VALUE!</v>
      </c>
      <c r="U5" s="19" t="e">
        <f>Q5-T5</f>
        <v>#VALUE!</v>
      </c>
      <c r="V5" s="21">
        <f>(O5-O4)^2</f>
        <v>0</v>
      </c>
      <c r="W5">
        <f>SQRT(V5)</f>
        <v>0</v>
      </c>
      <c r="X5">
        <v>0</v>
      </c>
      <c r="AA5" t="e">
        <f>$R$5</f>
        <v>#VALUE!</v>
      </c>
      <c r="AB5" t="e">
        <f t="shared" ref="AB5" si="0">BSdelta(1,P5,Strike,AA5/AnnualVarConvtr,Dividend,RiskFreeRate,G5/250)</f>
        <v>#VALUE!</v>
      </c>
      <c r="AC5" t="e">
        <f>AB5*P5</f>
        <v>#VALUE!</v>
      </c>
      <c r="AD5" t="e">
        <f>Q5-AC5</f>
        <v>#VALUE!</v>
      </c>
    </row>
    <row r="6" spans="1:30" x14ac:dyDescent="0.25">
      <c r="A6" s="13" t="s">
        <v>46</v>
      </c>
      <c r="B6" s="18">
        <f>Rho</f>
        <v>-0.71650000000000003</v>
      </c>
      <c r="C6" s="18">
        <v>1</v>
      </c>
      <c r="G6" s="19">
        <v>249</v>
      </c>
      <c r="H6" s="19">
        <f t="shared" ref="H6:I30" ca="1" si="1">RAND()</f>
        <v>0.89711805064768713</v>
      </c>
      <c r="I6" s="19">
        <f t="shared" ca="1" si="1"/>
        <v>0.919477182283298</v>
      </c>
      <c r="J6" s="19">
        <f t="shared" ref="J6:J69" ca="1" si="2">SQRT(-2*LN(H6))*COS(2*PI()*I6)</f>
        <v>0.40760013639330378</v>
      </c>
      <c r="K6" s="19">
        <f t="shared" ref="K6:K69" ca="1" si="3">SQRT(-2*LN(H6))*SIN(2*PI()*I6)</f>
        <v>-0.22582685365346056</v>
      </c>
      <c r="L6" s="19">
        <f t="array" aca="1" ref="L6:M6" ca="1">MMULT(J6:K6,TRANSPOSE($B$10:$C$11))</f>
        <v>0.40760013639330378</v>
      </c>
      <c r="M6" s="19">
        <f ca="1"/>
        <v>-0.44957939571170347</v>
      </c>
      <c r="N6" s="20">
        <f t="shared" ref="N6:N69" ca="1" si="4">GetVariance(N5,Variance_Avg,Lambda,Eta,M6,"Daily")</f>
        <v>3.320595012336177E-2</v>
      </c>
      <c r="O6" s="20">
        <f t="shared" ref="O6:O69" ca="1" si="5">GetStockReturns(O5,RiskFreeRate,N5,L6,"Daily")</f>
        <v>4.7794703594952435E-3</v>
      </c>
      <c r="P6" s="19">
        <f ca="1">P5*EXP(O6)</f>
        <v>100.47909102462258</v>
      </c>
      <c r="Q6" s="19">
        <f ca="1">HCTrans(P6,Strike,RiskFreeRate,Dividend,Variance_T0*AnnualVarConvtr,(Simulation!G6)/250,0.5,Variance_Avg*AnnualVarConvtr,Lambda,SQRT(Simulation!N6),Rho,1,"Call")</f>
        <v>29.090377958956594</v>
      </c>
      <c r="R6" s="19">
        <f ca="1">ImpliedVolatility("Call",P6,Strike,RiskFreeRate,G6/250,Dividend,Q6,0.5)</f>
        <v>0.73932134094213031</v>
      </c>
      <c r="S6" s="19">
        <f t="shared" ref="S6:S8" ca="1" si="6">BSdelta(1,P6,Strike,R6/AnnualVarConvtr,Dividend,RiskFreeRate,G6/250)</f>
        <v>0.55003630889857169</v>
      </c>
      <c r="T6" s="19" t="e">
        <f ca="1">(S6-S5)*P6</f>
        <v>#VALUE!</v>
      </c>
      <c r="U6" s="19" t="e">
        <f ca="1">(Q6-Q5)+U5-T6</f>
        <v>#VALUE!</v>
      </c>
      <c r="V6" s="21">
        <f ca="1">(O6-O5)^2</f>
        <v>2.2843336917293592E-5</v>
      </c>
      <c r="W6">
        <f ca="1">SQRT(V6)</f>
        <v>4.7794703594952435E-3</v>
      </c>
      <c r="X6" s="22">
        <f t="shared" ref="X6" ca="1" si="7">BSdelta(1,P6,Strike,W6*AnnualVarConvtr,Dividend,RiskFreeRate,G6/250)</f>
        <v>0.54025724125408137</v>
      </c>
      <c r="Y6" s="22">
        <f ca="1">X6*P6</f>
        <v>54.284556520680319</v>
      </c>
      <c r="Z6" s="22">
        <f ca="1">Q6-Y6</f>
        <v>-25.194178561723724</v>
      </c>
      <c r="AA6" t="e">
        <f t="shared" ref="AA6:AA8" si="8">$R$5</f>
        <v>#VALUE!</v>
      </c>
      <c r="AB6" t="e">
        <f t="shared" ref="AB6" ca="1" si="9">BSdelta(1,P6,Strike,AA6/AnnualVarConvtr,Dividend,RiskFreeRate,G6/250)</f>
        <v>#VALUE!</v>
      </c>
      <c r="AC6" t="e">
        <f ca="1">(AB6-AB5)*P6</f>
        <v>#VALUE!</v>
      </c>
      <c r="AD6" t="e">
        <f ca="1">(Q6-Q5)+AD5-AC6</f>
        <v>#VALUE!</v>
      </c>
    </row>
    <row r="7" spans="1:30" x14ac:dyDescent="0.25">
      <c r="G7" s="19">
        <v>248</v>
      </c>
      <c r="H7" s="19">
        <f t="shared" ca="1" si="1"/>
        <v>0.71123453673033399</v>
      </c>
      <c r="I7" s="19">
        <f t="shared" ca="1" si="1"/>
        <v>0.66578130838908367</v>
      </c>
      <c r="J7" s="19">
        <f t="shared" ca="1" si="2"/>
        <v>-0.41673757808745027</v>
      </c>
      <c r="K7" s="19">
        <f t="shared" ca="1" si="3"/>
        <v>-0.71262603132291102</v>
      </c>
      <c r="L7" s="19">
        <f t="array" aca="1" ref="L7:M7" ca="1">MMULT(J7:K7,TRANSPOSE($B$10:$C$11))</f>
        <v>-0.41673757808745027</v>
      </c>
      <c r="M7" s="19">
        <f ca="1"/>
        <v>-0.19852624570191302</v>
      </c>
      <c r="N7" s="20">
        <f t="shared" ca="1" si="4"/>
        <v>3.2186136783880451E-2</v>
      </c>
      <c r="O7" s="20">
        <f t="shared" ca="1" si="5"/>
        <v>-8.9809141525912145E-5</v>
      </c>
      <c r="P7" s="19">
        <f t="shared" ref="P7:P70" ca="1" si="10">P6*EXP(O7)</f>
        <v>100.47006748892041</v>
      </c>
      <c r="Q7" s="19">
        <f ca="1">HCTrans(P7,Strike,RiskFreeRate,Dividend,Variance_T0*AnnualVarConvtr,(Simulation!G7)/250,0.5,Variance_Avg*AnnualVarConvtr,Lambda,SQRT(Simulation!N7),Rho,1,"Call")</f>
        <v>29.035376890410987</v>
      </c>
      <c r="R7" s="19">
        <f ca="1">ImpliedVolatility("Call",P7,Strike,RiskFreeRate,G7/250,Dividend,Q7,0.5)</f>
        <v>0.73948905434629442</v>
      </c>
      <c r="S7" s="19">
        <f t="shared" ca="1" si="6"/>
        <v>0.54932909712879519</v>
      </c>
      <c r="T7" s="19">
        <f t="shared" ref="T7:T8" ca="1" si="11">(S7-S6)*P7</f>
        <v>-7.1053614238404367E-2</v>
      </c>
      <c r="U7" s="19" t="e">
        <f t="shared" ref="U7:U8" ca="1" si="12">(Q7-Q6)+U6-T7</f>
        <v>#VALUE!</v>
      </c>
      <c r="V7" s="21">
        <f t="shared" ref="V7:V8" ca="1" si="13">(O7-O6)^2</f>
        <v>2.3709882859064836E-5</v>
      </c>
      <c r="W7">
        <f t="shared" ref="W7:W8" ca="1" si="14">SQRT(V7)</f>
        <v>4.8692795010211558E-3</v>
      </c>
      <c r="X7" s="22">
        <f t="shared" ref="X7" ca="1" si="15">BSdelta(1,P7,Strike,W7*AnnualVarConvtr,Dividend,RiskFreeRate,G7/250)</f>
        <v>0.53962872659689132</v>
      </c>
      <c r="Y7" s="22">
        <f ca="1">(X7-X6)*P7</f>
        <v>-6.3146910025659905E-2</v>
      </c>
      <c r="Z7" s="22">
        <f ca="1">(Q7-Q6)+Z6-Y7</f>
        <v>-25.18603272024367</v>
      </c>
      <c r="AA7" t="e">
        <f t="shared" si="8"/>
        <v>#VALUE!</v>
      </c>
      <c r="AB7" t="e">
        <f t="shared" ref="AB7" ca="1" si="16">BSdelta(1,P7,Strike,AA7/AnnualVarConvtr,Dividend,RiskFreeRate,G7/250)</f>
        <v>#VALUE!</v>
      </c>
      <c r="AC7" t="e">
        <f t="shared" ref="AC7:AC8" ca="1" si="17">(AB7-AB6)*P7</f>
        <v>#VALUE!</v>
      </c>
      <c r="AD7" t="e">
        <f t="shared" ref="AD7:AD8" ca="1" si="18">(Q7-Q6)+AD6-AC7</f>
        <v>#VALUE!</v>
      </c>
    </row>
    <row r="8" spans="1:30" x14ac:dyDescent="0.25">
      <c r="G8" s="19">
        <v>247</v>
      </c>
      <c r="H8" s="19">
        <f t="shared" ca="1" si="1"/>
        <v>0.75003272708480473</v>
      </c>
      <c r="I8" s="19">
        <f t="shared" ca="1" si="1"/>
        <v>0.3985509270086155</v>
      </c>
      <c r="J8" s="19">
        <f t="shared" ca="1" si="2"/>
        <v>-0.60953073691266779</v>
      </c>
      <c r="K8" s="19">
        <f t="shared" ca="1" si="3"/>
        <v>0.45138581650310083</v>
      </c>
      <c r="L8" s="19">
        <f t="array" aca="1" ref="L8:M8" ca="1">MMULT(J8:K8,TRANSPOSE($B$10:$C$11))</f>
        <v>-0.60953073691266779</v>
      </c>
      <c r="M8" s="19">
        <f ca="1"/>
        <v>0.75160969180309622</v>
      </c>
      <c r="N8" s="20">
        <f t="shared" ca="1" si="4"/>
        <v>3.5444154948173663E-2</v>
      </c>
      <c r="O8" s="20">
        <f t="shared" ca="1" si="5"/>
        <v>-7.0702618051711663E-3</v>
      </c>
      <c r="P8" s="19">
        <f t="shared" ca="1" si="10"/>
        <v>99.762223079513348</v>
      </c>
      <c r="Q8" s="19">
        <f ca="1">HCTrans(P8,Strike,RiskFreeRate,Dividend,Variance_T0*AnnualVarConvtr,(Simulation!G8)/250,0.5,Variance_Avg*AnnualVarConvtr,Lambda,SQRT(Simulation!N8),Rho,1,"Call")</f>
        <v>28.499650339125296</v>
      </c>
      <c r="R8" s="19">
        <f ca="1">ImpliedVolatility("Call",P8,Strike,RiskFreeRate,G8/250,Dividend,Q8,0.5)</f>
        <v>0.73883144510218124</v>
      </c>
      <c r="S8" s="19">
        <f t="shared" ca="1" si="6"/>
        <v>0.48881859879071116</v>
      </c>
      <c r="T8" s="19">
        <f t="shared" ca="1" si="11"/>
        <v>-6.0366618338564608</v>
      </c>
      <c r="U8" s="19" t="e">
        <f t="shared" ca="1" si="12"/>
        <v>#VALUE!</v>
      </c>
      <c r="V8" s="21">
        <f t="shared" ca="1" si="13"/>
        <v>4.8726719389392119E-5</v>
      </c>
      <c r="W8">
        <f t="shared" ca="1" si="14"/>
        <v>6.980452663645254E-3</v>
      </c>
      <c r="X8" s="22">
        <f t="shared" ref="X8" ca="1" si="19">BSdelta(1,P8,Strike,W8*AnnualVarConvtr,Dividend,RiskFreeRate,G8/250)</f>
        <v>0.5132239005000826</v>
      </c>
      <c r="Y8" s="22">
        <f t="shared" ref="Y8" ca="1" si="20">(X8-X7)*P8</f>
        <v>-2.6342041514455872</v>
      </c>
      <c r="Z8" s="22">
        <f t="shared" ref="Z8" ca="1" si="21">(Q8-Q7)+Z7-Y8</f>
        <v>-23.087555120083774</v>
      </c>
      <c r="AA8" t="e">
        <f t="shared" si="8"/>
        <v>#VALUE!</v>
      </c>
      <c r="AB8" t="e">
        <f t="shared" ref="AB8" ca="1" si="22">BSdelta(1,P8,Strike,AA8/AnnualVarConvtr,Dividend,RiskFreeRate,G8/250)</f>
        <v>#VALUE!</v>
      </c>
      <c r="AC8" t="e">
        <f t="shared" ca="1" si="17"/>
        <v>#VALUE!</v>
      </c>
      <c r="AD8" t="e">
        <f t="shared" ca="1" si="18"/>
        <v>#VALUE!</v>
      </c>
    </row>
    <row r="9" spans="1:30" x14ac:dyDescent="0.25">
      <c r="A9" s="11" t="s">
        <v>47</v>
      </c>
      <c r="B9" s="23" t="s">
        <v>45</v>
      </c>
      <c r="C9" s="13" t="s">
        <v>46</v>
      </c>
      <c r="G9" s="19">
        <v>246</v>
      </c>
      <c r="H9" s="19">
        <f t="shared" ca="1" si="1"/>
        <v>0.12423196534763903</v>
      </c>
      <c r="I9" s="19">
        <f t="shared" ca="1" si="1"/>
        <v>0.72770966065247789</v>
      </c>
      <c r="J9" s="19">
        <f t="shared" ca="1" si="2"/>
        <v>-0.28510630801508502</v>
      </c>
      <c r="K9" s="19">
        <f t="shared" ca="1" si="3"/>
        <v>-2.0223560365143136</v>
      </c>
      <c r="L9" s="19">
        <f t="array" aca="1" ref="L9:M9" ca="1">MMULT(J9:K9,TRANSPOSE($B$10:$C$11))</f>
        <v>-0.28510630801508502</v>
      </c>
      <c r="M9" s="19">
        <f ca="1"/>
        <v>-1.2064907954670121</v>
      </c>
      <c r="N9" s="20">
        <f t="shared" ca="1" si="4"/>
        <v>2.9942829859488464E-2</v>
      </c>
      <c r="O9" s="20">
        <f t="shared" ca="1" si="5"/>
        <v>-1.0535910574926997E-2</v>
      </c>
      <c r="P9" s="19">
        <f t="shared" ca="1" si="10"/>
        <v>98.716654896787588</v>
      </c>
      <c r="Q9" s="19">
        <f ca="1">HCTrans(P9,Strike,RiskFreeRate,Dividend,Variance_T0*AnnualVarConvtr,(Simulation!G9)/250,0.5,Variance_Avg*AnnualVarConvtr,Lambda,SQRT(Simulation!N9),Rho,1,"Call")</f>
        <v>27.795842747705663</v>
      </c>
      <c r="R9" s="19">
        <f ca="1">ImpliedVolatility("Call",P9,Strike,RiskFreeRate,G9/250,Dividend,Q9,0.5)</f>
        <v>0.73937120566121284</v>
      </c>
      <c r="S9" s="19">
        <f t="shared" ref="S9:S72" ca="1" si="23">BSdelta(1,P9,Strike,R9/AnnualVarConvtr,Dividend,RiskFreeRate,G9/250)</f>
        <v>0.39926040790166228</v>
      </c>
      <c r="T9" s="19">
        <f t="shared" ref="T9:T72" ca="1" si="24">(S9-S8)*P9</f>
        <v>-8.8408850231748648</v>
      </c>
      <c r="U9" s="19" t="e">
        <f t="shared" ref="U9:U72" ca="1" si="25">(Q9-Q8)+U8-T9</f>
        <v>#VALUE!</v>
      </c>
      <c r="V9" s="21"/>
      <c r="X9" s="22"/>
      <c r="Y9" s="22"/>
      <c r="Z9" s="22"/>
    </row>
    <row r="10" spans="1:30" x14ac:dyDescent="0.25">
      <c r="A10" s="11" t="s">
        <v>45</v>
      </c>
      <c r="B10" s="19">
        <f t="array" ref="B10:C11">cholesky(B5:C6)</f>
        <v>1</v>
      </c>
      <c r="C10" s="19">
        <v>0</v>
      </c>
      <c r="G10" s="19">
        <v>245</v>
      </c>
      <c r="H10" s="19">
        <f t="shared" ca="1" si="1"/>
        <v>0.3319504171239549</v>
      </c>
      <c r="I10" s="19">
        <f t="shared" ca="1" si="1"/>
        <v>0.90790186888933477</v>
      </c>
      <c r="J10" s="19">
        <f t="shared" ca="1" si="2"/>
        <v>1.2433172182872414</v>
      </c>
      <c r="K10" s="19">
        <f t="shared" ca="1" si="3"/>
        <v>-0.81222018515461269</v>
      </c>
      <c r="L10" s="19">
        <f t="array" aca="1" ref="L10:M10" ca="1">MMULT(J10:K10,TRANSPOSE($B$10:$C$11))</f>
        <v>1.2433172182872414</v>
      </c>
      <c r="M10" s="19">
        <f ca="1"/>
        <v>-1.4574311033900051</v>
      </c>
      <c r="N10" s="20">
        <f t="shared" ca="1" si="4"/>
        <v>2.3956856561817442E-2</v>
      </c>
      <c r="O10" s="20">
        <f t="shared" ca="1" si="5"/>
        <v>3.0110778222219416E-3</v>
      </c>
      <c r="P10" s="19">
        <f t="shared" ca="1" si="10"/>
        <v>99.014346388234614</v>
      </c>
      <c r="Q10" s="19">
        <f ca="1">HCTrans(P10,Strike,RiskFreeRate,Dividend,Variance_T0*AnnualVarConvtr,(Simulation!G10)/250,0.5,Variance_Avg*AnnualVarConvtr,Lambda,SQRT(Simulation!N10),Rho,1,"Call")</f>
        <v>27.970031219305795</v>
      </c>
      <c r="R10" s="19">
        <f ca="1">ImpliedVolatility("Call",P10,Strike,RiskFreeRate,G10/250,Dividend,Q10,0.5)</f>
        <v>0.74045616978731976</v>
      </c>
      <c r="S10" s="19">
        <f t="shared" ca="1" si="23"/>
        <v>0.4244649692023485</v>
      </c>
      <c r="T10" s="19">
        <f t="shared" ca="1" si="24"/>
        <v>2.4956131631896379</v>
      </c>
      <c r="U10" s="19" t="e">
        <f t="shared" ca="1" si="25"/>
        <v>#VALUE!</v>
      </c>
      <c r="V10" s="21"/>
      <c r="X10" s="22"/>
      <c r="Y10" s="22"/>
      <c r="Z10" s="22"/>
    </row>
    <row r="11" spans="1:30" x14ac:dyDescent="0.25">
      <c r="A11" s="13" t="s">
        <v>46</v>
      </c>
      <c r="B11" s="19">
        <v>-0.71650000000000003</v>
      </c>
      <c r="C11" s="19">
        <v>0.69758709133698849</v>
      </c>
      <c r="G11" s="19">
        <v>244</v>
      </c>
      <c r="H11" s="19">
        <f t="shared" ca="1" si="1"/>
        <v>0.98089463545991129</v>
      </c>
      <c r="I11" s="19">
        <f t="shared" ca="1" si="1"/>
        <v>0.67489112776422899</v>
      </c>
      <c r="J11" s="19">
        <f t="shared" ca="1" si="2"/>
        <v>-8.9292100780068606E-2</v>
      </c>
      <c r="K11" s="19">
        <f t="shared" ca="1" si="3"/>
        <v>-0.17494965443757068</v>
      </c>
      <c r="L11" s="19">
        <f t="array" aca="1" ref="L11:M11" ca="1">MMULT(J11:K11,TRANSPOSE($B$10:$C$11))</f>
        <v>-8.9292100780068606E-2</v>
      </c>
      <c r="M11" s="19">
        <f ca="1"/>
        <v>-5.8064830360597036E-2</v>
      </c>
      <c r="N11" s="20">
        <f t="shared" ca="1" si="4"/>
        <v>2.3647343730163677E-2</v>
      </c>
      <c r="O11" s="20">
        <f t="shared" ca="1" si="5"/>
        <v>2.0890704842983594E-3</v>
      </c>
      <c r="P11" s="19">
        <f t="shared" ca="1" si="10"/>
        <v>99.221410547301858</v>
      </c>
      <c r="Q11" s="19">
        <f ca="1">HCTrans(P11,Strike,RiskFreeRate,Dividend,Variance_T0*AnnualVarConvtr,(Simulation!G11)/250,0.5,Variance_Avg*AnnualVarConvtr,Lambda,SQRT(Simulation!N11),Rho,1,"Call")</f>
        <v>28.051150088796206</v>
      </c>
      <c r="R11" s="19">
        <f ca="1">ImpliedVolatility("Call",P11,Strike,RiskFreeRate,G11/250,Dividend,Q11,0.5)</f>
        <v>0.74058030014097831</v>
      </c>
      <c r="S11" s="19">
        <f t="shared" ca="1" si="23"/>
        <v>0.44204666348899163</v>
      </c>
      <c r="T11" s="19">
        <f t="shared" ca="1" si="24"/>
        <v>1.7444805069321698</v>
      </c>
      <c r="U11" s="19" t="e">
        <f t="shared" ca="1" si="25"/>
        <v>#VALUE!</v>
      </c>
      <c r="V11" s="21"/>
      <c r="X11" s="22"/>
      <c r="Y11" s="22"/>
      <c r="Z11" s="22"/>
    </row>
    <row r="12" spans="1:30" x14ac:dyDescent="0.25">
      <c r="G12" s="19">
        <v>243</v>
      </c>
      <c r="H12" s="19">
        <f t="shared" ca="1" si="1"/>
        <v>0.21371245743590728</v>
      </c>
      <c r="I12" s="19">
        <f t="shared" ca="1" si="1"/>
        <v>0.39733851858118752</v>
      </c>
      <c r="J12" s="19">
        <f t="shared" ca="1" si="2"/>
        <v>-1.4037926256714615</v>
      </c>
      <c r="K12" s="19">
        <f t="shared" ca="1" si="3"/>
        <v>1.0562262602050196</v>
      </c>
      <c r="L12" s="19">
        <f t="array" aca="1" ref="L12:M12" ca="1">MMULT(J12:K12,TRANSPOSE($B$10:$C$11))</f>
        <v>-1.4037926256714615</v>
      </c>
      <c r="M12" s="19">
        <f ca="1"/>
        <v>1.742627220943767</v>
      </c>
      <c r="N12" s="20">
        <f t="shared" ca="1" si="4"/>
        <v>3.0586642154776623E-2</v>
      </c>
      <c r="O12" s="20">
        <f t="shared" ca="1" si="5"/>
        <v>-1.1611099844408744E-2</v>
      </c>
      <c r="P12" s="19">
        <f t="shared" ca="1" si="10"/>
        <v>98.076003429333426</v>
      </c>
      <c r="Q12" s="19">
        <f ca="1">HCTrans(P12,Strike,RiskFreeRate,Dividend,Variance_T0*AnnualVarConvtr,(Simulation!G12)/250,0.5,Variance_Avg*AnnualVarConvtr,Lambda,SQRT(Simulation!N12),Rho,1,"Call")</f>
        <v>27.215297491360573</v>
      </c>
      <c r="R12" s="19">
        <f ca="1">ImpliedVolatility("Call",P12,Strike,RiskFreeRate,G12/250,Dividend,Q12,0.5)</f>
        <v>0.73914816702327513</v>
      </c>
      <c r="S12" s="19">
        <f t="shared" ca="1" si="23"/>
        <v>0.34513863728834643</v>
      </c>
      <c r="T12" s="19">
        <f t="shared" ca="1" si="24"/>
        <v>-9.5043519099844129</v>
      </c>
      <c r="U12" s="19" t="e">
        <f t="shared" ca="1" si="25"/>
        <v>#VALUE!</v>
      </c>
      <c r="V12" s="21"/>
      <c r="X12" s="22"/>
      <c r="Y12" s="22"/>
      <c r="Z12" s="22"/>
    </row>
    <row r="13" spans="1:30" x14ac:dyDescent="0.25">
      <c r="G13" s="19">
        <v>242</v>
      </c>
      <c r="H13" s="19">
        <f t="shared" ca="1" si="1"/>
        <v>0.51145448183179543</v>
      </c>
      <c r="I13" s="19">
        <f t="shared" ca="1" si="1"/>
        <v>0.26720126178312253</v>
      </c>
      <c r="J13" s="19">
        <f t="shared" ca="1" si="2"/>
        <v>-0.12491300628991026</v>
      </c>
      <c r="K13" s="19">
        <f t="shared" ca="1" si="3"/>
        <v>1.1512558860272804</v>
      </c>
      <c r="L13" s="19">
        <f t="array" aca="1" ref="L13:M13" ca="1">MMULT(J13:K13,TRANSPOSE($B$10:$C$11))</f>
        <v>-0.12491300628991026</v>
      </c>
      <c r="M13" s="19">
        <f ca="1"/>
        <v>0.89260141392507864</v>
      </c>
      <c r="N13" s="20">
        <f t="shared" ca="1" si="4"/>
        <v>3.4409406311536855E-2</v>
      </c>
      <c r="O13" s="20">
        <f t="shared" ca="1" si="5"/>
        <v>-1.3053940677407413E-2</v>
      </c>
      <c r="P13" s="19">
        <f t="shared" ca="1" si="10"/>
        <v>96.804045194683866</v>
      </c>
      <c r="Q13" s="19">
        <f ca="1">HCTrans(P13,Strike,RiskFreeRate,Dividend,Variance_T0*AnnualVarConvtr,(Simulation!G13)/250,0.5,Variance_Avg*AnnualVarConvtr,Lambda,SQRT(Simulation!N13),Rho,1,"Call")</f>
        <v>26.325598831113595</v>
      </c>
      <c r="R13" s="19">
        <f ca="1">ImpliedVolatility("Call",P13,Strike,RiskFreeRate,G13/250,Dividend,Q13,0.5)</f>
        <v>0.7381855344531717</v>
      </c>
      <c r="S13" s="19">
        <f t="shared" ca="1" si="23"/>
        <v>0.24693491271897727</v>
      </c>
      <c r="T13" s="19">
        <f t="shared" ca="1" si="24"/>
        <v>-9.5065177914994976</v>
      </c>
      <c r="U13" s="19" t="e">
        <f t="shared" ca="1" si="25"/>
        <v>#VALUE!</v>
      </c>
      <c r="V13" s="21"/>
      <c r="X13" s="22"/>
      <c r="Y13" s="22"/>
      <c r="Z13" s="22"/>
    </row>
    <row r="14" spans="1:30" x14ac:dyDescent="0.25">
      <c r="A14" s="1" t="s">
        <v>48</v>
      </c>
      <c r="B14">
        <f ca="1">CORREL(L5:L254,M5:M254)</f>
        <v>-0.76185639298629138</v>
      </c>
      <c r="G14" s="19">
        <v>241</v>
      </c>
      <c r="H14" s="19">
        <f t="shared" ca="1" si="1"/>
        <v>0.5198329385125009</v>
      </c>
      <c r="I14" s="19">
        <f t="shared" ca="1" si="1"/>
        <v>0.88317828369585616</v>
      </c>
      <c r="J14" s="19">
        <f t="shared" ca="1" si="2"/>
        <v>0.84933351385733735</v>
      </c>
      <c r="K14" s="19">
        <f t="shared" ca="1" si="3"/>
        <v>-0.76624288869302659</v>
      </c>
      <c r="L14" s="19">
        <f t="array" aca="1" ref="L14:M14" ca="1">MMULT(J14:K14,TRANSPOSE($B$10:$C$11))</f>
        <v>0.84933351385733735</v>
      </c>
      <c r="M14" s="19">
        <f ca="1"/>
        <v>-1.1430686106598025</v>
      </c>
      <c r="N14" s="20">
        <f t="shared" ca="1" si="4"/>
        <v>2.9261542035218406E-2</v>
      </c>
      <c r="O14" s="20">
        <f t="shared" ca="1" si="5"/>
        <v>-3.158458294733134E-3</v>
      </c>
      <c r="P14" s="19">
        <f t="shared" ca="1" si="10"/>
        <v>96.498775998963495</v>
      </c>
      <c r="Q14" s="19">
        <f ca="1">HCTrans(P14,Strike,RiskFreeRate,Dividend,Variance_T0*AnnualVarConvtr,(Simulation!G14)/250,0.5,Variance_Avg*AnnualVarConvtr,Lambda,SQRT(Simulation!N14),Rho,1,"Call")</f>
        <v>26.107504203053793</v>
      </c>
      <c r="R14" s="19">
        <f ca="1">ImpliedVolatility("Call",P14,Strike,RiskFreeRate,G14/250,Dividend,Q14,0.5)</f>
        <v>0.73894898148552024</v>
      </c>
      <c r="S14" s="19">
        <f t="shared" ca="1" si="23"/>
        <v>0.22549775923825924</v>
      </c>
      <c r="T14" s="19">
        <f t="shared" ca="1" si="24"/>
        <v>-2.0686590717912101</v>
      </c>
      <c r="U14" s="19" t="e">
        <f t="shared" ca="1" si="25"/>
        <v>#VALUE!</v>
      </c>
      <c r="V14" s="21"/>
      <c r="X14" s="22"/>
      <c r="Y14" s="22"/>
      <c r="Z14" s="22"/>
    </row>
    <row r="15" spans="1:30" x14ac:dyDescent="0.25">
      <c r="G15" s="19">
        <v>240</v>
      </c>
      <c r="H15" s="19">
        <f t="shared" ca="1" si="1"/>
        <v>0.81817447596661241</v>
      </c>
      <c r="I15" s="19">
        <f t="shared" ca="1" si="1"/>
        <v>0.2828479416809957</v>
      </c>
      <c r="J15" s="19">
        <f t="shared" ca="1" si="2"/>
        <v>-0.12982761324130435</v>
      </c>
      <c r="K15" s="19">
        <f t="shared" ca="1" si="3"/>
        <v>0.6200839697025462</v>
      </c>
      <c r="L15" s="19">
        <f t="array" aca="1" ref="L15:M15" ca="1">MMULT(J15:K15,TRANSPOSE($B$10:$C$11))</f>
        <v>-0.12982761324130435</v>
      </c>
      <c r="M15" s="19">
        <f ca="1"/>
        <v>0.5255840576968871</v>
      </c>
      <c r="N15" s="20">
        <f t="shared" ca="1" si="4"/>
        <v>3.1389826619816666E-2</v>
      </c>
      <c r="O15" s="20">
        <f t="shared" ca="1" si="5"/>
        <v>-4.6215587691182496E-3</v>
      </c>
      <c r="P15" s="19">
        <f t="shared" ca="1" si="10"/>
        <v>96.053830198079183</v>
      </c>
      <c r="Q15" s="19">
        <f ca="1">HCTrans(P15,Strike,RiskFreeRate,Dividend,Variance_T0*AnnualVarConvtr,(Simulation!G15)/250,0.5,Variance_Avg*AnnualVarConvtr,Lambda,SQRT(Simulation!N15),Rho,1,"Call")</f>
        <v>25.759005416134457</v>
      </c>
      <c r="R15" s="19">
        <f ca="1">ImpliedVolatility("Call",P15,Strike,RiskFreeRate,G15/250,Dividend,Q15,0.5)</f>
        <v>0.73848271000749866</v>
      </c>
      <c r="S15" s="19">
        <f t="shared" ca="1" si="23"/>
        <v>0.19574529219803583</v>
      </c>
      <c r="T15" s="19">
        <f t="shared" ca="1" si="24"/>
        <v>-2.8578384170555671</v>
      </c>
      <c r="U15" s="19" t="e">
        <f t="shared" ca="1" si="25"/>
        <v>#VALUE!</v>
      </c>
      <c r="V15" s="21"/>
      <c r="X15" s="22"/>
      <c r="Y15" s="22"/>
      <c r="Z15" s="22"/>
    </row>
    <row r="16" spans="1:30" x14ac:dyDescent="0.25">
      <c r="B16">
        <f t="array" ref="B16:C17">TRANSPOSE(B10:C11)</f>
        <v>1</v>
      </c>
      <c r="C16">
        <v>-0.71650000000000003</v>
      </c>
      <c r="G16" s="19">
        <v>239</v>
      </c>
      <c r="H16" s="19">
        <f t="shared" ca="1" si="1"/>
        <v>0.21733697530834095</v>
      </c>
      <c r="I16" s="19">
        <f t="shared" ca="1" si="1"/>
        <v>0.77633433103715732</v>
      </c>
      <c r="J16" s="19">
        <f t="shared" ca="1" si="2"/>
        <v>0.28777594491125857</v>
      </c>
      <c r="K16" s="19">
        <f t="shared" ca="1" si="3"/>
        <v>-1.7233100423751382</v>
      </c>
      <c r="L16" s="19">
        <f t="array" aca="1" ref="L16:M16" ca="1">MMULT(J16:K16,TRANSPOSE($B$10:$C$11))</f>
        <v>0.28777594491125857</v>
      </c>
      <c r="M16" s="19">
        <f ca="1"/>
        <v>-1.4083503044612118</v>
      </c>
      <c r="N16" s="20">
        <f t="shared" ca="1" si="4"/>
        <v>2.5440606553230032E-2</v>
      </c>
      <c r="O16" s="20">
        <f t="shared" ca="1" si="5"/>
        <v>-1.4597154565395181E-3</v>
      </c>
      <c r="P16" s="19">
        <f t="shared" ca="1" si="10"/>
        <v>95.913721221976559</v>
      </c>
      <c r="Q16" s="19">
        <f ca="1">HCTrans(P16,Strike,RiskFreeRate,Dividend,Variance_T0*AnnualVarConvtr,(Simulation!G16)/250,0.5,Variance_Avg*AnnualVarConvtr,Lambda,SQRT(Simulation!N16),Rho,1,"Call")</f>
        <v>25.653046472961705</v>
      </c>
      <c r="R16" s="19">
        <f ca="1">ImpliedVolatility("Call",P16,Strike,RiskFreeRate,G16/250,Dividend,Q16,0.5)</f>
        <v>0.73949109709852301</v>
      </c>
      <c r="S16" s="19">
        <f t="shared" ca="1" si="23"/>
        <v>0.18686955380659812</v>
      </c>
      <c r="T16" s="19">
        <f t="shared" ca="1" si="24"/>
        <v>-0.85130509771555118</v>
      </c>
      <c r="U16" s="19" t="e">
        <f t="shared" ca="1" si="25"/>
        <v>#VALUE!</v>
      </c>
      <c r="V16" s="21"/>
      <c r="X16" s="22"/>
      <c r="Y16" s="22"/>
      <c r="Z16" s="22"/>
    </row>
    <row r="17" spans="2:26" x14ac:dyDescent="0.25">
      <c r="B17">
        <v>0</v>
      </c>
      <c r="C17">
        <v>0.69758709133698849</v>
      </c>
      <c r="G17" s="19">
        <v>238</v>
      </c>
      <c r="H17" s="19">
        <f t="shared" ca="1" si="1"/>
        <v>0.25168517551722114</v>
      </c>
      <c r="I17" s="19">
        <f t="shared" ca="1" si="1"/>
        <v>0.94105300712408291</v>
      </c>
      <c r="J17" s="19">
        <f t="shared" ca="1" si="2"/>
        <v>1.5484354181972273</v>
      </c>
      <c r="K17" s="19">
        <f t="shared" ca="1" si="3"/>
        <v>-0.60124895649003607</v>
      </c>
      <c r="L17" s="19">
        <f t="array" aca="1" ref="L17:M17" ca="1">MMULT(J17:K17,TRANSPOSE($B$10:$C$11))</f>
        <v>1.5484354181972273</v>
      </c>
      <c r="M17" s="19">
        <f ca="1"/>
        <v>-1.5288774878655973</v>
      </c>
      <c r="N17" s="20">
        <f t="shared" ca="1" si="4"/>
        <v>1.9714976166593259E-2</v>
      </c>
      <c r="O17" s="20">
        <f t="shared" ca="1" si="5"/>
        <v>1.4109611702768008E-2</v>
      </c>
      <c r="P17" s="19">
        <f t="shared" ca="1" si="10"/>
        <v>97.276618953751054</v>
      </c>
      <c r="Q17" s="19">
        <f ca="1">HCTrans(P17,Strike,RiskFreeRate,Dividend,Variance_T0*AnnualVarConvtr,(Simulation!G17)/250,0.5,Variance_Avg*AnnualVarConvtr,Lambda,SQRT(Simulation!N17),Rho,1,"Call")</f>
        <v>26.498151011392878</v>
      </c>
      <c r="R17" s="19">
        <f ca="1">ImpliedVolatility("Call",P17,Strike,RiskFreeRate,G17/250,Dividend,Q17,0.5)</f>
        <v>0.74092904024322637</v>
      </c>
      <c r="S17" s="19">
        <f t="shared" ca="1" si="23"/>
        <v>0.2806069582527615</v>
      </c>
      <c r="T17" s="19">
        <f t="shared" ca="1" si="24"/>
        <v>9.118457774023085</v>
      </c>
      <c r="U17" s="19" t="e">
        <f t="shared" ca="1" si="25"/>
        <v>#VALUE!</v>
      </c>
      <c r="V17" s="21"/>
      <c r="X17" s="22"/>
      <c r="Y17" s="22"/>
      <c r="Z17" s="22"/>
    </row>
    <row r="18" spans="2:26" x14ac:dyDescent="0.25">
      <c r="G18" s="19">
        <v>237</v>
      </c>
      <c r="H18" s="19">
        <f t="shared" ca="1" si="1"/>
        <v>0.29792914424845196</v>
      </c>
      <c r="I18" s="19">
        <f t="shared" ca="1" si="1"/>
        <v>4.4942902113909722E-2</v>
      </c>
      <c r="J18" s="19">
        <f t="shared" ca="1" si="2"/>
        <v>1.4945772695407116</v>
      </c>
      <c r="K18" s="19">
        <f t="shared" ca="1" si="3"/>
        <v>0.43363344984721364</v>
      </c>
      <c r="L18" s="19">
        <f t="array" aca="1" ref="L18:M18" ca="1">MMULT(J18:K18,TRANSPOSE($B$10:$C$11))</f>
        <v>1.4945772695407116</v>
      </c>
      <c r="M18" s="19">
        <f ca="1"/>
        <v>-0.76836751664057834</v>
      </c>
      <c r="N18" s="20">
        <f t="shared" ca="1" si="4"/>
        <v>1.7091146827128059E-2</v>
      </c>
      <c r="O18" s="20">
        <f t="shared" ca="1" si="5"/>
        <v>2.7342491136257151E-2</v>
      </c>
      <c r="P18" s="19">
        <f t="shared" ca="1" si="10"/>
        <v>99.973100312735767</v>
      </c>
      <c r="Q18" s="19">
        <f ca="1">HCTrans(P18,Strike,RiskFreeRate,Dividend,Variance_T0*AnnualVarConvtr,(Simulation!G18)/250,0.5,Variance_Avg*AnnualVarConvtr,Lambda,SQRT(Simulation!N18),Rho,1,"Call")</f>
        <v>28.191733913264159</v>
      </c>
      <c r="R18" s="19">
        <f ca="1">ImpliedVolatility("Call",P18,Strike,RiskFreeRate,G18/250,Dividend,Q18,0.5)</f>
        <v>0.7420572720059051</v>
      </c>
      <c r="S18" s="19">
        <f t="shared" ca="1" si="23"/>
        <v>0.50676578077186685</v>
      </c>
      <c r="T18" s="19">
        <f t="shared" ca="1" si="24"/>
        <v>22.609798650312722</v>
      </c>
      <c r="U18" s="19" t="e">
        <f t="shared" ca="1" si="25"/>
        <v>#VALUE!</v>
      </c>
      <c r="V18" s="21"/>
      <c r="X18" s="22"/>
      <c r="Y18" s="22"/>
      <c r="Z18" s="22"/>
    </row>
    <row r="19" spans="2:26" x14ac:dyDescent="0.25">
      <c r="G19" s="19">
        <v>236</v>
      </c>
      <c r="H19" s="19">
        <f t="shared" ca="1" si="1"/>
        <v>0.90420670936206005</v>
      </c>
      <c r="I19" s="19">
        <f t="shared" ca="1" si="1"/>
        <v>0.62250892069861474</v>
      </c>
      <c r="J19" s="19">
        <f t="shared" ca="1" si="2"/>
        <v>-0.32225607730359901</v>
      </c>
      <c r="K19" s="19">
        <f t="shared" ca="1" si="3"/>
        <v>-0.31232289141388869</v>
      </c>
      <c r="L19" s="19">
        <f t="array" aca="1" ref="L19:M19" ca="1">MMULT(J19:K19,TRANSPOSE($B$10:$C$11))</f>
        <v>-0.32225607730359901</v>
      </c>
      <c r="M19" s="19">
        <f ca="1"/>
        <v>1.3024062008655996E-2</v>
      </c>
      <c r="N19" s="20">
        <f t="shared" ca="1" si="4"/>
        <v>1.7079670058452439E-2</v>
      </c>
      <c r="O19" s="20">
        <f t="shared" ca="1" si="5"/>
        <v>2.4643802768994638E-2</v>
      </c>
      <c r="P19" s="19">
        <f t="shared" ca="1" si="10"/>
        <v>102.46742628171928</v>
      </c>
      <c r="Q19" s="19">
        <f ca="1">HCTrans(P19,Strike,RiskFreeRate,Dividend,Variance_T0*AnnualVarConvtr,(Simulation!G19)/250,0.5,Variance_Avg*AnnualVarConvtr,Lambda,SQRT(Simulation!N19),Rho,1,"Call")</f>
        <v>29.768675748888569</v>
      </c>
      <c r="R19" s="19">
        <f ca="1">ImpliedVolatility("Call",P19,Strike,RiskFreeRate,G19/250,Dividend,Q19,0.5)</f>
        <v>0.74260477132229308</v>
      </c>
      <c r="S19" s="19">
        <f t="shared" ca="1" si="23"/>
        <v>0.71122624209251384</v>
      </c>
      <c r="T19" s="19">
        <f t="shared" ca="1" si="24"/>
        <v>20.950537247899714</v>
      </c>
      <c r="U19" s="19" t="e">
        <f t="shared" ca="1" si="25"/>
        <v>#VALUE!</v>
      </c>
      <c r="V19" s="21"/>
      <c r="X19" s="22"/>
      <c r="Y19" s="22"/>
      <c r="Z19" s="22"/>
    </row>
    <row r="20" spans="2:26" x14ac:dyDescent="0.25">
      <c r="G20" s="19">
        <v>235</v>
      </c>
      <c r="H20" s="19">
        <f t="shared" ca="1" si="1"/>
        <v>0.35417803634738665</v>
      </c>
      <c r="I20" s="19">
        <f t="shared" ca="1" si="1"/>
        <v>0.92210166415635109</v>
      </c>
      <c r="J20" s="19">
        <f t="shared" ca="1" si="2"/>
        <v>1.2716401380817772</v>
      </c>
      <c r="K20" s="19">
        <f t="shared" ca="1" si="3"/>
        <v>-0.67737913216856216</v>
      </c>
      <c r="L20" s="19">
        <f t="array" aca="1" ref="L20:M20" ca="1">MMULT(J20:K20,TRANSPOSE($B$10:$C$11))</f>
        <v>1.2716401380817772</v>
      </c>
      <c r="M20" s="19">
        <f ca="1"/>
        <v>-1.3836610974774342</v>
      </c>
      <c r="N20" s="20">
        <f t="shared" ca="1" si="4"/>
        <v>1.2880256495996199E-2</v>
      </c>
      <c r="O20" s="20">
        <f t="shared" ca="1" si="5"/>
        <v>3.5120399604606195E-2</v>
      </c>
      <c r="P20" s="19">
        <f t="shared" ca="1" si="10"/>
        <v>106.13006341578982</v>
      </c>
      <c r="Q20" s="19">
        <f ca="1">HCTrans(P20,Strike,RiskFreeRate,Dividend,Variance_T0*AnnualVarConvtr,(Simulation!G20)/250,0.5,Variance_Avg*AnnualVarConvtr,Lambda,SQRT(Simulation!N20),Rho,1,"Call")</f>
        <v>32.18975817613908</v>
      </c>
      <c r="R20" s="19">
        <f ca="1">ImpliedVolatility("Call",P20,Strike,RiskFreeRate,G20/250,Dividend,Q20,0.5)</f>
        <v>0.7440490098179976</v>
      </c>
      <c r="S20" s="19">
        <f t="shared" ca="1" si="23"/>
        <v>0.9077188740825628</v>
      </c>
      <c r="T20" s="19">
        <f t="shared" ca="1" si="24"/>
        <v>20.853775493839347</v>
      </c>
      <c r="U20" s="19" t="e">
        <f t="shared" ca="1" si="25"/>
        <v>#VALUE!</v>
      </c>
      <c r="V20" s="21"/>
      <c r="X20" s="22"/>
      <c r="Y20" s="22"/>
      <c r="Z20" s="22"/>
    </row>
    <row r="21" spans="2:26" x14ac:dyDescent="0.25">
      <c r="G21" s="19">
        <v>234</v>
      </c>
      <c r="H21" s="19">
        <f t="shared" ca="1" si="1"/>
        <v>0.35756980036508057</v>
      </c>
      <c r="I21" s="19">
        <f t="shared" ca="1" si="1"/>
        <v>0.41266878839855148</v>
      </c>
      <c r="J21" s="19">
        <f t="shared" ca="1" si="2"/>
        <v>-1.2236266884607714</v>
      </c>
      <c r="K21" s="19">
        <f t="shared" ca="1" si="3"/>
        <v>0.74805555110949451</v>
      </c>
      <c r="L21" s="19">
        <f t="array" aca="1" ref="L21:M21" ca="1">MMULT(J21:K21,TRANSPOSE($B$10:$C$11))</f>
        <v>-1.2236266884607714</v>
      </c>
      <c r="M21" s="19">
        <f ca="1"/>
        <v>1.398562418339103</v>
      </c>
      <c r="N21" s="20">
        <f t="shared" ca="1" si="4"/>
        <v>1.7035306056828473E-2</v>
      </c>
      <c r="O21" s="20">
        <f t="shared" ca="1" si="5"/>
        <v>2.6311673279469025E-2</v>
      </c>
      <c r="P21" s="19">
        <f t="shared" ca="1" si="10"/>
        <v>108.95958444709254</v>
      </c>
      <c r="Q21" s="19">
        <f ca="1">HCTrans(P21,Strike,RiskFreeRate,Dividend,Variance_T0*AnnualVarConvtr,(Simulation!G21)/250,0.5,Variance_Avg*AnnualVarConvtr,Lambda,SQRT(Simulation!N21),Rho,1,"Call")</f>
        <v>34.04488346316073</v>
      </c>
      <c r="R21" s="19">
        <f ca="1">ImpliedVolatility("Call",P21,Strike,RiskFreeRate,G21/250,Dividend,Q21,0.5)</f>
        <v>0.74396675847110783</v>
      </c>
      <c r="S21" s="19">
        <f t="shared" ca="1" si="23"/>
        <v>0.9717858892608211</v>
      </c>
      <c r="T21" s="19">
        <f t="shared" ca="1" si="24"/>
        <v>6.9807153505885946</v>
      </c>
      <c r="U21" s="19" t="e">
        <f t="shared" ca="1" si="25"/>
        <v>#VALUE!</v>
      </c>
      <c r="V21" s="21"/>
      <c r="X21" s="22"/>
      <c r="Y21" s="22"/>
      <c r="Z21" s="22"/>
    </row>
    <row r="22" spans="2:26" x14ac:dyDescent="0.25">
      <c r="G22" s="19">
        <v>233</v>
      </c>
      <c r="H22" s="19">
        <f t="shared" ca="1" si="1"/>
        <v>0.99190855370514008</v>
      </c>
      <c r="I22" s="19">
        <f t="shared" ca="1" si="1"/>
        <v>0.39775165226324738</v>
      </c>
      <c r="J22" s="19">
        <f t="shared" ca="1" si="2"/>
        <v>-0.10205706449674823</v>
      </c>
      <c r="K22" s="19">
        <f t="shared" ca="1" si="3"/>
        <v>7.637457043521359E-2</v>
      </c>
      <c r="L22" s="19">
        <f t="array" aca="1" ref="L22:M22" ca="1">MMULT(J22:K22,TRANSPOSE($B$10:$C$11))</f>
        <v>-0.10205706449674823</v>
      </c>
      <c r="M22" s="19">
        <f ca="1"/>
        <v>0.12640180115393271</v>
      </c>
      <c r="N22" s="20">
        <f t="shared" ca="1" si="4"/>
        <v>1.7389284337357137E-2</v>
      </c>
      <c r="O22" s="20">
        <f t="shared" ca="1" si="5"/>
        <v>2.5435145094853669E-2</v>
      </c>
      <c r="P22" s="19">
        <f t="shared" ca="1" si="10"/>
        <v>111.76653353846849</v>
      </c>
      <c r="Q22" s="19">
        <f ca="1">HCTrans(P22,Strike,RiskFreeRate,Dividend,Variance_T0*AnnualVarConvtr,(Simulation!G22)/250,0.5,Variance_Avg*AnnualVarConvtr,Lambda,SQRT(Simulation!N22),Rho,1,"Call")</f>
        <v>35.942279035831788</v>
      </c>
      <c r="R22" s="19">
        <f ca="1">ImpliedVolatility("Call",P22,Strike,RiskFreeRate,G22/250,Dividend,Q22,0.5)</f>
        <v>0.74449149009756965</v>
      </c>
      <c r="S22" s="19">
        <f t="shared" ca="1" si="23"/>
        <v>0.99324316281489455</v>
      </c>
      <c r="T22" s="19">
        <f t="shared" ca="1" si="24"/>
        <v>2.3982050843254434</v>
      </c>
      <c r="U22" s="19" t="e">
        <f t="shared" ca="1" si="25"/>
        <v>#VALUE!</v>
      </c>
      <c r="V22" s="21"/>
      <c r="X22" s="22"/>
      <c r="Y22" s="22"/>
      <c r="Z22" s="22"/>
    </row>
    <row r="23" spans="2:26" x14ac:dyDescent="0.25">
      <c r="G23" s="19">
        <v>232</v>
      </c>
      <c r="H23" s="19">
        <f t="shared" ca="1" si="1"/>
        <v>0.78064375198418845</v>
      </c>
      <c r="I23" s="19">
        <f t="shared" ca="1" si="1"/>
        <v>0.84042068274894888</v>
      </c>
      <c r="J23" s="19">
        <f t="shared" ca="1" si="2"/>
        <v>0.37866070484253733</v>
      </c>
      <c r="K23" s="19">
        <f t="shared" ca="1" si="3"/>
        <v>-0.59320217790854779</v>
      </c>
      <c r="L23" s="19">
        <f t="array" aca="1" ref="L23:M23" ca="1">MMULT(J23:K23,TRANSPOSE($B$10:$C$11))</f>
        <v>0.37866070484253733</v>
      </c>
      <c r="M23" s="19">
        <f ca="1"/>
        <v>-0.68512057688166861</v>
      </c>
      <c r="N23" s="20">
        <f t="shared" ca="1" si="4"/>
        <v>1.5189700413535378E-2</v>
      </c>
      <c r="O23" s="20">
        <f t="shared" ca="1" si="5"/>
        <v>2.8558431704481878E-2</v>
      </c>
      <c r="P23" s="19">
        <f t="shared" ca="1" si="10"/>
        <v>115.00442494225122</v>
      </c>
      <c r="Q23" s="19">
        <f ca="1">HCTrans(P23,Strike,RiskFreeRate,Dividend,Variance_T0*AnnualVarConvtr,(Simulation!G23)/250,0.5,Variance_Avg*AnnualVarConvtr,Lambda,SQRT(Simulation!N23),Rho,1,"Call")</f>
        <v>38.191605368170144</v>
      </c>
      <c r="R23" s="19">
        <f ca="1">ImpliedVolatility("Call",P23,Strike,RiskFreeRate,G23/250,Dividend,Q23,0.5)</f>
        <v>0.74535434278576052</v>
      </c>
      <c r="S23" s="19">
        <f t="shared" ca="1" si="23"/>
        <v>0.9990363873016268</v>
      </c>
      <c r="T23" s="19">
        <f t="shared" ca="1" si="24"/>
        <v>0.66624645065801102</v>
      </c>
      <c r="U23" s="19" t="e">
        <f t="shared" ca="1" si="25"/>
        <v>#VALUE!</v>
      </c>
      <c r="V23" s="21"/>
      <c r="X23" s="22"/>
      <c r="Y23" s="22"/>
      <c r="Z23" s="22"/>
    </row>
    <row r="24" spans="2:26" x14ac:dyDescent="0.25">
      <c r="G24" s="19">
        <v>231</v>
      </c>
      <c r="H24" s="19">
        <f t="shared" ca="1" si="1"/>
        <v>0.29897523910501445</v>
      </c>
      <c r="I24" s="19">
        <f t="shared" ca="1" si="1"/>
        <v>0.65916906178834667</v>
      </c>
      <c r="J24" s="19">
        <f t="shared" ca="1" si="2"/>
        <v>-0.83949171044414594</v>
      </c>
      <c r="K24" s="19">
        <f t="shared" ca="1" si="3"/>
        <v>-1.3076860138627895</v>
      </c>
      <c r="L24" s="19">
        <f t="array" aca="1" ref="L24:M24" ca="1">MMULT(J24:K24,TRANSPOSE($B$10:$C$11))</f>
        <v>-0.83949171044414594</v>
      </c>
      <c r="M24" s="19">
        <f ca="1"/>
        <v>-0.31072907225937352</v>
      </c>
      <c r="N24" s="20">
        <f t="shared" ca="1" si="4"/>
        <v>1.4222004801359161E-2</v>
      </c>
      <c r="O24" s="20">
        <f t="shared" ca="1" si="5"/>
        <v>2.198438799405995E-2</v>
      </c>
      <c r="P24" s="19">
        <f t="shared" ca="1" si="10"/>
        <v>117.56072321077738</v>
      </c>
      <c r="Q24" s="19">
        <f ca="1">HCTrans(P24,Strike,RiskFreeRate,Dividend,Variance_T0*AnnualVarConvtr,(Simulation!G24)/250,0.5,Variance_Avg*AnnualVarConvtr,Lambda,SQRT(Simulation!N24),Rho,1,"Call")</f>
        <v>39.980013829077379</v>
      </c>
      <c r="R24" s="19">
        <f ca="1">ImpliedVolatility("Call",P24,Strike,RiskFreeRate,G24/250,Dividend,Q24,0.5)</f>
        <v>0.7459078617938667</v>
      </c>
      <c r="S24" s="19">
        <f t="shared" ca="1" si="23"/>
        <v>0.99983488870907788</v>
      </c>
      <c r="T24" s="19">
        <f t="shared" ca="1" si="24"/>
        <v>9.3872402944772573E-2</v>
      </c>
      <c r="U24" s="19" t="e">
        <f t="shared" ca="1" si="25"/>
        <v>#VALUE!</v>
      </c>
      <c r="V24" s="21"/>
      <c r="X24" s="22"/>
      <c r="Y24" s="22"/>
      <c r="Z24" s="22"/>
    </row>
    <row r="25" spans="2:26" x14ac:dyDescent="0.25">
      <c r="G25" s="19">
        <v>230</v>
      </c>
      <c r="H25" s="19">
        <f t="shared" ca="1" si="1"/>
        <v>0.5195448627073026</v>
      </c>
      <c r="I25" s="19">
        <f t="shared" ca="1" si="1"/>
        <v>0.83639607917463155</v>
      </c>
      <c r="J25" s="19">
        <f t="shared" ca="1" si="2"/>
        <v>0.59115437405423366</v>
      </c>
      <c r="K25" s="19">
        <f t="shared" ca="1" si="3"/>
        <v>-0.97986771323129951</v>
      </c>
      <c r="L25" s="19">
        <f t="array" aca="1" ref="L25:M25" ca="1">MMULT(J25:K25,TRANSPOSE($B$10:$C$11))</f>
        <v>0.59115437405423366</v>
      </c>
      <c r="M25" s="19">
        <f ca="1"/>
        <v>-1.107105176977907</v>
      </c>
      <c r="N25" s="20">
        <f t="shared" ca="1" si="4"/>
        <v>1.1130805617254521E-2</v>
      </c>
      <c r="O25" s="20">
        <f t="shared" ca="1" si="5"/>
        <v>2.6414675413484089E-2</v>
      </c>
      <c r="P25" s="19">
        <f t="shared" ca="1" si="10"/>
        <v>120.70742818933738</v>
      </c>
      <c r="Q25" s="19">
        <f ca="1">HCTrans(P25,Strike,RiskFreeRate,Dividend,Variance_T0*AnnualVarConvtr,(Simulation!G25)/250,0.5,Variance_Avg*AnnualVarConvtr,Lambda,SQRT(Simulation!N25),Rho,1,"Call")</f>
        <v>42.234096779684066</v>
      </c>
      <c r="R25" s="19">
        <f ca="1">ImpliedVolatility("Call",P25,Strike,RiskFreeRate,G25/250,Dividend,Q25,0.5)</f>
        <v>0.7466780322365808</v>
      </c>
      <c r="S25" s="19">
        <f t="shared" ca="1" si="23"/>
        <v>0.9999852669175352</v>
      </c>
      <c r="T25" s="19">
        <f t="shared" ca="1" si="24"/>
        <v>1.8151766798602378E-2</v>
      </c>
      <c r="U25" s="19" t="e">
        <f t="shared" ca="1" si="25"/>
        <v>#VALUE!</v>
      </c>
      <c r="V25" s="21"/>
      <c r="X25" s="22"/>
      <c r="Y25" s="22"/>
      <c r="Z25" s="22"/>
    </row>
    <row r="26" spans="2:26" x14ac:dyDescent="0.25">
      <c r="G26" s="19">
        <v>229</v>
      </c>
      <c r="H26" s="19">
        <f t="shared" ca="1" si="1"/>
        <v>0.74918363995400816</v>
      </c>
      <c r="I26" s="19">
        <f t="shared" ca="1" si="1"/>
        <v>0.19069255585746658</v>
      </c>
      <c r="J26" s="19">
        <f t="shared" ca="1" si="2"/>
        <v>0.27668332741964063</v>
      </c>
      <c r="K26" s="19">
        <f t="shared" ca="1" si="3"/>
        <v>0.70780550082879057</v>
      </c>
      <c r="L26" s="19">
        <f t="array" aca="1" ref="L26:M26" ca="1">MMULT(J26:K26,TRANSPOSE($B$10:$C$11))</f>
        <v>0.27668332741964063</v>
      </c>
      <c r="M26" s="19">
        <f ca="1"/>
        <v>0.29551237645930389</v>
      </c>
      <c r="N26" s="20">
        <f t="shared" ca="1" si="4"/>
        <v>1.1886754109483116E-2</v>
      </c>
      <c r="O26" s="20">
        <f t="shared" ca="1" si="5"/>
        <v>2.8238603337071785E-2</v>
      </c>
      <c r="P26" s="19">
        <f t="shared" ca="1" si="10"/>
        <v>124.16462078622826</v>
      </c>
      <c r="Q26" s="19">
        <f ca="1">HCTrans(P26,Strike,RiskFreeRate,Dividend,Variance_T0*AnnualVarConvtr,(Simulation!G26)/250,0.5,Variance_Avg*AnnualVarConvtr,Lambda,SQRT(Simulation!N26),Rho,1,"Call")</f>
        <v>44.745237520579678</v>
      </c>
      <c r="R26" s="19">
        <f ca="1">ImpliedVolatility("Call",P26,Strike,RiskFreeRate,G26/250,Dividend,Q26,0.5)</f>
        <v>0.74714862074252375</v>
      </c>
      <c r="S26" s="19">
        <f t="shared" ca="1" si="23"/>
        <v>0.9999992390987954</v>
      </c>
      <c r="T26" s="19">
        <f t="shared" ca="1" si="24"/>
        <v>1.7348505877294604E-3</v>
      </c>
      <c r="U26" s="19" t="e">
        <f t="shared" ca="1" si="25"/>
        <v>#VALUE!</v>
      </c>
      <c r="V26" s="21"/>
      <c r="X26" s="22"/>
      <c r="Y26" s="22"/>
      <c r="Z26" s="22"/>
    </row>
    <row r="27" spans="2:26" x14ac:dyDescent="0.25">
      <c r="G27" s="19">
        <v>228</v>
      </c>
      <c r="H27" s="19">
        <f t="shared" ca="1" si="1"/>
        <v>0.64214055131530323</v>
      </c>
      <c r="I27" s="19">
        <f t="shared" ca="1" si="1"/>
        <v>0.38349201346161466</v>
      </c>
      <c r="J27" s="19">
        <f t="shared" ca="1" si="2"/>
        <v>-0.70009076216036359</v>
      </c>
      <c r="K27" s="19">
        <f t="shared" ca="1" si="3"/>
        <v>0.62910179516468256</v>
      </c>
      <c r="L27" s="19">
        <f t="array" aca="1" ref="L27:M27" ca="1">MMULT(J27:K27,TRANSPOSE($B$10:$C$11))</f>
        <v>-0.70009076216036359</v>
      </c>
      <c r="M27" s="19">
        <f ca="1"/>
        <v>0.94046832253170942</v>
      </c>
      <c r="N27" s="20">
        <f t="shared" ca="1" si="4"/>
        <v>1.4508249008076311E-2</v>
      </c>
      <c r="O27" s="20">
        <f t="shared" ca="1" si="5"/>
        <v>2.3387399860000723E-2</v>
      </c>
      <c r="P27" s="19">
        <f t="shared" ca="1" si="10"/>
        <v>127.10273189018447</v>
      </c>
      <c r="Q27" s="19">
        <f ca="1">HCTrans(P27,Strike,RiskFreeRate,Dividend,Variance_T0*AnnualVarConvtr,(Simulation!G27)/250,0.5,Variance_Avg*AnnualVarConvtr,Lambda,SQRT(Simulation!N27),Rho,1,"Call")</f>
        <v>46.901856774065976</v>
      </c>
      <c r="R27" s="19">
        <f ca="1">ImpliedVolatility("Call",P27,Strike,RiskFreeRate,G27/250,Dividend,Q27,0.5)</f>
        <v>0.74750055087694689</v>
      </c>
      <c r="S27" s="19">
        <f t="shared" ca="1" si="23"/>
        <v>0.99999995211006831</v>
      </c>
      <c r="T27" s="19">
        <f t="shared" ca="1" si="24"/>
        <v>9.0625680655685156E-5</v>
      </c>
      <c r="U27" s="19" t="e">
        <f t="shared" ca="1" si="25"/>
        <v>#VALUE!</v>
      </c>
      <c r="V27" s="21"/>
      <c r="X27" s="22"/>
      <c r="Y27" s="22"/>
      <c r="Z27" s="22"/>
    </row>
    <row r="28" spans="2:26" x14ac:dyDescent="0.25">
      <c r="G28" s="19">
        <v>227</v>
      </c>
      <c r="H28" s="19">
        <f t="shared" ca="1" si="1"/>
        <v>0.2014179580396307</v>
      </c>
      <c r="I28" s="19">
        <f t="shared" ca="1" si="1"/>
        <v>0.45252431713680707</v>
      </c>
      <c r="J28" s="19">
        <f t="shared" ca="1" si="2"/>
        <v>-1.7111224366069393</v>
      </c>
      <c r="K28" s="19">
        <f t="shared" ca="1" si="3"/>
        <v>0.52612382593262808</v>
      </c>
      <c r="L28" s="19">
        <f t="array" aca="1" ref="L28:M28" ca="1">MMULT(J28:K28,TRANSPOSE($B$10:$C$11))</f>
        <v>-1.7111224366069393</v>
      </c>
      <c r="M28" s="19">
        <f ca="1"/>
        <v>1.5930364152443022</v>
      </c>
      <c r="N28" s="20">
        <f t="shared" ca="1" si="4"/>
        <v>1.9555137007440476E-2</v>
      </c>
      <c r="O28" s="20">
        <f t="shared" ca="1" si="5"/>
        <v>1.0323156858388263E-2</v>
      </c>
      <c r="P28" s="19">
        <f t="shared" ca="1" si="10"/>
        <v>128.42162920794306</v>
      </c>
      <c r="Q28" s="19">
        <f ca="1">HCTrans(P28,Strike,RiskFreeRate,Dividend,Variance_T0*AnnualVarConvtr,(Simulation!G28)/250,0.5,Variance_Avg*AnnualVarConvtr,Lambda,SQRT(Simulation!N28),Rho,1,"Call")</f>
        <v>47.842906539635166</v>
      </c>
      <c r="R28" s="19">
        <f ca="1">ImpliedVolatility("Call",P28,Strike,RiskFreeRate,G28/250,Dividend,Q28,0.5)</f>
        <v>0.747599141952765</v>
      </c>
      <c r="S28" s="19">
        <f t="shared" ca="1" si="23"/>
        <v>0.99999998759622399</v>
      </c>
      <c r="T28" s="19">
        <f t="shared" ca="1" si="24"/>
        <v>4.5571899268304509E-6</v>
      </c>
      <c r="U28" s="19" t="e">
        <f t="shared" ca="1" si="25"/>
        <v>#VALUE!</v>
      </c>
      <c r="V28" s="21"/>
      <c r="X28" s="22"/>
      <c r="Y28" s="22"/>
      <c r="Z28" s="22"/>
    </row>
    <row r="29" spans="2:26" x14ac:dyDescent="0.25">
      <c r="G29" s="19">
        <v>226</v>
      </c>
      <c r="H29" s="19">
        <f t="shared" ca="1" si="1"/>
        <v>0.10324355371640814</v>
      </c>
      <c r="I29" s="19">
        <f t="shared" ca="1" si="1"/>
        <v>0.19762090475576999</v>
      </c>
      <c r="J29" s="19">
        <f t="shared" ca="1" si="2"/>
        <v>0.68874898570097565</v>
      </c>
      <c r="K29" s="19">
        <f t="shared" ca="1" si="3"/>
        <v>2.0166689863125229</v>
      </c>
      <c r="L29" s="19">
        <f t="array" aca="1" ref="L29:M29" ca="1">MMULT(J29:K29,TRANSPOSE($B$10:$C$11))</f>
        <v>0.68874898570097565</v>
      </c>
      <c r="M29" s="19">
        <f ca="1"/>
        <v>0.91331360409651685</v>
      </c>
      <c r="N29" s="20">
        <f t="shared" ca="1" si="4"/>
        <v>2.2745874600498581E-2</v>
      </c>
      <c r="O29" s="20">
        <f t="shared" ca="1" si="5"/>
        <v>1.6375506622968185E-2</v>
      </c>
      <c r="P29" s="19">
        <f t="shared" ca="1" si="10"/>
        <v>130.54191141469343</v>
      </c>
      <c r="Q29" s="19">
        <f ca="1">HCTrans(P29,Strike,RiskFreeRate,Dividend,Variance_T0*AnnualVarConvtr,(Simulation!G29)/250,0.5,Variance_Avg*AnnualVarConvtr,Lambda,SQRT(Simulation!N29),Rho,1,"Call")</f>
        <v>49.413445217307313</v>
      </c>
      <c r="R29" s="19">
        <f ca="1">ImpliedVolatility("Call",P29,Strike,RiskFreeRate,G29/250,Dividend,Q29,0.5)</f>
        <v>0.74795646893842505</v>
      </c>
      <c r="S29" s="19">
        <f t="shared" ca="1" si="23"/>
        <v>0.99999999864508837</v>
      </c>
      <c r="T29" s="19">
        <f t="shared" ca="1" si="24"/>
        <v>1.4423398749925667E-6</v>
      </c>
      <c r="U29" s="19" t="e">
        <f t="shared" ca="1" si="25"/>
        <v>#VALUE!</v>
      </c>
      <c r="V29" s="21"/>
      <c r="X29" s="22"/>
      <c r="Y29" s="22"/>
      <c r="Z29" s="22"/>
    </row>
    <row r="30" spans="2:26" x14ac:dyDescent="0.25">
      <c r="G30" s="19">
        <v>225</v>
      </c>
      <c r="H30" s="19">
        <f t="shared" ca="1" si="1"/>
        <v>1.0585350708574581E-2</v>
      </c>
      <c r="I30" s="19">
        <f t="shared" ca="1" si="1"/>
        <v>3.8171008315184829E-2</v>
      </c>
      <c r="J30" s="19">
        <f t="shared" ca="1" si="2"/>
        <v>2.9297235323270034</v>
      </c>
      <c r="K30" s="19">
        <f t="shared" ca="1" si="3"/>
        <v>0.71644155994545022</v>
      </c>
      <c r="L30" s="19">
        <f t="array" aca="1" ref="L30:M30" ca="1">MMULT(J30:K30,TRANSPOSE($B$10:$C$11))</f>
        <v>2.9297235323270034</v>
      </c>
      <c r="M30" s="19">
        <f ca="1"/>
        <v>-1.599366526997017</v>
      </c>
      <c r="N30" s="20">
        <f t="shared" ca="1" si="4"/>
        <v>1.7132541159455523E-2</v>
      </c>
      <c r="O30" s="20">
        <f t="shared" ca="1" si="5"/>
        <v>4.4275262054074858E-2</v>
      </c>
      <c r="P30" s="19">
        <f t="shared" ca="1" si="10"/>
        <v>136.45154876642215</v>
      </c>
      <c r="Q30" s="19">
        <f ca="1">HCTrans(P30,Strike,RiskFreeRate,Dividend,Variance_T0*AnnualVarConvtr,(Simulation!G30)/250,0.5,Variance_Avg*AnnualVarConvtr,Lambda,SQRT(Simulation!N30),Rho,1,"Call")</f>
        <v>53.98223353487441</v>
      </c>
      <c r="R30" s="19">
        <f ca="1">ImpliedVolatility("Call",P30,Strike,RiskFreeRate,G30/250,Dividend,Q30,0.5)</f>
        <v>0.74903087004251379</v>
      </c>
      <c r="S30" s="19">
        <f t="shared" ca="1" si="23"/>
        <v>0.99999999999801237</v>
      </c>
      <c r="T30" s="19">
        <f t="shared" ca="1" si="24"/>
        <v>1.8460857448880389E-7</v>
      </c>
      <c r="U30" s="19" t="e">
        <f t="shared" ca="1" si="25"/>
        <v>#VALUE!</v>
      </c>
      <c r="V30" s="21"/>
      <c r="X30" s="22"/>
      <c r="Y30" s="22"/>
      <c r="Z30" s="22"/>
    </row>
    <row r="31" spans="2:26" x14ac:dyDescent="0.25">
      <c r="G31" s="19">
        <v>224</v>
      </c>
      <c r="H31" s="19">
        <f t="shared" ref="H31:I94" ca="1" si="26">RAND()</f>
        <v>0.5330626806364398</v>
      </c>
      <c r="I31" s="19">
        <f t="shared" ca="1" si="26"/>
        <v>0.43787660845383003</v>
      </c>
      <c r="J31" s="19">
        <f t="shared" ca="1" si="2"/>
        <v>-1.0373374361370098</v>
      </c>
      <c r="K31" s="19">
        <f t="shared" ca="1" si="3"/>
        <v>0.42680624135972772</v>
      </c>
      <c r="L31" s="19">
        <f t="array" aca="1" ref="L31:M31" ca="1">MMULT(J31:K31,TRANSPOSE($B$10:$C$11))</f>
        <v>-1.0373374361370098</v>
      </c>
      <c r="M31" s="19">
        <f ca="1"/>
        <v>1.0409867974667728</v>
      </c>
      <c r="N31" s="20">
        <f t="shared" ca="1" si="4"/>
        <v>2.0582996486938652E-2</v>
      </c>
      <c r="O31" s="20">
        <f t="shared" ca="1" si="5"/>
        <v>3.5653611878229741E-2</v>
      </c>
      <c r="P31" s="19">
        <f t="shared" ca="1" si="10"/>
        <v>141.40430653514358</v>
      </c>
      <c r="Q31" s="19">
        <f ca="1">HCTrans(P31,Strike,RiskFreeRate,Dividend,Variance_T0*AnnualVarConvtr,(Simulation!G31)/250,0.5,Variance_Avg*AnnualVarConvtr,Lambda,SQRT(Simulation!N31),Rho,1,"Call")</f>
        <v>57.883137891689998</v>
      </c>
      <c r="R31" s="19">
        <f ca="1">ImpliedVolatility("Call",P31,Strike,RiskFreeRate,G31/250,Dividend,Q31,0.5)</f>
        <v>0.7499534539098105</v>
      </c>
      <c r="S31" s="19">
        <f t="shared" ca="1" si="23"/>
        <v>0.999999999999995</v>
      </c>
      <c r="T31" s="19">
        <f t="shared" ca="1" si="24"/>
        <v>2.8035330791371595E-10</v>
      </c>
      <c r="U31" s="19" t="e">
        <f t="shared" ca="1" si="25"/>
        <v>#VALUE!</v>
      </c>
      <c r="V31" s="21"/>
      <c r="X31" s="22"/>
      <c r="Y31" s="22"/>
      <c r="Z31" s="22"/>
    </row>
    <row r="32" spans="2:26" x14ac:dyDescent="0.25">
      <c r="G32" s="19">
        <v>223</v>
      </c>
      <c r="H32" s="19">
        <f t="shared" ca="1" si="26"/>
        <v>0.62234912490021288</v>
      </c>
      <c r="I32" s="19">
        <f t="shared" ca="1" si="26"/>
        <v>0.70231046142065723</v>
      </c>
      <c r="J32" s="19">
        <f t="shared" ca="1" si="2"/>
        <v>-0.28747829538577069</v>
      </c>
      <c r="K32" s="19">
        <f t="shared" ca="1" si="3"/>
        <v>-0.93051831201626534</v>
      </c>
      <c r="L32" s="19">
        <f t="array" aca="1" ref="L32:M32" ca="1">MMULT(J32:K32,TRANSPOSE($B$10:$C$11))</f>
        <v>-0.28747829538577069</v>
      </c>
      <c r="M32" s="19">
        <f ca="1"/>
        <v>-0.44313936407132609</v>
      </c>
      <c r="N32" s="20">
        <f t="shared" ca="1" si="4"/>
        <v>1.8981842310964035E-2</v>
      </c>
      <c r="O32" s="20">
        <f t="shared" ca="1" si="5"/>
        <v>3.3003954801030445E-2</v>
      </c>
      <c r="P32" s="19">
        <f t="shared" ca="1" si="10"/>
        <v>146.14907525981101</v>
      </c>
      <c r="Q32" s="19">
        <f ca="1">HCTrans(P32,Strike,RiskFreeRate,Dividend,Variance_T0*AnnualVarConvtr,(Simulation!G32)/250,0.5,Variance_Avg*AnnualVarConvtr,Lambda,SQRT(Simulation!N32),Rho,1,"Call")</f>
        <v>61.67628761529005</v>
      </c>
      <c r="R32" s="19">
        <f ca="1">ImpliedVolatility("Call",P32,Strike,RiskFreeRate,G32/250,Dividend,Q32,0.5)</f>
        <v>0.75068683921563251</v>
      </c>
      <c r="S32" s="19">
        <f t="shared" ca="1" si="23"/>
        <v>1</v>
      </c>
      <c r="T32" s="19">
        <f t="shared" ca="1" si="24"/>
        <v>7.3016130771502657E-13</v>
      </c>
      <c r="U32" s="19" t="e">
        <f t="shared" ca="1" si="25"/>
        <v>#VALUE!</v>
      </c>
      <c r="V32" s="21"/>
      <c r="X32" s="22"/>
      <c r="Y32" s="22"/>
      <c r="Z32" s="22"/>
    </row>
    <row r="33" spans="7:26" x14ac:dyDescent="0.25">
      <c r="G33" s="19">
        <v>222</v>
      </c>
      <c r="H33" s="19">
        <f t="shared" ca="1" si="26"/>
        <v>0.502691941843603</v>
      </c>
      <c r="I33" s="19">
        <f t="shared" ca="1" si="26"/>
        <v>0.33649970506655957</v>
      </c>
      <c r="J33" s="19">
        <f t="shared" ca="1" si="2"/>
        <v>-0.60651044942676791</v>
      </c>
      <c r="K33" s="19">
        <f t="shared" ca="1" si="3"/>
        <v>1.0038428916242699</v>
      </c>
      <c r="L33" s="19">
        <f t="array" aca="1" ref="L33:M33" ca="1">MMULT(J33:K33,TRANSPOSE($B$10:$C$11))</f>
        <v>-0.60651044942676791</v>
      </c>
      <c r="M33" s="19">
        <f ca="1"/>
        <v>1.1348325799417656</v>
      </c>
      <c r="N33" s="20">
        <f t="shared" ca="1" si="4"/>
        <v>2.2945920938903502E-2</v>
      </c>
      <c r="O33" s="20">
        <f t="shared" ca="1" si="5"/>
        <v>2.7681082721868439E-2</v>
      </c>
      <c r="P33" s="19">
        <f t="shared" ca="1" si="10"/>
        <v>150.25115294893533</v>
      </c>
      <c r="Q33" s="19">
        <f ca="1">HCTrans(P33,Strike,RiskFreeRate,Dividend,Variance_T0*AnnualVarConvtr,(Simulation!G33)/250,0.5,Variance_Avg*AnnualVarConvtr,Lambda,SQRT(Simulation!N33),Rho,1,"Call")</f>
        <v>65.005742593336436</v>
      </c>
      <c r="R33" s="19">
        <f ca="1">ImpliedVolatility("Call",P33,Strike,RiskFreeRate,G33/250,Dividend,Q33,0.5)</f>
        <v>0.75162200183189287</v>
      </c>
      <c r="S33" s="19">
        <f t="shared" ca="1" si="23"/>
        <v>1</v>
      </c>
      <c r="T33" s="19">
        <f t="shared" ca="1" si="24"/>
        <v>0</v>
      </c>
      <c r="U33" s="19" t="e">
        <f t="shared" ca="1" si="25"/>
        <v>#VALUE!</v>
      </c>
      <c r="V33" s="21"/>
      <c r="X33" s="22"/>
      <c r="Y33" s="22"/>
      <c r="Z33" s="22"/>
    </row>
    <row r="34" spans="7:26" x14ac:dyDescent="0.25">
      <c r="G34" s="19">
        <v>221</v>
      </c>
      <c r="H34" s="19">
        <f t="shared" ca="1" si="26"/>
        <v>0.36927659279511027</v>
      </c>
      <c r="I34" s="19">
        <f t="shared" ca="1" si="26"/>
        <v>0.56224485009963276</v>
      </c>
      <c r="J34" s="19">
        <f t="shared" ca="1" si="2"/>
        <v>-1.3049485453946641</v>
      </c>
      <c r="K34" s="19">
        <f t="shared" ca="1" si="3"/>
        <v>-0.53807804024613093</v>
      </c>
      <c r="L34" s="19">
        <f t="array" aca="1" ref="L34:M34" ca="1">MMULT(J34:K34,TRANSPOSE($B$10:$C$11))</f>
        <v>-1.3049485453946641</v>
      </c>
      <c r="M34" s="19">
        <f ca="1"/>
        <v>0.55963933776767139</v>
      </c>
      <c r="N34" s="20">
        <f t="shared" ca="1" si="4"/>
        <v>2.4987384017778058E-2</v>
      </c>
      <c r="O34" s="20">
        <f t="shared" ca="1" si="5"/>
        <v>1.513328774320404E-2</v>
      </c>
      <c r="P34" s="19">
        <f t="shared" ca="1" si="10"/>
        <v>152.54223898787313</v>
      </c>
      <c r="Q34" s="19">
        <f ca="1">HCTrans(P34,Strike,RiskFreeRate,Dividend,Variance_T0*AnnualVarConvtr,(Simulation!G34)/250,0.5,Variance_Avg*AnnualVarConvtr,Lambda,SQRT(Simulation!N34),Rho,1,"Call")</f>
        <v>66.85746305718618</v>
      </c>
      <c r="R34" s="19">
        <f ca="1">ImpliedVolatility("Call",P34,Strike,RiskFreeRate,G34/250,Dividend,Q34,0.5)</f>
        <v>0.75218351325397503</v>
      </c>
      <c r="S34" s="19">
        <f t="shared" ca="1" si="23"/>
        <v>1</v>
      </c>
      <c r="T34" s="19">
        <f t="shared" ca="1" si="24"/>
        <v>0</v>
      </c>
      <c r="U34" s="19" t="e">
        <f t="shared" ca="1" si="25"/>
        <v>#VALUE!</v>
      </c>
      <c r="V34" s="21"/>
      <c r="X34" s="22"/>
      <c r="Y34" s="22"/>
      <c r="Z34" s="22"/>
    </row>
    <row r="35" spans="7:26" x14ac:dyDescent="0.25">
      <c r="G35" s="19">
        <v>220</v>
      </c>
      <c r="H35" s="19">
        <f t="shared" ca="1" si="26"/>
        <v>0.73126566212303779</v>
      </c>
      <c r="I35" s="19">
        <f t="shared" ca="1" si="26"/>
        <v>0.84978245615871228</v>
      </c>
      <c r="J35" s="19">
        <f t="shared" ca="1" si="2"/>
        <v>0.46416531156031049</v>
      </c>
      <c r="K35" s="19">
        <f t="shared" ca="1" si="3"/>
        <v>-0.64070858297604238</v>
      </c>
      <c r="L35" s="19">
        <f t="array" aca="1" ref="L35:M35" ca="1">MMULT(J35:K35,TRANSPOSE($B$10:$C$11))</f>
        <v>0.46416531156031049</v>
      </c>
      <c r="M35" s="19">
        <f ca="1"/>
        <v>-0.77952448252586337</v>
      </c>
      <c r="N35" s="20">
        <f t="shared" ca="1" si="4"/>
        <v>2.1962156250489518E-2</v>
      </c>
      <c r="O35" s="20">
        <f t="shared" ca="1" si="5"/>
        <v>1.9723794762714665E-2</v>
      </c>
      <c r="P35" s="19">
        <f t="shared" ca="1" si="10"/>
        <v>155.58081845410678</v>
      </c>
      <c r="Q35" s="19">
        <f ca="1">HCTrans(P35,Strike,RiskFreeRate,Dividend,Variance_T0*AnnualVarConvtr,(Simulation!G35)/250,0.5,Variance_Avg*AnnualVarConvtr,Lambda,SQRT(Simulation!N35),Rho,1,"Call")</f>
        <v>69.33696296006984</v>
      </c>
      <c r="R35" s="19">
        <f ca="1">ImpliedVolatility("Call",P35,Strike,RiskFreeRate,G35/250,Dividend,Q35,0.5)</f>
        <v>0.75248936854702364</v>
      </c>
      <c r="S35" s="19">
        <f t="shared" ca="1" si="23"/>
        <v>1</v>
      </c>
      <c r="T35" s="19">
        <f t="shared" ca="1" si="24"/>
        <v>0</v>
      </c>
      <c r="U35" s="19" t="e">
        <f t="shared" ca="1" si="25"/>
        <v>#VALUE!</v>
      </c>
      <c r="V35" s="21"/>
      <c r="X35" s="22"/>
      <c r="Y35" s="22"/>
      <c r="Z35" s="22"/>
    </row>
    <row r="36" spans="7:26" x14ac:dyDescent="0.25">
      <c r="G36" s="19">
        <v>219</v>
      </c>
      <c r="H36" s="19">
        <f t="shared" ca="1" si="26"/>
        <v>0.96827340949379825</v>
      </c>
      <c r="I36" s="19">
        <f t="shared" ca="1" si="26"/>
        <v>0.32988136186284989</v>
      </c>
      <c r="J36" s="19">
        <f t="shared" ca="1" si="2"/>
        <v>-0.12216686748631671</v>
      </c>
      <c r="K36" s="19">
        <f t="shared" ca="1" si="3"/>
        <v>0.22261362045731167</v>
      </c>
      <c r="L36" s="19">
        <f t="array" aca="1" ref="L36:M36" ca="1">MMULT(J36:K36,TRANSPOSE($B$10:$C$11))</f>
        <v>-0.12216686748631671</v>
      </c>
      <c r="M36" s="19">
        <f ca="1"/>
        <v>0.24282494854075828</v>
      </c>
      <c r="N36" s="20">
        <f t="shared" ca="1" si="4"/>
        <v>2.2774326505128156E-2</v>
      </c>
      <c r="O36" s="20">
        <f t="shared" ca="1" si="5"/>
        <v>1.8534829754000195E-2</v>
      </c>
      <c r="P36" s="19">
        <f t="shared" ca="1" si="10"/>
        <v>158.49137242449584</v>
      </c>
      <c r="Q36" s="19">
        <f ca="1">HCTrans(P36,Strike,RiskFreeRate,Dividend,Variance_T0*AnnualVarConvtr,(Simulation!G36)/250,0.5,Variance_Avg*AnnualVarConvtr,Lambda,SQRT(Simulation!N36),Rho,1,"Call")</f>
        <v>71.739463195072545</v>
      </c>
      <c r="R36" s="19">
        <f ca="1">ImpliedVolatility("Call",P36,Strike,RiskFreeRate,G36/250,Dividend,Q36,0.5)</f>
        <v>0.75306265252982962</v>
      </c>
      <c r="S36" s="19">
        <f t="shared" ca="1" si="23"/>
        <v>1</v>
      </c>
      <c r="T36" s="19">
        <f t="shared" ca="1" si="24"/>
        <v>0</v>
      </c>
      <c r="U36" s="19" t="e">
        <f t="shared" ca="1" si="25"/>
        <v>#VALUE!</v>
      </c>
      <c r="V36" s="21"/>
      <c r="X36" s="22"/>
      <c r="Y36" s="22"/>
      <c r="Z36" s="22"/>
    </row>
    <row r="37" spans="7:26" x14ac:dyDescent="0.25">
      <c r="G37" s="19">
        <v>218</v>
      </c>
      <c r="H37" s="19">
        <f t="shared" ca="1" si="26"/>
        <v>7.9313257352820243E-2</v>
      </c>
      <c r="I37" s="19">
        <f t="shared" ca="1" si="26"/>
        <v>0.72354810232434652</v>
      </c>
      <c r="J37" s="19">
        <f t="shared" ca="1" si="2"/>
        <v>-0.37246349948585966</v>
      </c>
      <c r="K37" s="19">
        <f t="shared" ca="1" si="3"/>
        <v>-2.2203537805299254</v>
      </c>
      <c r="L37" s="19">
        <f t="array" aca="1" ref="L37:M37" ca="1">MMULT(J37:K37,TRANSPOSE($B$10:$C$11))</f>
        <v>-0.37246349948585966</v>
      </c>
      <c r="M37" s="19">
        <f ca="1"/>
        <v>-1.2820200381173383</v>
      </c>
      <c r="N37" s="20">
        <f t="shared" ca="1" si="4"/>
        <v>1.8194008560943904E-2</v>
      </c>
      <c r="O37" s="20">
        <f t="shared" ca="1" si="5"/>
        <v>1.4934306629704781E-2</v>
      </c>
      <c r="P37" s="19">
        <f t="shared" ca="1" si="10"/>
        <v>160.876093937023</v>
      </c>
      <c r="Q37" s="19">
        <f ca="1">HCTrans(P37,Strike,RiskFreeRate,Dividend,Variance_T0*AnnualVarConvtr,(Simulation!G37)/250,0.5,Variance_Avg*AnnualVarConvtr,Lambda,SQRT(Simulation!N37),Rho,1,"Call")</f>
        <v>73.690742283904314</v>
      </c>
      <c r="R37" s="19">
        <f ca="1">ImpliedVolatility("Call",P37,Strike,RiskFreeRate,G37/250,Dividend,Q37,0.5)</f>
        <v>0.75296398502088635</v>
      </c>
      <c r="S37" s="19">
        <f t="shared" ca="1" si="23"/>
        <v>1</v>
      </c>
      <c r="T37" s="19">
        <f t="shared" ca="1" si="24"/>
        <v>0</v>
      </c>
      <c r="U37" s="19" t="e">
        <f t="shared" ca="1" si="25"/>
        <v>#VALUE!</v>
      </c>
      <c r="V37" s="21"/>
      <c r="X37" s="22"/>
      <c r="Y37" s="22"/>
      <c r="Z37" s="22"/>
    </row>
    <row r="38" spans="7:26" x14ac:dyDescent="0.25">
      <c r="G38" s="19">
        <v>217</v>
      </c>
      <c r="H38" s="19">
        <f t="shared" ca="1" si="26"/>
        <v>0.80123706777979631</v>
      </c>
      <c r="I38" s="19">
        <f t="shared" ca="1" si="26"/>
        <v>0.71906062070159438</v>
      </c>
      <c r="J38" s="19">
        <f t="shared" ca="1" si="2"/>
        <v>-0.12860295871480396</v>
      </c>
      <c r="K38" s="19">
        <f t="shared" ca="1" si="3"/>
        <v>-0.653190707892917</v>
      </c>
      <c r="L38" s="19">
        <f t="array" aca="1" ref="L38:M38" ca="1">MMULT(J38:K38,TRANSPOSE($B$10:$C$11))</f>
        <v>-0.12860295871480396</v>
      </c>
      <c r="M38" s="19">
        <f ca="1"/>
        <v>-0.36351338608821143</v>
      </c>
      <c r="N38" s="20">
        <f t="shared" ca="1" si="4"/>
        <v>1.6952478873340025E-2</v>
      </c>
      <c r="O38" s="20">
        <f t="shared" ca="1" si="5"/>
        <v>1.380082129459731E-2</v>
      </c>
      <c r="P38" s="19">
        <f t="shared" ca="1" si="10"/>
        <v>163.11170732716627</v>
      </c>
      <c r="Q38" s="19">
        <f ca="1">HCTrans(P38,Strike,RiskFreeRate,Dividend,Variance_T0*AnnualVarConvtr,(Simulation!G38)/250,0.5,Variance_Avg*AnnualVarConvtr,Lambda,SQRT(Simulation!N38),Rho,1,"Call")</f>
        <v>75.537299829484098</v>
      </c>
      <c r="R38" s="19">
        <f ca="1">ImpliedVolatility("Call",P38,Strike,RiskFreeRate,G38/250,Dividend,Q38,0.5)</f>
        <v>0.7531456337349961</v>
      </c>
      <c r="S38" s="19">
        <f t="shared" ca="1" si="23"/>
        <v>1</v>
      </c>
      <c r="T38" s="19">
        <f t="shared" ca="1" si="24"/>
        <v>0</v>
      </c>
      <c r="U38" s="19" t="e">
        <f t="shared" ca="1" si="25"/>
        <v>#VALUE!</v>
      </c>
      <c r="V38" s="21"/>
      <c r="X38" s="22"/>
      <c r="Y38" s="22"/>
      <c r="Z38" s="22"/>
    </row>
    <row r="39" spans="7:26" x14ac:dyDescent="0.25">
      <c r="G39" s="19">
        <v>216</v>
      </c>
      <c r="H39" s="19">
        <f t="shared" ca="1" si="26"/>
        <v>3.4844960670316283E-2</v>
      </c>
      <c r="I39" s="19">
        <f t="shared" ca="1" si="26"/>
        <v>0.49244133979506399</v>
      </c>
      <c r="J39" s="19">
        <f t="shared" ca="1" si="2"/>
        <v>-2.5881580174406471</v>
      </c>
      <c r="K39" s="19">
        <f t="shared" ca="1" si="3"/>
        <v>0.1230104969092979</v>
      </c>
      <c r="L39" s="19">
        <f t="array" aca="1" ref="L39:M39" ca="1">MMULT(J39:K39,TRANSPOSE($B$10:$C$11))</f>
        <v>-2.5881580174406471</v>
      </c>
      <c r="M39" s="19">
        <f ca="1"/>
        <v>1.9402257542390986</v>
      </c>
      <c r="N39" s="20">
        <f t="shared" ca="1" si="4"/>
        <v>2.3660139517368034E-2</v>
      </c>
      <c r="O39" s="20">
        <f t="shared" ca="1" si="5"/>
        <v>-7.5457305645105464E-3</v>
      </c>
      <c r="P39" s="19">
        <f t="shared" ca="1" si="10"/>
        <v>161.88554230514831</v>
      </c>
      <c r="Q39" s="19">
        <f ca="1">HCTrans(P39,Strike,RiskFreeRate,Dividend,Variance_T0*AnnualVarConvtr,(Simulation!G39)/250,0.5,Variance_Avg*AnnualVarConvtr,Lambda,SQRT(Simulation!N39),Rho,1,"Call")</f>
        <v>74.455428274255283</v>
      </c>
      <c r="R39" s="19">
        <f ca="1">ImpliedVolatility("Call",P39,Strike,RiskFreeRate,G39/250,Dividend,Q39,0.5)</f>
        <v>0.75380734842554276</v>
      </c>
      <c r="S39" s="19">
        <f t="shared" ca="1" si="23"/>
        <v>1</v>
      </c>
      <c r="T39" s="19">
        <f t="shared" ca="1" si="24"/>
        <v>0</v>
      </c>
      <c r="U39" s="19" t="e">
        <f t="shared" ca="1" si="25"/>
        <v>#VALUE!</v>
      </c>
      <c r="V39" s="21"/>
      <c r="X39" s="22"/>
      <c r="Y39" s="22"/>
      <c r="Z39" s="22"/>
    </row>
    <row r="40" spans="7:26" x14ac:dyDescent="0.25">
      <c r="G40" s="19">
        <v>215</v>
      </c>
      <c r="H40" s="19">
        <f t="shared" ca="1" si="26"/>
        <v>0.63858876759057992</v>
      </c>
      <c r="I40" s="19">
        <f t="shared" ca="1" si="26"/>
        <v>2.3113806940334936E-2</v>
      </c>
      <c r="J40" s="19">
        <f t="shared" ca="1" si="2"/>
        <v>0.93712494844025829</v>
      </c>
      <c r="K40" s="19">
        <f t="shared" ca="1" si="3"/>
        <v>0.13706205512451117</v>
      </c>
      <c r="L40" s="19">
        <f t="array" aca="1" ref="L40:M40" ca="1">MMULT(J40:K40,TRANSPOSE($B$10:$C$11))</f>
        <v>0.93712494844025829</v>
      </c>
      <c r="M40" s="19">
        <f ca="1"/>
        <v>-0.57583730519046727</v>
      </c>
      <c r="N40" s="20">
        <f t="shared" ca="1" si="4"/>
        <v>2.1450032997288312E-2</v>
      </c>
      <c r="O40" s="20">
        <f t="shared" ca="1" si="5"/>
        <v>1.5236172984632193E-3</v>
      </c>
      <c r="P40" s="19">
        <f t="shared" ca="1" si="10"/>
        <v>162.13238191457364</v>
      </c>
      <c r="Q40" s="19">
        <f ca="1">HCTrans(P40,Strike,RiskFreeRate,Dividend,Variance_T0*AnnualVarConvtr,(Simulation!G40)/250,0.5,Variance_Avg*AnnualVarConvtr,Lambda,SQRT(Simulation!N40),Rho,1,"Call")</f>
        <v>74.598335571000035</v>
      </c>
      <c r="R40" s="19">
        <f ca="1">ImpliedVolatility("Call",P40,Strike,RiskFreeRate,G40/250,Dividend,Q40,0.5)</f>
        <v>0.7536377405338921</v>
      </c>
      <c r="S40" s="19">
        <f t="shared" ca="1" si="23"/>
        <v>1</v>
      </c>
      <c r="T40" s="19">
        <f t="shared" ca="1" si="24"/>
        <v>0</v>
      </c>
      <c r="U40" s="19" t="e">
        <f t="shared" ca="1" si="25"/>
        <v>#VALUE!</v>
      </c>
      <c r="V40" s="21"/>
      <c r="X40" s="22"/>
      <c r="Y40" s="22"/>
      <c r="Z40" s="22"/>
    </row>
    <row r="41" spans="7:26" x14ac:dyDescent="0.25">
      <c r="G41" s="19">
        <v>214</v>
      </c>
      <c r="H41" s="19">
        <f t="shared" ca="1" si="26"/>
        <v>0.96827362879255663</v>
      </c>
      <c r="I41" s="19">
        <f t="shared" ca="1" si="26"/>
        <v>0.22746798383279931</v>
      </c>
      <c r="J41" s="19">
        <f t="shared" ca="1" si="2"/>
        <v>3.5829806998225466E-2</v>
      </c>
      <c r="K41" s="19">
        <f t="shared" ca="1" si="3"/>
        <v>0.2513908102663745</v>
      </c>
      <c r="L41" s="19">
        <f t="array" aca="1" ref="L41:M41" ca="1">MMULT(J41:K41,TRANSPOSE($B$10:$C$11))</f>
        <v>3.5829806998225466E-2</v>
      </c>
      <c r="M41" s="19">
        <f ca="1"/>
        <v>0.14969492740834039</v>
      </c>
      <c r="N41" s="20">
        <f t="shared" ca="1" si="4"/>
        <v>2.1914626187888572E-2</v>
      </c>
      <c r="O41" s="20">
        <f t="shared" ca="1" si="5"/>
        <v>1.8126028609765155E-3</v>
      </c>
      <c r="P41" s="19">
        <f t="shared" ca="1" si="10"/>
        <v>162.42653004021997</v>
      </c>
      <c r="Q41" s="19">
        <f ca="1">HCTrans(P41,Strike,RiskFreeRate,Dividend,Variance_T0*AnnualVarConvtr,(Simulation!G41)/250,0.5,Variance_Avg*AnnualVarConvtr,Lambda,SQRT(Simulation!N41),Rho,1,"Call")</f>
        <v>74.792345345972663</v>
      </c>
      <c r="R41" s="19">
        <f ca="1">ImpliedVolatility("Call",P41,Strike,RiskFreeRate,G41/250,Dividend,Q41,0.5)</f>
        <v>0.75377413270961924</v>
      </c>
      <c r="S41" s="19">
        <f t="shared" ca="1" si="23"/>
        <v>1</v>
      </c>
      <c r="T41" s="19">
        <f t="shared" ca="1" si="24"/>
        <v>0</v>
      </c>
      <c r="U41" s="19" t="e">
        <f t="shared" ca="1" si="25"/>
        <v>#VALUE!</v>
      </c>
      <c r="V41" s="21"/>
      <c r="X41" s="22"/>
      <c r="Y41" s="22"/>
      <c r="Z41" s="22"/>
    </row>
    <row r="42" spans="7:26" x14ac:dyDescent="0.25">
      <c r="G42" s="19">
        <v>213</v>
      </c>
      <c r="H42" s="19">
        <f t="shared" ca="1" si="26"/>
        <v>0.98270410016977217</v>
      </c>
      <c r="I42" s="19">
        <f t="shared" ca="1" si="26"/>
        <v>0.1687663980623334</v>
      </c>
      <c r="J42" s="19">
        <f t="shared" ca="1" si="2"/>
        <v>9.1257919879156754E-2</v>
      </c>
      <c r="K42" s="19">
        <f t="shared" ca="1" si="3"/>
        <v>0.16299213048900563</v>
      </c>
      <c r="L42" s="19">
        <f t="array" aca="1" ref="L42:M42" ca="1">MMULT(J42:K42,TRANSPOSE($B$10:$C$11))</f>
        <v>9.1257919879156754E-2</v>
      </c>
      <c r="M42" s="19">
        <f ca="1"/>
        <v>4.8314906625228499E-2</v>
      </c>
      <c r="N42" s="20">
        <f t="shared" ca="1" si="4"/>
        <v>2.2011531978022126E-2</v>
      </c>
      <c r="O42" s="20">
        <f t="shared" ca="1" si="5"/>
        <v>2.6231861106383991E-3</v>
      </c>
      <c r="P42" s="19">
        <f t="shared" ca="1" si="10"/>
        <v>162.85316438381994</v>
      </c>
      <c r="Q42" s="19">
        <f ca="1">HCTrans(P42,Strike,RiskFreeRate,Dividend,Variance_T0*AnnualVarConvtr,(Simulation!G42)/250,0.5,Variance_Avg*AnnualVarConvtr,Lambda,SQRT(Simulation!N42),Rho,1,"Call")</f>
        <v>75.098741808364395</v>
      </c>
      <c r="R42" s="19">
        <f ca="1">ImpliedVolatility("Call",P42,Strike,RiskFreeRate,G42/250,Dividend,Q42,0.5)</f>
        <v>0.75388902505456645</v>
      </c>
      <c r="S42" s="19">
        <f t="shared" ca="1" si="23"/>
        <v>1</v>
      </c>
      <c r="T42" s="19">
        <f t="shared" ca="1" si="24"/>
        <v>0</v>
      </c>
      <c r="U42" s="19" t="e">
        <f t="shared" ca="1" si="25"/>
        <v>#VALUE!</v>
      </c>
      <c r="V42" s="21"/>
      <c r="X42" s="22"/>
      <c r="Y42" s="22"/>
      <c r="Z42" s="22"/>
    </row>
    <row r="43" spans="7:26" x14ac:dyDescent="0.25">
      <c r="G43" s="19">
        <v>212</v>
      </c>
      <c r="H43" s="19">
        <f t="shared" ca="1" si="26"/>
        <v>0.30075313129512349</v>
      </c>
      <c r="I43" s="19">
        <f t="shared" ca="1" si="26"/>
        <v>0.90640226424726411</v>
      </c>
      <c r="J43" s="19">
        <f t="shared" ca="1" si="2"/>
        <v>1.2897168362653573</v>
      </c>
      <c r="K43" s="19">
        <f t="shared" ca="1" si="3"/>
        <v>-0.8599776202751207</v>
      </c>
      <c r="L43" s="19">
        <f t="array" aca="1" ref="L43:M43" ca="1">MMULT(J43:K43,TRANSPOSE($B$10:$C$11))</f>
        <v>1.2897168362653573</v>
      </c>
      <c r="M43" s="19">
        <f ca="1"/>
        <v>-1.5239913999267551</v>
      </c>
      <c r="N43" s="20">
        <f t="shared" ca="1" si="4"/>
        <v>1.6737170543484853E-2</v>
      </c>
      <c r="O43" s="20">
        <f t="shared" ca="1" si="5"/>
        <v>1.4680949911627616E-2</v>
      </c>
      <c r="P43" s="19">
        <f t="shared" ca="1" si="10"/>
        <v>165.26163962716907</v>
      </c>
      <c r="Q43" s="19">
        <f ca="1">HCTrans(P43,Strike,RiskFreeRate,Dividend,Variance_T0*AnnualVarConvtr,(Simulation!G43)/250,0.5,Variance_Avg*AnnualVarConvtr,Lambda,SQRT(Simulation!N43),Rho,1,"Call")</f>
        <v>77.086858586224565</v>
      </c>
      <c r="R43" s="19">
        <f ca="1">ImpliedVolatility("Call",P43,Strike,RiskFreeRate,G43/250,Dividend,Q43,0.5)</f>
        <v>0.75356837468487237</v>
      </c>
      <c r="S43" s="19">
        <f t="shared" ca="1" si="23"/>
        <v>1</v>
      </c>
      <c r="T43" s="19">
        <f t="shared" ca="1" si="24"/>
        <v>0</v>
      </c>
      <c r="U43" s="19" t="e">
        <f t="shared" ca="1" si="25"/>
        <v>#VALUE!</v>
      </c>
      <c r="V43" s="21"/>
      <c r="X43" s="22"/>
      <c r="Y43" s="22"/>
      <c r="Z43" s="22"/>
    </row>
    <row r="44" spans="7:26" x14ac:dyDescent="0.25">
      <c r="G44" s="19">
        <v>211</v>
      </c>
      <c r="H44" s="19">
        <f t="shared" ca="1" si="26"/>
        <v>0.60401679116974971</v>
      </c>
      <c r="I44" s="19">
        <f t="shared" ca="1" si="26"/>
        <v>0.97721271577997137</v>
      </c>
      <c r="J44" s="19">
        <f t="shared" ca="1" si="2"/>
        <v>0.99386999236373197</v>
      </c>
      <c r="K44" s="19">
        <f t="shared" ca="1" si="3"/>
        <v>-0.14327945158517566</v>
      </c>
      <c r="L44" s="19">
        <f t="array" aca="1" ref="L44:M44" ca="1">MMULT(J44:K44,TRANSPOSE($B$10:$C$11))</f>
        <v>0.99386999236373197</v>
      </c>
      <c r="M44" s="19">
        <f ca="1"/>
        <v>-0.81205774540827547</v>
      </c>
      <c r="N44" s="20">
        <f t="shared" ca="1" si="4"/>
        <v>1.4208868897620261E-2</v>
      </c>
      <c r="O44" s="20">
        <f t="shared" ca="1" si="5"/>
        <v>2.2779535951416685E-2</v>
      </c>
      <c r="P44" s="19">
        <f t="shared" ca="1" si="10"/>
        <v>169.06942826148565</v>
      </c>
      <c r="Q44" s="19">
        <f ca="1">HCTrans(P44,Strike,RiskFreeRate,Dividend,Variance_T0*AnnualVarConvtr,(Simulation!G44)/250,0.5,Variance_Avg*AnnualVarConvtr,Lambda,SQRT(Simulation!N44),Rho,1,"Call")</f>
        <v>80.310568070504004</v>
      </c>
      <c r="R44" s="19">
        <f ca="1">ImpliedVolatility("Call",P44,Strike,RiskFreeRate,G44/250,Dividend,Q44,0.5)</f>
        <v>0.75366260778378313</v>
      </c>
      <c r="S44" s="19">
        <f t="shared" ca="1" si="23"/>
        <v>1</v>
      </c>
      <c r="T44" s="19">
        <f t="shared" ca="1" si="24"/>
        <v>0</v>
      </c>
      <c r="U44" s="19" t="e">
        <f t="shared" ca="1" si="25"/>
        <v>#VALUE!</v>
      </c>
      <c r="V44" s="21"/>
      <c r="X44" s="22"/>
      <c r="Y44" s="22"/>
      <c r="Z44" s="22"/>
    </row>
    <row r="45" spans="7:26" x14ac:dyDescent="0.25">
      <c r="G45" s="19">
        <v>210</v>
      </c>
      <c r="H45" s="19">
        <f t="shared" ca="1" si="26"/>
        <v>0.73305460873111317</v>
      </c>
      <c r="I45" s="19">
        <f t="shared" ca="1" si="26"/>
        <v>0.13436740757418608</v>
      </c>
      <c r="J45" s="19">
        <f t="shared" ca="1" si="2"/>
        <v>0.5235121939350813</v>
      </c>
      <c r="K45" s="19">
        <f t="shared" ca="1" si="3"/>
        <v>0.58907142343834251</v>
      </c>
      <c r="L45" s="19">
        <f t="array" aca="1" ref="L45:M45" ca="1">MMULT(J45:K45,TRANSPOSE($B$10:$C$11))</f>
        <v>0.5235121939350813</v>
      </c>
      <c r="M45" s="19">
        <f ca="1"/>
        <v>3.5832133911607056E-2</v>
      </c>
      <c r="N45" s="20">
        <f t="shared" ca="1" si="4"/>
        <v>1.4275820739574705E-2</v>
      </c>
      <c r="O45" s="20">
        <f t="shared" ca="1" si="5"/>
        <v>2.6697840346632931E-2</v>
      </c>
      <c r="P45" s="19">
        <f t="shared" ca="1" si="10"/>
        <v>173.64401088565626</v>
      </c>
      <c r="Q45" s="19">
        <f ca="1">HCTrans(P45,Strike,RiskFreeRate,Dividend,Variance_T0*AnnualVarConvtr,(Simulation!G45)/250,0.5,Variance_Avg*AnnualVarConvtr,Lambda,SQRT(Simulation!N45),Rho,1,"Call")</f>
        <v>84.248188374985332</v>
      </c>
      <c r="R45" s="19">
        <f ca="1">ImpliedVolatility("Call",P45,Strike,RiskFreeRate,G45/250,Dividend,Q45,0.5)</f>
        <v>0.75424678251882127</v>
      </c>
      <c r="S45" s="19">
        <f t="shared" ca="1" si="23"/>
        <v>1</v>
      </c>
      <c r="T45" s="19">
        <f t="shared" ca="1" si="24"/>
        <v>0</v>
      </c>
      <c r="U45" s="19" t="e">
        <f t="shared" ca="1" si="25"/>
        <v>#VALUE!</v>
      </c>
      <c r="V45" s="21"/>
      <c r="X45" s="22"/>
      <c r="Y45" s="22"/>
      <c r="Z45" s="22"/>
    </row>
    <row r="46" spans="7:26" x14ac:dyDescent="0.25">
      <c r="G46" s="19">
        <v>209</v>
      </c>
      <c r="H46" s="19">
        <f t="shared" ca="1" si="26"/>
        <v>0.76498606158430271</v>
      </c>
      <c r="I46" s="19">
        <f t="shared" ca="1" si="26"/>
        <v>0.60468619284046843</v>
      </c>
      <c r="J46" s="19">
        <f t="shared" ca="1" si="2"/>
        <v>-0.57926145001198825</v>
      </c>
      <c r="K46" s="19">
        <f t="shared" ca="1" si="3"/>
        <v>-0.4474946965894297</v>
      </c>
      <c r="L46" s="19">
        <f t="array" aca="1" ref="L46:M46" ca="1">MMULT(J46:K46,TRANSPOSE($B$10:$C$11))</f>
        <v>-0.57926145001198825</v>
      </c>
      <c r="M46" s="19">
        <f ca="1"/>
        <v>0.10287430515104118</v>
      </c>
      <c r="N46" s="20">
        <f t="shared" ca="1" si="4"/>
        <v>1.4540476776091051E-2</v>
      </c>
      <c r="O46" s="20">
        <f t="shared" ca="1" si="5"/>
        <v>2.2292000260816409E-2</v>
      </c>
      <c r="P46" s="19">
        <f t="shared" ca="1" si="10"/>
        <v>177.55835035404834</v>
      </c>
      <c r="Q46" s="19">
        <f ca="1">HCTrans(P46,Strike,RiskFreeRate,Dividend,Variance_T0*AnnualVarConvtr,(Simulation!G46)/250,0.5,Variance_Avg*AnnualVarConvtr,Lambda,SQRT(Simulation!N46),Rho,1,"Call")</f>
        <v>87.640150090014941</v>
      </c>
      <c r="R46" s="19">
        <f ca="1">ImpliedVolatility("Call",P46,Strike,RiskFreeRate,G46/250,Dividend,Q46,0.5)</f>
        <v>0.75478840371168376</v>
      </c>
      <c r="S46" s="19">
        <f t="shared" ca="1" si="23"/>
        <v>1</v>
      </c>
      <c r="T46" s="19">
        <f t="shared" ca="1" si="24"/>
        <v>0</v>
      </c>
      <c r="U46" s="19" t="e">
        <f t="shared" ca="1" si="25"/>
        <v>#VALUE!</v>
      </c>
      <c r="V46" s="21"/>
      <c r="X46" s="22"/>
      <c r="Y46" s="22"/>
      <c r="Z46" s="22"/>
    </row>
    <row r="47" spans="7:26" x14ac:dyDescent="0.25">
      <c r="G47" s="19">
        <v>208</v>
      </c>
      <c r="H47" s="19">
        <f t="shared" ca="1" si="26"/>
        <v>0.24793751023697563</v>
      </c>
      <c r="I47" s="19">
        <f t="shared" ca="1" si="26"/>
        <v>0.98723802814639205</v>
      </c>
      <c r="J47" s="19">
        <f t="shared" ca="1" si="2"/>
        <v>1.6647107404557191</v>
      </c>
      <c r="K47" s="19">
        <f t="shared" ca="1" si="3"/>
        <v>-0.1337730520302311</v>
      </c>
      <c r="L47" s="19">
        <f t="array" aca="1" ref="L47:M47" ca="1">MMULT(J47:K47,TRANSPOSE($B$10:$C$11))</f>
        <v>1.6647107404557191</v>
      </c>
      <c r="M47" s="19">
        <f ca="1"/>
        <v>-1.2860835998015632</v>
      </c>
      <c r="N47" s="20">
        <f t="shared" ca="1" si="4"/>
        <v>1.0946730330898999E-2</v>
      </c>
      <c r="O47" s="20">
        <f t="shared" ca="1" si="5"/>
        <v>3.4958661674137068E-2</v>
      </c>
      <c r="P47" s="19">
        <f t="shared" ca="1" si="10"/>
        <v>183.87532583335309</v>
      </c>
      <c r="Q47" s="19">
        <f ca="1">HCTrans(P47,Strike,RiskFreeRate,Dividend,Variance_T0*AnnualVarConvtr,(Simulation!G47)/250,0.5,Variance_Avg*AnnualVarConvtr,Lambda,SQRT(Simulation!N47),Rho,1,"Call")</f>
        <v>93.17022941701488</v>
      </c>
      <c r="R47" s="19">
        <f ca="1">ImpliedVolatility("Call",P47,Strike,RiskFreeRate,G47/250,Dividend,Q47,0.5)</f>
        <v>0.75460307028286289</v>
      </c>
      <c r="S47" s="19">
        <f t="shared" ca="1" si="23"/>
        <v>1</v>
      </c>
      <c r="T47" s="19">
        <f t="shared" ca="1" si="24"/>
        <v>0</v>
      </c>
      <c r="U47" s="19" t="e">
        <f t="shared" ca="1" si="25"/>
        <v>#VALUE!</v>
      </c>
      <c r="V47" s="21"/>
      <c r="X47" s="22"/>
      <c r="Y47" s="22"/>
      <c r="Z47" s="22"/>
    </row>
    <row r="48" spans="7:26" x14ac:dyDescent="0.25">
      <c r="G48" s="19">
        <v>207</v>
      </c>
      <c r="H48" s="19">
        <f t="shared" ca="1" si="26"/>
        <v>0.50835184724204219</v>
      </c>
      <c r="I48" s="19">
        <f t="shared" ca="1" si="26"/>
        <v>1.7660873564835811E-2</v>
      </c>
      <c r="J48" s="19">
        <f t="shared" ca="1" si="2"/>
        <v>1.1561007415881295</v>
      </c>
      <c r="K48" s="19">
        <f t="shared" ca="1" si="3"/>
        <v>0.1288176705085709</v>
      </c>
      <c r="L48" s="19">
        <f t="array" aca="1" ref="L48:M48" ca="1">MMULT(J48:K48,TRANSPOSE($B$10:$C$11))</f>
        <v>1.1561007415881295</v>
      </c>
      <c r="M48" s="19">
        <f ca="1"/>
        <v>-0.73848463726501434</v>
      </c>
      <c r="N48" s="20">
        <f t="shared" ca="1" si="4"/>
        <v>9.1134595805368972E-3</v>
      </c>
      <c r="O48" s="20">
        <f t="shared" ca="1" si="5"/>
        <v>4.2586881830241327E-2</v>
      </c>
      <c r="P48" s="19">
        <f t="shared" ca="1" si="10"/>
        <v>191.8751370843909</v>
      </c>
      <c r="Q48" s="19">
        <f ca="1">HCTrans(P48,Strike,RiskFreeRate,Dividend,Variance_T0*AnnualVarConvtr,(Simulation!G48)/250,0.5,Variance_Avg*AnnualVarConvtr,Lambda,SQRT(Simulation!N48),Rho,1,"Call")</f>
        <v>100.28969686283939</v>
      </c>
      <c r="R48" s="19">
        <f ca="1">ImpliedVolatility("Call",P48,Strike,RiskFreeRate,G48/250,Dividend,Q48,0.5)</f>
        <v>0.75478012167936426</v>
      </c>
      <c r="S48" s="19">
        <f t="shared" ca="1" si="23"/>
        <v>1</v>
      </c>
      <c r="T48" s="19">
        <f t="shared" ca="1" si="24"/>
        <v>0</v>
      </c>
      <c r="U48" s="19" t="e">
        <f t="shared" ca="1" si="25"/>
        <v>#VALUE!</v>
      </c>
      <c r="V48" s="21"/>
      <c r="X48" s="22"/>
      <c r="Y48" s="22"/>
      <c r="Z48" s="22"/>
    </row>
    <row r="49" spans="7:26" x14ac:dyDescent="0.25">
      <c r="G49" s="19">
        <v>206</v>
      </c>
      <c r="H49" s="19">
        <f t="shared" ca="1" si="26"/>
        <v>0.32523799493062822</v>
      </c>
      <c r="I49" s="19">
        <f t="shared" ca="1" si="26"/>
        <v>0.21299675093293924</v>
      </c>
      <c r="J49" s="19">
        <f t="shared" ca="1" si="2"/>
        <v>0.34533703976782693</v>
      </c>
      <c r="K49" s="19">
        <f t="shared" ca="1" si="3"/>
        <v>1.4584712798237653</v>
      </c>
      <c r="L49" s="19">
        <f t="array" aca="1" ref="L49:M49" ca="1">MMULT(J49:K49,TRANSPOSE($B$10:$C$11))</f>
        <v>0.34533703976782693</v>
      </c>
      <c r="M49" s="19">
        <f ca="1"/>
        <v>0.76997674889714751</v>
      </c>
      <c r="N49" s="20">
        <f t="shared" ca="1" si="4"/>
        <v>1.0993987218176817E-2</v>
      </c>
      <c r="O49" s="20">
        <f t="shared" ca="1" si="5"/>
        <v>4.4653696843178464E-2</v>
      </c>
      <c r="P49" s="19">
        <f t="shared" ca="1" si="10"/>
        <v>200.63724567033785</v>
      </c>
      <c r="Q49" s="19">
        <f ca="1">HCTrans(P49,Strike,RiskFreeRate,Dividend,Variance_T0*AnnualVarConvtr,(Simulation!G49)/250,0.5,Variance_Avg*AnnualVarConvtr,Lambda,SQRT(Simulation!N49),Rho,1,"Call")</f>
        <v>108.22935796898754</v>
      </c>
      <c r="R49" s="19">
        <f ca="1">ImpliedVolatility("Call",P49,Strike,RiskFreeRate,G49/250,Dividend,Q49,0.5)</f>
        <v>0.75623426936909066</v>
      </c>
      <c r="S49" s="19">
        <f t="shared" ca="1" si="23"/>
        <v>1</v>
      </c>
      <c r="T49" s="19">
        <f t="shared" ca="1" si="24"/>
        <v>0</v>
      </c>
      <c r="U49" s="19" t="e">
        <f t="shared" ca="1" si="25"/>
        <v>#VALUE!</v>
      </c>
      <c r="V49" s="21"/>
      <c r="X49" s="22"/>
      <c r="Y49" s="22"/>
      <c r="Z49" s="22"/>
    </row>
    <row r="50" spans="7:26" x14ac:dyDescent="0.25">
      <c r="G50" s="19">
        <v>205</v>
      </c>
      <c r="H50" s="19">
        <f t="shared" ca="1" si="26"/>
        <v>0.51208190275525711</v>
      </c>
      <c r="I50" s="19">
        <f t="shared" ca="1" si="26"/>
        <v>0.14616096664171285</v>
      </c>
      <c r="J50" s="19">
        <f t="shared" ca="1" si="2"/>
        <v>0.70241765929388678</v>
      </c>
      <c r="K50" s="19">
        <f t="shared" ca="1" si="3"/>
        <v>0.91932085407986208</v>
      </c>
      <c r="L50" s="19">
        <f t="array" aca="1" ref="L50:M50" ca="1">MMULT(J50:K50,TRANSPOSE($B$10:$C$11))</f>
        <v>0.70241765929388678</v>
      </c>
      <c r="M50" s="19">
        <f ca="1"/>
        <v>0.13802410771893714</v>
      </c>
      <c r="N50" s="20">
        <f t="shared" ca="1" si="4"/>
        <v>1.1330781682417931E-2</v>
      </c>
      <c r="O50" s="20">
        <f t="shared" ca="1" si="5"/>
        <v>4.9289746910290248E-2</v>
      </c>
      <c r="P50" s="19">
        <f t="shared" ca="1" si="10"/>
        <v>210.77438089830403</v>
      </c>
      <c r="Q50" s="19">
        <f ca="1">HCTrans(P50,Strike,RiskFreeRate,Dividend,Variance_T0*AnnualVarConvtr,(Simulation!G50)/250,0.5,Variance_Avg*AnnualVarConvtr,Lambda,SQRT(Simulation!N50),Rho,1,"Call")</f>
        <v>117.51609060449772</v>
      </c>
      <c r="R50" s="19">
        <f ca="1">ImpliedVolatility("Call",P50,Strike,RiskFreeRate,G50/250,Dividend,Q50,0.5)</f>
        <v>0.75727925070953006</v>
      </c>
      <c r="S50" s="19">
        <f t="shared" ca="1" si="23"/>
        <v>1</v>
      </c>
      <c r="T50" s="19">
        <f t="shared" ca="1" si="24"/>
        <v>0</v>
      </c>
      <c r="U50" s="19" t="e">
        <f t="shared" ca="1" si="25"/>
        <v>#VALUE!</v>
      </c>
      <c r="V50" s="21"/>
      <c r="X50" s="22"/>
      <c r="Y50" s="22"/>
      <c r="Z50" s="22"/>
    </row>
    <row r="51" spans="7:26" x14ac:dyDescent="0.25">
      <c r="G51" s="19">
        <v>204</v>
      </c>
      <c r="H51" s="19">
        <f t="shared" ca="1" si="26"/>
        <v>0.15727185056693649</v>
      </c>
      <c r="I51" s="19">
        <f t="shared" ca="1" si="26"/>
        <v>0.86063052947505414</v>
      </c>
      <c r="J51" s="19">
        <f t="shared" ca="1" si="2"/>
        <v>1.2318981784881053</v>
      </c>
      <c r="K51" s="19">
        <f t="shared" ca="1" si="3"/>
        <v>-1.477154614556613</v>
      </c>
      <c r="L51" s="19">
        <f t="array" aca="1" ref="L51:M51" ca="1">MMULT(J51:K51,TRANSPOSE($B$10:$C$11))</f>
        <v>1.2318981784881053</v>
      </c>
      <c r="M51" s="19">
        <f ca="1"/>
        <v>-1.9130990359102857</v>
      </c>
      <c r="N51" s="20">
        <f t="shared" ca="1" si="4"/>
        <v>6.8648340910059851E-3</v>
      </c>
      <c r="O51" s="20">
        <f t="shared" ca="1" si="5"/>
        <v>5.7560526064583319E-2</v>
      </c>
      <c r="P51" s="19">
        <f t="shared" ca="1" si="10"/>
        <v>223.26263247842382</v>
      </c>
      <c r="Q51" s="19">
        <f ca="1">HCTrans(P51,Strike,RiskFreeRate,Dividend,Variance_T0*AnnualVarConvtr,(Simulation!G51)/250,0.5,Variance_Avg*AnnualVarConvtr,Lambda,SQRT(Simulation!N51),Rho,1,"Call")</f>
        <v>129.0479753040579</v>
      </c>
      <c r="R51" s="19">
        <f ca="1">ImpliedVolatility("Call",P51,Strike,RiskFreeRate,G51/250,Dividend,Q51,0.5)</f>
        <v>0.7561527303526685</v>
      </c>
      <c r="S51" s="19">
        <f t="shared" ca="1" si="23"/>
        <v>1</v>
      </c>
      <c r="T51" s="19">
        <f t="shared" ca="1" si="24"/>
        <v>0</v>
      </c>
      <c r="U51" s="19" t="e">
        <f t="shared" ca="1" si="25"/>
        <v>#VALUE!</v>
      </c>
      <c r="V51" s="21"/>
      <c r="X51" s="22"/>
      <c r="Y51" s="22"/>
      <c r="Z51" s="22"/>
    </row>
    <row r="52" spans="7:26" x14ac:dyDescent="0.25">
      <c r="G52" s="19">
        <v>203</v>
      </c>
      <c r="H52" s="19">
        <f t="shared" ca="1" si="26"/>
        <v>0.42563782584495879</v>
      </c>
      <c r="I52" s="19">
        <f t="shared" ca="1" si="26"/>
        <v>0.48104304420670019</v>
      </c>
      <c r="J52" s="19">
        <f t="shared" ca="1" si="2"/>
        <v>-1.2977714982631632</v>
      </c>
      <c r="K52" s="19">
        <f t="shared" ca="1" si="3"/>
        <v>0.15531282971131388</v>
      </c>
      <c r="L52" s="19">
        <f t="array" aca="1" ref="L52:M52" ca="1">MMULT(J52:K52,TRANSPOSE($B$10:$C$11))</f>
        <v>-1.2977714982631632</v>
      </c>
      <c r="M52" s="19">
        <f ca="1"/>
        <v>1.0381975036311888</v>
      </c>
      <c r="N52" s="20">
        <f t="shared" ca="1" si="4"/>
        <v>9.1370218064112368E-3</v>
      </c>
      <c r="O52" s="20">
        <f t="shared" ca="1" si="5"/>
        <v>5.0746258729460647E-2</v>
      </c>
      <c r="P52" s="19">
        <f t="shared" ca="1" si="10"/>
        <v>234.88477184915575</v>
      </c>
      <c r="Q52" s="19">
        <f ca="1">HCTrans(P52,Strike,RiskFreeRate,Dividend,Variance_T0*AnnualVarConvtr,(Simulation!G52)/250,0.5,Variance_Avg*AnnualVarConvtr,Lambda,SQRT(Simulation!N52),Rho,1,"Call")</f>
        <v>139.97703976230503</v>
      </c>
      <c r="R52" s="19">
        <f ca="1">ImpliedVolatility("Call",P52,Strike,RiskFreeRate,G52/250,Dividend,Q52,0.5)</f>
        <v>0.75820784244288919</v>
      </c>
      <c r="S52" s="19">
        <f t="shared" ca="1" si="23"/>
        <v>1</v>
      </c>
      <c r="T52" s="19">
        <f t="shared" ca="1" si="24"/>
        <v>0</v>
      </c>
      <c r="U52" s="19" t="e">
        <f t="shared" ca="1" si="25"/>
        <v>#VALUE!</v>
      </c>
      <c r="V52" s="21"/>
      <c r="X52" s="22"/>
      <c r="Y52" s="22"/>
      <c r="Z52" s="22"/>
    </row>
    <row r="53" spans="7:26" x14ac:dyDescent="0.25">
      <c r="G53" s="19">
        <v>202</v>
      </c>
      <c r="H53" s="19">
        <f t="shared" ca="1" si="26"/>
        <v>0.71752485891461482</v>
      </c>
      <c r="I53" s="19">
        <f t="shared" ca="1" si="26"/>
        <v>0.33224183066469515</v>
      </c>
      <c r="J53" s="19">
        <f t="shared" ca="1" si="2"/>
        <v>-0.40255000271084518</v>
      </c>
      <c r="K53" s="19">
        <f t="shared" ca="1" si="3"/>
        <v>0.70841292059983918</v>
      </c>
      <c r="L53" s="19">
        <f t="array" aca="1" ref="L53:M53" ca="1">MMULT(J53:K53,TRANSPOSE($B$10:$C$11))</f>
        <v>-0.40255000271084518</v>
      </c>
      <c r="M53" s="19">
        <f ca="1"/>
        <v>0.78260678568910336</v>
      </c>
      <c r="N53" s="20">
        <f t="shared" ca="1" si="4"/>
        <v>1.1052303268876721E-2</v>
      </c>
      <c r="O53" s="20">
        <f t="shared" ca="1" si="5"/>
        <v>4.8294368079283237E-2</v>
      </c>
      <c r="P53" s="19">
        <f t="shared" ca="1" si="10"/>
        <v>246.50676304991293</v>
      </c>
      <c r="Q53" s="19">
        <f ca="1">HCTrans(P53,Strike,RiskFreeRate,Dividend,Variance_T0*AnnualVarConvtr,(Simulation!G53)/250,0.5,Variance_Avg*AnnualVarConvtr,Lambda,SQRT(Simulation!N53),Rho,1,"Call")</f>
        <v>150.99596198327401</v>
      </c>
      <c r="R53" s="19">
        <f ca="1">ImpliedVolatility("Call",P53,Strike,RiskFreeRate,G53/250,Dividend,Q53,0.5)</f>
        <v>0.76008532597325373</v>
      </c>
      <c r="S53" s="19">
        <f t="shared" ca="1" si="23"/>
        <v>1</v>
      </c>
      <c r="T53" s="19">
        <f t="shared" ca="1" si="24"/>
        <v>0</v>
      </c>
      <c r="U53" s="19" t="e">
        <f t="shared" ca="1" si="25"/>
        <v>#VALUE!</v>
      </c>
      <c r="V53" s="21"/>
      <c r="X53" s="22"/>
      <c r="Y53" s="22"/>
      <c r="Z53" s="22"/>
    </row>
    <row r="54" spans="7:26" x14ac:dyDescent="0.25">
      <c r="G54" s="19">
        <v>201</v>
      </c>
      <c r="H54" s="19">
        <f t="shared" ca="1" si="26"/>
        <v>0.5925050349010208</v>
      </c>
      <c r="I54" s="19">
        <f t="shared" ca="1" si="26"/>
        <v>0.18159391878447928</v>
      </c>
      <c r="J54" s="19">
        <f t="shared" ca="1" si="2"/>
        <v>0.42633388900031871</v>
      </c>
      <c r="K54" s="19">
        <f t="shared" ca="1" si="3"/>
        <v>0.93007055198048971</v>
      </c>
      <c r="L54" s="19">
        <f t="array" aca="1" ref="L54:M54" ca="1">MMULT(J54:K54,TRANSPOSE($B$10:$C$11))</f>
        <v>0.42633388900031871</v>
      </c>
      <c r="M54" s="19">
        <f ca="1"/>
        <v>0.34333697962552878</v>
      </c>
      <c r="N54" s="20">
        <f t="shared" ca="1" si="4"/>
        <v>1.1933842852660493E-2</v>
      </c>
      <c r="O54" s="20">
        <f t="shared" ca="1" si="5"/>
        <v>5.1106957887849337E-2</v>
      </c>
      <c r="P54" s="19">
        <f t="shared" ca="1" si="10"/>
        <v>259.43245697029926</v>
      </c>
      <c r="Q54" s="19">
        <f ca="1">HCTrans(P54,Strike,RiskFreeRate,Dividend,Variance_T0*AnnualVarConvtr,(Simulation!G54)/250,0.5,Variance_Avg*AnnualVarConvtr,Lambda,SQRT(Simulation!N54),Rho,1,"Call")</f>
        <v>163.3358753604075</v>
      </c>
      <c r="R54" s="19">
        <f ca="1">ImpliedVolatility("Call",P54,Strike,RiskFreeRate,G54/250,Dividend,Q54,0.5)</f>
        <v>0.76153128796400038</v>
      </c>
      <c r="S54" s="19">
        <f t="shared" ca="1" si="23"/>
        <v>1</v>
      </c>
      <c r="T54" s="19">
        <f t="shared" ca="1" si="24"/>
        <v>0</v>
      </c>
      <c r="U54" s="19" t="e">
        <f t="shared" ca="1" si="25"/>
        <v>#VALUE!</v>
      </c>
      <c r="V54" s="21"/>
      <c r="X54" s="22"/>
      <c r="Y54" s="22"/>
      <c r="Z54" s="22"/>
    </row>
    <row r="55" spans="7:26" x14ac:dyDescent="0.25">
      <c r="G55" s="19">
        <v>200</v>
      </c>
      <c r="H55" s="19">
        <f t="shared" ca="1" si="26"/>
        <v>0.9648596567950003</v>
      </c>
      <c r="I55" s="19">
        <f t="shared" ca="1" si="26"/>
        <v>0.83476932281668126</v>
      </c>
      <c r="J55" s="19">
        <f t="shared" ca="1" si="2"/>
        <v>0.13582426903933814</v>
      </c>
      <c r="K55" s="19">
        <f t="shared" ca="1" si="3"/>
        <v>-0.23042788703900843</v>
      </c>
      <c r="L55" s="19">
        <f t="array" aca="1" ref="L55:M55" ca="1">MMULT(J55:K55,TRANSPOSE($B$10:$C$11))</f>
        <v>0.13582426903933814</v>
      </c>
      <c r="M55" s="19">
        <f ca="1"/>
        <v>-0.2580616082491558</v>
      </c>
      <c r="N55" s="20">
        <f t="shared" ca="1" si="4"/>
        <v>1.1226683754964847E-2</v>
      </c>
      <c r="O55" s="20">
        <f t="shared" ca="1" si="5"/>
        <v>5.2021510795085782E-2</v>
      </c>
      <c r="P55" s="19">
        <f t="shared" ca="1" si="10"/>
        <v>273.28573552338611</v>
      </c>
      <c r="Q55" s="19">
        <f ca="1">HCTrans(P55,Strike,RiskFreeRate,Dividend,Variance_T0*AnnualVarConvtr,(Simulation!G55)/250,0.5,Variance_Avg*AnnualVarConvtr,Lambda,SQRT(Simulation!N55),Rho,1,"Call")</f>
        <v>176.63943345728325</v>
      </c>
      <c r="R55" s="19">
        <f ca="1">ImpliedVolatility("Call",P55,Strike,RiskFreeRate,G55/250,Dividend,Q55,0.5)</f>
        <v>0.7621225654791095</v>
      </c>
      <c r="S55" s="19">
        <f t="shared" ca="1" si="23"/>
        <v>1</v>
      </c>
      <c r="T55" s="19">
        <f t="shared" ca="1" si="24"/>
        <v>0</v>
      </c>
      <c r="U55" s="19" t="e">
        <f t="shared" ca="1" si="25"/>
        <v>#VALUE!</v>
      </c>
      <c r="V55" s="21"/>
      <c r="X55" s="22"/>
      <c r="Y55" s="22"/>
      <c r="Z55" s="22"/>
    </row>
    <row r="56" spans="7:26" x14ac:dyDescent="0.25">
      <c r="G56" s="19">
        <v>199</v>
      </c>
      <c r="H56" s="19">
        <f t="shared" ca="1" si="26"/>
        <v>0.22196089620195669</v>
      </c>
      <c r="I56" s="19">
        <f t="shared" ca="1" si="26"/>
        <v>4.6428259642633973E-2</v>
      </c>
      <c r="J56" s="19">
        <f t="shared" ca="1" si="2"/>
        <v>1.6617767840182425</v>
      </c>
      <c r="K56" s="19">
        <f t="shared" ca="1" si="3"/>
        <v>0.49900504187497341</v>
      </c>
      <c r="L56" s="19">
        <f t="array" aca="1" ref="L56:M56" ca="1">MMULT(J56:K56,TRANSPOSE($B$10:$C$11))</f>
        <v>1.6617767840182425</v>
      </c>
      <c r="M56" s="19">
        <f ca="1"/>
        <v>-0.84256359002501602</v>
      </c>
      <c r="N56" s="20">
        <f t="shared" ca="1" si="4"/>
        <v>9.1221853684760375E-3</v>
      </c>
      <c r="O56" s="20">
        <f t="shared" ca="1" si="5"/>
        <v>6.3135037050354906E-2</v>
      </c>
      <c r="P56" s="19">
        <f t="shared" ca="1" si="10"/>
        <v>291.09594919587551</v>
      </c>
      <c r="Q56" s="19">
        <f ca="1">HCTrans(P56,Strike,RiskFreeRate,Dividend,Variance_T0*AnnualVarConvtr,(Simulation!G56)/250,0.5,Variance_Avg*AnnualVarConvtr,Lambda,SQRT(Simulation!N56),Rho,1,"Call")</f>
        <v>193.8553857504335</v>
      </c>
      <c r="R56" s="19">
        <f ca="1">ImpliedVolatility("Call",P56,Strike,RiskFreeRate,G56/250,Dividend,Q56,0.5)</f>
        <v>0.76184975700145463</v>
      </c>
      <c r="S56" s="19">
        <f t="shared" ca="1" si="23"/>
        <v>1</v>
      </c>
      <c r="T56" s="19">
        <f t="shared" ca="1" si="24"/>
        <v>0</v>
      </c>
      <c r="U56" s="19" t="e">
        <f t="shared" ca="1" si="25"/>
        <v>#VALUE!</v>
      </c>
      <c r="V56" s="21"/>
      <c r="X56" s="22"/>
      <c r="Y56" s="22"/>
      <c r="Z56" s="22"/>
    </row>
    <row r="57" spans="7:26" x14ac:dyDescent="0.25">
      <c r="G57" s="19">
        <v>198</v>
      </c>
      <c r="H57" s="19">
        <f t="shared" ca="1" si="26"/>
        <v>0.42994861495694003</v>
      </c>
      <c r="I57" s="19">
        <f t="shared" ca="1" si="26"/>
        <v>0.90055732299382318</v>
      </c>
      <c r="J57" s="19">
        <f t="shared" ca="1" si="2"/>
        <v>1.0538232435944226</v>
      </c>
      <c r="K57" s="19">
        <f t="shared" ca="1" si="3"/>
        <v>-0.76002350380161154</v>
      </c>
      <c r="L57" s="19">
        <f t="array" aca="1" ref="L57:M57" ca="1">MMULT(J57:K57,TRANSPOSE($B$10:$C$11))</f>
        <v>1.0538232435944226</v>
      </c>
      <c r="M57" s="19">
        <f ca="1"/>
        <v>-1.2852469394001167</v>
      </c>
      <c r="N57" s="20">
        <f t="shared" ca="1" si="4"/>
        <v>6.349503585509373E-3</v>
      </c>
      <c r="O57" s="20">
        <f t="shared" ca="1" si="5"/>
        <v>6.9482508041368921E-2</v>
      </c>
      <c r="P57" s="19">
        <f t="shared" ca="1" si="10"/>
        <v>312.04126640720102</v>
      </c>
      <c r="Q57" s="19">
        <f ca="1">HCTrans(P57,Strike,RiskFreeRate,Dividend,Variance_T0*AnnualVarConvtr,(Simulation!G57)/250,0.5,Variance_Avg*AnnualVarConvtr,Lambda,SQRT(Simulation!N57),Rho,1,"Call")</f>
        <v>214.23454141292373</v>
      </c>
      <c r="R57" s="19">
        <f ca="1">ImpliedVolatility("Call",P57,Strike,RiskFreeRate,G57/250,Dividend,Q57,0.5)</f>
        <v>0.76060966648115447</v>
      </c>
      <c r="S57" s="19">
        <f t="shared" ca="1" si="23"/>
        <v>1</v>
      </c>
      <c r="T57" s="19">
        <f t="shared" ca="1" si="24"/>
        <v>0</v>
      </c>
      <c r="U57" s="19" t="e">
        <f t="shared" ca="1" si="25"/>
        <v>#VALUE!</v>
      </c>
      <c r="V57" s="21"/>
      <c r="X57" s="22"/>
      <c r="Y57" s="22"/>
      <c r="Z57" s="22"/>
    </row>
    <row r="58" spans="7:26" x14ac:dyDescent="0.25">
      <c r="G58" s="19">
        <v>197</v>
      </c>
      <c r="H58" s="19">
        <f t="shared" ca="1" si="26"/>
        <v>0.8905979513741823</v>
      </c>
      <c r="I58" s="19">
        <f t="shared" ca="1" si="26"/>
        <v>0.76439848994750381</v>
      </c>
      <c r="J58" s="19">
        <f t="shared" ca="1" si="2"/>
        <v>4.3490068920912325E-2</v>
      </c>
      <c r="K58" s="19">
        <f t="shared" ca="1" si="3"/>
        <v>-0.4794089972577098</v>
      </c>
      <c r="L58" s="19">
        <f t="array" aca="1" ref="L58:M58" ca="1">MMULT(J58:K58,TRANSPOSE($B$10:$C$11))</f>
        <v>4.3490068920912325E-2</v>
      </c>
      <c r="M58" s="19">
        <f ca="1"/>
        <v>-0.36559016233962177</v>
      </c>
      <c r="N58" s="20">
        <f t="shared" ca="1" si="4"/>
        <v>5.6589691373074612E-3</v>
      </c>
      <c r="O58" s="20">
        <f t="shared" ca="1" si="5"/>
        <v>6.9688983510724445E-2</v>
      </c>
      <c r="P58" s="19">
        <f t="shared" ca="1" si="10"/>
        <v>334.56274039867361</v>
      </c>
      <c r="Q58" s="19">
        <f ca="1">HCTrans(P58,Strike,RiskFreeRate,Dividend,Variance_T0*AnnualVarConvtr,(Simulation!G58)/250,0.5,Variance_Avg*AnnualVarConvtr,Lambda,SQRT(Simulation!N58),Rho,1,"Call")</f>
        <v>236.30299277499134</v>
      </c>
      <c r="R58" s="19">
        <f ca="1">ImpliedVolatility("Call",P58,Strike,RiskFreeRate,G58/250,Dividend,Q58,0.5)</f>
        <v>0.76086097010114573</v>
      </c>
      <c r="S58" s="19">
        <f t="shared" ca="1" si="23"/>
        <v>1</v>
      </c>
      <c r="T58" s="19">
        <f t="shared" ca="1" si="24"/>
        <v>0</v>
      </c>
      <c r="U58" s="19" t="e">
        <f t="shared" ca="1" si="25"/>
        <v>#VALUE!</v>
      </c>
      <c r="V58" s="21"/>
      <c r="X58" s="22"/>
      <c r="Y58" s="22"/>
      <c r="Z58" s="22"/>
    </row>
    <row r="59" spans="7:26" x14ac:dyDescent="0.25">
      <c r="G59" s="19">
        <v>196</v>
      </c>
      <c r="H59" s="19">
        <f t="shared" ca="1" si="26"/>
        <v>0.50040148537431373</v>
      </c>
      <c r="I59" s="19">
        <f t="shared" ca="1" si="26"/>
        <v>0.22302415213925686</v>
      </c>
      <c r="J59" s="19">
        <f t="shared" ca="1" si="2"/>
        <v>0.19849505157662625</v>
      </c>
      <c r="K59" s="19">
        <f t="shared" ca="1" si="3"/>
        <v>1.1598658450611041</v>
      </c>
      <c r="L59" s="19">
        <f t="array" aca="1" ref="L59:M59" ca="1">MMULT(J59:K59,TRANSPOSE($B$10:$C$11))</f>
        <v>0.19849505157662625</v>
      </c>
      <c r="M59" s="19">
        <f ca="1"/>
        <v>0.66688573674264107</v>
      </c>
      <c r="N59" s="20">
        <f t="shared" ca="1" si="4"/>
        <v>6.963285422756549E-3</v>
      </c>
      <c r="O59" s="20">
        <f t="shared" ca="1" si="5"/>
        <v>7.0622048968423959E-2</v>
      </c>
      <c r="P59" s="19">
        <f t="shared" ca="1" si="10"/>
        <v>359.04455006156121</v>
      </c>
      <c r="Q59" s="19">
        <f ca="1">HCTrans(P59,Strike,RiskFreeRate,Dividend,Variance_T0*AnnualVarConvtr,(Simulation!G59)/250,0.5,Variance_Avg*AnnualVarConvtr,Lambda,SQRT(Simulation!N59),Rho,1,"Call")</f>
        <v>260.42952725589083</v>
      </c>
      <c r="R59" s="19">
        <f ca="1">ImpliedVolatility("Call",P59,Strike,RiskFreeRate,G59/250,Dividend,Q59,0.5)</f>
        <v>0.76327420219239894</v>
      </c>
      <c r="S59" s="19">
        <f t="shared" ca="1" si="23"/>
        <v>1</v>
      </c>
      <c r="T59" s="19">
        <f t="shared" ca="1" si="24"/>
        <v>0</v>
      </c>
      <c r="U59" s="19" t="e">
        <f t="shared" ca="1" si="25"/>
        <v>#VALUE!</v>
      </c>
      <c r="V59" s="21"/>
      <c r="X59" s="22"/>
      <c r="Y59" s="22"/>
      <c r="Z59" s="22"/>
    </row>
    <row r="60" spans="7:26" x14ac:dyDescent="0.25">
      <c r="G60" s="19">
        <v>195</v>
      </c>
      <c r="H60" s="19">
        <f t="shared" ca="1" si="26"/>
        <v>0.88122622903540948</v>
      </c>
      <c r="I60" s="19">
        <f t="shared" ca="1" si="26"/>
        <v>0.47007059624147018</v>
      </c>
      <c r="J60" s="19">
        <f t="shared" ca="1" si="2"/>
        <v>-0.49400801707011771</v>
      </c>
      <c r="K60" s="19">
        <f t="shared" ca="1" si="3"/>
        <v>9.4009987755650157E-2</v>
      </c>
      <c r="L60" s="19">
        <f t="array" aca="1" ref="L60:M60" ca="1">MMULT(J60:K60,TRANSPOSE($B$10:$C$11))</f>
        <v>-0.49400801707011771</v>
      </c>
      <c r="M60" s="19">
        <f ca="1"/>
        <v>0.41953689814582928</v>
      </c>
      <c r="N60" s="20">
        <f t="shared" ca="1" si="4"/>
        <v>7.8486057015436685E-3</v>
      </c>
      <c r="O60" s="20">
        <f t="shared" ca="1" si="5"/>
        <v>6.8000941945733126E-2</v>
      </c>
      <c r="P60" s="19">
        <f t="shared" ca="1" si="10"/>
        <v>384.30919258249935</v>
      </c>
      <c r="Q60" s="19">
        <f ca="1">HCTrans(P60,Strike,RiskFreeRate,Dividend,Variance_T0*AnnualVarConvtr,(Simulation!G60)/250,0.5,Variance_Avg*AnnualVarConvtr,Lambda,SQRT(Simulation!N60),Rho,1,"Call")</f>
        <v>285.40834885059979</v>
      </c>
      <c r="R60" s="19">
        <f ca="1">ImpliedVolatility("Call",P60,Strike,RiskFreeRate,G60/250,Dividend,Q60,0.5)</f>
        <v>0.76526584622971594</v>
      </c>
      <c r="S60" s="19">
        <f t="shared" ca="1" si="23"/>
        <v>1</v>
      </c>
      <c r="T60" s="19">
        <f t="shared" ca="1" si="24"/>
        <v>0</v>
      </c>
      <c r="U60" s="19" t="e">
        <f t="shared" ca="1" si="25"/>
        <v>#VALUE!</v>
      </c>
      <c r="V60" s="21"/>
      <c r="X60" s="22"/>
      <c r="Y60" s="22"/>
      <c r="Z60" s="22"/>
    </row>
    <row r="61" spans="7:26" x14ac:dyDescent="0.25">
      <c r="G61" s="19">
        <v>194</v>
      </c>
      <c r="H61" s="19">
        <f t="shared" ca="1" si="26"/>
        <v>0.45686213860140112</v>
      </c>
      <c r="I61" s="19">
        <f t="shared" ca="1" si="26"/>
        <v>0.12841584406293127</v>
      </c>
      <c r="J61" s="19">
        <f t="shared" ca="1" si="2"/>
        <v>0.86588555783492049</v>
      </c>
      <c r="K61" s="19">
        <f t="shared" ca="1" si="3"/>
        <v>0.9038746595018986</v>
      </c>
      <c r="L61" s="19">
        <f t="array" aca="1" ref="L61:M61" ca="1">MMULT(J61:K61,TRANSPOSE($B$10:$C$11))</f>
        <v>0.86588555783492049</v>
      </c>
      <c r="M61" s="19">
        <f ca="1"/>
        <v>1.0124292466419771E-2</v>
      </c>
      <c r="N61" s="20">
        <f t="shared" ca="1" si="4"/>
        <v>7.8663583845798128E-3</v>
      </c>
      <c r="O61" s="20">
        <f t="shared" ca="1" si="5"/>
        <v>7.2836864397124945E-2</v>
      </c>
      <c r="P61" s="19">
        <f t="shared" ca="1" si="10"/>
        <v>413.34569717799315</v>
      </c>
      <c r="Q61" s="19">
        <f ca="1">HCTrans(P61,Strike,RiskFreeRate,Dividend,Variance_T0*AnnualVarConvtr,(Simulation!G61)/250,0.5,Variance_Avg*AnnualVarConvtr,Lambda,SQRT(Simulation!N61),Rho,1,"Call")</f>
        <v>314.18981412892981</v>
      </c>
      <c r="R61" s="19">
        <f ca="1">ImpliedVolatility("Call",P61,Strike,RiskFreeRate,G61/250,Dividend,Q61,0.5)</f>
        <v>0.76644149765875924</v>
      </c>
      <c r="S61" s="19">
        <f t="shared" ca="1" si="23"/>
        <v>1</v>
      </c>
      <c r="T61" s="19">
        <f t="shared" ca="1" si="24"/>
        <v>0</v>
      </c>
      <c r="U61" s="19" t="e">
        <f t="shared" ca="1" si="25"/>
        <v>#VALUE!</v>
      </c>
      <c r="V61" s="21"/>
      <c r="X61" s="22"/>
      <c r="Y61" s="22"/>
      <c r="Z61" s="22"/>
    </row>
    <row r="62" spans="7:26" x14ac:dyDescent="0.25">
      <c r="G62" s="19">
        <v>193</v>
      </c>
      <c r="H62" s="19">
        <f t="shared" ca="1" si="26"/>
        <v>0.31900995869186033</v>
      </c>
      <c r="I62" s="19">
        <f t="shared" ca="1" si="26"/>
        <v>0.90122716883387399</v>
      </c>
      <c r="J62" s="19">
        <f t="shared" ca="1" si="2"/>
        <v>1.2297597911168188</v>
      </c>
      <c r="K62" s="19">
        <f t="shared" ca="1" si="3"/>
        <v>-0.8790658522442516</v>
      </c>
      <c r="L62" s="19">
        <f t="array" aca="1" ref="L62:M62" ca="1">MMULT(J62:K62,TRANSPOSE($B$10:$C$11))</f>
        <v>1.2297597911168188</v>
      </c>
      <c r="M62" s="19">
        <f ca="1"/>
        <v>-1.494347881295939</v>
      </c>
      <c r="N62" s="20">
        <f t="shared" ca="1" si="4"/>
        <v>4.9478069986692288E-3</v>
      </c>
      <c r="O62" s="20">
        <f t="shared" ca="1" si="5"/>
        <v>7.9719353397228312E-2</v>
      </c>
      <c r="P62" s="19">
        <f t="shared" ca="1" si="10"/>
        <v>447.64640016003415</v>
      </c>
      <c r="Q62" s="19">
        <f ca="1">HCTrans(P62,Strike,RiskFreeRate,Dividend,Variance_T0*AnnualVarConvtr,(Simulation!G62)/250,0.5,Variance_Avg*AnnualVarConvtr,Lambda,SQRT(Simulation!N62),Rho,1,"Call")</f>
        <v>348.24864280206947</v>
      </c>
      <c r="R62" s="19">
        <f ca="1">ImpliedVolatility("Call",P62,Strike,RiskFreeRate,G62/250,Dividend,Q62,0.5)</f>
        <v>0.23143107616430436</v>
      </c>
      <c r="S62" s="19">
        <f t="shared" ca="1" si="23"/>
        <v>1</v>
      </c>
      <c r="T62" s="19">
        <f t="shared" ca="1" si="24"/>
        <v>0</v>
      </c>
      <c r="U62" s="19" t="e">
        <f t="shared" ca="1" si="25"/>
        <v>#VALUE!</v>
      </c>
      <c r="V62" s="21"/>
      <c r="X62" s="22"/>
      <c r="Y62" s="22"/>
      <c r="Z62" s="22"/>
    </row>
    <row r="63" spans="7:26" x14ac:dyDescent="0.25">
      <c r="G63" s="19">
        <v>192</v>
      </c>
      <c r="H63" s="19">
        <f t="shared" ca="1" si="26"/>
        <v>0.57019733296672326</v>
      </c>
      <c r="I63" s="19">
        <f t="shared" ca="1" si="26"/>
        <v>0.95978110405096828</v>
      </c>
      <c r="J63" s="19">
        <f t="shared" ca="1" si="2"/>
        <v>1.0263097543420021</v>
      </c>
      <c r="K63" s="19">
        <f t="shared" ca="1" si="3"/>
        <v>-0.26501669362627789</v>
      </c>
      <c r="L63" s="19">
        <f t="array" aca="1" ref="L63:M63" ca="1">MMULT(J63:K63,TRANSPOSE($B$10:$C$11))</f>
        <v>1.0263097543420021</v>
      </c>
      <c r="M63" s="19">
        <f ca="1"/>
        <v>-0.9202231634485456</v>
      </c>
      <c r="N63" s="20">
        <f t="shared" ca="1" si="4"/>
        <v>3.4990371828069332E-3</v>
      </c>
      <c r="O63" s="20">
        <f t="shared" ca="1" si="5"/>
        <v>8.4275236165811104E-2</v>
      </c>
      <c r="P63" s="19">
        <f t="shared" ca="1" si="10"/>
        <v>487.00718256830424</v>
      </c>
      <c r="Q63" s="19">
        <f ca="1">HCTrans(P63,Strike,RiskFreeRate,Dividend,Variance_T0*AnnualVarConvtr,(Simulation!G63)/250,0.5,Variance_Avg*AnnualVarConvtr,Lambda,SQRT(Simulation!N63),Rho,1,"Call")</f>
        <v>387.4262101624268</v>
      </c>
      <c r="R63" s="19">
        <f ca="1">ImpliedVolatility("Call",P63,Strike,RiskFreeRate,G63/250,Dividend,Q63,0.5)</f>
        <v>-2891778.2623423249</v>
      </c>
      <c r="S63" s="19">
        <f t="shared" ca="1" si="23"/>
        <v>0</v>
      </c>
      <c r="T63" s="19">
        <f t="shared" ca="1" si="24"/>
        <v>-487.00718256830424</v>
      </c>
      <c r="U63" s="19" t="e">
        <f t="shared" ca="1" si="25"/>
        <v>#VALUE!</v>
      </c>
      <c r="V63" s="21"/>
      <c r="X63" s="22"/>
      <c r="Y63" s="22"/>
      <c r="Z63" s="22"/>
    </row>
    <row r="64" spans="7:26" x14ac:dyDescent="0.25">
      <c r="G64" s="19">
        <v>191</v>
      </c>
      <c r="H64" s="19">
        <f t="shared" ca="1" si="26"/>
        <v>0.61861228655220935</v>
      </c>
      <c r="I64" s="19">
        <f t="shared" ca="1" si="26"/>
        <v>0.75492741284691622</v>
      </c>
      <c r="J64" s="19">
        <f t="shared" ca="1" si="2"/>
        <v>3.0338222377280427E-2</v>
      </c>
      <c r="K64" s="19">
        <f t="shared" ca="1" si="3"/>
        <v>-0.97960844544218917</v>
      </c>
      <c r="L64" s="19">
        <f t="array" aca="1" ref="L64:M64" ca="1">MMULT(J64:K64,TRANSPOSE($B$10:$C$11))</f>
        <v>3.0338222377280427E-2</v>
      </c>
      <c r="M64" s="19">
        <f ca="1"/>
        <v>-0.70509954243848716</v>
      </c>
      <c r="N64" s="20">
        <f t="shared" ca="1" si="4"/>
        <v>2.5698635402219439E-3</v>
      </c>
      <c r="O64" s="20">
        <f t="shared" ca="1" si="5"/>
        <v>8.4381737710742699E-2</v>
      </c>
      <c r="P64" s="19">
        <f t="shared" ca="1" si="10"/>
        <v>529.88532185993358</v>
      </c>
      <c r="Q64" s="19">
        <f ca="1">HCTrans(P64,Strike,RiskFreeRate,Dividend,Variance_T0*AnnualVarConvtr,(Simulation!G64)/250,0.5,Variance_Avg*AnnualVarConvtr,Lambda,SQRT(Simulation!N64),Rho,1,"Call")</f>
        <v>430.17219656151883</v>
      </c>
      <c r="R64" s="19">
        <f ca="1">ImpliedVolatility("Call",P64,Strike,RiskFreeRate,G64/250,Dividend,Q64,0.5)</f>
        <v>-25.173632289366044</v>
      </c>
      <c r="S64" s="19">
        <f t="shared" ca="1" si="23"/>
        <v>2.9109538681199736E-2</v>
      </c>
      <c r="T64" s="19">
        <f t="shared" ca="1" si="24"/>
        <v>15.424717273281709</v>
      </c>
      <c r="U64" s="19" t="e">
        <f t="shared" ca="1" si="25"/>
        <v>#VALUE!</v>
      </c>
      <c r="V64" s="21"/>
      <c r="X64" s="22"/>
      <c r="Y64" s="22"/>
      <c r="Z64" s="22"/>
    </row>
    <row r="65" spans="7:26" x14ac:dyDescent="0.25">
      <c r="G65" s="19">
        <v>190</v>
      </c>
      <c r="H65" s="19">
        <f t="shared" ca="1" si="26"/>
        <v>0.53838649883005851</v>
      </c>
      <c r="I65" s="19">
        <f t="shared" ca="1" si="26"/>
        <v>0.10333638311606985</v>
      </c>
      <c r="J65" s="19">
        <f t="shared" ca="1" si="2"/>
        <v>0.88637752317844232</v>
      </c>
      <c r="K65" s="19">
        <f t="shared" ca="1" si="3"/>
        <v>0.67282393036405252</v>
      </c>
      <c r="L65" s="19">
        <f t="array" aca="1" ref="L65:M65" ca="1">MMULT(J65:K65,TRANSPOSE($B$10:$C$11))</f>
        <v>0.88637752317844232</v>
      </c>
      <c r="M65" s="19">
        <f ca="1"/>
        <v>-0.16573620679277407</v>
      </c>
      <c r="N65" s="20">
        <f t="shared" ca="1" si="4"/>
        <v>2.3917054877254183E-3</v>
      </c>
      <c r="O65" s="20">
        <f t="shared" ca="1" si="5"/>
        <v>8.7218465067292E-2</v>
      </c>
      <c r="P65" s="19">
        <f t="shared" ca="1" si="10"/>
        <v>578.17643580610297</v>
      </c>
      <c r="Q65" s="19">
        <f ca="1">HCTrans(P65,Strike,RiskFreeRate,Dividend,Variance_T0*AnnualVarConvtr,(Simulation!G65)/250,0.5,Variance_Avg*AnnualVarConvtr,Lambda,SQRT(Simulation!N65),Rho,1,"Call")</f>
        <v>478.37031338805724</v>
      </c>
      <c r="R65" s="19">
        <f ca="1">ImpliedVolatility("Call",P65,Strike,RiskFreeRate,G65/250,Dividend,Q65,0.5)</f>
        <v>-868.71478861147511</v>
      </c>
      <c r="S65" s="19">
        <f t="shared" ca="1" si="23"/>
        <v>1.9725336237856656E-127</v>
      </c>
      <c r="T65" s="19">
        <f t="shared" ca="1" si="24"/>
        <v>-16.830449322655952</v>
      </c>
      <c r="U65" s="19" t="e">
        <f t="shared" ca="1" si="25"/>
        <v>#VALUE!</v>
      </c>
      <c r="V65" s="21"/>
      <c r="X65" s="22"/>
      <c r="Y65" s="22"/>
      <c r="Z65" s="22"/>
    </row>
    <row r="66" spans="7:26" x14ac:dyDescent="0.25">
      <c r="G66" s="19">
        <v>189</v>
      </c>
      <c r="H66" s="19">
        <f t="shared" ca="1" si="26"/>
        <v>0.76657572956222508</v>
      </c>
      <c r="I66" s="19">
        <f t="shared" ca="1" si="26"/>
        <v>0.65631763232852314</v>
      </c>
      <c r="J66" s="19">
        <f t="shared" ca="1" si="2"/>
        <v>-0.40483021950685655</v>
      </c>
      <c r="K66" s="19">
        <f t="shared" ca="1" si="3"/>
        <v>-0.60642894566414118</v>
      </c>
      <c r="L66" s="19">
        <f t="array" aca="1" ref="L66:M66" ca="1">MMULT(J66:K66,TRANSPOSE($B$10:$C$11))</f>
        <v>-0.40483021950685655</v>
      </c>
      <c r="M66" s="19">
        <f ca="1"/>
        <v>-0.13297615203174218</v>
      </c>
      <c r="N66" s="20">
        <f t="shared" ca="1" si="4"/>
        <v>2.2595750663294591E-3</v>
      </c>
      <c r="O66" s="20">
        <f t="shared" ca="1" si="5"/>
        <v>8.5961530469012129E-2</v>
      </c>
      <c r="P66" s="19">
        <f t="shared" ca="1" si="10"/>
        <v>630.0760994201313</v>
      </c>
      <c r="Q66" s="19">
        <f ca="1">HCTrans(P66,Strike,RiskFreeRate,Dividend,Variance_T0*AnnualVarConvtr,(Simulation!G66)/250,0.5,Variance_Avg*AnnualVarConvtr,Lambda,SQRT(Simulation!N66),Rho,1,"Call")</f>
        <v>530.20561066476193</v>
      </c>
      <c r="R66" s="19">
        <f ca="1">ImpliedVolatility("Call",P66,Strike,RiskFreeRate,G66/250,Dividend,Q66,0.5)</f>
        <v>-2229606.7797915111</v>
      </c>
      <c r="S66" s="19">
        <f t="shared" ca="1" si="23"/>
        <v>0</v>
      </c>
      <c r="T66" s="19">
        <f t="shared" ca="1" si="24"/>
        <v>-1.2428462916499289E-124</v>
      </c>
      <c r="U66" s="19" t="e">
        <f t="shared" ca="1" si="25"/>
        <v>#VALUE!</v>
      </c>
      <c r="V66" s="21"/>
      <c r="X66" s="22"/>
      <c r="Y66" s="22"/>
      <c r="Z66" s="22"/>
    </row>
    <row r="67" spans="7:26" x14ac:dyDescent="0.25">
      <c r="G67" s="19">
        <v>188</v>
      </c>
      <c r="H67" s="19">
        <f t="shared" ca="1" si="26"/>
        <v>0.75874217371210606</v>
      </c>
      <c r="I67" s="19">
        <f t="shared" ca="1" si="26"/>
        <v>0.73926717156262778</v>
      </c>
      <c r="J67" s="19">
        <f t="shared" ca="1" si="2"/>
        <v>-5.0073474634713649E-2</v>
      </c>
      <c r="K67" s="19">
        <f t="shared" ca="1" si="3"/>
        <v>-0.74140350004952837</v>
      </c>
      <c r="L67" s="19">
        <f t="array" aca="1" ref="L67:M67" ca="1">MMULT(J67:K67,TRANSPOSE($B$10:$C$11))</f>
        <v>-5.0073474634713649E-2</v>
      </c>
      <c r="M67" s="19">
        <f ca="1"/>
        <v>-0.48131586653084091</v>
      </c>
      <c r="N67" s="20">
        <f t="shared" ca="1" si="4"/>
        <v>1.7587612591361346E-3</v>
      </c>
      <c r="O67" s="20">
        <f t="shared" ca="1" si="5"/>
        <v>8.5806471596421241E-2</v>
      </c>
      <c r="P67" s="19">
        <f t="shared" ca="1" si="10"/>
        <v>686.52804492814334</v>
      </c>
      <c r="Q67" s="19">
        <f ca="1">HCTrans(P67,Strike,RiskFreeRate,Dividend,Variance_T0*AnnualVarConvtr,(Simulation!G67)/250,0.5,Variance_Avg*AnnualVarConvtr,Lambda,SQRT(Simulation!N67),Rho,1,"Call")</f>
        <v>586.61152267347904</v>
      </c>
      <c r="R67" s="19">
        <f ca="1">ImpliedVolatility("Call",P67,Strike,RiskFreeRate,G67/250,Dividend,Q67,0.5)</f>
        <v>18.726116439137133</v>
      </c>
      <c r="S67" s="19">
        <f t="shared" ca="1" si="23"/>
        <v>0.99155925470757389</v>
      </c>
      <c r="T67" s="19">
        <f t="shared" ca="1" si="24"/>
        <v>680.73323656479761</v>
      </c>
      <c r="U67" s="19" t="e">
        <f t="shared" ca="1" si="25"/>
        <v>#VALUE!</v>
      </c>
      <c r="V67" s="21"/>
      <c r="X67" s="22"/>
      <c r="Y67" s="22"/>
      <c r="Z67" s="22"/>
    </row>
    <row r="68" spans="7:26" x14ac:dyDescent="0.25">
      <c r="G68" s="19">
        <v>187</v>
      </c>
      <c r="H68" s="19">
        <f t="shared" ca="1" si="26"/>
        <v>5.533632139180289E-2</v>
      </c>
      <c r="I68" s="19">
        <f t="shared" ca="1" si="26"/>
        <v>0.81123668216314315</v>
      </c>
      <c r="J68" s="19">
        <f t="shared" ca="1" si="2"/>
        <v>0.9030488703124937</v>
      </c>
      <c r="K68" s="19">
        <f t="shared" ca="1" si="3"/>
        <v>-2.2300570165844165</v>
      </c>
      <c r="L68" s="19">
        <f t="array" aca="1" ref="L68:M68" ca="1">MMULT(J68:K68,TRANSPOSE($B$10:$C$11))</f>
        <v>0.9030488703124937</v>
      </c>
      <c r="M68" s="19">
        <f ca="1"/>
        <v>-2.2026935032936672</v>
      </c>
      <c r="N68" s="20">
        <f t="shared" ca="1" si="4"/>
        <v>2.5099925209704258E-4</v>
      </c>
      <c r="O68" s="20">
        <f t="shared" ca="1" si="5"/>
        <v>8.8198170132333498E-2</v>
      </c>
      <c r="P68" s="19">
        <f t="shared" ca="1" si="10"/>
        <v>749.82904950029388</v>
      </c>
      <c r="Q68" s="19">
        <f ca="1">HCTrans(P68,Strike,RiskFreeRate,Dividend,Variance_T0*AnnualVarConvtr,(Simulation!G68)/250,0.5,Variance_Avg*AnnualVarConvtr,Lambda,SQRT(Simulation!N68),Rho,1,"Call")</f>
        <v>649.87595410124322</v>
      </c>
      <c r="R68" s="19">
        <f ca="1">ImpliedVolatility("Call",P68,Strike,RiskFreeRate,G68/250,Dividend,Q68,0.5)</f>
        <v>26.74563620285722</v>
      </c>
      <c r="S68" s="19">
        <f t="shared" ca="1" si="23"/>
        <v>0.98251046249516916</v>
      </c>
      <c r="T68" s="19">
        <f t="shared" ca="1" si="24"/>
        <v>-6.7850472637531016</v>
      </c>
      <c r="U68" s="19" t="e">
        <f t="shared" ca="1" si="25"/>
        <v>#VALUE!</v>
      </c>
      <c r="V68" s="21"/>
      <c r="X68" s="22"/>
      <c r="Y68" s="22"/>
      <c r="Z68" s="22"/>
    </row>
    <row r="69" spans="7:26" x14ac:dyDescent="0.25">
      <c r="G69" s="19">
        <v>186</v>
      </c>
      <c r="H69" s="19">
        <f t="shared" ca="1" si="26"/>
        <v>0.5811285279551377</v>
      </c>
      <c r="I69" s="19">
        <f t="shared" ca="1" si="26"/>
        <v>0.49116984447307455</v>
      </c>
      <c r="J69" s="19">
        <f t="shared" ca="1" si="2"/>
        <v>-1.0403021172619371</v>
      </c>
      <c r="K69" s="19">
        <f t="shared" ca="1" si="3"/>
        <v>5.7776820510886839E-2</v>
      </c>
      <c r="L69" s="19">
        <f t="array" aca="1" ref="L69:M69" ca="1">MMULT(J69:K69,TRANSPOSE($B$10:$C$11))</f>
        <v>-1.0403021172619371</v>
      </c>
      <c r="M69" s="19">
        <f ca="1"/>
        <v>0.78568083118506671</v>
      </c>
      <c r="N69" s="20">
        <f t="shared" ca="1" si="4"/>
        <v>6.8502277013804641E-4</v>
      </c>
      <c r="O69" s="20">
        <f t="shared" ca="1" si="5"/>
        <v>8.7155289041774581E-2</v>
      </c>
      <c r="P69" s="19">
        <f t="shared" ca="1" si="10"/>
        <v>818.11305458473316</v>
      </c>
      <c r="Q69" s="19">
        <f ca="1">HCTrans(P69,Strike,RiskFreeRate,Dividend,Variance_T0*AnnualVarConvtr,(Simulation!G69)/250,0.5,Variance_Avg*AnnualVarConvtr,Lambda,SQRT(Simulation!N69),Rho,1,"Call")</f>
        <v>718.1439440729514</v>
      </c>
      <c r="R69" s="19">
        <f ca="1">ImpliedVolatility("Call",P69,Strike,RiskFreeRate,G69/250,Dividend,Q69,0.5)</f>
        <v>46.65365535941271</v>
      </c>
      <c r="S69" s="19">
        <f t="shared" ca="1" si="23"/>
        <v>0.98206426228027921</v>
      </c>
      <c r="T69" s="19">
        <f t="shared" ca="1" si="24"/>
        <v>-0.36504222075997877</v>
      </c>
      <c r="U69" s="19" t="e">
        <f t="shared" ca="1" si="25"/>
        <v>#VALUE!</v>
      </c>
      <c r="V69" s="21"/>
      <c r="X69" s="22"/>
      <c r="Y69" s="22"/>
      <c r="Z69" s="22"/>
    </row>
    <row r="70" spans="7:26" x14ac:dyDescent="0.25">
      <c r="G70" s="19">
        <v>185</v>
      </c>
      <c r="H70" s="19">
        <f t="shared" ca="1" si="26"/>
        <v>0.75555987284472692</v>
      </c>
      <c r="I70" s="19">
        <f t="shared" ca="1" si="26"/>
        <v>0.50264391743613845</v>
      </c>
      <c r="J70" s="19">
        <f t="shared" ref="J70:J133" ca="1" si="27">SQRT(-2*LN(H70))*COS(2*PI()*I70)</f>
        <v>-0.74862394565327439</v>
      </c>
      <c r="K70" s="19">
        <f t="shared" ref="K70:K133" ca="1" si="28">SQRT(-2*LN(H70))*SIN(2*PI()*I70)</f>
        <v>-1.2437452194703625E-2</v>
      </c>
      <c r="L70" s="19">
        <f t="array" aca="1" ref="L70:M70" ca="1">MMULT(J70:K70,TRANSPOSE($B$10:$C$11))</f>
        <v>-0.74862394565327439</v>
      </c>
      <c r="M70" s="19">
        <f ca="1"/>
        <v>0.52771285096042497</v>
      </c>
      <c r="N70" s="20">
        <f t="shared" ref="N70:N133" ca="1" si="29">GetVariance(N69,Variance_Avg,Lambda,Eta,M70,"Daily")</f>
        <v>1.0992707434292577E-3</v>
      </c>
      <c r="O70" s="20">
        <f t="shared" ref="O70:O133" ca="1" si="30">GetStockReturns(O69,RiskFreeRate,N69,L70,"Daily")</f>
        <v>8.5914705273795605E-2</v>
      </c>
      <c r="P70" s="19">
        <f t="shared" ca="1" si="10"/>
        <v>891.50873991856122</v>
      </c>
      <c r="Q70" s="19">
        <f ca="1">HCTrans(P70,Strike,RiskFreeRate,Dividend,Variance_T0*AnnualVarConvtr,(Simulation!G70)/250,0.5,Variance_Avg*AnnualVarConvtr,Lambda,SQRT(Simulation!N70),Rho,1,"Call")</f>
        <v>791.52868046299557</v>
      </c>
      <c r="R70" s="19">
        <f ca="1">ImpliedVolatility("Call",P70,Strike,RiskFreeRate,G70/250,Dividend,Q70,0.5)</f>
        <v>83.128200456580132</v>
      </c>
      <c r="S70" s="19">
        <f t="shared" ca="1" si="23"/>
        <v>0.55050445010581117</v>
      </c>
      <c r="T70" s="19">
        <f t="shared" ca="1" si="24"/>
        <v>11.0365960405734</v>
      </c>
      <c r="U70" s="19">
        <f t="shared" ca="1" si="25"/>
        <v>-26.142344578669412</v>
      </c>
      <c r="V70" s="21"/>
      <c r="X70" s="22"/>
      <c r="Y70" s="22"/>
      <c r="Z70" s="22"/>
    </row>
    <row r="71" spans="7:26" x14ac:dyDescent="0.25">
      <c r="G71" s="19">
        <v>184</v>
      </c>
      <c r="H71" s="19">
        <f t="shared" ca="1" si="26"/>
        <v>6.8219444427289222E-2</v>
      </c>
      <c r="I71" s="19">
        <f t="shared" ca="1" si="26"/>
        <v>0.74041769718168704</v>
      </c>
      <c r="J71" s="19">
        <f t="shared" ca="1" si="27"/>
        <v>-0.13943652911964816</v>
      </c>
      <c r="K71" s="19">
        <f t="shared" ca="1" si="28"/>
        <v>-2.3131382894403609</v>
      </c>
      <c r="L71" s="19">
        <f t="array" aca="1" ref="L71:M71" ca="1">MMULT(J71:K71,TRANSPOSE($B$10:$C$11))</f>
        <v>-0.13943652911964816</v>
      </c>
      <c r="M71" s="19">
        <f ca="1"/>
        <v>-1.5137091380766905</v>
      </c>
      <c r="N71" s="20">
        <f t="shared" ca="1" si="29"/>
        <v>2.4459469387164427E-4</v>
      </c>
      <c r="O71" s="20">
        <f t="shared" ca="1" si="30"/>
        <v>8.5620119170233627E-2</v>
      </c>
      <c r="P71" s="19">
        <f t="shared" ref="P71:P134" ca="1" si="31">P70*EXP(O71)</f>
        <v>971.2028550703767</v>
      </c>
      <c r="Q71" s="19">
        <f ca="1">HCTrans(P71,Strike,RiskFreeRate,Dividend,Variance_T0*AnnualVarConvtr,(Simulation!G71)/250,0.5,Variance_Avg*AnnualVarConvtr,Lambda,SQRT(Simulation!N71),Rho,1,"Call")</f>
        <v>29.023356692573202</v>
      </c>
      <c r="R71" s="19">
        <f ca="1">ImpliedVolatility("Call",P71,Strike,RiskFreeRate,G71/250,Dividend,Q71,0.5)</f>
        <v>0.74042409652675867</v>
      </c>
      <c r="S71" s="19">
        <f t="shared" ca="1" si="23"/>
        <v>0.55050445010581117</v>
      </c>
      <c r="T71" s="19">
        <f t="shared" ca="1" si="24"/>
        <v>11.0365960405734</v>
      </c>
      <c r="U71" s="19">
        <f t="shared" ca="1" si="25"/>
        <v>-26.142344578669412</v>
      </c>
      <c r="V71" s="21"/>
      <c r="X71" s="22"/>
      <c r="Y71" s="22"/>
      <c r="Z71" s="22"/>
    </row>
    <row r="72" spans="7:26" x14ac:dyDescent="0.25">
      <c r="G72" s="19">
        <v>183</v>
      </c>
      <c r="H72" s="19">
        <f t="shared" ca="1" si="26"/>
        <v>0.29402761595276472</v>
      </c>
      <c r="I72" s="19">
        <f t="shared" ca="1" si="26"/>
        <v>0.89826339021788737</v>
      </c>
      <c r="J72" s="19">
        <f t="shared" ca="1" si="27"/>
        <v>1.2557268745529679</v>
      </c>
      <c r="K72" s="19">
        <f t="shared" ca="1" si="28"/>
        <v>-0.93344158093087359</v>
      </c>
      <c r="L72" s="19">
        <f t="array" aca="1" ref="L72:M72" ca="1">MMULT(J72:K72,TRANSPOSE($B$10:$C$11))</f>
        <v>1.2557268745529679</v>
      </c>
      <c r="M72" s="19">
        <f ca="1"/>
        <v>-1.5508851029917698</v>
      </c>
      <c r="N72" s="20">
        <f t="shared" ca="1" si="29"/>
        <v>4.7442208568882242E-5</v>
      </c>
      <c r="O72" s="20">
        <f t="shared" ca="1" si="30"/>
        <v>8.6861707496928467E-2</v>
      </c>
      <c r="P72" s="19">
        <f t="shared" ca="1" si="31"/>
        <v>155.53390179484748</v>
      </c>
      <c r="Q72" s="19">
        <f ca="1">HCTrans(P72,Strike,RiskFreeRate,Dividend,Variance_T0*AnnualVarConvtr,(Simulation!G72)/250,0.5,Variance_Avg*AnnualVarConvtr,Lambda,SQRT(Simulation!N72),Rho,1,"Call")</f>
        <v>29.023356692573202</v>
      </c>
      <c r="R72" s="19">
        <f ca="1">ImpliedVolatility("Call",P72,Strike,RiskFreeRate,G72/250,Dividend,Q72,0.5)</f>
        <v>0.74042409652675867</v>
      </c>
      <c r="S72" s="19">
        <f t="shared" ca="1" si="23"/>
        <v>0.55050445010581117</v>
      </c>
      <c r="T72" s="19">
        <f t="shared" ca="1" si="24"/>
        <v>11.0365960405734</v>
      </c>
      <c r="U72" s="19">
        <f t="shared" ca="1" si="25"/>
        <v>-26.142344578669412</v>
      </c>
      <c r="V72" s="21"/>
      <c r="X72" s="22"/>
      <c r="Y72" s="22"/>
      <c r="Z72" s="22"/>
    </row>
    <row r="73" spans="7:26" x14ac:dyDescent="0.25">
      <c r="G73" s="19">
        <v>182</v>
      </c>
      <c r="H73" s="19">
        <f t="shared" ca="1" si="26"/>
        <v>0.37577592219204659</v>
      </c>
      <c r="I73" s="19">
        <f t="shared" ca="1" si="26"/>
        <v>0.98446388572537946</v>
      </c>
      <c r="J73" s="19">
        <f t="shared" ca="1" si="27"/>
        <v>1.3924548720430709</v>
      </c>
      <c r="K73" s="19">
        <f t="shared" ca="1" si="28"/>
        <v>-0.13635966794214446</v>
      </c>
      <c r="L73" s="19">
        <f t="array" aca="1" ref="L73:M73" ca="1">MMULT(J73:K73,TRANSPOSE($B$10:$C$11))</f>
        <v>1.3924548720430709</v>
      </c>
      <c r="M73" s="19">
        <f ca="1"/>
        <v>-1.0928166599542986</v>
      </c>
      <c r="N73" s="20">
        <f t="shared" ca="1" si="29"/>
        <v>7.9483255858891919E-5</v>
      </c>
      <c r="O73" s="20">
        <f t="shared" ca="1" si="30"/>
        <v>8.7468200276529046E-2</v>
      </c>
      <c r="P73" s="19">
        <f t="shared" ca="1" si="31"/>
        <v>152.52325379160652</v>
      </c>
      <c r="Q73" s="19">
        <f ca="1">HCTrans(P73,Strike,RiskFreeRate,Dividend,Variance_T0*AnnualVarConvtr,(Simulation!G73)/250,0.5,Variance_Avg*AnnualVarConvtr,Lambda,SQRT(Simulation!N73),Rho,1,"Call")</f>
        <v>29.023356692573202</v>
      </c>
      <c r="R73" s="19">
        <f ca="1">ImpliedVolatility("Call",P73,Strike,RiskFreeRate,G73/250,Dividend,Q73,0.5)</f>
        <v>0.74042409652675867</v>
      </c>
      <c r="S73" s="19">
        <f t="shared" ref="S73:S136" ca="1" si="32">BSdelta(1,P73,Strike,R73/AnnualVarConvtr,Dividend,RiskFreeRate,G73/250)</f>
        <v>0.55050445010581117</v>
      </c>
      <c r="T73" s="19">
        <f t="shared" ref="T73:T136" ca="1" si="33">(S73-S72)*P73</f>
        <v>11.0365960405734</v>
      </c>
      <c r="U73" s="19">
        <f t="shared" ref="U73:U136" ca="1" si="34">(Q73-Q72)+U72-T73</f>
        <v>-26.142344578669412</v>
      </c>
      <c r="V73" s="21"/>
      <c r="X73" s="22"/>
      <c r="Y73" s="22"/>
      <c r="Z73" s="22"/>
    </row>
    <row r="74" spans="7:26" x14ac:dyDescent="0.25">
      <c r="G74" s="19">
        <v>181</v>
      </c>
      <c r="H74" s="19">
        <f t="shared" ca="1" si="26"/>
        <v>0.73301146966077901</v>
      </c>
      <c r="I74" s="19">
        <f t="shared" ca="1" si="26"/>
        <v>0.50671106395557153</v>
      </c>
      <c r="J74" s="19">
        <f t="shared" ca="1" si="27"/>
        <v>-0.78745413483141635</v>
      </c>
      <c r="K74" s="19">
        <f t="shared" ca="1" si="28"/>
        <v>-3.3224160706220154E-2</v>
      </c>
      <c r="L74" s="19">
        <f t="array" aca="1" ref="L74:M74" ca="1">MMULT(J74:K74,TRANSPOSE($B$10:$C$11))</f>
        <v>-0.78745413483141635</v>
      </c>
      <c r="M74" s="19">
        <f ca="1"/>
        <v>0.54103414197754496</v>
      </c>
      <c r="N74" s="20">
        <f t="shared" ca="1" si="29"/>
        <v>2.7868563075446567E-4</v>
      </c>
      <c r="O74" s="20">
        <f t="shared" ca="1" si="30"/>
        <v>8.7024030966103685E-2</v>
      </c>
      <c r="P74" s="19">
        <f t="shared" ca="1" si="31"/>
        <v>148.41071123588281</v>
      </c>
      <c r="Q74" s="19">
        <f ca="1">HCTrans(P74,Strike,RiskFreeRate,Dividend,Variance_T0*AnnualVarConvtr,(Simulation!G74)/250,0.5,Variance_Avg*AnnualVarConvtr,Lambda,SQRT(Simulation!N74),Rho,1,"Call")</f>
        <v>29.023356692573202</v>
      </c>
      <c r="R74" s="19">
        <f ca="1">ImpliedVolatility("Call",P74,Strike,RiskFreeRate,G74/250,Dividend,Q74,0.5)</f>
        <v>0.74042409652675867</v>
      </c>
      <c r="S74" s="19">
        <f t="shared" ca="1" si="32"/>
        <v>0.55050445010581117</v>
      </c>
      <c r="T74" s="19">
        <f t="shared" ca="1" si="33"/>
        <v>11.0365960405734</v>
      </c>
      <c r="U74" s="19">
        <f t="shared" ca="1" si="34"/>
        <v>-26.142344578669412</v>
      </c>
      <c r="V74" s="21"/>
      <c r="X74" s="22"/>
      <c r="Y74" s="22"/>
      <c r="Z74" s="22"/>
    </row>
    <row r="75" spans="7:26" x14ac:dyDescent="0.25">
      <c r="G75" s="19">
        <v>180</v>
      </c>
      <c r="H75" s="19">
        <f t="shared" ca="1" si="26"/>
        <v>0.74850929724741699</v>
      </c>
      <c r="I75" s="19">
        <f t="shared" ca="1" si="26"/>
        <v>0.41000906773151446</v>
      </c>
      <c r="J75" s="19">
        <f t="shared" ca="1" si="27"/>
        <v>-0.64268010010683019</v>
      </c>
      <c r="K75" s="19">
        <f t="shared" ca="1" si="28"/>
        <v>0.40780583245142449</v>
      </c>
      <c r="L75" s="19">
        <f t="array" aca="1" ref="L75:M75" ca="1">MMULT(J75:K75,TRANSPOSE($B$10:$C$11))</f>
        <v>-0.64268010010683019</v>
      </c>
      <c r="M75" s="19">
        <f ca="1"/>
        <v>0.74496037621659239</v>
      </c>
      <c r="N75" s="20">
        <f t="shared" ca="1" si="29"/>
        <v>7.029184100602726E-4</v>
      </c>
      <c r="O75" s="20">
        <f t="shared" ca="1" si="30"/>
        <v>8.6344923154459588E-2</v>
      </c>
      <c r="P75" s="19">
        <f t="shared" ca="1" si="31"/>
        <v>143.16835501188464</v>
      </c>
      <c r="Q75" s="19">
        <f ca="1">HCTrans(P75,Strike,RiskFreeRate,Dividend,Variance_T0*AnnualVarConvtr,(Simulation!G75)/250,0.5,Variance_Avg*AnnualVarConvtr,Lambda,SQRT(Simulation!N75),Rho,1,"Call")</f>
        <v>29.023356692573202</v>
      </c>
      <c r="R75" s="19">
        <f ca="1">ImpliedVolatility("Call",P75,Strike,RiskFreeRate,G75/250,Dividend,Q75,0.5)</f>
        <v>0.74042409652675867</v>
      </c>
      <c r="S75" s="19">
        <f t="shared" ca="1" si="32"/>
        <v>0.55050445010581117</v>
      </c>
      <c r="T75" s="19">
        <f t="shared" ca="1" si="33"/>
        <v>11.0365960405734</v>
      </c>
      <c r="U75" s="19">
        <f t="shared" ca="1" si="34"/>
        <v>-26.142344578669412</v>
      </c>
      <c r="V75" s="21"/>
      <c r="X75" s="22"/>
      <c r="Y75" s="22"/>
      <c r="Z75" s="22"/>
    </row>
    <row r="76" spans="7:26" x14ac:dyDescent="0.25">
      <c r="G76" s="19">
        <v>179</v>
      </c>
      <c r="H76" s="19">
        <f t="shared" ca="1" si="26"/>
        <v>0.18469468888397977</v>
      </c>
      <c r="I76" s="19">
        <f t="shared" ca="1" si="26"/>
        <v>4.0506858276176949E-3</v>
      </c>
      <c r="J76" s="19">
        <f t="shared" ca="1" si="27"/>
        <v>1.8373662003661924</v>
      </c>
      <c r="K76" s="19">
        <f t="shared" ca="1" si="28"/>
        <v>4.677329220620826E-2</v>
      </c>
      <c r="L76" s="19">
        <f t="array" aca="1" ref="L76:M76" ca="1">MMULT(J76:K76,TRANSPOSE($B$10:$C$11))</f>
        <v>1.8373662003661924</v>
      </c>
      <c r="M76" s="19">
        <f ca="1"/>
        <v>-1.2838444376999929</v>
      </c>
      <c r="N76" s="20">
        <f t="shared" ca="1" si="29"/>
        <v>1.4967125816024729E-4</v>
      </c>
      <c r="O76" s="20">
        <f t="shared" ca="1" si="30"/>
        <v>8.9424421399866894E-2</v>
      </c>
      <c r="P76" s="19">
        <f t="shared" ca="1" si="31"/>
        <v>137.9635716768216</v>
      </c>
      <c r="Q76" s="19">
        <f ca="1">HCTrans(P76,Strike,RiskFreeRate,Dividend,Variance_T0*AnnualVarConvtr,(Simulation!G76)/250,0.5,Variance_Avg*AnnualVarConvtr,Lambda,SQRT(Simulation!N76),Rho,1,"Call")</f>
        <v>29.023356692573202</v>
      </c>
      <c r="R76" s="19">
        <f ca="1">ImpliedVolatility("Call",P76,Strike,RiskFreeRate,G76/250,Dividend,Q76,0.5)</f>
        <v>0.74042409652675867</v>
      </c>
      <c r="S76" s="19">
        <f t="shared" ca="1" si="32"/>
        <v>0.55050445010581117</v>
      </c>
      <c r="T76" s="19">
        <f t="shared" ca="1" si="33"/>
        <v>11.0365960405734</v>
      </c>
      <c r="U76" s="19">
        <f t="shared" ca="1" si="34"/>
        <v>-26.142344578669412</v>
      </c>
      <c r="V76" s="21"/>
      <c r="X76" s="22"/>
      <c r="Y76" s="22"/>
      <c r="Z76" s="22"/>
    </row>
    <row r="77" spans="7:26" x14ac:dyDescent="0.25">
      <c r="G77" s="19">
        <v>178</v>
      </c>
      <c r="H77" s="19">
        <f t="shared" ca="1" si="26"/>
        <v>0.46136682175508215</v>
      </c>
      <c r="I77" s="19">
        <f t="shared" ca="1" si="26"/>
        <v>0.90307939314447294</v>
      </c>
      <c r="J77" s="19">
        <f t="shared" ca="1" si="27"/>
        <v>1.0202395858226343</v>
      </c>
      <c r="K77" s="19">
        <f t="shared" ca="1" si="28"/>
        <v>-0.7115018444921335</v>
      </c>
      <c r="L77" s="19">
        <f t="array" aca="1" ref="L77:M77" ca="1">MMULT(J77:K77,TRANSPOSE($B$10:$C$11))</f>
        <v>1.0202395858226343</v>
      </c>
      <c r="M77" s="19">
        <f ca="1"/>
        <v>-1.2273361654220873</v>
      </c>
      <c r="N77" s="20">
        <f t="shared" ca="1" si="29"/>
        <v>4.4472440927708953E-5</v>
      </c>
      <c r="O77" s="20">
        <f t="shared" ca="1" si="30"/>
        <v>9.0213529780061058E-2</v>
      </c>
      <c r="P77" s="19">
        <f t="shared" ca="1" si="31"/>
        <v>131.46278092745098</v>
      </c>
      <c r="Q77" s="19">
        <f ca="1">HCTrans(P77,Strike,RiskFreeRate,Dividend,Variance_T0*AnnualVarConvtr,(Simulation!G77)/250,0.5,Variance_Avg*AnnualVarConvtr,Lambda,SQRT(Simulation!N77),Rho,1,"Call")</f>
        <v>29.023356692573202</v>
      </c>
      <c r="R77" s="19">
        <f ca="1">ImpliedVolatility("Call",P77,Strike,RiskFreeRate,G77/250,Dividend,Q77,0.5)</f>
        <v>0.74042409652675867</v>
      </c>
      <c r="S77" s="19">
        <f t="shared" ca="1" si="32"/>
        <v>0.55050445010581117</v>
      </c>
      <c r="T77" s="19">
        <f t="shared" ca="1" si="33"/>
        <v>11.0365960405734</v>
      </c>
      <c r="U77" s="19">
        <f t="shared" ca="1" si="34"/>
        <v>-26.142344578669412</v>
      </c>
      <c r="V77" s="21"/>
      <c r="X77" s="22"/>
      <c r="Y77" s="22"/>
      <c r="Z77" s="22"/>
    </row>
    <row r="78" spans="7:26" x14ac:dyDescent="0.25">
      <c r="G78" s="19">
        <v>177</v>
      </c>
      <c r="H78" s="19">
        <f t="shared" ca="1" si="26"/>
        <v>0.16856694001625949</v>
      </c>
      <c r="I78" s="19">
        <f t="shared" ca="1" si="26"/>
        <v>0.57795029355588912</v>
      </c>
      <c r="J78" s="19">
        <f t="shared" ca="1" si="27"/>
        <v>-1.6651785612850869</v>
      </c>
      <c r="K78" s="19">
        <f t="shared" ca="1" si="28"/>
        <v>-0.88770774185279999</v>
      </c>
      <c r="L78" s="19">
        <f t="array" aca="1" ref="L78:M78" ca="1">MMULT(J78:K78,TRANSPOSE($B$10:$C$11))</f>
        <v>-1.6651785612850869</v>
      </c>
      <c r="M78" s="19">
        <f ca="1"/>
        <v>0.57384697756434389</v>
      </c>
      <c r="N78" s="20">
        <f t="shared" ca="1" si="29"/>
        <v>2.2492097913918253E-4</v>
      </c>
      <c r="O78" s="20">
        <f t="shared" ca="1" si="30"/>
        <v>8.9511118807371615E-2</v>
      </c>
      <c r="P78" s="19">
        <f t="shared" ca="1" si="31"/>
        <v>126.7663685008098</v>
      </c>
      <c r="Q78" s="19">
        <f ca="1">HCTrans(P78,Strike,RiskFreeRate,Dividend,Variance_T0*AnnualVarConvtr,(Simulation!G78)/250,0.5,Variance_Avg*AnnualVarConvtr,Lambda,SQRT(Simulation!N78),Rho,1,"Call")</f>
        <v>29.023356692573202</v>
      </c>
      <c r="R78" s="19">
        <f ca="1">ImpliedVolatility("Call",P78,Strike,RiskFreeRate,G78/250,Dividend,Q78,0.5)</f>
        <v>0.74042409652675867</v>
      </c>
      <c r="S78" s="19">
        <f t="shared" ca="1" si="32"/>
        <v>0.55050445010581117</v>
      </c>
      <c r="T78" s="19">
        <f t="shared" ca="1" si="33"/>
        <v>11.0365960405734</v>
      </c>
      <c r="U78" s="19">
        <f t="shared" ca="1" si="34"/>
        <v>-26.142344578669412</v>
      </c>
      <c r="V78" s="21"/>
      <c r="X78" s="22"/>
      <c r="Y78" s="22"/>
      <c r="Z78" s="22"/>
    </row>
    <row r="79" spans="7:26" x14ac:dyDescent="0.25">
      <c r="G79" s="19">
        <v>176</v>
      </c>
      <c r="H79" s="19">
        <f t="shared" ca="1" si="26"/>
        <v>0.95015423588003789</v>
      </c>
      <c r="I79" s="19">
        <f t="shared" ca="1" si="26"/>
        <v>0.83073331402970108</v>
      </c>
      <c r="J79" s="19">
        <f t="shared" ca="1" si="27"/>
        <v>0.1553467219477998</v>
      </c>
      <c r="K79" s="19">
        <f t="shared" ca="1" si="28"/>
        <v>-0.27951619630198526</v>
      </c>
      <c r="L79" s="19">
        <f t="array" aca="1" ref="L79:M79" ca="1">MMULT(J79:K79,TRANSPOSE($B$10:$C$11))</f>
        <v>0.1553467219477998</v>
      </c>
      <c r="M79" s="19">
        <f ca="1"/>
        <v>-0.30629281663547914</v>
      </c>
      <c r="N79" s="20">
        <f t="shared" ca="1" si="29"/>
        <v>1.6254521879514427E-4</v>
      </c>
      <c r="O79" s="20">
        <f t="shared" ca="1" si="30"/>
        <v>8.9658017924355571E-2</v>
      </c>
      <c r="P79" s="19">
        <f t="shared" ca="1" si="31"/>
        <v>123.32254274141333</v>
      </c>
      <c r="Q79" s="19">
        <f ca="1">HCTrans(P79,Strike,RiskFreeRate,Dividend,Variance_T0*AnnualVarConvtr,(Simulation!G79)/250,0.5,Variance_Avg*AnnualVarConvtr,Lambda,SQRT(Simulation!N79),Rho,1,"Call")</f>
        <v>29.023356692573202</v>
      </c>
      <c r="R79" s="19">
        <f ca="1">ImpliedVolatility("Call",P79,Strike,RiskFreeRate,G79/250,Dividend,Q79,0.5)</f>
        <v>0.74042409652675867</v>
      </c>
      <c r="S79" s="19">
        <f t="shared" ca="1" si="32"/>
        <v>0.55050445010581117</v>
      </c>
      <c r="T79" s="19">
        <f t="shared" ca="1" si="33"/>
        <v>11.0365960405734</v>
      </c>
      <c r="U79" s="19">
        <f t="shared" ca="1" si="34"/>
        <v>-26.142344578669412</v>
      </c>
      <c r="V79" s="21"/>
      <c r="X79" s="22"/>
      <c r="Y79" s="22"/>
      <c r="Z79" s="22"/>
    </row>
    <row r="80" spans="7:26" x14ac:dyDescent="0.25">
      <c r="G80" s="19">
        <v>175</v>
      </c>
      <c r="H80" s="19">
        <f t="shared" ca="1" si="26"/>
        <v>0.33021710776307012</v>
      </c>
      <c r="I80" s="19">
        <f t="shared" ca="1" si="26"/>
        <v>3.088637537094896E-2</v>
      </c>
      <c r="J80" s="19">
        <f t="shared" ca="1" si="27"/>
        <v>1.4606830053077104</v>
      </c>
      <c r="K80" s="19">
        <f t="shared" ca="1" si="28"/>
        <v>0.28708018926685641</v>
      </c>
      <c r="L80" s="19">
        <f t="array" aca="1" ref="L80:M80" ca="1">MMULT(J80:K80,TRANSPOSE($B$10:$C$11))</f>
        <v>1.4606830053077104</v>
      </c>
      <c r="M80" s="19">
        <f ca="1"/>
        <v>-0.84631593909183622</v>
      </c>
      <c r="N80" s="20">
        <f t="shared" ca="1" si="29"/>
        <v>4.2122350160462035E-5</v>
      </c>
      <c r="O80" s="20">
        <f t="shared" ca="1" si="30"/>
        <v>9.083549696094799E-2</v>
      </c>
      <c r="P80" s="19">
        <f t="shared" ca="1" si="31"/>
        <v>120.24187725650067</v>
      </c>
      <c r="Q80" s="19">
        <f ca="1">HCTrans(P80,Strike,RiskFreeRate,Dividend,Variance_T0*AnnualVarConvtr,(Simulation!G80)/250,0.5,Variance_Avg*AnnualVarConvtr,Lambda,SQRT(Simulation!N80),Rho,1,"Call")</f>
        <v>29.023356692573202</v>
      </c>
      <c r="R80" s="19">
        <f ca="1">ImpliedVolatility("Call",P80,Strike,RiskFreeRate,G80/250,Dividend,Q80,0.5)</f>
        <v>0.74042409652675867</v>
      </c>
      <c r="S80" s="19">
        <f t="shared" ca="1" si="32"/>
        <v>0.55050445010581117</v>
      </c>
      <c r="T80" s="19">
        <f t="shared" ca="1" si="33"/>
        <v>11.0365960405734</v>
      </c>
      <c r="U80" s="19">
        <f t="shared" ca="1" si="34"/>
        <v>-26.142344578669412</v>
      </c>
      <c r="V80" s="21"/>
      <c r="X80" s="22"/>
      <c r="Y80" s="22"/>
      <c r="Z80" s="22"/>
    </row>
    <row r="81" spans="7:26" x14ac:dyDescent="0.25">
      <c r="G81" s="19">
        <v>174</v>
      </c>
      <c r="H81" s="19">
        <f t="shared" ca="1" si="26"/>
        <v>0.99750635864602999</v>
      </c>
      <c r="I81" s="19">
        <f t="shared" ca="1" si="26"/>
        <v>0.88178489661282722</v>
      </c>
      <c r="J81" s="19">
        <f t="shared" ca="1" si="27"/>
        <v>5.2051657284422528E-2</v>
      </c>
      <c r="K81" s="19">
        <f t="shared" ca="1" si="28"/>
        <v>-4.7792638406398975E-2</v>
      </c>
      <c r="L81" s="19">
        <f t="array" aca="1" ref="L81:M81" ca="1">MMULT(J81:K81,TRANSPOSE($B$10:$C$11))</f>
        <v>5.2051657284422528E-2</v>
      </c>
      <c r="M81" s="19">
        <f ca="1"/>
        <v>-7.0634540057529047E-2</v>
      </c>
      <c r="N81" s="20">
        <f t="shared" ca="1" si="29"/>
        <v>6.8759328371600131E-5</v>
      </c>
      <c r="O81" s="20">
        <f t="shared" ca="1" si="30"/>
        <v>9.0856778599666191E-2</v>
      </c>
      <c r="P81" s="19">
        <f t="shared" ca="1" si="31"/>
        <v>115.44119735890044</v>
      </c>
      <c r="Q81" s="19">
        <f ca="1">HCTrans(P81,Strike,RiskFreeRate,Dividend,Variance_T0*AnnualVarConvtr,(Simulation!G81)/250,0.5,Variance_Avg*AnnualVarConvtr,Lambda,SQRT(Simulation!N81),Rho,1,"Call")</f>
        <v>29.023356692573202</v>
      </c>
      <c r="R81" s="19">
        <f ca="1">ImpliedVolatility("Call",P81,Strike,RiskFreeRate,G81/250,Dividend,Q81,0.5)</f>
        <v>0.74042409652675867</v>
      </c>
      <c r="S81" s="19">
        <f t="shared" ca="1" si="32"/>
        <v>0.55050445010581117</v>
      </c>
      <c r="T81" s="19">
        <f t="shared" ca="1" si="33"/>
        <v>11.0365960405734</v>
      </c>
      <c r="U81" s="19">
        <f t="shared" ca="1" si="34"/>
        <v>-26.142344578669412</v>
      </c>
      <c r="V81" s="21"/>
      <c r="X81" s="22"/>
      <c r="Y81" s="22"/>
      <c r="Z81" s="22"/>
    </row>
    <row r="82" spans="7:26" x14ac:dyDescent="0.25">
      <c r="G82" s="19">
        <v>173</v>
      </c>
      <c r="H82" s="19">
        <f t="shared" ca="1" si="26"/>
        <v>3.2569748227318174E-2</v>
      </c>
      <c r="I82" s="19">
        <f t="shared" ca="1" si="26"/>
        <v>0.71586634680848171</v>
      </c>
      <c r="J82" s="19">
        <f t="shared" ca="1" si="27"/>
        <v>-0.55697231263920932</v>
      </c>
      <c r="K82" s="19">
        <f t="shared" ca="1" si="28"/>
        <v>-2.5570538951702289</v>
      </c>
      <c r="L82" s="19">
        <f t="array" aca="1" ref="L82:M82" ca="1">MMULT(J82:K82,TRANSPOSE($B$10:$C$11))</f>
        <v>-0.55697231263920932</v>
      </c>
      <c r="M82" s="19">
        <f ca="1"/>
        <v>-1.3846971271177231</v>
      </c>
      <c r="N82" s="20">
        <f t="shared" ca="1" si="29"/>
        <v>1.1240671405130064E-4</v>
      </c>
      <c r="O82" s="20">
        <f t="shared" ca="1" si="30"/>
        <v>9.0564542521429259E-2</v>
      </c>
      <c r="P82" s="19">
        <f t="shared" ca="1" si="31"/>
        <v>110.51447246945254</v>
      </c>
      <c r="Q82" s="19">
        <f ca="1">HCTrans(P82,Strike,RiskFreeRate,Dividend,Variance_T0*AnnualVarConvtr,(Simulation!G82)/250,0.5,Variance_Avg*AnnualVarConvtr,Lambda,SQRT(Simulation!N82),Rho,1,"Call")</f>
        <v>29.023356692573202</v>
      </c>
      <c r="R82" s="19">
        <f ca="1">ImpliedVolatility("Call",P82,Strike,RiskFreeRate,G82/250,Dividend,Q82,0.5)</f>
        <v>0.74042409652675867</v>
      </c>
      <c r="S82" s="19">
        <f t="shared" ca="1" si="32"/>
        <v>0.55050445010581117</v>
      </c>
      <c r="T82" s="19">
        <f t="shared" ca="1" si="33"/>
        <v>11.0365960405734</v>
      </c>
      <c r="U82" s="19">
        <f t="shared" ca="1" si="34"/>
        <v>-26.142344578669412</v>
      </c>
      <c r="V82" s="21"/>
      <c r="X82" s="22"/>
      <c r="Y82" s="22"/>
      <c r="Z82" s="22"/>
    </row>
    <row r="83" spans="7:26" x14ac:dyDescent="0.25">
      <c r="G83" s="19">
        <v>172</v>
      </c>
      <c r="H83" s="19">
        <f t="shared" ca="1" si="26"/>
        <v>0.36546954027753775</v>
      </c>
      <c r="I83" s="19">
        <f t="shared" ca="1" si="26"/>
        <v>0.37754977132962708</v>
      </c>
      <c r="J83" s="19">
        <f t="shared" ca="1" si="27"/>
        <v>-1.0192245976312402</v>
      </c>
      <c r="K83" s="19">
        <f t="shared" ca="1" si="28"/>
        <v>0.98707948027574133</v>
      </c>
      <c r="L83" s="19">
        <f t="array" aca="1" ref="L83:M83" ca="1">MMULT(J83:K83,TRANSPOSE($B$10:$C$11))</f>
        <v>-1.0192245976312402</v>
      </c>
      <c r="M83" s="19">
        <f ca="1"/>
        <v>1.4188483277667645</v>
      </c>
      <c r="N83" s="20">
        <f t="shared" ca="1" si="29"/>
        <v>8.2061515362476126E-4</v>
      </c>
      <c r="O83" s="20">
        <f t="shared" ca="1" si="30"/>
        <v>8.9880884593200872E-2</v>
      </c>
      <c r="P83" s="19">
        <f t="shared" ca="1" si="31"/>
        <v>105.93403240319266</v>
      </c>
      <c r="Q83" s="19">
        <f ca="1">HCTrans(P83,Strike,RiskFreeRate,Dividend,Variance_T0*AnnualVarConvtr,(Simulation!G83)/250,0.5,Variance_Avg*AnnualVarConvtr,Lambda,SQRT(Simulation!N83),Rho,1,"Call")</f>
        <v>29.023356692573202</v>
      </c>
      <c r="R83" s="19">
        <f ca="1">ImpliedVolatility("Call",P83,Strike,RiskFreeRate,G83/250,Dividend,Q83,0.5)</f>
        <v>0.74042409652675867</v>
      </c>
      <c r="S83" s="19">
        <f t="shared" ca="1" si="32"/>
        <v>0.55050445010581117</v>
      </c>
      <c r="T83" s="19">
        <f t="shared" ca="1" si="33"/>
        <v>11.0365960405734</v>
      </c>
      <c r="U83" s="19">
        <f t="shared" ca="1" si="34"/>
        <v>-26.142344578669412</v>
      </c>
      <c r="V83" s="21"/>
      <c r="X83" s="22"/>
      <c r="Y83" s="22"/>
      <c r="Z83" s="22"/>
    </row>
    <row r="84" spans="7:26" x14ac:dyDescent="0.25">
      <c r="G84" s="19">
        <v>171</v>
      </c>
      <c r="H84" s="19">
        <f t="shared" ca="1" si="26"/>
        <v>0.69191595973840414</v>
      </c>
      <c r="I84" s="19">
        <f t="shared" ca="1" si="26"/>
        <v>0.4658214509585249</v>
      </c>
      <c r="J84" s="19">
        <f t="shared" ca="1" si="27"/>
        <v>-0.8385291601834487</v>
      </c>
      <c r="K84" s="19">
        <f t="shared" ca="1" si="28"/>
        <v>0.18289450492193102</v>
      </c>
      <c r="L84" s="19">
        <f t="array" aca="1" ref="L84:M84" ca="1">MMULT(J84:K84,TRANSPOSE($B$10:$C$11))</f>
        <v>-0.8385291601834487</v>
      </c>
      <c r="M84" s="19">
        <f ca="1"/>
        <v>0.72839098898144938</v>
      </c>
      <c r="N84" s="20">
        <f t="shared" ca="1" si="29"/>
        <v>1.444999129571248E-3</v>
      </c>
      <c r="O84" s="20">
        <f t="shared" ca="1" si="30"/>
        <v>8.8360032938088612E-2</v>
      </c>
      <c r="P84" s="19">
        <f t="shared" ca="1" si="31"/>
        <v>99.811683085270218</v>
      </c>
      <c r="Q84" s="19">
        <f ca="1">HCTrans(P84,Strike,RiskFreeRate,Dividend,Variance_T0*AnnualVarConvtr,(Simulation!G84)/250,0.5,Variance_Avg*AnnualVarConvtr,Lambda,SQRT(Simulation!N84),Rho,1,"Call")</f>
        <v>29.023356692573202</v>
      </c>
      <c r="R84" s="19">
        <f ca="1">ImpliedVolatility("Call",P84,Strike,RiskFreeRate,G84/250,Dividend,Q84,0.5)</f>
        <v>0.74042409652675867</v>
      </c>
      <c r="S84" s="19">
        <f t="shared" ca="1" si="32"/>
        <v>0.55050445010581117</v>
      </c>
      <c r="T84" s="19">
        <f t="shared" ca="1" si="33"/>
        <v>11.0365960405734</v>
      </c>
      <c r="U84" s="19">
        <f t="shared" ca="1" si="34"/>
        <v>-26.142344578669412</v>
      </c>
      <c r="V84" s="21"/>
      <c r="X84" s="22"/>
      <c r="Y84" s="22"/>
      <c r="Z84" s="22"/>
    </row>
    <row r="85" spans="7:26" x14ac:dyDescent="0.25">
      <c r="G85" s="19">
        <v>170</v>
      </c>
      <c r="H85" s="19">
        <f t="shared" ca="1" si="26"/>
        <v>0.6388157375213791</v>
      </c>
      <c r="I85" s="19">
        <f t="shared" ca="1" si="26"/>
        <v>0.48517536145531448</v>
      </c>
      <c r="J85" s="19">
        <f t="shared" ca="1" si="27"/>
        <v>-0.94261585734318964</v>
      </c>
      <c r="K85" s="19">
        <f t="shared" ca="1" si="28"/>
        <v>8.8055659869638717E-2</v>
      </c>
      <c r="L85" s="19">
        <f t="array" aca="1" ref="L85:M85" ca="1">MMULT(J85:K85,TRANSPOSE($B$10:$C$11))</f>
        <v>-0.94261585734318964</v>
      </c>
      <c r="M85" s="19">
        <f ca="1"/>
        <v>0.73681075343061586</v>
      </c>
      <c r="N85" s="20">
        <f t="shared" ca="1" si="29"/>
        <v>2.2430692873529117E-3</v>
      </c>
      <c r="O85" s="20">
        <f t="shared" ca="1" si="30"/>
        <v>8.609094140212234E-2</v>
      </c>
      <c r="P85" s="19">
        <f t="shared" ca="1" si="31"/>
        <v>93.242786793854393</v>
      </c>
      <c r="Q85" s="19">
        <f ca="1">HCTrans(P85,Strike,RiskFreeRate,Dividend,Variance_T0*AnnualVarConvtr,(Simulation!G85)/250,0.5,Variance_Avg*AnnualVarConvtr,Lambda,SQRT(Simulation!N85),Rho,1,"Call")</f>
        <v>29.023356692573202</v>
      </c>
      <c r="R85" s="19">
        <f ca="1">ImpliedVolatility("Call",P85,Strike,RiskFreeRate,G85/250,Dividend,Q85,0.5)</f>
        <v>0.74042409652675867</v>
      </c>
      <c r="S85" s="19">
        <f t="shared" ca="1" si="32"/>
        <v>0.55050445010581117</v>
      </c>
      <c r="T85" s="19">
        <f t="shared" ca="1" si="33"/>
        <v>11.0365960405734</v>
      </c>
      <c r="U85" s="19">
        <f t="shared" ca="1" si="34"/>
        <v>-26.142344578669412</v>
      </c>
      <c r="V85" s="21"/>
      <c r="X85" s="22"/>
      <c r="Y85" s="22"/>
      <c r="Z85" s="22"/>
    </row>
    <row r="86" spans="7:26" x14ac:dyDescent="0.25">
      <c r="G86" s="19">
        <v>169</v>
      </c>
      <c r="H86" s="19">
        <f t="shared" ca="1" si="26"/>
        <v>0.92534877969375939</v>
      </c>
      <c r="I86" s="19">
        <f t="shared" ca="1" si="26"/>
        <v>0.77426373806871063</v>
      </c>
      <c r="J86" s="19">
        <f t="shared" ca="1" si="27"/>
        <v>5.9821401538331792E-2</v>
      </c>
      <c r="K86" s="19">
        <f t="shared" ca="1" si="28"/>
        <v>-0.38934625558555741</v>
      </c>
      <c r="L86" s="19">
        <f t="array" aca="1" ref="L86:M86" ca="1">MMULT(J86:K86,TRANSPOSE($B$10:$C$11))</f>
        <v>5.9821401538331792E-2</v>
      </c>
      <c r="M86" s="19">
        <f ca="1"/>
        <v>-0.31446495615909142</v>
      </c>
      <c r="N86" s="20">
        <f t="shared" ca="1" si="29"/>
        <v>1.9182030959928038E-3</v>
      </c>
      <c r="O86" s="20">
        <f t="shared" ca="1" si="30"/>
        <v>8.6265642851685601E-2</v>
      </c>
      <c r="P86" s="19">
        <f t="shared" ca="1" si="31"/>
        <v>87.703067212773092</v>
      </c>
      <c r="Q86" s="19">
        <f ca="1">HCTrans(P86,Strike,RiskFreeRate,Dividend,Variance_T0*AnnualVarConvtr,(Simulation!G86)/250,0.5,Variance_Avg*AnnualVarConvtr,Lambda,SQRT(Simulation!N86),Rho,1,"Call")</f>
        <v>29.023356692573202</v>
      </c>
      <c r="R86" s="19">
        <f ca="1">ImpliedVolatility("Call",P86,Strike,RiskFreeRate,G86/250,Dividend,Q86,0.5)</f>
        <v>0.74042409652675867</v>
      </c>
      <c r="S86" s="19">
        <f t="shared" ca="1" si="32"/>
        <v>0.55050445010581117</v>
      </c>
      <c r="T86" s="19">
        <f t="shared" ca="1" si="33"/>
        <v>11.0365960405734</v>
      </c>
      <c r="U86" s="19">
        <f t="shared" ca="1" si="34"/>
        <v>-26.142344578669412</v>
      </c>
      <c r="V86" s="21"/>
      <c r="X86" s="22"/>
      <c r="Y86" s="22"/>
      <c r="Z86" s="22"/>
    </row>
    <row r="87" spans="7:26" x14ac:dyDescent="0.25">
      <c r="G87" s="19">
        <v>168</v>
      </c>
      <c r="H87" s="19">
        <f t="shared" ca="1" si="26"/>
        <v>0.33817287831712761</v>
      </c>
      <c r="I87" s="19">
        <f t="shared" ca="1" si="26"/>
        <v>0.66561647727210527</v>
      </c>
      <c r="J87" s="19">
        <f t="shared" ca="1" si="27"/>
        <v>-0.74467252037320808</v>
      </c>
      <c r="K87" s="19">
        <f t="shared" ca="1" si="28"/>
        <v>-1.2703774703976751</v>
      </c>
      <c r="L87" s="19">
        <f t="array" aca="1" ref="L87:M87" ca="1">MMULT(J87:K87,TRANSPOSE($B$10:$C$11))</f>
        <v>-0.74467252037320808</v>
      </c>
      <c r="M87" s="19">
        <f ca="1"/>
        <v>-0.3526410636273517</v>
      </c>
      <c r="N87" s="20">
        <f t="shared" ca="1" si="29"/>
        <v>1.5853682738146415E-3</v>
      </c>
      <c r="O87" s="20">
        <f t="shared" ca="1" si="30"/>
        <v>8.4199075341214208E-2</v>
      </c>
      <c r="P87" s="19">
        <f t="shared" ca="1" si="31"/>
        <v>82.231011533697753</v>
      </c>
      <c r="Q87" s="19">
        <f ca="1">HCTrans(P87,Strike,RiskFreeRate,Dividend,Variance_T0*AnnualVarConvtr,(Simulation!G87)/250,0.5,Variance_Avg*AnnualVarConvtr,Lambda,SQRT(Simulation!N87),Rho,1,"Call")</f>
        <v>29.023356692573202</v>
      </c>
      <c r="R87" s="19">
        <f ca="1">ImpliedVolatility("Call",P87,Strike,RiskFreeRate,G87/250,Dividend,Q87,0.5)</f>
        <v>0.74042409652675867</v>
      </c>
      <c r="S87" s="19">
        <f t="shared" ca="1" si="32"/>
        <v>0.55050445010581117</v>
      </c>
      <c r="T87" s="19">
        <f t="shared" ca="1" si="33"/>
        <v>11.0365960405734</v>
      </c>
      <c r="U87" s="19">
        <f t="shared" ca="1" si="34"/>
        <v>-26.142344578669412</v>
      </c>
      <c r="V87" s="21"/>
      <c r="X87" s="22"/>
      <c r="Y87" s="22"/>
      <c r="Z87" s="22"/>
    </row>
    <row r="88" spans="7:26" x14ac:dyDescent="0.25">
      <c r="G88" s="19">
        <v>167</v>
      </c>
      <c r="H88" s="19">
        <f t="shared" ca="1" si="26"/>
        <v>0.85873133128930845</v>
      </c>
      <c r="I88" s="19">
        <f t="shared" ca="1" si="26"/>
        <v>0.56328619652880452</v>
      </c>
      <c r="J88" s="19">
        <f t="shared" ca="1" si="27"/>
        <v>-0.50884355205887599</v>
      </c>
      <c r="K88" s="19">
        <f t="shared" ca="1" si="28"/>
        <v>-0.2137208218542665</v>
      </c>
      <c r="L88" s="19">
        <f t="array" aca="1" ref="L88:M88" ca="1">MMULT(J88:K88,TRANSPOSE($B$10:$C$11))</f>
        <v>-0.50884355205887599</v>
      </c>
      <c r="M88" s="19">
        <f ca="1"/>
        <v>0.21549751857471619</v>
      </c>
      <c r="N88" s="20">
        <f t="shared" ca="1" si="29"/>
        <v>1.8316893464010383E-3</v>
      </c>
      <c r="O88" s="20">
        <f t="shared" ca="1" si="30"/>
        <v>8.2914520439862943E-2</v>
      </c>
      <c r="P88" s="19">
        <f t="shared" ca="1" si="31"/>
        <v>76.895220231887549</v>
      </c>
      <c r="Q88" s="19">
        <f ca="1">HCTrans(P88,Strike,RiskFreeRate,Dividend,Variance_T0*AnnualVarConvtr,(Simulation!G88)/250,0.5,Variance_Avg*AnnualVarConvtr,Lambda,SQRT(Simulation!N88),Rho,1,"Call")</f>
        <v>29.023356692573202</v>
      </c>
      <c r="R88" s="19">
        <f ca="1">ImpliedVolatility("Call",P88,Strike,RiskFreeRate,G88/250,Dividend,Q88,0.5)</f>
        <v>0.74042409652675867</v>
      </c>
      <c r="S88" s="19">
        <f t="shared" ca="1" si="32"/>
        <v>0.55050445010581117</v>
      </c>
      <c r="T88" s="19">
        <f t="shared" ca="1" si="33"/>
        <v>11.0365960405734</v>
      </c>
      <c r="U88" s="19">
        <f t="shared" ca="1" si="34"/>
        <v>-26.142344578669412</v>
      </c>
      <c r="V88" s="21"/>
      <c r="X88" s="22"/>
      <c r="Y88" s="22"/>
      <c r="Z88" s="22"/>
    </row>
    <row r="89" spans="7:26" x14ac:dyDescent="0.25">
      <c r="G89" s="19">
        <v>166</v>
      </c>
      <c r="H89" s="19">
        <f t="shared" ca="1" si="26"/>
        <v>2.5675282082272211E-2</v>
      </c>
      <c r="I89" s="19">
        <f t="shared" ca="1" si="26"/>
        <v>0.45035041350012872</v>
      </c>
      <c r="J89" s="19">
        <f t="shared" ca="1" si="27"/>
        <v>-2.5757484569411608</v>
      </c>
      <c r="K89" s="19">
        <f t="shared" ca="1" si="28"/>
        <v>0.8306461097954756</v>
      </c>
      <c r="L89" s="19">
        <f t="array" aca="1" ref="L89:M89" ca="1">MMULT(J89:K89,TRANSPOSE($B$10:$C$11))</f>
        <v>-2.5757484569411608</v>
      </c>
      <c r="M89" s="19">
        <f ca="1"/>
        <v>2.4249717730609524</v>
      </c>
      <c r="N89" s="20">
        <f t="shared" ca="1" si="29"/>
        <v>5.2880619001926792E-3</v>
      </c>
      <c r="O89" s="20">
        <f t="shared" ca="1" si="30"/>
        <v>7.5938825350775244E-2</v>
      </c>
      <c r="P89" s="19">
        <f t="shared" ca="1" si="31"/>
        <v>70.93413317630818</v>
      </c>
      <c r="Q89" s="19">
        <f ca="1">HCTrans(P89,Strike,RiskFreeRate,Dividend,Variance_T0*AnnualVarConvtr,(Simulation!G89)/250,0.5,Variance_Avg*AnnualVarConvtr,Lambda,SQRT(Simulation!N89),Rho,1,"Call")</f>
        <v>29.023356692573202</v>
      </c>
      <c r="R89" s="19">
        <f ca="1">ImpliedVolatility("Call",P89,Strike,RiskFreeRate,G89/250,Dividend,Q89,0.5)</f>
        <v>0.74042409652675867</v>
      </c>
      <c r="S89" s="19">
        <f t="shared" ca="1" si="32"/>
        <v>0.55050445010581117</v>
      </c>
      <c r="T89" s="19">
        <f t="shared" ca="1" si="33"/>
        <v>11.0365960405734</v>
      </c>
      <c r="U89" s="19">
        <f t="shared" ca="1" si="34"/>
        <v>-26.142344578669412</v>
      </c>
      <c r="V89" s="21"/>
      <c r="X89" s="22"/>
      <c r="Y89" s="22"/>
      <c r="Z89" s="22"/>
    </row>
    <row r="90" spans="7:26" x14ac:dyDescent="0.25">
      <c r="G90" s="19">
        <v>165</v>
      </c>
      <c r="H90" s="19">
        <f t="shared" ca="1" si="26"/>
        <v>0.22102394478329423</v>
      </c>
      <c r="I90" s="19">
        <f t="shared" ca="1" si="26"/>
        <v>0.7933974106538233</v>
      </c>
      <c r="J90" s="19">
        <f t="shared" ca="1" si="27"/>
        <v>0.46792673777575439</v>
      </c>
      <c r="K90" s="19">
        <f t="shared" ca="1" si="28"/>
        <v>-1.6733239494700918</v>
      </c>
      <c r="L90" s="19">
        <f t="array" aca="1" ref="L90:M90" ca="1">MMULT(J90:K90,TRANSPOSE($B$10:$C$11))</f>
        <v>0.46792673777575439</v>
      </c>
      <c r="M90" s="19">
        <f ca="1"/>
        <v>-1.5025586943916913</v>
      </c>
      <c r="N90" s="20">
        <f t="shared" ca="1" si="29"/>
        <v>2.9575329034431182E-3</v>
      </c>
      <c r="O90" s="20">
        <f t="shared" ca="1" si="30"/>
        <v>7.8080317885178177E-2</v>
      </c>
      <c r="P90" s="19">
        <f t="shared" ca="1" si="31"/>
        <v>64.500971285779883</v>
      </c>
      <c r="Q90" s="19">
        <f ca="1">HCTrans(P90,Strike,RiskFreeRate,Dividend,Variance_T0*AnnualVarConvtr,(Simulation!G90)/250,0.5,Variance_Avg*AnnualVarConvtr,Lambda,SQRT(Simulation!N90),Rho,1,"Call")</f>
        <v>29.023356692573202</v>
      </c>
      <c r="R90" s="19">
        <f ca="1">ImpliedVolatility("Call",P90,Strike,RiskFreeRate,G90/250,Dividend,Q90,0.5)</f>
        <v>0.74042409652675867</v>
      </c>
      <c r="S90" s="19">
        <f t="shared" ca="1" si="32"/>
        <v>0.55050445010581117</v>
      </c>
      <c r="T90" s="19">
        <f t="shared" ca="1" si="33"/>
        <v>11.0365960405734</v>
      </c>
      <c r="U90" s="19">
        <f t="shared" ca="1" si="34"/>
        <v>-26.142344578669412</v>
      </c>
      <c r="V90" s="21"/>
      <c r="X90" s="22"/>
      <c r="Y90" s="22"/>
      <c r="Z90" s="22"/>
    </row>
    <row r="91" spans="7:26" x14ac:dyDescent="0.25">
      <c r="G91" s="19">
        <v>164</v>
      </c>
      <c r="H91" s="19">
        <f t="shared" ca="1" si="26"/>
        <v>0.91913669456745406</v>
      </c>
      <c r="I91" s="19">
        <f t="shared" ca="1" si="26"/>
        <v>0.7444935806757973</v>
      </c>
      <c r="J91" s="19">
        <f t="shared" ca="1" si="27"/>
        <v>-1.4205086875751581E-2</v>
      </c>
      <c r="K91" s="19">
        <f t="shared" ca="1" si="28"/>
        <v>-0.41041328612148925</v>
      </c>
      <c r="L91" s="19">
        <f t="array" aca="1" ref="L91:M91" ca="1">MMULT(J91:K91,TRANSPOSE($B$10:$C$11))</f>
        <v>-1.4205086875751581E-2</v>
      </c>
      <c r="M91" s="19">
        <f ca="1"/>
        <v>-0.27612106576506895</v>
      </c>
      <c r="N91" s="20">
        <f t="shared" ca="1" si="29"/>
        <v>2.6224603998463557E-3</v>
      </c>
      <c r="O91" s="20">
        <f t="shared" ca="1" si="30"/>
        <v>7.8025544482195786E-2</v>
      </c>
      <c r="P91" s="19">
        <f t="shared" ca="1" si="31"/>
        <v>58.833824768944929</v>
      </c>
      <c r="Q91" s="19">
        <f ca="1">HCTrans(P91,Strike,RiskFreeRate,Dividend,Variance_T0*AnnualVarConvtr,(Simulation!G91)/250,0.5,Variance_Avg*AnnualVarConvtr,Lambda,SQRT(Simulation!N91),Rho,1,"Call")</f>
        <v>29.023356692573202</v>
      </c>
      <c r="R91" s="19">
        <f ca="1">ImpliedVolatility("Call",P91,Strike,RiskFreeRate,G91/250,Dividend,Q91,0.5)</f>
        <v>0.74042409652675867</v>
      </c>
      <c r="S91" s="19">
        <f t="shared" ca="1" si="32"/>
        <v>0.55050445010581117</v>
      </c>
      <c r="T91" s="19">
        <f t="shared" ca="1" si="33"/>
        <v>11.0365960405734</v>
      </c>
      <c r="U91" s="19">
        <f t="shared" ca="1" si="34"/>
        <v>-26.142344578669412</v>
      </c>
      <c r="V91" s="21"/>
      <c r="X91" s="22"/>
      <c r="Y91" s="22"/>
      <c r="Z91" s="22"/>
    </row>
    <row r="92" spans="7:26" x14ac:dyDescent="0.25">
      <c r="G92" s="19">
        <v>163</v>
      </c>
      <c r="H92" s="19">
        <f t="shared" ca="1" si="26"/>
        <v>0.31066164457850354</v>
      </c>
      <c r="I92" s="19">
        <f t="shared" ca="1" si="26"/>
        <v>7.9740722612759551E-2</v>
      </c>
      <c r="J92" s="19">
        <f t="shared" ca="1" si="27"/>
        <v>1.3411459344493462</v>
      </c>
      <c r="K92" s="19">
        <f t="shared" ca="1" si="28"/>
        <v>0.73445858953402199</v>
      </c>
      <c r="L92" s="19">
        <f t="array" aca="1" ref="L92:M92" ca="1">MMULT(J92:K92,TRANSPOSE($B$10:$C$11))</f>
        <v>1.3411459344493462</v>
      </c>
      <c r="M92" s="19">
        <f ca="1"/>
        <v>-0.44858223085245097</v>
      </c>
      <c r="N92" s="20">
        <f t="shared" ca="1" si="29"/>
        <v>2.1128785375147015E-3</v>
      </c>
      <c r="O92" s="20">
        <f t="shared" ca="1" si="30"/>
        <v>8.2364006359587461E-2</v>
      </c>
      <c r="P92" s="19">
        <f t="shared" ca="1" si="31"/>
        <v>53.410432673964515</v>
      </c>
      <c r="Q92" s="19">
        <f ca="1">HCTrans(P92,Strike,RiskFreeRate,Dividend,Variance_T0*AnnualVarConvtr,(Simulation!G92)/250,0.5,Variance_Avg*AnnualVarConvtr,Lambda,SQRT(Simulation!N92),Rho,1,"Call")</f>
        <v>29.023356692573202</v>
      </c>
      <c r="R92" s="19">
        <f ca="1">ImpliedVolatility("Call",P92,Strike,RiskFreeRate,G92/250,Dividend,Q92,0.5)</f>
        <v>0.74042409652675867</v>
      </c>
      <c r="S92" s="19">
        <f t="shared" ca="1" si="32"/>
        <v>0.55050445010581117</v>
      </c>
      <c r="T92" s="19">
        <f t="shared" ca="1" si="33"/>
        <v>11.0365960405734</v>
      </c>
      <c r="U92" s="19">
        <f t="shared" ca="1" si="34"/>
        <v>-26.142344578669412</v>
      </c>
      <c r="V92" s="21"/>
      <c r="X92" s="22"/>
      <c r="Y92" s="22"/>
      <c r="Z92" s="22"/>
    </row>
    <row r="93" spans="7:26" x14ac:dyDescent="0.25">
      <c r="G93" s="19">
        <v>162</v>
      </c>
      <c r="H93" s="19">
        <f t="shared" ca="1" si="26"/>
        <v>0.95912419712128261</v>
      </c>
      <c r="I93" s="19">
        <f t="shared" ca="1" si="26"/>
        <v>0.11890753084214922</v>
      </c>
      <c r="J93" s="19">
        <f t="shared" ca="1" si="27"/>
        <v>0.21195943837220152</v>
      </c>
      <c r="K93" s="19">
        <f t="shared" ca="1" si="28"/>
        <v>0.19632271301152615</v>
      </c>
      <c r="L93" s="19">
        <f t="array" aca="1" ref="L93:M93" ca="1">MMULT(J93:K93,TRANSPOSE($B$10:$C$11))</f>
        <v>0.21195943837220152</v>
      </c>
      <c r="M93" s="19">
        <f ca="1"/>
        <v>-1.4916747260585533E-2</v>
      </c>
      <c r="N93" s="20">
        <f t="shared" ca="1" si="29"/>
        <v>2.1222496919227427E-3</v>
      </c>
      <c r="O93" s="20">
        <f t="shared" ca="1" si="30"/>
        <v>8.297597822959682E-2</v>
      </c>
      <c r="P93" s="19">
        <f t="shared" ca="1" si="31"/>
        <v>49.008946062361161</v>
      </c>
      <c r="Q93" s="19">
        <f ca="1">HCTrans(P93,Strike,RiskFreeRate,Dividend,Variance_T0*AnnualVarConvtr,(Simulation!G93)/250,0.5,Variance_Avg*AnnualVarConvtr,Lambda,SQRT(Simulation!N93),Rho,1,"Call")</f>
        <v>29.023356692573202</v>
      </c>
      <c r="R93" s="19">
        <f ca="1">ImpliedVolatility("Call",P93,Strike,RiskFreeRate,G93/250,Dividend,Q93,0.5)</f>
        <v>0.74042409652675867</v>
      </c>
      <c r="S93" s="19">
        <f t="shared" ca="1" si="32"/>
        <v>0.55050445010581117</v>
      </c>
      <c r="T93" s="19">
        <f t="shared" ca="1" si="33"/>
        <v>11.0365960405734</v>
      </c>
      <c r="U93" s="19">
        <f t="shared" ca="1" si="34"/>
        <v>-26.142344578669412</v>
      </c>
      <c r="V93" s="21"/>
      <c r="X93" s="22"/>
      <c r="Y93" s="22"/>
      <c r="Z93" s="22"/>
    </row>
    <row r="94" spans="7:26" x14ac:dyDescent="0.25">
      <c r="G94" s="19">
        <v>161</v>
      </c>
      <c r="H94" s="19">
        <f t="shared" ca="1" si="26"/>
        <v>0.6395336318484327</v>
      </c>
      <c r="I94" s="19">
        <f t="shared" ca="1" si="26"/>
        <v>0.9002582559509289</v>
      </c>
      <c r="J94" s="19">
        <f t="shared" ca="1" si="27"/>
        <v>0.76585286866203006</v>
      </c>
      <c r="K94" s="19">
        <f t="shared" ca="1" si="28"/>
        <v>-0.5545281963568347</v>
      </c>
      <c r="L94" s="19">
        <f t="array" aca="1" ref="L94:M94" ca="1">MMULT(J94:K94,TRANSPOSE($B$10:$C$11))</f>
        <v>0.76585286866203006</v>
      </c>
      <c r="M94" s="19">
        <f ca="1"/>
        <v>-0.93556529195725524</v>
      </c>
      <c r="N94" s="20">
        <f t="shared" ca="1" si="29"/>
        <v>1.2231022625143538E-3</v>
      </c>
      <c r="O94" s="20">
        <f t="shared" ca="1" si="30"/>
        <v>8.5203113948856588E-2</v>
      </c>
      <c r="P94" s="19">
        <f t="shared" ca="1" si="31"/>
        <v>44.482772527220803</v>
      </c>
      <c r="Q94" s="19">
        <f ca="1">HCTrans(P94,Strike,RiskFreeRate,Dividend,Variance_T0*AnnualVarConvtr,(Simulation!G94)/250,0.5,Variance_Avg*AnnualVarConvtr,Lambda,SQRT(Simulation!N94),Rho,1,"Call")</f>
        <v>29.023356692573202</v>
      </c>
      <c r="R94" s="19">
        <f ca="1">ImpliedVolatility("Call",P94,Strike,RiskFreeRate,G94/250,Dividend,Q94,0.5)</f>
        <v>0.74042409652675867</v>
      </c>
      <c r="S94" s="19">
        <f t="shared" ca="1" si="32"/>
        <v>0.55050445010581117</v>
      </c>
      <c r="T94" s="19">
        <f t="shared" ca="1" si="33"/>
        <v>11.0365960405734</v>
      </c>
      <c r="U94" s="19">
        <f t="shared" ca="1" si="34"/>
        <v>-26.142344578669412</v>
      </c>
      <c r="V94" s="21"/>
      <c r="X94" s="22"/>
      <c r="Y94" s="22"/>
      <c r="Z94" s="22"/>
    </row>
    <row r="95" spans="7:26" x14ac:dyDescent="0.25">
      <c r="G95" s="19">
        <v>160</v>
      </c>
      <c r="H95" s="19">
        <f t="shared" ref="H95:I158" ca="1" si="35">RAND()</f>
        <v>0.8180082799315902</v>
      </c>
      <c r="I95" s="19">
        <f t="shared" ca="1" si="35"/>
        <v>0.33224423644751544</v>
      </c>
      <c r="J95" s="19">
        <f t="shared" ca="1" si="27"/>
        <v>-0.31316121013358106</v>
      </c>
      <c r="K95" s="19">
        <f t="shared" ca="1" si="28"/>
        <v>0.55108592523978728</v>
      </c>
      <c r="L95" s="19">
        <f t="array" aca="1" ref="L95:M95" ca="1">MMULT(J95:K95,TRANSPOSE($B$10:$C$11))</f>
        <v>-0.31316121013358106</v>
      </c>
      <c r="M95" s="19">
        <f ca="1"/>
        <v>0.60881043472548713</v>
      </c>
      <c r="N95" s="20">
        <f t="shared" ca="1" si="29"/>
        <v>1.8317651039375204E-3</v>
      </c>
      <c r="O95" s="20">
        <f t="shared" ca="1" si="30"/>
        <v>8.4507993015994959E-2</v>
      </c>
      <c r="P95" s="19">
        <f t="shared" ca="1" si="31"/>
        <v>41.300753822505172</v>
      </c>
      <c r="Q95" s="19">
        <f ca="1">HCTrans(P95,Strike,RiskFreeRate,Dividend,Variance_T0*AnnualVarConvtr,(Simulation!G95)/250,0.5,Variance_Avg*AnnualVarConvtr,Lambda,SQRT(Simulation!N95),Rho,1,"Call")</f>
        <v>29.023356692573202</v>
      </c>
      <c r="R95" s="19">
        <f ca="1">ImpliedVolatility("Call",P95,Strike,RiskFreeRate,G95/250,Dividend,Q95,0.5)</f>
        <v>0.74042409652675867</v>
      </c>
      <c r="S95" s="19">
        <f t="shared" ca="1" si="32"/>
        <v>0.55050445010581117</v>
      </c>
      <c r="T95" s="19">
        <f t="shared" ca="1" si="33"/>
        <v>11.0365960405734</v>
      </c>
      <c r="U95" s="19">
        <f t="shared" ca="1" si="34"/>
        <v>-26.142344578669412</v>
      </c>
      <c r="V95" s="21"/>
      <c r="X95" s="22"/>
      <c r="Y95" s="22"/>
      <c r="Z95" s="22"/>
    </row>
    <row r="96" spans="7:26" x14ac:dyDescent="0.25">
      <c r="G96" s="19">
        <v>159</v>
      </c>
      <c r="H96" s="19">
        <f t="shared" ca="1" si="35"/>
        <v>0.58392793526633402</v>
      </c>
      <c r="I96" s="19">
        <f t="shared" ca="1" si="35"/>
        <v>4.0952284566192487E-3</v>
      </c>
      <c r="J96" s="19">
        <f t="shared" ca="1" si="27"/>
        <v>1.0369393348402021</v>
      </c>
      <c r="K96" s="19">
        <f t="shared" ca="1" si="28"/>
        <v>2.6687458300263037E-2</v>
      </c>
      <c r="L96" s="19">
        <f t="array" aca="1" ref="L96:M96" ca="1">MMULT(J96:K96,TRANSPOSE($B$10:$C$11))</f>
        <v>1.0369393348402021</v>
      </c>
      <c r="M96" s="19">
        <f ca="1"/>
        <v>-0.72435020700214714</v>
      </c>
      <c r="N96" s="20">
        <f t="shared" ca="1" si="29"/>
        <v>1.1781040914489722E-3</v>
      </c>
      <c r="O96" s="20">
        <f t="shared" ca="1" si="30"/>
        <v>8.7311173224189492E-2</v>
      </c>
      <c r="P96" s="19">
        <f t="shared" ca="1" si="31"/>
        <v>39.185315872296222</v>
      </c>
      <c r="Q96" s="19">
        <f ca="1">HCTrans(P96,Strike,RiskFreeRate,Dividend,Variance_T0*AnnualVarConvtr,(Simulation!G96)/250,0.5,Variance_Avg*AnnualVarConvtr,Lambda,SQRT(Simulation!N96),Rho,1,"Call")</f>
        <v>29.023356692573202</v>
      </c>
      <c r="R96" s="19">
        <f ca="1">ImpliedVolatility("Call",P96,Strike,RiskFreeRate,G96/250,Dividend,Q96,0.5)</f>
        <v>0.74042409652675867</v>
      </c>
      <c r="S96" s="19">
        <f t="shared" ca="1" si="32"/>
        <v>0.55050445010581117</v>
      </c>
      <c r="T96" s="19">
        <f t="shared" ca="1" si="33"/>
        <v>11.0365960405734</v>
      </c>
      <c r="U96" s="19">
        <f t="shared" ca="1" si="34"/>
        <v>-26.142344578669412</v>
      </c>
      <c r="V96" s="21"/>
      <c r="X96" s="22"/>
      <c r="Y96" s="22"/>
      <c r="Z96" s="22"/>
    </row>
    <row r="97" spans="7:26" x14ac:dyDescent="0.25">
      <c r="G97" s="19">
        <v>158</v>
      </c>
      <c r="H97" s="19">
        <f t="shared" ca="1" si="35"/>
        <v>0.72262598396287947</v>
      </c>
      <c r="I97" s="19">
        <f t="shared" ca="1" si="35"/>
        <v>0.76247280697210584</v>
      </c>
      <c r="J97" s="19">
        <f t="shared" ca="1" si="27"/>
        <v>6.3105162094994921E-2</v>
      </c>
      <c r="K97" s="19">
        <f t="shared" ca="1" si="28"/>
        <v>-0.80358244279992519</v>
      </c>
      <c r="L97" s="19">
        <f t="array" aca="1" ref="L97:M97" ca="1">MMULT(J97:K97,TRANSPOSE($B$10:$C$11))</f>
        <v>6.3105162094994921E-2</v>
      </c>
      <c r="M97" s="19">
        <f ca="1"/>
        <v>-0.60578358756333561</v>
      </c>
      <c r="N97" s="20">
        <f t="shared" ca="1" si="29"/>
        <v>7.5452877506075339E-4</v>
      </c>
      <c r="O97" s="20">
        <f t="shared" ca="1" si="30"/>
        <v>8.7445806337435442E-2</v>
      </c>
      <c r="P97" s="19">
        <f t="shared" ca="1" si="31"/>
        <v>37.617093013354925</v>
      </c>
      <c r="Q97" s="19">
        <f ca="1">HCTrans(P97,Strike,RiskFreeRate,Dividend,Variance_T0*AnnualVarConvtr,(Simulation!G97)/250,0.5,Variance_Avg*AnnualVarConvtr,Lambda,SQRT(Simulation!N97),Rho,1,"Call")</f>
        <v>29.023356692573202</v>
      </c>
      <c r="R97" s="19">
        <f ca="1">ImpliedVolatility("Call",P97,Strike,RiskFreeRate,G97/250,Dividend,Q97,0.5)</f>
        <v>0.74042409652675867</v>
      </c>
      <c r="S97" s="19">
        <f t="shared" ca="1" si="32"/>
        <v>0.55050445010581117</v>
      </c>
      <c r="T97" s="19">
        <f t="shared" ca="1" si="33"/>
        <v>11.0365960405734</v>
      </c>
      <c r="U97" s="19">
        <f t="shared" ca="1" si="34"/>
        <v>-26.142344578669412</v>
      </c>
      <c r="V97" s="21"/>
      <c r="X97" s="22"/>
      <c r="Y97" s="22"/>
      <c r="Z97" s="22"/>
    </row>
    <row r="98" spans="7:26" x14ac:dyDescent="0.25">
      <c r="G98" s="19">
        <v>157</v>
      </c>
      <c r="H98" s="19">
        <f t="shared" ca="1" si="35"/>
        <v>0.68194284987576992</v>
      </c>
      <c r="I98" s="19">
        <f t="shared" ca="1" si="35"/>
        <v>0.13927876875518153</v>
      </c>
      <c r="J98" s="19">
        <f t="shared" ca="1" si="27"/>
        <v>0.56079322007085053</v>
      </c>
      <c r="K98" s="19">
        <f t="shared" ca="1" si="28"/>
        <v>0.6716619754717511</v>
      </c>
      <c r="L98" s="19">
        <f t="array" aca="1" ref="L98:M98" ca="1">MMULT(J98:K98,TRANSPOSE($B$10:$C$11))</f>
        <v>0.56079322007085053</v>
      </c>
      <c r="M98" s="19">
        <f ca="1"/>
        <v>6.6734381650230101E-2</v>
      </c>
      <c r="N98" s="20">
        <f t="shared" ca="1" si="29"/>
        <v>8.3349777234106837E-4</v>
      </c>
      <c r="O98" s="20">
        <f t="shared" ca="1" si="30"/>
        <v>8.8418547816163803E-2</v>
      </c>
      <c r="P98" s="19">
        <f t="shared" ca="1" si="31"/>
        <v>35.920174100725532</v>
      </c>
      <c r="Q98" s="19">
        <f ca="1">HCTrans(P98,Strike,RiskFreeRate,Dividend,Variance_T0*AnnualVarConvtr,(Simulation!G98)/250,0.5,Variance_Avg*AnnualVarConvtr,Lambda,SQRT(Simulation!N98),Rho,1,"Call")</f>
        <v>29.023356692573202</v>
      </c>
      <c r="R98" s="19">
        <f ca="1">ImpliedVolatility("Call",P98,Strike,RiskFreeRate,G98/250,Dividend,Q98,0.5)</f>
        <v>0.74042409652675867</v>
      </c>
      <c r="S98" s="19">
        <f t="shared" ca="1" si="32"/>
        <v>0.55050445010581117</v>
      </c>
      <c r="T98" s="19">
        <f t="shared" ca="1" si="33"/>
        <v>11.0365960405734</v>
      </c>
      <c r="U98" s="19">
        <f t="shared" ca="1" si="34"/>
        <v>-26.142344578669412</v>
      </c>
      <c r="V98" s="21"/>
      <c r="X98" s="22"/>
      <c r="Y98" s="22"/>
      <c r="Z98" s="22"/>
    </row>
    <row r="99" spans="7:26" x14ac:dyDescent="0.25">
      <c r="G99" s="19">
        <v>156</v>
      </c>
      <c r="H99" s="19">
        <f t="shared" ca="1" si="35"/>
        <v>0.83835590178136199</v>
      </c>
      <c r="I99" s="19">
        <f t="shared" ca="1" si="35"/>
        <v>0.26680620753367279</v>
      </c>
      <c r="J99" s="19">
        <f t="shared" ca="1" si="27"/>
        <v>-6.2589114995188877E-2</v>
      </c>
      <c r="K99" s="19">
        <f t="shared" ca="1" si="28"/>
        <v>0.59051480287435509</v>
      </c>
      <c r="L99" s="19">
        <f t="array" aca="1" ref="L99:M99" ca="1">MMULT(J99:K99,TRANSPOSE($B$10:$C$11))</f>
        <v>-6.2589114995188877E-2</v>
      </c>
      <c r="M99" s="19">
        <f ca="1"/>
        <v>0.45678060462260928</v>
      </c>
      <c r="N99" s="20">
        <f t="shared" ca="1" si="29"/>
        <v>1.221152188590805E-3</v>
      </c>
      <c r="O99" s="20">
        <f t="shared" ca="1" si="30"/>
        <v>8.8302597979629555E-2</v>
      </c>
      <c r="P99" s="19">
        <f t="shared" ca="1" si="31"/>
        <v>34.117597846766159</v>
      </c>
      <c r="Q99" s="19">
        <f ca="1">HCTrans(P99,Strike,RiskFreeRate,Dividend,Variance_T0*AnnualVarConvtr,(Simulation!G99)/250,0.5,Variance_Avg*AnnualVarConvtr,Lambda,SQRT(Simulation!N99),Rho,1,"Call")</f>
        <v>29.023356692573202</v>
      </c>
      <c r="R99" s="19">
        <f ca="1">ImpliedVolatility("Call",P99,Strike,RiskFreeRate,G99/250,Dividend,Q99,0.5)</f>
        <v>0.74042409652675867</v>
      </c>
      <c r="S99" s="19">
        <f t="shared" ca="1" si="32"/>
        <v>0.55050445010581117</v>
      </c>
      <c r="T99" s="19">
        <f t="shared" ca="1" si="33"/>
        <v>11.0365960405734</v>
      </c>
      <c r="U99" s="19">
        <f t="shared" ca="1" si="34"/>
        <v>-26.142344578669412</v>
      </c>
      <c r="V99" s="21"/>
      <c r="X99" s="22"/>
      <c r="Y99" s="22"/>
      <c r="Z99" s="22"/>
    </row>
    <row r="100" spans="7:26" x14ac:dyDescent="0.25">
      <c r="G100" s="19">
        <v>155</v>
      </c>
      <c r="H100" s="19">
        <f t="shared" ca="1" si="35"/>
        <v>0.92167406278751862</v>
      </c>
      <c r="I100" s="19">
        <f t="shared" ca="1" si="35"/>
        <v>0.37442448746601686</v>
      </c>
      <c r="J100" s="19">
        <f t="shared" ca="1" si="27"/>
        <v>-0.28455888233012866</v>
      </c>
      <c r="K100" s="19">
        <f t="shared" ca="1" si="28"/>
        <v>0.28662431943319755</v>
      </c>
      <c r="L100" s="19">
        <f t="array" aca="1" ref="L100:M100" ca="1">MMULT(J100:K100,TRANSPOSE($B$10:$C$11))</f>
        <v>-0.28455888233012866</v>
      </c>
      <c r="M100" s="19">
        <f ca="1"/>
        <v>0.40383186448938535</v>
      </c>
      <c r="N100" s="20">
        <f t="shared" ca="1" si="29"/>
        <v>1.6225706253598176E-3</v>
      </c>
      <c r="O100" s="20">
        <f t="shared" ca="1" si="30"/>
        <v>8.7671247792632398E-2</v>
      </c>
      <c r="P100" s="19">
        <f t="shared" ca="1" si="31"/>
        <v>32.407076340028439</v>
      </c>
      <c r="Q100" s="19">
        <f ca="1">HCTrans(P100,Strike,RiskFreeRate,Dividend,Variance_T0*AnnualVarConvtr,(Simulation!G100)/250,0.5,Variance_Avg*AnnualVarConvtr,Lambda,SQRT(Simulation!N100),Rho,1,"Call")</f>
        <v>29.023356692573202</v>
      </c>
      <c r="R100" s="19">
        <f ca="1">ImpliedVolatility("Call",P100,Strike,RiskFreeRate,G100/250,Dividend,Q100,0.5)</f>
        <v>0.74042409652675867</v>
      </c>
      <c r="S100" s="19">
        <f t="shared" ca="1" si="32"/>
        <v>0.55050445010581117</v>
      </c>
      <c r="T100" s="19">
        <f t="shared" ca="1" si="33"/>
        <v>11.0365960405734</v>
      </c>
      <c r="U100" s="19">
        <f t="shared" ca="1" si="34"/>
        <v>-26.142344578669412</v>
      </c>
      <c r="V100" s="21"/>
      <c r="X100" s="22"/>
      <c r="Y100" s="22"/>
      <c r="Z100" s="22"/>
    </row>
    <row r="101" spans="7:26" x14ac:dyDescent="0.25">
      <c r="G101" s="19">
        <v>154</v>
      </c>
      <c r="H101" s="19">
        <f t="shared" ca="1" si="35"/>
        <v>0.634519420788765</v>
      </c>
      <c r="I101" s="19">
        <f t="shared" ca="1" si="35"/>
        <v>0.11314608993233188</v>
      </c>
      <c r="J101" s="19">
        <f t="shared" ca="1" si="27"/>
        <v>0.72277062768206002</v>
      </c>
      <c r="K101" s="19">
        <f t="shared" ca="1" si="28"/>
        <v>0.62239648802999015</v>
      </c>
      <c r="L101" s="19">
        <f t="array" aca="1" ref="L101:M101" ca="1">MMULT(J101:K101,TRANSPOSE($B$10:$C$11))</f>
        <v>0.72277062768206002</v>
      </c>
      <c r="M101" s="19">
        <f ca="1"/>
        <v>-8.368939899099842E-2</v>
      </c>
      <c r="N101" s="20">
        <f t="shared" ca="1" si="29"/>
        <v>1.5697125072656483E-3</v>
      </c>
      <c r="O101" s="20">
        <f t="shared" ca="1" si="30"/>
        <v>8.9509335477290369E-2</v>
      </c>
      <c r="P101" s="19">
        <f t="shared" ca="1" si="31"/>
        <v>30.684692668980109</v>
      </c>
      <c r="Q101" s="19">
        <f ca="1">HCTrans(P101,Strike,RiskFreeRate,Dividend,Variance_T0*AnnualVarConvtr,(Simulation!G101)/250,0.5,Variance_Avg*AnnualVarConvtr,Lambda,SQRT(Simulation!N101),Rho,1,"Call")</f>
        <v>29.023356692573202</v>
      </c>
      <c r="R101" s="19">
        <f ca="1">ImpliedVolatility("Call",P101,Strike,RiskFreeRate,G101/250,Dividend,Q101,0.5)</f>
        <v>0.74042409652675867</v>
      </c>
      <c r="S101" s="19">
        <f t="shared" ca="1" si="32"/>
        <v>0.55050445010581117</v>
      </c>
      <c r="T101" s="19">
        <f t="shared" ca="1" si="33"/>
        <v>11.0365960405734</v>
      </c>
      <c r="U101" s="19">
        <f t="shared" ca="1" si="34"/>
        <v>-26.142344578669412</v>
      </c>
      <c r="V101" s="21"/>
      <c r="X101" s="22"/>
      <c r="Y101" s="22"/>
      <c r="Z101" s="22"/>
    </row>
    <row r="102" spans="7:26" x14ac:dyDescent="0.25">
      <c r="G102" s="19">
        <v>153</v>
      </c>
      <c r="H102" s="19">
        <f t="shared" ca="1" si="35"/>
        <v>0.44596427524366467</v>
      </c>
      <c r="I102" s="19">
        <f t="shared" ca="1" si="35"/>
        <v>0.94416336207104989</v>
      </c>
      <c r="J102" s="19">
        <f t="shared" ca="1" si="27"/>
        <v>1.1934289372179936</v>
      </c>
      <c r="K102" s="19">
        <f t="shared" ca="1" si="28"/>
        <v>-0.43676107066946834</v>
      </c>
      <c r="L102" s="19">
        <f t="array" aca="1" ref="L102:M102" ca="1">MMULT(J102:K102,TRANSPOSE($B$10:$C$11))</f>
        <v>1.1934289372179936</v>
      </c>
      <c r="M102" s="19">
        <f ca="1"/>
        <v>-1.1597707184142358</v>
      </c>
      <c r="N102" s="20">
        <f t="shared" ca="1" si="29"/>
        <v>6.7422203640401547E-4</v>
      </c>
      <c r="O102" s="20">
        <f t="shared" ca="1" si="30"/>
        <v>9.2496646558955273E-2</v>
      </c>
      <c r="P102" s="19">
        <f t="shared" ca="1" si="31"/>
        <v>29.195055008558533</v>
      </c>
      <c r="Q102" s="19">
        <f ca="1">HCTrans(P102,Strike,RiskFreeRate,Dividend,Variance_T0*AnnualVarConvtr,(Simulation!G102)/250,0.5,Variance_Avg*AnnualVarConvtr,Lambda,SQRT(Simulation!N102),Rho,1,"Call")</f>
        <v>29.023356692573202</v>
      </c>
      <c r="R102" s="19">
        <f ca="1">ImpliedVolatility("Call",P102,Strike,RiskFreeRate,G102/250,Dividend,Q102,0.5)</f>
        <v>0.74042409652675867</v>
      </c>
      <c r="S102" s="19">
        <f t="shared" ca="1" si="32"/>
        <v>0.55050445010581117</v>
      </c>
      <c r="T102" s="19">
        <f t="shared" ca="1" si="33"/>
        <v>11.0365960405734</v>
      </c>
      <c r="U102" s="19">
        <f t="shared" ca="1" si="34"/>
        <v>-26.142344578669412</v>
      </c>
      <c r="V102" s="21"/>
      <c r="X102" s="22"/>
      <c r="Y102" s="22"/>
      <c r="Z102" s="22"/>
    </row>
    <row r="103" spans="7:26" x14ac:dyDescent="0.25">
      <c r="G103" s="19">
        <v>152</v>
      </c>
      <c r="H103" s="19">
        <f t="shared" ca="1" si="35"/>
        <v>0.37418540431959824</v>
      </c>
      <c r="I103" s="19">
        <f t="shared" ca="1" si="35"/>
        <v>0.42483396036256449</v>
      </c>
      <c r="J103" s="19">
        <f t="shared" ca="1" si="27"/>
        <v>-1.2486546584235014</v>
      </c>
      <c r="K103" s="19">
        <f t="shared" ca="1" si="28"/>
        <v>0.63786306199157339</v>
      </c>
      <c r="L103" s="19">
        <f t="array" aca="1" ref="L103:M103" ca="1">MMULT(J103:K103,TRANSPOSE($B$10:$C$11))</f>
        <v>-1.2486546584235014</v>
      </c>
      <c r="M103" s="19">
        <f ca="1"/>
        <v>1.3396261008464456</v>
      </c>
      <c r="N103" s="20">
        <f t="shared" ca="1" si="29"/>
        <v>1.8306724428232555E-3</v>
      </c>
      <c r="O103" s="20">
        <f t="shared" ca="1" si="30"/>
        <v>9.0444731846904797E-2</v>
      </c>
      <c r="P103" s="19">
        <f t="shared" ca="1" si="31"/>
        <v>27.849780438639954</v>
      </c>
      <c r="Q103" s="19">
        <f ca="1">HCTrans(P103,Strike,RiskFreeRate,Dividend,Variance_T0*AnnualVarConvtr,(Simulation!G103)/250,0.5,Variance_Avg*AnnualVarConvtr,Lambda,SQRT(Simulation!N103),Rho,1,"Call")</f>
        <v>29.023356692573202</v>
      </c>
      <c r="R103" s="19">
        <f ca="1">ImpliedVolatility("Call",P103,Strike,RiskFreeRate,G103/250,Dividend,Q103,0.5)</f>
        <v>0.74042409652675867</v>
      </c>
      <c r="S103" s="19">
        <f t="shared" ca="1" si="32"/>
        <v>0.55050445010581117</v>
      </c>
      <c r="T103" s="19">
        <f t="shared" ca="1" si="33"/>
        <v>11.0365960405734</v>
      </c>
      <c r="U103" s="19">
        <f t="shared" ca="1" si="34"/>
        <v>-26.142344578669412</v>
      </c>
      <c r="V103" s="21"/>
      <c r="X103" s="22"/>
      <c r="Y103" s="22"/>
      <c r="Z103" s="22"/>
    </row>
    <row r="104" spans="7:26" x14ac:dyDescent="0.25">
      <c r="G104" s="19">
        <v>151</v>
      </c>
      <c r="H104" s="19">
        <f t="shared" ca="1" si="35"/>
        <v>7.563993630392063E-3</v>
      </c>
      <c r="I104" s="19">
        <f t="shared" ca="1" si="35"/>
        <v>0.36238944695648778</v>
      </c>
      <c r="J104" s="19">
        <f t="shared" ca="1" si="27"/>
        <v>-2.0281945282368299</v>
      </c>
      <c r="K104" s="19">
        <f t="shared" ca="1" si="28"/>
        <v>2.3780535940539904</v>
      </c>
      <c r="L104" s="19">
        <f t="array" aca="1" ref="L104:M104" ca="1">MMULT(J104:K104,TRANSPOSE($B$10:$C$11))</f>
        <v>-2.0281945282368299</v>
      </c>
      <c r="M104" s="19">
        <f ca="1"/>
        <v>3.1121008692012833</v>
      </c>
      <c r="N104" s="20">
        <f t="shared" ca="1" si="29"/>
        <v>6.5791215558923264E-3</v>
      </c>
      <c r="O104" s="20">
        <f t="shared" ca="1" si="30"/>
        <v>8.495268100641358E-2</v>
      </c>
      <c r="P104" s="19">
        <f t="shared" ca="1" si="31"/>
        <v>26.315252013806237</v>
      </c>
      <c r="Q104" s="19">
        <f ca="1">HCTrans(P104,Strike,RiskFreeRate,Dividend,Variance_T0*AnnualVarConvtr,(Simulation!G104)/250,0.5,Variance_Avg*AnnualVarConvtr,Lambda,SQRT(Simulation!N104),Rho,1,"Call")</f>
        <v>29.023356692573202</v>
      </c>
      <c r="R104" s="19">
        <f ca="1">ImpliedVolatility("Call",P104,Strike,RiskFreeRate,G104/250,Dividend,Q104,0.5)</f>
        <v>0.74042409652675867</v>
      </c>
      <c r="S104" s="19">
        <f t="shared" ca="1" si="32"/>
        <v>0.55050445010581117</v>
      </c>
      <c r="T104" s="19">
        <f t="shared" ca="1" si="33"/>
        <v>11.0365960405734</v>
      </c>
      <c r="U104" s="19">
        <f t="shared" ca="1" si="34"/>
        <v>-26.142344578669412</v>
      </c>
      <c r="V104" s="21"/>
      <c r="X104" s="22"/>
      <c r="Y104" s="22"/>
      <c r="Z104" s="22"/>
    </row>
    <row r="105" spans="7:26" x14ac:dyDescent="0.25">
      <c r="G105" s="19">
        <v>150</v>
      </c>
      <c r="H105" s="19">
        <f t="shared" ca="1" si="35"/>
        <v>0.76880756228987857</v>
      </c>
      <c r="I105" s="19">
        <f t="shared" ca="1" si="35"/>
        <v>7.4566143009813235E-4</v>
      </c>
      <c r="J105" s="19">
        <f t="shared" ca="1" si="27"/>
        <v>0.72513283451013455</v>
      </c>
      <c r="K105" s="19">
        <f t="shared" ca="1" si="28"/>
        <v>3.3973656874763773E-3</v>
      </c>
      <c r="L105" s="19">
        <f t="array" aca="1" ref="L105:M105" ca="1">MMULT(J105:K105,TRANSPOSE($B$10:$C$11))</f>
        <v>0.72513283451013455</v>
      </c>
      <c r="M105" s="19">
        <f ca="1"/>
        <v>-0.51718771747837677</v>
      </c>
      <c r="N105" s="20">
        <f t="shared" ca="1" si="29"/>
        <v>5.5931741598767874E-3</v>
      </c>
      <c r="O105" s="20">
        <f t="shared" ca="1" si="30"/>
        <v>8.8659424960278801E-2</v>
      </c>
      <c r="P105" s="19">
        <f t="shared" ca="1" si="31"/>
        <v>24.842340718552865</v>
      </c>
      <c r="Q105" s="19">
        <f ca="1">HCTrans(P105,Strike,RiskFreeRate,Dividend,Variance_T0*AnnualVarConvtr,(Simulation!G105)/250,0.5,Variance_Avg*AnnualVarConvtr,Lambda,SQRT(Simulation!N105),Rho,1,"Call")</f>
        <v>29.023356692573202</v>
      </c>
      <c r="R105" s="19">
        <f ca="1">ImpliedVolatility("Call",P105,Strike,RiskFreeRate,G105/250,Dividend,Q105,0.5)</f>
        <v>0.74042409652675867</v>
      </c>
      <c r="S105" s="19">
        <f t="shared" ca="1" si="32"/>
        <v>0.55050445010581117</v>
      </c>
      <c r="T105" s="19">
        <f t="shared" ca="1" si="33"/>
        <v>11.0365960405734</v>
      </c>
      <c r="U105" s="19">
        <f t="shared" ca="1" si="34"/>
        <v>-26.142344578669412</v>
      </c>
      <c r="V105" s="21"/>
      <c r="X105" s="22"/>
      <c r="Y105" s="22"/>
      <c r="Z105" s="22"/>
    </row>
    <row r="106" spans="7:26" x14ac:dyDescent="0.25">
      <c r="G106" s="19">
        <v>149</v>
      </c>
      <c r="H106" s="19">
        <f t="shared" ca="1" si="35"/>
        <v>0.73889945334803009</v>
      </c>
      <c r="I106" s="19">
        <f t="shared" ca="1" si="35"/>
        <v>0.23511691694777626</v>
      </c>
      <c r="J106" s="19">
        <f t="shared" ca="1" si="27"/>
        <v>7.2641426984651897E-2</v>
      </c>
      <c r="K106" s="19">
        <f t="shared" ca="1" si="28"/>
        <v>0.77453861950096992</v>
      </c>
      <c r="L106" s="19">
        <f t="array" aca="1" ref="L106:M106" ca="1">MMULT(J106:K106,TRANSPOSE($B$10:$C$11))</f>
        <v>7.2641426984651897E-2</v>
      </c>
      <c r="M106" s="19">
        <f ca="1"/>
        <v>0.48826056027134496</v>
      </c>
      <c r="N106" s="20">
        <f t="shared" ca="1" si="29"/>
        <v>6.5320871818162355E-3</v>
      </c>
      <c r="O106" s="20">
        <f t="shared" ca="1" si="30"/>
        <v>8.8991831000028804E-2</v>
      </c>
      <c r="P106" s="19">
        <f t="shared" ca="1" si="31"/>
        <v>23.571299667831724</v>
      </c>
      <c r="Q106" s="19">
        <f ca="1">HCTrans(P106,Strike,RiskFreeRate,Dividend,Variance_T0*AnnualVarConvtr,(Simulation!G106)/250,0.5,Variance_Avg*AnnualVarConvtr,Lambda,SQRT(Simulation!N106),Rho,1,"Call")</f>
        <v>29.023356692573202</v>
      </c>
      <c r="R106" s="19">
        <f ca="1">ImpliedVolatility("Call",P106,Strike,RiskFreeRate,G106/250,Dividend,Q106,0.5)</f>
        <v>0.74042409652675867</v>
      </c>
      <c r="S106" s="19">
        <f t="shared" ca="1" si="32"/>
        <v>0.55050445010581117</v>
      </c>
      <c r="T106" s="19">
        <f t="shared" ca="1" si="33"/>
        <v>11.0365960405734</v>
      </c>
      <c r="U106" s="19">
        <f t="shared" ca="1" si="34"/>
        <v>-26.142344578669412</v>
      </c>
      <c r="V106" s="21"/>
      <c r="X106" s="22"/>
      <c r="Y106" s="22"/>
      <c r="Z106" s="22"/>
    </row>
    <row r="107" spans="7:26" x14ac:dyDescent="0.25">
      <c r="G107" s="19">
        <v>148</v>
      </c>
      <c r="H107" s="19">
        <f t="shared" ca="1" si="35"/>
        <v>0.72348078677891103</v>
      </c>
      <c r="I107" s="19">
        <f t="shared" ca="1" si="35"/>
        <v>0.70902714453404347</v>
      </c>
      <c r="J107" s="19">
        <f t="shared" ca="1" si="27"/>
        <v>-0.20485288337986238</v>
      </c>
      <c r="K107" s="19">
        <f t="shared" ca="1" si="28"/>
        <v>-0.77807318073124354</v>
      </c>
      <c r="L107" s="19">
        <f t="array" aca="1" ref="L107:M107" ca="1">MMULT(J107:K107,TRANSPOSE($B$10:$C$11))</f>
        <v>-0.20485288337986238</v>
      </c>
      <c r="M107" s="19">
        <f ca="1"/>
        <v>-0.39599671605195569</v>
      </c>
      <c r="N107" s="20">
        <f t="shared" ca="1" si="29"/>
        <v>5.7736095342157852E-3</v>
      </c>
      <c r="O107" s="20">
        <f t="shared" ca="1" si="30"/>
        <v>8.7931642947663313E-2</v>
      </c>
      <c r="P107" s="19">
        <f t="shared" ca="1" si="31"/>
        <v>22.519741475767841</v>
      </c>
      <c r="Q107" s="19">
        <f ca="1">HCTrans(P107,Strike,RiskFreeRate,Dividend,Variance_T0*AnnualVarConvtr,(Simulation!G107)/250,0.5,Variance_Avg*AnnualVarConvtr,Lambda,SQRT(Simulation!N107),Rho,1,"Call")</f>
        <v>29.023356692573202</v>
      </c>
      <c r="R107" s="19">
        <f ca="1">ImpliedVolatility("Call",P107,Strike,RiskFreeRate,G107/250,Dividend,Q107,0.5)</f>
        <v>0.74042409652675867</v>
      </c>
      <c r="S107" s="19">
        <f t="shared" ca="1" si="32"/>
        <v>0.55050445010581117</v>
      </c>
      <c r="T107" s="19">
        <f t="shared" ca="1" si="33"/>
        <v>11.0365960405734</v>
      </c>
      <c r="U107" s="19">
        <f t="shared" ca="1" si="34"/>
        <v>-26.142344578669412</v>
      </c>
      <c r="V107" s="21"/>
      <c r="X107" s="22"/>
      <c r="Y107" s="22"/>
      <c r="Z107" s="22"/>
    </row>
    <row r="108" spans="7:26" x14ac:dyDescent="0.25">
      <c r="G108" s="19">
        <v>147</v>
      </c>
      <c r="H108" s="19">
        <f t="shared" ca="1" si="35"/>
        <v>0.96743495815037839</v>
      </c>
      <c r="I108" s="19">
        <f t="shared" ca="1" si="35"/>
        <v>0.87454526165337609</v>
      </c>
      <c r="J108" s="19">
        <f t="shared" ca="1" si="27"/>
        <v>0.18143289839326776</v>
      </c>
      <c r="K108" s="19">
        <f t="shared" ca="1" si="28"/>
        <v>-0.18247265409524524</v>
      </c>
      <c r="L108" s="19">
        <f t="array" aca="1" ref="L108:M108" ca="1">MMULT(J108:K108,TRANSPOSE($B$10:$C$11))</f>
        <v>0.18143289839326776</v>
      </c>
      <c r="M108" s="19">
        <f ca="1"/>
        <v>-0.25728723971761891</v>
      </c>
      <c r="N108" s="20">
        <f t="shared" ca="1" si="29"/>
        <v>5.3109372046373747E-3</v>
      </c>
      <c r="O108" s="20">
        <f t="shared" ca="1" si="30"/>
        <v>8.8792001874388085E-2</v>
      </c>
      <c r="P108" s="19">
        <f t="shared" ca="1" si="31"/>
        <v>21.369687140993577</v>
      </c>
      <c r="Q108" s="19">
        <f ca="1">HCTrans(P108,Strike,RiskFreeRate,Dividend,Variance_T0*AnnualVarConvtr,(Simulation!G108)/250,0.5,Variance_Avg*AnnualVarConvtr,Lambda,SQRT(Simulation!N108),Rho,1,"Call")</f>
        <v>29.023356692573202</v>
      </c>
      <c r="R108" s="19">
        <f ca="1">ImpliedVolatility("Call",P108,Strike,RiskFreeRate,G108/250,Dividend,Q108,0.5)</f>
        <v>0.74042409652675867</v>
      </c>
      <c r="S108" s="19">
        <f t="shared" ca="1" si="32"/>
        <v>0.55050445010581117</v>
      </c>
      <c r="T108" s="19">
        <f t="shared" ca="1" si="33"/>
        <v>11.0365960405734</v>
      </c>
      <c r="U108" s="19">
        <f t="shared" ca="1" si="34"/>
        <v>-26.142344578669412</v>
      </c>
      <c r="V108" s="21"/>
      <c r="X108" s="22"/>
      <c r="Y108" s="22"/>
      <c r="Z108" s="22"/>
    </row>
    <row r="109" spans="7:26" x14ac:dyDescent="0.25">
      <c r="G109" s="19">
        <v>146</v>
      </c>
      <c r="H109" s="19">
        <f t="shared" ca="1" si="35"/>
        <v>9.8182666706235766E-3</v>
      </c>
      <c r="I109" s="19">
        <f t="shared" ca="1" si="35"/>
        <v>0.33113900844682365</v>
      </c>
      <c r="J109" s="19">
        <f t="shared" ca="1" si="27"/>
        <v>-1.4839935728677809</v>
      </c>
      <c r="K109" s="19">
        <f t="shared" ca="1" si="28"/>
        <v>2.654201281048167</v>
      </c>
      <c r="L109" s="19">
        <f t="array" aca="1" ref="L109:M109" ca="1">MMULT(J109:K109,TRANSPOSE($B$10:$C$11))</f>
        <v>-1.4839935728677809</v>
      </c>
      <c r="M109" s="19">
        <f ca="1"/>
        <v>2.9148179464290642</v>
      </c>
      <c r="N109" s="20">
        <f t="shared" ca="1" si="29"/>
        <v>1.1805825059102106E-2</v>
      </c>
      <c r="O109" s="20">
        <f t="shared" ca="1" si="30"/>
        <v>8.1941513915102737E-2</v>
      </c>
      <c r="P109" s="19">
        <f t="shared" ca="1" si="31"/>
        <v>20.106478531675631</v>
      </c>
      <c r="Q109" s="19">
        <f ca="1">HCTrans(P109,Strike,RiskFreeRate,Dividend,Variance_T0*AnnualVarConvtr,(Simulation!G109)/250,0.5,Variance_Avg*AnnualVarConvtr,Lambda,SQRT(Simulation!N109),Rho,1,"Call")</f>
        <v>29.023356692573202</v>
      </c>
      <c r="R109" s="19">
        <f ca="1">ImpliedVolatility("Call",P109,Strike,RiskFreeRate,G109/250,Dividend,Q109,0.5)</f>
        <v>0.74042409652675867</v>
      </c>
      <c r="S109" s="19">
        <f t="shared" ca="1" si="32"/>
        <v>0.55050445010581117</v>
      </c>
      <c r="T109" s="19">
        <f t="shared" ca="1" si="33"/>
        <v>11.0365960405734</v>
      </c>
      <c r="U109" s="19">
        <f t="shared" ca="1" si="34"/>
        <v>-26.142344578669412</v>
      </c>
      <c r="V109" s="21"/>
      <c r="X109" s="22"/>
      <c r="Y109" s="22"/>
      <c r="Z109" s="22"/>
    </row>
    <row r="110" spans="7:26" x14ac:dyDescent="0.25">
      <c r="G110" s="19">
        <v>145</v>
      </c>
      <c r="H110" s="19">
        <f t="shared" ca="1" si="35"/>
        <v>0.26525691698172127</v>
      </c>
      <c r="I110" s="19">
        <f t="shared" ca="1" si="35"/>
        <v>0.45447106648016189</v>
      </c>
      <c r="J110" s="19">
        <f t="shared" ca="1" si="27"/>
        <v>-1.5629383124750156</v>
      </c>
      <c r="K110" s="19">
        <f t="shared" ca="1" si="28"/>
        <v>0.45971369418423058</v>
      </c>
      <c r="L110" s="19">
        <f t="array" aca="1" ref="L110:M110" ca="1">MMULT(J110:K110,TRANSPOSE($B$10:$C$11))</f>
        <v>-1.5629383124750156</v>
      </c>
      <c r="M110" s="19">
        <f ca="1"/>
        <v>1.4405356396621078</v>
      </c>
      <c r="N110" s="20">
        <f t="shared" ca="1" si="29"/>
        <v>1.5930446807316111E-2</v>
      </c>
      <c r="O110" s="20">
        <f t="shared" ca="1" si="30"/>
        <v>7.1177513425643213E-2</v>
      </c>
      <c r="P110" s="19">
        <f t="shared" ca="1" si="31"/>
        <v>19.093533665217574</v>
      </c>
      <c r="Q110" s="19">
        <f ca="1">HCTrans(P110,Strike,RiskFreeRate,Dividend,Variance_T0*AnnualVarConvtr,(Simulation!G110)/250,0.5,Variance_Avg*AnnualVarConvtr,Lambda,SQRT(Simulation!N110),Rho,1,"Call")</f>
        <v>29.023356692573202</v>
      </c>
      <c r="R110" s="19">
        <f ca="1">ImpliedVolatility("Call",P110,Strike,RiskFreeRate,G110/250,Dividend,Q110,0.5)</f>
        <v>0.74042409652675867</v>
      </c>
      <c r="S110" s="19">
        <f t="shared" ca="1" si="32"/>
        <v>0.55050445010581117</v>
      </c>
      <c r="T110" s="19">
        <f t="shared" ca="1" si="33"/>
        <v>11.0365960405734</v>
      </c>
      <c r="U110" s="19">
        <f t="shared" ca="1" si="34"/>
        <v>-26.142344578669412</v>
      </c>
      <c r="V110" s="21"/>
      <c r="X110" s="22"/>
      <c r="Y110" s="22"/>
      <c r="Z110" s="22"/>
    </row>
    <row r="111" spans="7:26" x14ac:dyDescent="0.25">
      <c r="G111" s="19">
        <v>144</v>
      </c>
      <c r="H111" s="19">
        <f t="shared" ca="1" si="35"/>
        <v>0.35840317902608099</v>
      </c>
      <c r="I111" s="19">
        <f t="shared" ca="1" si="35"/>
        <v>0.11953062867782271</v>
      </c>
      <c r="J111" s="19">
        <f t="shared" ca="1" si="27"/>
        <v>1.047169993949868</v>
      </c>
      <c r="K111" s="19">
        <f t="shared" ca="1" si="28"/>
        <v>0.97756250926042365</v>
      </c>
      <c r="L111" s="19">
        <f t="array" aca="1" ref="L111:M111" ca="1">MMULT(J111:K111,TRANSPOSE($B$10:$C$11))</f>
        <v>1.047169993949868</v>
      </c>
      <c r="M111" s="19">
        <f ca="1"/>
        <v>-6.8362313230013738E-2</v>
      </c>
      <c r="N111" s="20">
        <f t="shared" ca="1" si="29"/>
        <v>1.5672478790244197E-2</v>
      </c>
      <c r="O111" s="20">
        <f t="shared" ca="1" si="30"/>
        <v>7.9504784147977778E-2</v>
      </c>
      <c r="P111" s="19">
        <f t="shared" ca="1" si="31"/>
        <v>17.958190521980175</v>
      </c>
      <c r="Q111" s="19">
        <f ca="1">HCTrans(P111,Strike,RiskFreeRate,Dividend,Variance_T0*AnnualVarConvtr,(Simulation!G111)/250,0.5,Variance_Avg*AnnualVarConvtr,Lambda,SQRT(Simulation!N111),Rho,1,"Call")</f>
        <v>29.023356692573202</v>
      </c>
      <c r="R111" s="19">
        <f ca="1">ImpliedVolatility("Call",P111,Strike,RiskFreeRate,G111/250,Dividend,Q111,0.5)</f>
        <v>0.74042409652675867</v>
      </c>
      <c r="S111" s="19">
        <f t="shared" ca="1" si="32"/>
        <v>0.55050445010581117</v>
      </c>
      <c r="T111" s="19">
        <f t="shared" ca="1" si="33"/>
        <v>11.0365960405734</v>
      </c>
      <c r="U111" s="19">
        <f t="shared" ca="1" si="34"/>
        <v>-26.142344578669412</v>
      </c>
      <c r="V111" s="21"/>
      <c r="X111" s="22"/>
      <c r="Y111" s="22"/>
      <c r="Z111" s="22"/>
    </row>
    <row r="112" spans="7:26" x14ac:dyDescent="0.25">
      <c r="G112" s="19">
        <v>143</v>
      </c>
      <c r="H112" s="19">
        <f t="shared" ca="1" si="35"/>
        <v>0.33681047694931698</v>
      </c>
      <c r="I112" s="19">
        <f t="shared" ca="1" si="35"/>
        <v>0.14213635469049823</v>
      </c>
      <c r="J112" s="19">
        <f t="shared" ca="1" si="27"/>
        <v>0.92504022093617821</v>
      </c>
      <c r="K112" s="19">
        <f t="shared" ca="1" si="28"/>
        <v>1.1492477405601114</v>
      </c>
      <c r="L112" s="19">
        <f t="array" aca="1" ref="L112:M112" ca="1">MMULT(J112:K112,TRANSPOSE($B$10:$C$11))</f>
        <v>0.92504022093617821</v>
      </c>
      <c r="M112" s="19">
        <f ca="1"/>
        <v>0.13890907026216226</v>
      </c>
      <c r="N112" s="20">
        <f t="shared" ca="1" si="29"/>
        <v>1.605605530602144E-2</v>
      </c>
      <c r="O112" s="20">
        <f t="shared" ca="1" si="30"/>
        <v>8.6797626752039711E-2</v>
      </c>
      <c r="P112" s="19">
        <f t="shared" ca="1" si="31"/>
        <v>16.990896908426659</v>
      </c>
      <c r="Q112" s="19">
        <f ca="1">HCTrans(P112,Strike,RiskFreeRate,Dividend,Variance_T0*AnnualVarConvtr,(Simulation!G112)/250,0.5,Variance_Avg*AnnualVarConvtr,Lambda,SQRT(Simulation!N112),Rho,1,"Call")</f>
        <v>29.023356692573202</v>
      </c>
      <c r="R112" s="19">
        <f ca="1">ImpliedVolatility("Call",P112,Strike,RiskFreeRate,G112/250,Dividend,Q112,0.5)</f>
        <v>0.74042409652675867</v>
      </c>
      <c r="S112" s="19">
        <f t="shared" ca="1" si="32"/>
        <v>0.55050445010581117</v>
      </c>
      <c r="T112" s="19">
        <f t="shared" ca="1" si="33"/>
        <v>11.0365960405734</v>
      </c>
      <c r="U112" s="19">
        <f t="shared" ca="1" si="34"/>
        <v>-26.142344578669412</v>
      </c>
      <c r="V112" s="21"/>
      <c r="X112" s="22"/>
      <c r="Y112" s="22"/>
      <c r="Z112" s="22"/>
    </row>
    <row r="113" spans="7:26" x14ac:dyDescent="0.25">
      <c r="G113" s="19">
        <v>142</v>
      </c>
      <c r="H113" s="19">
        <f t="shared" ca="1" si="35"/>
        <v>0.76601812289624782</v>
      </c>
      <c r="I113" s="19">
        <f t="shared" ca="1" si="35"/>
        <v>0.62740587376392809</v>
      </c>
      <c r="J113" s="19">
        <f t="shared" ca="1" si="27"/>
        <v>-0.50842114573318042</v>
      </c>
      <c r="K113" s="19">
        <f t="shared" ca="1" si="28"/>
        <v>-0.52402942603181335</v>
      </c>
      <c r="L113" s="19">
        <f t="array" aca="1" ref="L113:M113" ca="1">MMULT(J113:K113,TRANSPOSE($B$10:$C$11))</f>
        <v>-0.50842114573318042</v>
      </c>
      <c r="M113" s="19">
        <f ca="1"/>
        <v>-1.2724121627004648E-3</v>
      </c>
      <c r="N113" s="20">
        <f t="shared" ca="1" si="29"/>
        <v>1.6004336958253134E-2</v>
      </c>
      <c r="O113" s="20">
        <f t="shared" ca="1" si="30"/>
        <v>8.2691026779393606E-2</v>
      </c>
      <c r="P113" s="19">
        <f t="shared" ca="1" si="31"/>
        <v>16.214793179299885</v>
      </c>
      <c r="Q113" s="19">
        <f ca="1">HCTrans(P113,Strike,RiskFreeRate,Dividend,Variance_T0*AnnualVarConvtr,(Simulation!G113)/250,0.5,Variance_Avg*AnnualVarConvtr,Lambda,SQRT(Simulation!N113),Rho,1,"Call")</f>
        <v>29.023356692573202</v>
      </c>
      <c r="R113" s="19">
        <f ca="1">ImpliedVolatility("Call",P113,Strike,RiskFreeRate,G113/250,Dividend,Q113,0.5)</f>
        <v>0.74042409652675867</v>
      </c>
      <c r="S113" s="19">
        <f t="shared" ca="1" si="32"/>
        <v>0.55050445010581117</v>
      </c>
      <c r="T113" s="19">
        <f t="shared" ca="1" si="33"/>
        <v>11.0365960405734</v>
      </c>
      <c r="U113" s="19">
        <f t="shared" ca="1" si="34"/>
        <v>-26.142344578669412</v>
      </c>
      <c r="V113" s="21"/>
      <c r="X113" s="22"/>
      <c r="Y113" s="22"/>
      <c r="Z113" s="22"/>
    </row>
    <row r="114" spans="7:26" x14ac:dyDescent="0.25">
      <c r="G114" s="19">
        <v>141</v>
      </c>
      <c r="H114" s="19">
        <f t="shared" ca="1" si="35"/>
        <v>0.77731742103302248</v>
      </c>
      <c r="I114" s="19">
        <f t="shared" ca="1" si="35"/>
        <v>0.16882896716188733</v>
      </c>
      <c r="J114" s="19">
        <f t="shared" ca="1" si="27"/>
        <v>0.34651498872984171</v>
      </c>
      <c r="K114" s="19">
        <f t="shared" ca="1" si="28"/>
        <v>0.61946779101313343</v>
      </c>
      <c r="L114" s="19">
        <f t="array" aca="1" ref="L114:M114" ca="1">MMULT(J114:K114,TRANSPOSE($B$10:$C$11))</f>
        <v>0.34651498872984171</v>
      </c>
      <c r="M114" s="19">
        <f ca="1"/>
        <v>0.18385474508486963</v>
      </c>
      <c r="N114" s="20">
        <f t="shared" ca="1" si="29"/>
        <v>1.6532248021905033E-2</v>
      </c>
      <c r="O114" s="20">
        <f t="shared" ca="1" si="30"/>
        <v>8.5431513695119685E-2</v>
      </c>
      <c r="P114" s="19">
        <f t="shared" ca="1" si="31"/>
        <v>15.346482379722916</v>
      </c>
      <c r="Q114" s="19">
        <f ca="1">HCTrans(P114,Strike,RiskFreeRate,Dividend,Variance_T0*AnnualVarConvtr,(Simulation!G114)/250,0.5,Variance_Avg*AnnualVarConvtr,Lambda,SQRT(Simulation!N114),Rho,1,"Call")</f>
        <v>29.023356692573202</v>
      </c>
      <c r="R114" s="19">
        <f ca="1">ImpliedVolatility("Call",P114,Strike,RiskFreeRate,G114/250,Dividend,Q114,0.5)</f>
        <v>0.74042409652675867</v>
      </c>
      <c r="S114" s="19">
        <f t="shared" ca="1" si="32"/>
        <v>0.55050445010581117</v>
      </c>
      <c r="T114" s="19">
        <f t="shared" ca="1" si="33"/>
        <v>11.0365960405734</v>
      </c>
      <c r="U114" s="19">
        <f t="shared" ca="1" si="34"/>
        <v>-26.142344578669412</v>
      </c>
      <c r="V114" s="21"/>
      <c r="X114" s="22"/>
      <c r="Y114" s="22"/>
      <c r="Z114" s="22"/>
    </row>
    <row r="115" spans="7:26" x14ac:dyDescent="0.25">
      <c r="G115" s="19">
        <v>140</v>
      </c>
      <c r="H115" s="19">
        <f t="shared" ca="1" si="35"/>
        <v>0.9768117506466818</v>
      </c>
      <c r="I115" s="19">
        <f t="shared" ca="1" si="35"/>
        <v>0.90761785230812531</v>
      </c>
      <c r="J115" s="19">
        <f t="shared" ca="1" si="27"/>
        <v>0.18113757373335837</v>
      </c>
      <c r="K115" s="19">
        <f t="shared" ca="1" si="28"/>
        <v>-0.11879323391864274</v>
      </c>
      <c r="L115" s="19">
        <f t="array" aca="1" ref="L115:M115" ca="1">MMULT(J115:K115,TRANSPOSE($B$10:$C$11))</f>
        <v>0.18113757373335837</v>
      </c>
      <c r="M115" s="19">
        <f ca="1"/>
        <v>-0.21265369809977175</v>
      </c>
      <c r="N115" s="20">
        <f t="shared" ca="1" si="29"/>
        <v>1.5818308403740992E-2</v>
      </c>
      <c r="O115" s="20">
        <f t="shared" ca="1" si="30"/>
        <v>8.6871455138315956E-2</v>
      </c>
      <c r="P115" s="19">
        <f t="shared" ca="1" si="31"/>
        <v>14.423642043632432</v>
      </c>
      <c r="Q115" s="19">
        <f ca="1">HCTrans(P115,Strike,RiskFreeRate,Dividend,Variance_T0*AnnualVarConvtr,(Simulation!G115)/250,0.5,Variance_Avg*AnnualVarConvtr,Lambda,SQRT(Simulation!N115),Rho,1,"Call")</f>
        <v>29.023356692573202</v>
      </c>
      <c r="R115" s="19">
        <f ca="1">ImpliedVolatility("Call",P115,Strike,RiskFreeRate,G115/250,Dividend,Q115,0.5)</f>
        <v>0.74042409652675867</v>
      </c>
      <c r="S115" s="19">
        <f t="shared" ca="1" si="32"/>
        <v>0.55050445010581117</v>
      </c>
      <c r="T115" s="19">
        <f t="shared" ca="1" si="33"/>
        <v>11.0365960405734</v>
      </c>
      <c r="U115" s="19">
        <f t="shared" ca="1" si="34"/>
        <v>-26.142344578669412</v>
      </c>
      <c r="V115" s="21"/>
      <c r="X115" s="22"/>
      <c r="Y115" s="22"/>
      <c r="Z115" s="22"/>
    </row>
    <row r="116" spans="7:26" x14ac:dyDescent="0.25">
      <c r="G116" s="19">
        <v>139</v>
      </c>
      <c r="H116" s="19">
        <f t="shared" ca="1" si="35"/>
        <v>0.10927857083431036</v>
      </c>
      <c r="I116" s="19">
        <f t="shared" ca="1" si="35"/>
        <v>0.972939738598807</v>
      </c>
      <c r="J116" s="19">
        <f t="shared" ca="1" si="27"/>
        <v>2.0738709395448098</v>
      </c>
      <c r="K116" s="19">
        <f t="shared" ca="1" si="28"/>
        <v>-0.35604669445977249</v>
      </c>
      <c r="L116" s="19">
        <f t="array" aca="1" ref="L116:M116" ca="1">MMULT(J116:K116,TRANSPOSE($B$10:$C$11))</f>
        <v>2.0738709395448098</v>
      </c>
      <c r="M116" s="19">
        <f ca="1"/>
        <v>-1.7343021061521986</v>
      </c>
      <c r="N116" s="20">
        <f t="shared" ca="1" si="29"/>
        <v>1.0875428089737673E-2</v>
      </c>
      <c r="O116" s="20">
        <f t="shared" ca="1" si="30"/>
        <v>0.10333631584739696</v>
      </c>
      <c r="P116" s="19">
        <f t="shared" ca="1" si="31"/>
        <v>13.600005887432049</v>
      </c>
      <c r="Q116" s="19">
        <f ca="1">HCTrans(P116,Strike,RiskFreeRate,Dividend,Variance_T0*AnnualVarConvtr,(Simulation!G116)/250,0.5,Variance_Avg*AnnualVarConvtr,Lambda,SQRT(Simulation!N116),Rho,1,"Call")</f>
        <v>29.023356692573202</v>
      </c>
      <c r="R116" s="19">
        <f ca="1">ImpliedVolatility("Call",P116,Strike,RiskFreeRate,G116/250,Dividend,Q116,0.5)</f>
        <v>0.74042409652675867</v>
      </c>
      <c r="S116" s="19">
        <f t="shared" ca="1" si="32"/>
        <v>0.55050445010581117</v>
      </c>
      <c r="T116" s="19">
        <f t="shared" ca="1" si="33"/>
        <v>11.0365960405734</v>
      </c>
      <c r="U116" s="19">
        <f t="shared" ca="1" si="34"/>
        <v>-26.142344578669412</v>
      </c>
      <c r="V116" s="21"/>
      <c r="X116" s="22"/>
      <c r="Y116" s="22"/>
      <c r="Z116" s="22"/>
    </row>
    <row r="117" spans="7:26" x14ac:dyDescent="0.25">
      <c r="G117" s="19">
        <v>138</v>
      </c>
      <c r="H117" s="19">
        <f t="shared" ca="1" si="35"/>
        <v>0.4807885403823744</v>
      </c>
      <c r="I117" s="19">
        <f t="shared" ca="1" si="35"/>
        <v>0.99597126481550702</v>
      </c>
      <c r="J117" s="19">
        <f t="shared" ca="1" si="27"/>
        <v>1.2098417933715033</v>
      </c>
      <c r="K117" s="19">
        <f t="shared" ca="1" si="28"/>
        <v>-3.0631618639960181E-2</v>
      </c>
      <c r="L117" s="19">
        <f t="array" aca="1" ref="L117:M117" ca="1">MMULT(J117:K117,TRANSPOSE($B$10:$C$11))</f>
        <v>1.2098417933715033</v>
      </c>
      <c r="M117" s="19">
        <f ca="1"/>
        <v>-0.88821986670067588</v>
      </c>
      <c r="N117" s="20">
        <f t="shared" ca="1" si="29"/>
        <v>8.702438590697267E-3</v>
      </c>
      <c r="O117" s="20">
        <f t="shared" ca="1" si="30"/>
        <v>0.11129417670396285</v>
      </c>
      <c r="P117" s="19">
        <f t="shared" ca="1" si="31"/>
        <v>12.817212211430656</v>
      </c>
      <c r="Q117" s="19">
        <f ca="1">HCTrans(P117,Strike,RiskFreeRate,Dividend,Variance_T0*AnnualVarConvtr,(Simulation!G117)/250,0.5,Variance_Avg*AnnualVarConvtr,Lambda,SQRT(Simulation!N117),Rho,1,"Call")</f>
        <v>29.023356692573202</v>
      </c>
      <c r="R117" s="19">
        <f ca="1">ImpliedVolatility("Call",P117,Strike,RiskFreeRate,G117/250,Dividend,Q117,0.5)</f>
        <v>0.74042409652675867</v>
      </c>
      <c r="S117" s="19">
        <f t="shared" ca="1" si="32"/>
        <v>0.55050445010581117</v>
      </c>
      <c r="T117" s="19">
        <f t="shared" ca="1" si="33"/>
        <v>11.0365960405734</v>
      </c>
      <c r="U117" s="19">
        <f t="shared" ca="1" si="34"/>
        <v>-26.142344578669412</v>
      </c>
      <c r="V117" s="21"/>
      <c r="X117" s="22"/>
      <c r="Y117" s="22"/>
      <c r="Z117" s="22"/>
    </row>
    <row r="118" spans="7:26" x14ac:dyDescent="0.25">
      <c r="G118" s="19">
        <v>137</v>
      </c>
      <c r="H118" s="19">
        <f t="shared" ca="1" si="35"/>
        <v>3.4808714325798462E-2</v>
      </c>
      <c r="I118" s="19">
        <f t="shared" ca="1" si="35"/>
        <v>4.291314129694479E-2</v>
      </c>
      <c r="J118" s="19">
        <f t="shared" ca="1" si="27"/>
        <v>2.4978489413515481</v>
      </c>
      <c r="K118" s="19">
        <f t="shared" ca="1" si="28"/>
        <v>0.69030840206834299</v>
      </c>
      <c r="L118" s="19">
        <f t="array" aca="1" ref="L118:M118" ca="1">MMULT(J118:K118,TRANSPOSE($B$10:$C$11))</f>
        <v>2.4978489413515481</v>
      </c>
      <c r="M118" s="19">
        <f ca="1"/>
        <v>-1.3081585361540446</v>
      </c>
      <c r="N118" s="20">
        <f t="shared" ca="1" si="29"/>
        <v>5.9585704079008301E-3</v>
      </c>
      <c r="O118" s="20">
        <f t="shared" ca="1" si="30"/>
        <v>0.12601402858365987</v>
      </c>
      <c r="P118" s="19">
        <f t="shared" ca="1" si="31"/>
        <v>12.149931166216858</v>
      </c>
      <c r="Q118" s="19">
        <f ca="1">HCTrans(P118,Strike,RiskFreeRate,Dividend,Variance_T0*AnnualVarConvtr,(Simulation!G118)/250,0.5,Variance_Avg*AnnualVarConvtr,Lambda,SQRT(Simulation!N118),Rho,1,"Call")</f>
        <v>29.023356692573202</v>
      </c>
      <c r="R118" s="19">
        <f ca="1">ImpliedVolatility("Call",P118,Strike,RiskFreeRate,G118/250,Dividend,Q118,0.5)</f>
        <v>0.74042409652675867</v>
      </c>
      <c r="S118" s="19">
        <f t="shared" ca="1" si="32"/>
        <v>0.55050445010581117</v>
      </c>
      <c r="T118" s="19">
        <f t="shared" ca="1" si="33"/>
        <v>11.0365960405734</v>
      </c>
      <c r="U118" s="19">
        <f t="shared" ca="1" si="34"/>
        <v>-26.142344578669412</v>
      </c>
      <c r="V118" s="21"/>
      <c r="X118" s="22"/>
      <c r="Y118" s="22"/>
      <c r="Z118" s="22"/>
    </row>
    <row r="119" spans="7:26" x14ac:dyDescent="0.25">
      <c r="G119" s="19">
        <v>136</v>
      </c>
      <c r="H119" s="19">
        <f t="shared" ca="1" si="35"/>
        <v>7.2477147921151786E-2</v>
      </c>
      <c r="I119" s="19">
        <f t="shared" ca="1" si="35"/>
        <v>0.61335553994213665</v>
      </c>
      <c r="J119" s="19">
        <f t="shared" ca="1" si="27"/>
        <v>-1.7341141821959305</v>
      </c>
      <c r="K119" s="19">
        <f t="shared" ca="1" si="28"/>
        <v>-1.4972694944123071</v>
      </c>
      <c r="L119" s="19">
        <f t="array" aca="1" ref="L119:M119" ca="1">MMULT(J119:K119,TRANSPOSE($B$10:$C$11))</f>
        <v>-1.7341141821959305</v>
      </c>
      <c r="M119" s="19">
        <f ca="1"/>
        <v>0.19801693998869951</v>
      </c>
      <c r="N119" s="20">
        <f t="shared" ca="1" si="29"/>
        <v>6.3450274889524684E-3</v>
      </c>
      <c r="O119" s="20">
        <f t="shared" ca="1" si="30"/>
        <v>0.11753610248921145</v>
      </c>
      <c r="P119" s="19">
        <f t="shared" ca="1" si="31"/>
        <v>11.626651677702684</v>
      </c>
      <c r="Q119" s="19">
        <f ca="1">HCTrans(P119,Strike,RiskFreeRate,Dividend,Variance_T0*AnnualVarConvtr,(Simulation!G119)/250,0.5,Variance_Avg*AnnualVarConvtr,Lambda,SQRT(Simulation!N119),Rho,1,"Call")</f>
        <v>29.023356692573202</v>
      </c>
      <c r="R119" s="19">
        <f ca="1">ImpliedVolatility("Call",P119,Strike,RiskFreeRate,G119/250,Dividend,Q119,0.5)</f>
        <v>0.74042409652675867</v>
      </c>
      <c r="S119" s="19">
        <f t="shared" ca="1" si="32"/>
        <v>0.55050445010581117</v>
      </c>
      <c r="T119" s="19">
        <f t="shared" ca="1" si="33"/>
        <v>11.0365960405734</v>
      </c>
      <c r="U119" s="19">
        <f t="shared" ca="1" si="34"/>
        <v>-26.142344578669412</v>
      </c>
      <c r="V119" s="21"/>
      <c r="X119" s="22"/>
      <c r="Y119" s="22"/>
      <c r="Z119" s="22"/>
    </row>
    <row r="120" spans="7:26" x14ac:dyDescent="0.25">
      <c r="G120" s="19">
        <v>135</v>
      </c>
      <c r="H120" s="19">
        <f t="shared" ca="1" si="35"/>
        <v>0.32401579115264334</v>
      </c>
      <c r="I120" s="19">
        <f t="shared" ca="1" si="35"/>
        <v>0.29866447103118798</v>
      </c>
      <c r="J120" s="19">
        <f t="shared" ca="1" si="27"/>
        <v>-0.45193207895133208</v>
      </c>
      <c r="K120" s="19">
        <f t="shared" ca="1" si="28"/>
        <v>1.4316715574875352</v>
      </c>
      <c r="L120" s="19">
        <f t="array" aca="1" ref="L120:M120" ca="1">MMULT(J120:K120,TRANSPOSE($B$10:$C$11))</f>
        <v>-0.45193207895133208</v>
      </c>
      <c r="M120" s="19">
        <f ca="1"/>
        <v>1.3225249321062551</v>
      </c>
      <c r="N120" s="20">
        <f t="shared" ca="1" si="29"/>
        <v>9.1947786418935702E-3</v>
      </c>
      <c r="O120" s="20">
        <f t="shared" ca="1" si="30"/>
        <v>0.11524663845625348</v>
      </c>
      <c r="P120" s="19">
        <f t="shared" ca="1" si="31"/>
        <v>11.135642060083747</v>
      </c>
      <c r="Q120" s="19">
        <f ca="1">HCTrans(P120,Strike,RiskFreeRate,Dividend,Variance_T0*AnnualVarConvtr,(Simulation!G120)/250,0.5,Variance_Avg*AnnualVarConvtr,Lambda,SQRT(Simulation!N120),Rho,1,"Call")</f>
        <v>29.023356692573202</v>
      </c>
      <c r="R120" s="19">
        <f ca="1">ImpliedVolatility("Call",P120,Strike,RiskFreeRate,G120/250,Dividend,Q120,0.5)</f>
        <v>0.74042409652675867</v>
      </c>
      <c r="S120" s="19">
        <f t="shared" ca="1" si="32"/>
        <v>0.55050445010581117</v>
      </c>
      <c r="T120" s="19">
        <f t="shared" ca="1" si="33"/>
        <v>11.0365960405734</v>
      </c>
      <c r="U120" s="19">
        <f t="shared" ca="1" si="34"/>
        <v>-26.142344578669412</v>
      </c>
      <c r="V120" s="21"/>
      <c r="X120" s="22"/>
      <c r="Y120" s="22"/>
      <c r="Z120" s="22"/>
    </row>
    <row r="121" spans="7:26" x14ac:dyDescent="0.25">
      <c r="G121" s="19">
        <v>134</v>
      </c>
      <c r="H121" s="19">
        <f t="shared" ca="1" si="35"/>
        <v>0.99858740563658588</v>
      </c>
      <c r="I121" s="19">
        <f t="shared" ca="1" si="35"/>
        <v>0.33859514356762255</v>
      </c>
      <c r="J121" s="19">
        <f t="shared" ca="1" si="27"/>
        <v>-2.8093218700882636E-2</v>
      </c>
      <c r="K121" s="19">
        <f t="shared" ca="1" si="28"/>
        <v>4.5143738146391679E-2</v>
      </c>
      <c r="L121" s="19">
        <f t="array" aca="1" ref="L121:M121" ca="1">MMULT(J121:K121,TRANSPOSE($B$10:$C$11))</f>
        <v>-2.8093218700882636E-2</v>
      </c>
      <c r="M121" s="19">
        <f ca="1"/>
        <v>5.1620480184802434E-2</v>
      </c>
      <c r="N121" s="20">
        <f t="shared" ca="1" si="29"/>
        <v>9.3051589928724587E-3</v>
      </c>
      <c r="O121" s="20">
        <f t="shared" ca="1" si="30"/>
        <v>0.11505787536377989</v>
      </c>
      <c r="P121" s="19">
        <f t="shared" ca="1" si="31"/>
        <v>10.792064036598319</v>
      </c>
      <c r="Q121" s="19">
        <f ca="1">HCTrans(P121,Strike,RiskFreeRate,Dividend,Variance_T0*AnnualVarConvtr,(Simulation!G121)/250,0.5,Variance_Avg*AnnualVarConvtr,Lambda,SQRT(Simulation!N121),Rho,1,"Call")</f>
        <v>29.023356692573202</v>
      </c>
      <c r="R121" s="19">
        <f ca="1">ImpliedVolatility("Call",P121,Strike,RiskFreeRate,G121/250,Dividend,Q121,0.5)</f>
        <v>0.74042409652675867</v>
      </c>
      <c r="S121" s="19">
        <f t="shared" ca="1" si="32"/>
        <v>0.55050445010581117</v>
      </c>
      <c r="T121" s="19">
        <f t="shared" ca="1" si="33"/>
        <v>11.0365960405734</v>
      </c>
      <c r="U121" s="19">
        <f t="shared" ca="1" si="34"/>
        <v>-26.142344578669412</v>
      </c>
      <c r="V121" s="21"/>
      <c r="X121" s="22"/>
      <c r="Y121" s="22"/>
      <c r="Z121" s="22"/>
    </row>
    <row r="122" spans="7:26" x14ac:dyDescent="0.25">
      <c r="G122" s="19">
        <v>133</v>
      </c>
      <c r="H122" s="19">
        <f t="shared" ca="1" si="35"/>
        <v>8.0622172544970061E-2</v>
      </c>
      <c r="I122" s="19">
        <f t="shared" ca="1" si="35"/>
        <v>0.13922572326456573</v>
      </c>
      <c r="J122" s="19">
        <f t="shared" ca="1" si="27"/>
        <v>1.4388351032208688</v>
      </c>
      <c r="K122" s="19">
        <f t="shared" ca="1" si="28"/>
        <v>1.7221256322118366</v>
      </c>
      <c r="L122" s="19">
        <f t="array" aca="1" ref="L122:M122" ca="1">MMULT(J122:K122,TRANSPOSE($B$10:$C$11))</f>
        <v>1.4388351032208688</v>
      </c>
      <c r="M122" s="19">
        <f ca="1"/>
        <v>0.17040725923377487</v>
      </c>
      <c r="N122" s="20">
        <f t="shared" ca="1" si="29"/>
        <v>9.7006121574913663E-3</v>
      </c>
      <c r="O122" s="20">
        <f t="shared" ca="1" si="30"/>
        <v>0.12381741346361562</v>
      </c>
      <c r="P122" s="19">
        <f t="shared" ca="1" si="31"/>
        <v>10.395874657847473</v>
      </c>
      <c r="Q122" s="19">
        <f ca="1">HCTrans(P122,Strike,RiskFreeRate,Dividend,Variance_T0*AnnualVarConvtr,(Simulation!G122)/250,0.5,Variance_Avg*AnnualVarConvtr,Lambda,SQRT(Simulation!N122),Rho,1,"Call")</f>
        <v>29.023356692573202</v>
      </c>
      <c r="R122" s="19">
        <f ca="1">ImpliedVolatility("Call",P122,Strike,RiskFreeRate,G122/250,Dividend,Q122,0.5)</f>
        <v>0.74042409652675867</v>
      </c>
      <c r="S122" s="19">
        <f t="shared" ca="1" si="32"/>
        <v>0.55050445010581117</v>
      </c>
      <c r="T122" s="19">
        <f t="shared" ca="1" si="33"/>
        <v>11.0365960405734</v>
      </c>
      <c r="U122" s="19">
        <f t="shared" ca="1" si="34"/>
        <v>-26.142344578669412</v>
      </c>
      <c r="V122" s="21"/>
      <c r="X122" s="22"/>
      <c r="Y122" s="22"/>
      <c r="Z122" s="22"/>
    </row>
    <row r="123" spans="7:26" x14ac:dyDescent="0.25">
      <c r="G123" s="19">
        <v>132</v>
      </c>
      <c r="H123" s="19">
        <f t="shared" ca="1" si="35"/>
        <v>0.37302102625509603</v>
      </c>
      <c r="I123" s="19">
        <f t="shared" ca="1" si="35"/>
        <v>0.90121355924495572</v>
      </c>
      <c r="J123" s="19">
        <f t="shared" ca="1" si="27"/>
        <v>1.1424162263254565</v>
      </c>
      <c r="K123" s="19">
        <f t="shared" ca="1" si="28"/>
        <v>-0.81677790516656978</v>
      </c>
      <c r="L123" s="19">
        <f t="array" aca="1" ref="L123:M123" ca="1">MMULT(J123:K123,TRANSPOSE($B$10:$C$11))</f>
        <v>1.1424162263254565</v>
      </c>
      <c r="M123" s="19">
        <f ca="1"/>
        <v>-1.3883149492956557</v>
      </c>
      <c r="N123" s="20">
        <f t="shared" ca="1" si="29"/>
        <v>6.6234070516483588E-3</v>
      </c>
      <c r="O123" s="20">
        <f t="shared" ca="1" si="30"/>
        <v>0.13091430701320883</v>
      </c>
      <c r="P123" s="19">
        <f t="shared" ca="1" si="31"/>
        <v>9.9329257468158865</v>
      </c>
      <c r="Q123" s="19">
        <f ca="1">HCTrans(P123,Strike,RiskFreeRate,Dividend,Variance_T0*AnnualVarConvtr,(Simulation!G123)/250,0.5,Variance_Avg*AnnualVarConvtr,Lambda,SQRT(Simulation!N123),Rho,1,"Call")</f>
        <v>29.023356692573202</v>
      </c>
      <c r="R123" s="19">
        <f ca="1">ImpliedVolatility("Call",P123,Strike,RiskFreeRate,G123/250,Dividend,Q123,0.5)</f>
        <v>0.74042409652675867</v>
      </c>
      <c r="S123" s="19">
        <f t="shared" ca="1" si="32"/>
        <v>0.55050445010581117</v>
      </c>
      <c r="T123" s="19">
        <f t="shared" ca="1" si="33"/>
        <v>11.0365960405734</v>
      </c>
      <c r="U123" s="19">
        <f t="shared" ca="1" si="34"/>
        <v>-26.142344578669412</v>
      </c>
      <c r="V123" s="21"/>
      <c r="X123" s="22"/>
      <c r="Y123" s="22"/>
      <c r="Z123" s="22"/>
    </row>
    <row r="124" spans="7:26" x14ac:dyDescent="0.25">
      <c r="G124" s="19">
        <v>131</v>
      </c>
      <c r="H124" s="19">
        <f t="shared" ca="1" si="35"/>
        <v>7.3378518707003515E-2</v>
      </c>
      <c r="I124" s="19">
        <f t="shared" ca="1" si="35"/>
        <v>0.45398716091249014</v>
      </c>
      <c r="J124" s="19">
        <f t="shared" ca="1" si="27"/>
        <v>-2.1908037059891776</v>
      </c>
      <c r="K124" s="19">
        <f t="shared" ca="1" si="28"/>
        <v>0.65163426517445677</v>
      </c>
      <c r="L124" s="19">
        <f t="array" aca="1" ref="L124:M124" ca="1">MMULT(J124:K124,TRANSPOSE($B$10:$C$11))</f>
        <v>-2.1908037059891776</v>
      </c>
      <c r="M124" s="19">
        <f ca="1"/>
        <v>2.0242825069998109</v>
      </c>
      <c r="N124" s="20">
        <f t="shared" ca="1" si="29"/>
        <v>1.1281173052925138E-2</v>
      </c>
      <c r="O124" s="20">
        <f t="shared" ca="1" si="30"/>
        <v>0.11962456379822835</v>
      </c>
      <c r="P124" s="19">
        <f t="shared" ca="1" si="31"/>
        <v>9.4805716965645264</v>
      </c>
      <c r="Q124" s="19">
        <f ca="1">HCTrans(P124,Strike,RiskFreeRate,Dividend,Variance_T0*AnnualVarConvtr,(Simulation!G124)/250,0.5,Variance_Avg*AnnualVarConvtr,Lambda,SQRT(Simulation!N124),Rho,1,"Call")</f>
        <v>29.023356692573202</v>
      </c>
      <c r="R124" s="19">
        <f ca="1">ImpliedVolatility("Call",P124,Strike,RiskFreeRate,G124/250,Dividend,Q124,0.5)</f>
        <v>0.74042409652675867</v>
      </c>
      <c r="S124" s="19">
        <f t="shared" ca="1" si="32"/>
        <v>0.55050445010581117</v>
      </c>
      <c r="T124" s="19">
        <f t="shared" ca="1" si="33"/>
        <v>11.0365960405734</v>
      </c>
      <c r="U124" s="19">
        <f t="shared" ca="1" si="34"/>
        <v>-26.142344578669412</v>
      </c>
      <c r="V124" s="21"/>
      <c r="X124" s="22"/>
      <c r="Y124" s="22"/>
      <c r="Z124" s="22"/>
    </row>
    <row r="125" spans="7:26" x14ac:dyDescent="0.25">
      <c r="G125" s="19">
        <v>130</v>
      </c>
      <c r="H125" s="19">
        <f t="shared" ca="1" si="35"/>
        <v>0.43936964057717709</v>
      </c>
      <c r="I125" s="19">
        <f t="shared" ca="1" si="35"/>
        <v>0.4710224593982969</v>
      </c>
      <c r="J125" s="19">
        <f t="shared" ca="1" si="27"/>
        <v>-1.2613097615233821</v>
      </c>
      <c r="K125" s="19">
        <f t="shared" ca="1" si="28"/>
        <v>0.23221996928515437</v>
      </c>
      <c r="L125" s="19">
        <f t="array" aca="1" ref="L125:M125" ca="1">MMULT(J125:K125,TRANSPOSE($B$10:$C$11))</f>
        <v>-1.2613097615233821</v>
      </c>
      <c r="M125" s="19">
        <f ca="1"/>
        <v>1.065722097055499</v>
      </c>
      <c r="N125" s="20">
        <f t="shared" ca="1" si="29"/>
        <v>1.4204974791355534E-2</v>
      </c>
      <c r="O125" s="20">
        <f t="shared" ca="1" si="30"/>
        <v>0.11112916383528279</v>
      </c>
      <c r="P125" s="19">
        <f t="shared" ca="1" si="31"/>
        <v>9.0977047914350972</v>
      </c>
      <c r="Q125" s="19">
        <f ca="1">HCTrans(P125,Strike,RiskFreeRate,Dividend,Variance_T0*AnnualVarConvtr,(Simulation!G125)/250,0.5,Variance_Avg*AnnualVarConvtr,Lambda,SQRT(Simulation!N125),Rho,1,"Call")</f>
        <v>29.023356692573202</v>
      </c>
      <c r="R125" s="19">
        <f ca="1">ImpliedVolatility("Call",P125,Strike,RiskFreeRate,G125/250,Dividend,Q125,0.5)</f>
        <v>0.74042409652675867</v>
      </c>
      <c r="S125" s="19">
        <f t="shared" ca="1" si="32"/>
        <v>0.55050445010581117</v>
      </c>
      <c r="T125" s="19">
        <f t="shared" ca="1" si="33"/>
        <v>11.0365960405734</v>
      </c>
      <c r="U125" s="19">
        <f t="shared" ca="1" si="34"/>
        <v>-26.142344578669412</v>
      </c>
      <c r="V125" s="21"/>
      <c r="X125" s="22"/>
      <c r="Y125" s="22"/>
      <c r="Z125" s="22"/>
    </row>
    <row r="126" spans="7:26" x14ac:dyDescent="0.25">
      <c r="G126" s="19">
        <v>129</v>
      </c>
      <c r="H126" s="19">
        <f t="shared" ca="1" si="35"/>
        <v>0.170895262616368</v>
      </c>
      <c r="I126" s="19">
        <f t="shared" ca="1" si="35"/>
        <v>9.9270970793154945E-3</v>
      </c>
      <c r="J126" s="19">
        <f t="shared" ca="1" si="27"/>
        <v>1.8760810073166925</v>
      </c>
      <c r="K126" s="19">
        <f t="shared" ca="1" si="28"/>
        <v>0.11717027307378353</v>
      </c>
      <c r="L126" s="19">
        <f t="array" aca="1" ref="L126:M126" ca="1">MMULT(J126:K126,TRANSPOSE($B$10:$C$11))</f>
        <v>1.8760810073166925</v>
      </c>
      <c r="M126" s="19">
        <f ca="1"/>
        <v>-1.2624755717577087</v>
      </c>
      <c r="N126" s="20">
        <f t="shared" ca="1" si="29"/>
        <v>1.0717082666260761E-2</v>
      </c>
      <c r="O126" s="20">
        <f t="shared" ca="1" si="30"/>
        <v>0.12524246027591684</v>
      </c>
      <c r="P126" s="19">
        <f t="shared" ca="1" si="31"/>
        <v>8.7384534901635504</v>
      </c>
      <c r="Q126" s="19">
        <f ca="1">HCTrans(P126,Strike,RiskFreeRate,Dividend,Variance_T0*AnnualVarConvtr,(Simulation!G126)/250,0.5,Variance_Avg*AnnualVarConvtr,Lambda,SQRT(Simulation!N126),Rho,1,"Call")</f>
        <v>29.023356692573202</v>
      </c>
      <c r="R126" s="19">
        <f ca="1">ImpliedVolatility("Call",P126,Strike,RiskFreeRate,G126/250,Dividend,Q126,0.5)</f>
        <v>0.74042409652675867</v>
      </c>
      <c r="S126" s="19">
        <f t="shared" ca="1" si="32"/>
        <v>0.55050445010581117</v>
      </c>
      <c r="T126" s="19">
        <f t="shared" ca="1" si="33"/>
        <v>11.0365960405734</v>
      </c>
      <c r="U126" s="19">
        <f t="shared" ca="1" si="34"/>
        <v>-26.142344578669412</v>
      </c>
      <c r="V126" s="21"/>
      <c r="X126" s="22"/>
      <c r="Y126" s="22"/>
      <c r="Z126" s="22"/>
    </row>
    <row r="127" spans="7:26" x14ac:dyDescent="0.25">
      <c r="G127" s="19">
        <v>128</v>
      </c>
      <c r="H127" s="19">
        <f t="shared" ca="1" si="35"/>
        <v>0.66015064752388264</v>
      </c>
      <c r="I127" s="19">
        <f t="shared" ca="1" si="35"/>
        <v>0.98671697125989888</v>
      </c>
      <c r="J127" s="19">
        <f t="shared" ca="1" si="27"/>
        <v>0.90818635987941965</v>
      </c>
      <c r="K127" s="19">
        <f t="shared" ca="1" si="28"/>
        <v>-7.5973469685497411E-2</v>
      </c>
      <c r="L127" s="19">
        <f t="array" aca="1" ref="L127:M127" ca="1">MMULT(J127:K127,TRANSPOSE($B$10:$C$11))</f>
        <v>0.90818635987941965</v>
      </c>
      <c r="M127" s="19">
        <f ca="1"/>
        <v>-0.70371363859028924</v>
      </c>
      <c r="N127" s="20">
        <f t="shared" ca="1" si="29"/>
        <v>8.9857332776652268E-3</v>
      </c>
      <c r="O127" s="20">
        <f t="shared" ca="1" si="30"/>
        <v>0.13116727743151863</v>
      </c>
      <c r="P127" s="19">
        <f t="shared" ca="1" si="31"/>
        <v>8.4078903285434894</v>
      </c>
      <c r="Q127" s="19">
        <f ca="1">HCTrans(P127,Strike,RiskFreeRate,Dividend,Variance_T0*AnnualVarConvtr,(Simulation!G127)/250,0.5,Variance_Avg*AnnualVarConvtr,Lambda,SQRT(Simulation!N127),Rho,1,"Call")</f>
        <v>29.023356692573202</v>
      </c>
      <c r="R127" s="19">
        <f ca="1">ImpliedVolatility("Call",P127,Strike,RiskFreeRate,G127/250,Dividend,Q127,0.5)</f>
        <v>0.74042409652675867</v>
      </c>
      <c r="S127" s="19">
        <f t="shared" ca="1" si="32"/>
        <v>0.55050445010581117</v>
      </c>
      <c r="T127" s="19">
        <f t="shared" ca="1" si="33"/>
        <v>11.0365960405734</v>
      </c>
      <c r="U127" s="19">
        <f t="shared" ca="1" si="34"/>
        <v>-26.142344578669412</v>
      </c>
      <c r="V127" s="21"/>
      <c r="X127" s="22"/>
      <c r="Y127" s="22"/>
      <c r="Z127" s="22"/>
    </row>
    <row r="128" spans="7:26" x14ac:dyDescent="0.25">
      <c r="G128" s="19">
        <v>127</v>
      </c>
      <c r="H128" s="19">
        <f t="shared" ca="1" si="35"/>
        <v>0.66048946350420967</v>
      </c>
      <c r="I128" s="19">
        <f t="shared" ca="1" si="35"/>
        <v>0.94877457832840084</v>
      </c>
      <c r="J128" s="19">
        <f t="shared" ca="1" si="27"/>
        <v>0.86402517341831164</v>
      </c>
      <c r="K128" s="19">
        <f t="shared" ca="1" si="28"/>
        <v>-0.28811232982712898</v>
      </c>
      <c r="L128" s="19">
        <f t="array" aca="1" ref="L128:M128" ca="1">MMULT(J128:K128,TRANSPOSE($B$10:$C$11))</f>
        <v>0.86402517341831164</v>
      </c>
      <c r="M128" s="19">
        <f ca="1"/>
        <v>-0.82005747889665037</v>
      </c>
      <c r="N128" s="20">
        <f t="shared" ca="1" si="29"/>
        <v>7.1704276412790221E-3</v>
      </c>
      <c r="O128" s="20">
        <f t="shared" ca="1" si="30"/>
        <v>0.13632934644007241</v>
      </c>
      <c r="P128" s="19">
        <f t="shared" ca="1" si="31"/>
        <v>8.1183196137184268</v>
      </c>
      <c r="Q128" s="19">
        <f ca="1">HCTrans(P128,Strike,RiskFreeRate,Dividend,Variance_T0*AnnualVarConvtr,(Simulation!G128)/250,0.5,Variance_Avg*AnnualVarConvtr,Lambda,SQRT(Simulation!N128),Rho,1,"Call")</f>
        <v>29.023356692573202</v>
      </c>
      <c r="R128" s="19">
        <f ca="1">ImpliedVolatility("Call",P128,Strike,RiskFreeRate,G128/250,Dividend,Q128,0.5)</f>
        <v>0.74042409652675867</v>
      </c>
      <c r="S128" s="19">
        <f t="shared" ca="1" si="32"/>
        <v>0.55050445010581117</v>
      </c>
      <c r="T128" s="19">
        <f t="shared" ca="1" si="33"/>
        <v>11.0365960405734</v>
      </c>
      <c r="U128" s="19">
        <f t="shared" ca="1" si="34"/>
        <v>-26.142344578669412</v>
      </c>
      <c r="V128" s="21"/>
      <c r="X128" s="22"/>
      <c r="Y128" s="22"/>
      <c r="Z128" s="22"/>
    </row>
    <row r="129" spans="7:26" x14ac:dyDescent="0.25">
      <c r="G129" s="19">
        <v>126</v>
      </c>
      <c r="H129" s="19">
        <f t="shared" ca="1" si="35"/>
        <v>0.50216916242426413</v>
      </c>
      <c r="I129" s="19">
        <f t="shared" ca="1" si="35"/>
        <v>0.3756082534758246</v>
      </c>
      <c r="J129" s="19">
        <f t="shared" ca="1" si="27"/>
        <v>-0.83311655646084637</v>
      </c>
      <c r="K129" s="19">
        <f t="shared" ca="1" si="28"/>
        <v>0.82677281134424241</v>
      </c>
      <c r="L129" s="19">
        <f t="array" aca="1" ref="L129:M129" ca="1">MMULT(J129:K129,TRANSPOSE($B$10:$C$11))</f>
        <v>-0.83311655646084637</v>
      </c>
      <c r="M129" s="19">
        <f ca="1"/>
        <v>1.1736740533663312</v>
      </c>
      <c r="N129" s="20">
        <f t="shared" ca="1" si="29"/>
        <v>9.8137679527960948E-3</v>
      </c>
      <c r="O129" s="20">
        <f t="shared" ca="1" si="30"/>
        <v>0.13185322417436618</v>
      </c>
      <c r="P129" s="19">
        <f t="shared" ca="1" si="31"/>
        <v>7.7977268489764091</v>
      </c>
      <c r="Q129" s="19">
        <f ca="1">HCTrans(P129,Strike,RiskFreeRate,Dividend,Variance_T0*AnnualVarConvtr,(Simulation!G129)/250,0.5,Variance_Avg*AnnualVarConvtr,Lambda,SQRT(Simulation!N129),Rho,1,"Call")</f>
        <v>29.023356692573202</v>
      </c>
      <c r="R129" s="19">
        <f ca="1">ImpliedVolatility("Call",P129,Strike,RiskFreeRate,G129/250,Dividend,Q129,0.5)</f>
        <v>0.74042409652675867</v>
      </c>
      <c r="S129" s="19">
        <f t="shared" ca="1" si="32"/>
        <v>0.55050445010581117</v>
      </c>
      <c r="T129" s="19">
        <f t="shared" ca="1" si="33"/>
        <v>11.0365960405734</v>
      </c>
      <c r="U129" s="19">
        <f t="shared" ca="1" si="34"/>
        <v>-26.142344578669412</v>
      </c>
      <c r="V129" s="21"/>
      <c r="X129" s="22"/>
      <c r="Y129" s="22"/>
      <c r="Z129" s="22"/>
    </row>
    <row r="130" spans="7:26" x14ac:dyDescent="0.25">
      <c r="G130" s="19">
        <v>125</v>
      </c>
      <c r="H130" s="19">
        <f t="shared" ca="1" si="35"/>
        <v>0.98347427625153327</v>
      </c>
      <c r="I130" s="19">
        <f t="shared" ca="1" si="35"/>
        <v>8.5527985389076577E-2</v>
      </c>
      <c r="J130" s="19">
        <f t="shared" ca="1" si="27"/>
        <v>0.15682659204006025</v>
      </c>
      <c r="K130" s="19">
        <f t="shared" ca="1" si="28"/>
        <v>9.3450594655459907E-2</v>
      </c>
      <c r="L130" s="19">
        <f t="array" aca="1" ref="L130:M130" ca="1">MMULT(J130:K130,TRANSPOSE($B$10:$C$11))</f>
        <v>0.15682659204006025</v>
      </c>
      <c r="M130" s="19">
        <f ca="1"/>
        <v>-4.7176324687288967E-2</v>
      </c>
      <c r="N130" s="20">
        <f t="shared" ca="1" si="29"/>
        <v>9.6848333693440296E-3</v>
      </c>
      <c r="O130" s="20">
        <f t="shared" ca="1" si="30"/>
        <v>0.13281617589883787</v>
      </c>
      <c r="P130" s="19">
        <f t="shared" ca="1" si="31"/>
        <v>7.5467284790884976</v>
      </c>
      <c r="Q130" s="19">
        <f ca="1">HCTrans(P130,Strike,RiskFreeRate,Dividend,Variance_T0*AnnualVarConvtr,(Simulation!G130)/250,0.5,Variance_Avg*AnnualVarConvtr,Lambda,SQRT(Simulation!N130),Rho,1,"Call")</f>
        <v>29.023356692573202</v>
      </c>
      <c r="R130" s="19">
        <f ca="1">ImpliedVolatility("Call",P130,Strike,RiskFreeRate,G130/250,Dividend,Q130,0.5)</f>
        <v>0.74042409652675867</v>
      </c>
      <c r="S130" s="19">
        <f t="shared" ca="1" si="32"/>
        <v>0.55050445010581117</v>
      </c>
      <c r="T130" s="19">
        <f t="shared" ca="1" si="33"/>
        <v>11.0365960405734</v>
      </c>
      <c r="U130" s="19">
        <f t="shared" ca="1" si="34"/>
        <v>-26.142344578669412</v>
      </c>
      <c r="V130" s="21"/>
      <c r="X130" s="22"/>
      <c r="Y130" s="22"/>
      <c r="Z130" s="22"/>
    </row>
    <row r="131" spans="7:26" x14ac:dyDescent="0.25">
      <c r="G131" s="19">
        <v>124</v>
      </c>
      <c r="H131" s="19">
        <f t="shared" ca="1" si="35"/>
        <v>0.86082008501790852</v>
      </c>
      <c r="I131" s="19">
        <f t="shared" ca="1" si="35"/>
        <v>8.0220816386019744E-2</v>
      </c>
      <c r="J131" s="19">
        <f t="shared" ca="1" si="27"/>
        <v>0.4793981132286716</v>
      </c>
      <c r="K131" s="19">
        <f t="shared" ca="1" si="28"/>
        <v>0.26441815896916093</v>
      </c>
      <c r="L131" s="19">
        <f t="array" aca="1" ref="L131:M131" ca="1">MMULT(J131:K131,TRANSPOSE($B$10:$C$11))</f>
        <v>0.4793981132286716</v>
      </c>
      <c r="M131" s="19">
        <f ca="1"/>
        <v>-0.15903405371636484</v>
      </c>
      <c r="N131" s="20">
        <f t="shared" ca="1" si="29"/>
        <v>9.2908829387927903E-3</v>
      </c>
      <c r="O131" s="20">
        <f t="shared" ca="1" si="30"/>
        <v>0.13578062466533872</v>
      </c>
      <c r="P131" s="19">
        <f t="shared" ca="1" si="31"/>
        <v>7.2143852299959539</v>
      </c>
      <c r="Q131" s="19">
        <f ca="1">HCTrans(P131,Strike,RiskFreeRate,Dividend,Variance_T0*AnnualVarConvtr,(Simulation!G131)/250,0.5,Variance_Avg*AnnualVarConvtr,Lambda,SQRT(Simulation!N131),Rho,1,"Call")</f>
        <v>29.023356692573202</v>
      </c>
      <c r="R131" s="19">
        <f ca="1">ImpliedVolatility("Call",P131,Strike,RiskFreeRate,G131/250,Dividend,Q131,0.5)</f>
        <v>0.74042409652675867</v>
      </c>
      <c r="S131" s="19">
        <f t="shared" ca="1" si="32"/>
        <v>0.55050445010581117</v>
      </c>
      <c r="T131" s="19">
        <f t="shared" ca="1" si="33"/>
        <v>11.0365960405734</v>
      </c>
      <c r="U131" s="19">
        <f t="shared" ca="1" si="34"/>
        <v>-26.142344578669412</v>
      </c>
      <c r="V131" s="21"/>
      <c r="X131" s="22"/>
      <c r="Y131" s="22"/>
      <c r="Z131" s="22"/>
    </row>
    <row r="132" spans="7:26" x14ac:dyDescent="0.25">
      <c r="G132" s="19">
        <v>123</v>
      </c>
      <c r="H132" s="19">
        <f t="shared" ca="1" si="35"/>
        <v>0.63879624671562762</v>
      </c>
      <c r="I132" s="19">
        <f t="shared" ca="1" si="35"/>
        <v>0.35746952576834312</v>
      </c>
      <c r="J132" s="19">
        <f t="shared" ca="1" si="27"/>
        <v>-0.59180829031114535</v>
      </c>
      <c r="K132" s="19">
        <f t="shared" ca="1" si="28"/>
        <v>0.73898743147834189</v>
      </c>
      <c r="L132" s="19">
        <f t="array" aca="1" ref="L132:M132" ca="1">MMULT(J132:K132,TRANSPOSE($B$10:$C$11))</f>
        <v>-0.59180829031114535</v>
      </c>
      <c r="M132" s="19">
        <f ca="1"/>
        <v>0.93953873286750422</v>
      </c>
      <c r="N132" s="20">
        <f t="shared" ca="1" si="29"/>
        <v>1.1632259107617409E-2</v>
      </c>
      <c r="O132" s="20">
        <f t="shared" ca="1" si="30"/>
        <v>0.1321542671550841</v>
      </c>
      <c r="P132" s="19">
        <f t="shared" ca="1" si="31"/>
        <v>6.945279790582366</v>
      </c>
      <c r="Q132" s="19">
        <f ca="1">HCTrans(P132,Strike,RiskFreeRate,Dividend,Variance_T0*AnnualVarConvtr,(Simulation!G132)/250,0.5,Variance_Avg*AnnualVarConvtr,Lambda,SQRT(Simulation!N132),Rho,1,"Call")</f>
        <v>29.023356692573202</v>
      </c>
      <c r="R132" s="19">
        <f ca="1">ImpliedVolatility("Call",P132,Strike,RiskFreeRate,G132/250,Dividend,Q132,0.5)</f>
        <v>0.74042409652675867</v>
      </c>
      <c r="S132" s="19">
        <f t="shared" ca="1" si="32"/>
        <v>0.55050445010581117</v>
      </c>
      <c r="T132" s="19">
        <f t="shared" ca="1" si="33"/>
        <v>11.0365960405734</v>
      </c>
      <c r="U132" s="19">
        <f t="shared" ca="1" si="34"/>
        <v>-26.142344578669412</v>
      </c>
      <c r="V132" s="21"/>
      <c r="X132" s="22"/>
      <c r="Y132" s="22"/>
      <c r="Z132" s="22"/>
    </row>
    <row r="133" spans="7:26" x14ac:dyDescent="0.25">
      <c r="G133" s="19">
        <v>122</v>
      </c>
      <c r="H133" s="19">
        <f t="shared" ca="1" si="35"/>
        <v>7.9154054404066643E-2</v>
      </c>
      <c r="I133" s="19">
        <f t="shared" ca="1" si="35"/>
        <v>5.0307700233680031E-2</v>
      </c>
      <c r="J133" s="19">
        <f t="shared" ca="1" si="27"/>
        <v>2.1406861340257053</v>
      </c>
      <c r="K133" s="19">
        <f t="shared" ca="1" si="28"/>
        <v>0.70012957008393717</v>
      </c>
      <c r="L133" s="19">
        <f t="array" aca="1" ref="L133:M133" ca="1">MMULT(J133:K133,TRANSPOSE($B$10:$C$11))</f>
        <v>2.1406861340257053</v>
      </c>
      <c r="M133" s="19">
        <f ca="1"/>
        <v>-1.0454002646755478</v>
      </c>
      <c r="N133" s="20">
        <f t="shared" ca="1" si="29"/>
        <v>9.0075630501138971E-3</v>
      </c>
      <c r="O133" s="20">
        <f t="shared" ca="1" si="30"/>
        <v>0.14673309278881796</v>
      </c>
      <c r="P133" s="19">
        <f t="shared" ca="1" si="31"/>
        <v>6.6536664734413176</v>
      </c>
      <c r="Q133" s="19">
        <f ca="1">HCTrans(P133,Strike,RiskFreeRate,Dividend,Variance_T0*AnnualVarConvtr,(Simulation!G133)/250,0.5,Variance_Avg*AnnualVarConvtr,Lambda,SQRT(Simulation!N133),Rho,1,"Call")</f>
        <v>29.023356692573202</v>
      </c>
      <c r="R133" s="19">
        <f ca="1">ImpliedVolatility("Call",P133,Strike,RiskFreeRate,G133/250,Dividend,Q133,0.5)</f>
        <v>0.74042409652675867</v>
      </c>
      <c r="S133" s="19">
        <f t="shared" ca="1" si="32"/>
        <v>0.55050445010581117</v>
      </c>
      <c r="T133" s="19">
        <f t="shared" ca="1" si="33"/>
        <v>11.0365960405734</v>
      </c>
      <c r="U133" s="19">
        <f t="shared" ca="1" si="34"/>
        <v>-26.142344578669412</v>
      </c>
      <c r="V133" s="21"/>
      <c r="X133" s="22"/>
      <c r="Y133" s="22"/>
      <c r="Z133" s="22"/>
    </row>
    <row r="134" spans="7:26" x14ac:dyDescent="0.25">
      <c r="G134" s="19">
        <v>121</v>
      </c>
      <c r="H134" s="19">
        <f t="shared" ca="1" si="35"/>
        <v>0.6469421571238041</v>
      </c>
      <c r="I134" s="19">
        <f t="shared" ca="1" si="35"/>
        <v>0.18016413548313026</v>
      </c>
      <c r="J134" s="19">
        <f t="shared" ref="J134:J197" ca="1" si="36">SQRT(-2*LN(H134))*COS(2*PI()*I134)</f>
        <v>0.39649683928531643</v>
      </c>
      <c r="K134" s="19">
        <f t="shared" ref="K134:K197" ca="1" si="37">SQRT(-2*LN(H134))*SIN(2*PI()*I134)</f>
        <v>0.84485918159127971</v>
      </c>
      <c r="L134" s="19">
        <f t="array" aca="1" ref="L134:M134" ca="1">MMULT(J134:K134,TRANSPOSE($B$10:$C$11))</f>
        <v>0.39649683928531643</v>
      </c>
      <c r="M134" s="19">
        <f ca="1"/>
        <v>0.30527287372768014</v>
      </c>
      <c r="N134" s="20">
        <f t="shared" ref="N134:N197" ca="1" si="38">GetVariance(N133,Variance_Avg,Lambda,Eta,M134,"Daily")</f>
        <v>9.7215951549363949E-3</v>
      </c>
      <c r="O134" s="20">
        <f t="shared" ref="O134:O197" ca="1" si="39">GetStockReturns(O133,RiskFreeRate,N133,L134,"Daily")</f>
        <v>0.14909505806367751</v>
      </c>
      <c r="P134" s="19">
        <f t="shared" ca="1" si="31"/>
        <v>6.2502779257089616</v>
      </c>
      <c r="Q134" s="19">
        <f ca="1">HCTrans(P134,Strike,RiskFreeRate,Dividend,Variance_T0*AnnualVarConvtr,(Simulation!G134)/250,0.5,Variance_Avg*AnnualVarConvtr,Lambda,SQRT(Simulation!N134),Rho,1,"Call")</f>
        <v>29.023356692573202</v>
      </c>
      <c r="R134" s="19">
        <f ca="1">ImpliedVolatility("Call",P134,Strike,RiskFreeRate,G134/250,Dividend,Q134,0.5)</f>
        <v>0.74042409652675867</v>
      </c>
      <c r="S134" s="19">
        <f t="shared" ca="1" si="32"/>
        <v>0.55050445010581117</v>
      </c>
      <c r="T134" s="19">
        <f t="shared" ca="1" si="33"/>
        <v>11.0365960405734</v>
      </c>
      <c r="U134" s="19">
        <f t="shared" ca="1" si="34"/>
        <v>-26.142344578669412</v>
      </c>
      <c r="V134" s="21"/>
      <c r="X134" s="22"/>
      <c r="Y134" s="22"/>
      <c r="Z134" s="22"/>
    </row>
    <row r="135" spans="7:26" x14ac:dyDescent="0.25">
      <c r="G135" s="19">
        <v>120</v>
      </c>
      <c r="H135" s="19">
        <f t="shared" ca="1" si="35"/>
        <v>0.863888611648855</v>
      </c>
      <c r="I135" s="19">
        <f t="shared" ca="1" si="35"/>
        <v>0.69392969601891441</v>
      </c>
      <c r="J135" s="19">
        <f t="shared" ca="1" si="36"/>
        <v>-0.18665760384676922</v>
      </c>
      <c r="K135" s="19">
        <f t="shared" ca="1" si="37"/>
        <v>-0.50772218713584671</v>
      </c>
      <c r="L135" s="19">
        <f t="array" aca="1" ref="L135:M135" ca="1">MMULT(J135:K135,TRANSPOSE($B$10:$C$11))</f>
        <v>-0.18665760384676922</v>
      </c>
      <c r="M135" s="19">
        <f ca="1"/>
        <v>-0.22044027057513929</v>
      </c>
      <c r="N135" s="20">
        <f t="shared" ca="1" si="38"/>
        <v>9.1817656272495368E-3</v>
      </c>
      <c r="O135" s="20">
        <f t="shared" ca="1" si="39"/>
        <v>0.14791163774210075</v>
      </c>
      <c r="P135" s="19">
        <f t="shared" ref="P135:P198" ca="1" si="40">P134*EXP(O135)</f>
        <v>5.8950199167039923</v>
      </c>
      <c r="Q135" s="19">
        <f ca="1">HCTrans(P135,Strike,RiskFreeRate,Dividend,Variance_T0*AnnualVarConvtr,(Simulation!G135)/250,0.5,Variance_Avg*AnnualVarConvtr,Lambda,SQRT(Simulation!N135),Rho,1,"Call")</f>
        <v>29.023356692573202</v>
      </c>
      <c r="R135" s="19">
        <f ca="1">ImpliedVolatility("Call",P135,Strike,RiskFreeRate,G135/250,Dividend,Q135,0.5)</f>
        <v>0.74042409652675867</v>
      </c>
      <c r="S135" s="19">
        <f t="shared" ca="1" si="32"/>
        <v>0.55050445010581117</v>
      </c>
      <c r="T135" s="19">
        <f t="shared" ca="1" si="33"/>
        <v>11.0365960405734</v>
      </c>
      <c r="U135" s="19">
        <f t="shared" ca="1" si="34"/>
        <v>-26.142344578669412</v>
      </c>
      <c r="V135" s="21"/>
      <c r="X135" s="22"/>
      <c r="Y135" s="22"/>
      <c r="Z135" s="22"/>
    </row>
    <row r="136" spans="7:26" x14ac:dyDescent="0.25">
      <c r="G136" s="19">
        <v>119</v>
      </c>
      <c r="H136" s="19">
        <f t="shared" ca="1" si="35"/>
        <v>0.96967238306124692</v>
      </c>
      <c r="I136" s="19">
        <f t="shared" ca="1" si="35"/>
        <v>0.5331150421349331</v>
      </c>
      <c r="J136" s="19">
        <f t="shared" ca="1" si="36"/>
        <v>-0.24282862566824745</v>
      </c>
      <c r="K136" s="19">
        <f t="shared" ca="1" si="37"/>
        <v>-5.1266816447298788E-2</v>
      </c>
      <c r="L136" s="19">
        <f t="array" aca="1" ref="L136:M136" ca="1">MMULT(J136:K136,TRANSPOSE($B$10:$C$11))</f>
        <v>-0.24282862566824745</v>
      </c>
      <c r="M136" s="19">
        <f ca="1"/>
        <v>0.13822364092372086</v>
      </c>
      <c r="N136" s="20">
        <f t="shared" ca="1" si="38"/>
        <v>9.4980807561614623E-3</v>
      </c>
      <c r="O136" s="20">
        <f t="shared" ca="1" si="39"/>
        <v>0.14642166336829968</v>
      </c>
      <c r="P136" s="19">
        <f t="shared" ca="1" si="40"/>
        <v>5.6359834655237178</v>
      </c>
      <c r="Q136" s="19">
        <f ca="1">HCTrans(P136,Strike,RiskFreeRate,Dividend,Variance_T0*AnnualVarConvtr,(Simulation!G136)/250,0.5,Variance_Avg*AnnualVarConvtr,Lambda,SQRT(Simulation!N136),Rho,1,"Call")</f>
        <v>29.023356692573202</v>
      </c>
      <c r="R136" s="19">
        <f ca="1">ImpliedVolatility("Call",P136,Strike,RiskFreeRate,G136/250,Dividend,Q136,0.5)</f>
        <v>0.74042409652675867</v>
      </c>
      <c r="S136" s="19">
        <f t="shared" ca="1" si="32"/>
        <v>0.55050445010581117</v>
      </c>
      <c r="T136" s="19">
        <f t="shared" ca="1" si="33"/>
        <v>11.0365960405734</v>
      </c>
      <c r="U136" s="19">
        <f t="shared" ca="1" si="34"/>
        <v>-26.142344578669412</v>
      </c>
      <c r="V136" s="21"/>
      <c r="X136" s="22"/>
      <c r="Y136" s="22"/>
      <c r="Z136" s="22"/>
    </row>
    <row r="137" spans="7:26" x14ac:dyDescent="0.25">
      <c r="G137" s="19">
        <v>118</v>
      </c>
      <c r="H137" s="19">
        <f t="shared" ca="1" si="35"/>
        <v>0.9181019274519151</v>
      </c>
      <c r="I137" s="19">
        <f t="shared" ca="1" si="35"/>
        <v>0.55583865963199142</v>
      </c>
      <c r="J137" s="19">
        <f t="shared" ca="1" si="36"/>
        <v>-0.38821018149946734</v>
      </c>
      <c r="K137" s="19">
        <f t="shared" ca="1" si="37"/>
        <v>-0.14207948432220013</v>
      </c>
      <c r="L137" s="19">
        <f t="array" aca="1" ref="L137:M137" ca="1">MMULT(J137:K137,TRANSPOSE($B$10:$C$11))</f>
        <v>-0.38821018149946734</v>
      </c>
      <c r="M137" s="19">
        <f ca="1"/>
        <v>0.17903978083738548</v>
      </c>
      <c r="N137" s="20">
        <f t="shared" ca="1" si="38"/>
        <v>9.9177506865880116E-3</v>
      </c>
      <c r="O137" s="20">
        <f t="shared" ca="1" si="39"/>
        <v>0.14400982067269533</v>
      </c>
      <c r="P137" s="19">
        <f t="shared" ca="1" si="40"/>
        <v>5.3912126603439745</v>
      </c>
      <c r="Q137" s="19">
        <f ca="1">HCTrans(P137,Strike,RiskFreeRate,Dividend,Variance_T0*AnnualVarConvtr,(Simulation!G137)/250,0.5,Variance_Avg*AnnualVarConvtr,Lambda,SQRT(Simulation!N137),Rho,1,"Call")</f>
        <v>29.023356692573202</v>
      </c>
      <c r="R137" s="19">
        <f ca="1">ImpliedVolatility("Call",P137,Strike,RiskFreeRate,G137/250,Dividend,Q137,0.5)</f>
        <v>0.74042409652675867</v>
      </c>
      <c r="S137" s="19">
        <f t="shared" ref="S137:S200" ca="1" si="41">BSdelta(1,P137,Strike,R137/AnnualVarConvtr,Dividend,RiskFreeRate,G137/250)</f>
        <v>0.55050445010581117</v>
      </c>
      <c r="T137" s="19">
        <f t="shared" ref="T137:T200" ca="1" si="42">(S137-S136)*P137</f>
        <v>11.0365960405734</v>
      </c>
      <c r="U137" s="19">
        <f t="shared" ref="U137:U200" ca="1" si="43">(Q137-Q136)+U136-T137</f>
        <v>-26.142344578669412</v>
      </c>
      <c r="V137" s="21"/>
      <c r="X137" s="22"/>
      <c r="Y137" s="22"/>
      <c r="Z137" s="22"/>
    </row>
    <row r="138" spans="7:26" x14ac:dyDescent="0.25">
      <c r="G138" s="19">
        <v>117</v>
      </c>
      <c r="H138" s="19">
        <f t="shared" ca="1" si="35"/>
        <v>0.17879003537485871</v>
      </c>
      <c r="I138" s="19">
        <f t="shared" ca="1" si="35"/>
        <v>0.32806577603499332</v>
      </c>
      <c r="J138" s="19">
        <f t="shared" ca="1" si="36"/>
        <v>-0.87409380844180351</v>
      </c>
      <c r="K138" s="19">
        <f t="shared" ca="1" si="37"/>
        <v>1.6367792492472819</v>
      </c>
      <c r="L138" s="19">
        <f t="array" aca="1" ref="L138:M138" ca="1">MMULT(J138:K138,TRANSPOSE($B$10:$C$11))</f>
        <v>-0.87409380844180351</v>
      </c>
      <c r="M138" s="19">
        <f ca="1"/>
        <v>1.7680842893917035</v>
      </c>
      <c r="N138" s="20">
        <f t="shared" ca="1" si="38"/>
        <v>1.4689947248948764E-2</v>
      </c>
      <c r="O138" s="20">
        <f t="shared" ca="1" si="39"/>
        <v>0.13848451222331895</v>
      </c>
      <c r="P138" s="19">
        <f t="shared" ca="1" si="40"/>
        <v>5.1779066822428117</v>
      </c>
      <c r="Q138" s="19">
        <f ca="1">HCTrans(P138,Strike,RiskFreeRate,Dividend,Variance_T0*AnnualVarConvtr,(Simulation!G138)/250,0.5,Variance_Avg*AnnualVarConvtr,Lambda,SQRT(Simulation!N138),Rho,1,"Call")</f>
        <v>29.023356692573202</v>
      </c>
      <c r="R138" s="19">
        <f ca="1">ImpliedVolatility("Call",P138,Strike,RiskFreeRate,G138/250,Dividend,Q138,0.5)</f>
        <v>0.74042409652675867</v>
      </c>
      <c r="S138" s="19">
        <f t="shared" ca="1" si="41"/>
        <v>0.55050445010581117</v>
      </c>
      <c r="T138" s="19">
        <f t="shared" ca="1" si="42"/>
        <v>11.0365960405734</v>
      </c>
      <c r="U138" s="19">
        <f t="shared" ca="1" si="43"/>
        <v>-26.142344578669412</v>
      </c>
      <c r="V138" s="21"/>
      <c r="X138" s="22"/>
      <c r="Y138" s="22"/>
      <c r="Z138" s="22"/>
    </row>
    <row r="139" spans="7:26" x14ac:dyDescent="0.25">
      <c r="G139" s="19">
        <v>116</v>
      </c>
      <c r="H139" s="19">
        <f t="shared" ca="1" si="35"/>
        <v>0.44287255067538589</v>
      </c>
      <c r="I139" s="19">
        <f t="shared" ca="1" si="35"/>
        <v>0.92624271796673885</v>
      </c>
      <c r="J139" s="19">
        <f t="shared" ca="1" si="36"/>
        <v>1.1416829037550302</v>
      </c>
      <c r="K139" s="19">
        <f t="shared" ca="1" si="37"/>
        <v>-0.57053189211214272</v>
      </c>
      <c r="L139" s="19">
        <f t="array" aca="1" ref="L139:M139" ca="1">MMULT(J139:K139,TRANSPOSE($B$10:$C$11))</f>
        <v>1.1416829037550302</v>
      </c>
      <c r="M139" s="19">
        <f ca="1"/>
        <v>-1.2160114836739773</v>
      </c>
      <c r="N139" s="20">
        <f t="shared" ca="1" si="38"/>
        <v>1.1257808114977568E-2</v>
      </c>
      <c r="O139" s="20">
        <f t="shared" ca="1" si="39"/>
        <v>0.14720669508726142</v>
      </c>
      <c r="P139" s="19">
        <f t="shared" ca="1" si="40"/>
        <v>4.9561180840580619</v>
      </c>
      <c r="Q139" s="19">
        <f ca="1">HCTrans(P139,Strike,RiskFreeRate,Dividend,Variance_T0*AnnualVarConvtr,(Simulation!G139)/250,0.5,Variance_Avg*AnnualVarConvtr,Lambda,SQRT(Simulation!N139),Rho,1,"Call")</f>
        <v>29.023356692573202</v>
      </c>
      <c r="R139" s="19">
        <f ca="1">ImpliedVolatility("Call",P139,Strike,RiskFreeRate,G139/250,Dividend,Q139,0.5)</f>
        <v>0.74042409652675867</v>
      </c>
      <c r="S139" s="19">
        <f t="shared" ca="1" si="41"/>
        <v>0.55050445010581117</v>
      </c>
      <c r="T139" s="19">
        <f t="shared" ca="1" si="42"/>
        <v>11.0365960405734</v>
      </c>
      <c r="U139" s="19">
        <f t="shared" ca="1" si="43"/>
        <v>-26.142344578669412</v>
      </c>
      <c r="V139" s="21"/>
      <c r="X139" s="22"/>
      <c r="Y139" s="22"/>
      <c r="Z139" s="22"/>
    </row>
    <row r="140" spans="7:26" x14ac:dyDescent="0.25">
      <c r="G140" s="19">
        <v>115</v>
      </c>
      <c r="H140" s="19">
        <f t="shared" ca="1" si="35"/>
        <v>0.32978452425083393</v>
      </c>
      <c r="I140" s="19">
        <f t="shared" ca="1" si="35"/>
        <v>0.92628358058244331</v>
      </c>
      <c r="J140" s="19">
        <f t="shared" ca="1" si="36"/>
        <v>1.3325710936600903</v>
      </c>
      <c r="K140" s="19">
        <f t="shared" ca="1" si="37"/>
        <v>-0.66549670889822554</v>
      </c>
      <c r="L140" s="19">
        <f t="array" aca="1" ref="L140:M140" ca="1">MMULT(J140:K140,TRANSPOSE($B$10:$C$11))</f>
        <v>1.3325710936600903</v>
      </c>
      <c r="M140" s="19">
        <f ca="1"/>
        <v>-1.4190291020621064</v>
      </c>
      <c r="N140" s="20">
        <f t="shared" ca="1" si="38"/>
        <v>7.8463030114292367E-3</v>
      </c>
      <c r="O140" s="20">
        <f t="shared" ca="1" si="39"/>
        <v>0.15612643971616133</v>
      </c>
      <c r="P140" s="19">
        <f t="shared" ca="1" si="40"/>
        <v>4.765802135113125</v>
      </c>
      <c r="Q140" s="19">
        <f ca="1">HCTrans(P140,Strike,RiskFreeRate,Dividend,Variance_T0*AnnualVarConvtr,(Simulation!G140)/250,0.5,Variance_Avg*AnnualVarConvtr,Lambda,SQRT(Simulation!N140),Rho,1,"Call")</f>
        <v>29.023356692573202</v>
      </c>
      <c r="R140" s="19">
        <f ca="1">ImpliedVolatility("Call",P140,Strike,RiskFreeRate,G140/250,Dividend,Q140,0.5)</f>
        <v>0.74042409652675867</v>
      </c>
      <c r="S140" s="19">
        <f t="shared" ca="1" si="41"/>
        <v>0.55050445010581117</v>
      </c>
      <c r="T140" s="19">
        <f t="shared" ca="1" si="42"/>
        <v>11.0365960405734</v>
      </c>
      <c r="U140" s="19">
        <f t="shared" ca="1" si="43"/>
        <v>-26.142344578669412</v>
      </c>
      <c r="V140" s="21"/>
      <c r="X140" s="22"/>
      <c r="Y140" s="22"/>
      <c r="Z140" s="22"/>
    </row>
    <row r="141" spans="7:26" x14ac:dyDescent="0.25">
      <c r="G141" s="19">
        <v>114</v>
      </c>
      <c r="H141" s="19">
        <f t="shared" ca="1" si="35"/>
        <v>1.9133590643090836E-2</v>
      </c>
      <c r="I141" s="19">
        <f t="shared" ca="1" si="35"/>
        <v>0.4162828269825618</v>
      </c>
      <c r="J141" s="19">
        <f t="shared" ca="1" si="36"/>
        <v>-2.4326765681457769</v>
      </c>
      <c r="K141" s="19">
        <f t="shared" ca="1" si="37"/>
        <v>1.4123400253248011</v>
      </c>
      <c r="L141" s="19">
        <f t="array" aca="1" ref="L141:M141" ca="1">MMULT(J141:K141,TRANSPOSE($B$10:$C$11))</f>
        <v>-2.4326765681457769</v>
      </c>
      <c r="M141" s="19">
        <f ca="1"/>
        <v>2.7282429313215859</v>
      </c>
      <c r="N141" s="20">
        <f t="shared" ca="1" si="38"/>
        <v>1.4886596198366272E-2</v>
      </c>
      <c r="O141" s="20">
        <f t="shared" ca="1" si="39"/>
        <v>0.14248228329007553</v>
      </c>
      <c r="P141" s="19">
        <f t="shared" ca="1" si="40"/>
        <v>4.5947212332526801</v>
      </c>
      <c r="Q141" s="19">
        <f ca="1">HCTrans(P141,Strike,RiskFreeRate,Dividend,Variance_T0*AnnualVarConvtr,(Simulation!G141)/250,0.5,Variance_Avg*AnnualVarConvtr,Lambda,SQRT(Simulation!N141),Rho,1,"Call")</f>
        <v>29.023356692573202</v>
      </c>
      <c r="R141" s="19">
        <f ca="1">ImpliedVolatility("Call",P141,Strike,RiskFreeRate,G141/250,Dividend,Q141,0.5)</f>
        <v>0.74042409652675867</v>
      </c>
      <c r="S141" s="19">
        <f t="shared" ca="1" si="41"/>
        <v>0.55050445010581117</v>
      </c>
      <c r="T141" s="19">
        <f t="shared" ca="1" si="42"/>
        <v>11.0365960405734</v>
      </c>
      <c r="U141" s="19">
        <f t="shared" ca="1" si="43"/>
        <v>-26.142344578669412</v>
      </c>
      <c r="V141" s="21"/>
      <c r="X141" s="22"/>
      <c r="Y141" s="22"/>
      <c r="Z141" s="22"/>
    </row>
    <row r="142" spans="7:26" x14ac:dyDescent="0.25">
      <c r="G142" s="19">
        <v>113</v>
      </c>
      <c r="H142" s="19">
        <f t="shared" ca="1" si="35"/>
        <v>0.71093937794638518</v>
      </c>
      <c r="I142" s="19">
        <f t="shared" ca="1" si="35"/>
        <v>0.18885461165655415</v>
      </c>
      <c r="J142" s="19">
        <f t="shared" ca="1" si="36"/>
        <v>0.30960364619338443</v>
      </c>
      <c r="K142" s="19">
        <f t="shared" ca="1" si="37"/>
        <v>0.7658210065428257</v>
      </c>
      <c r="L142" s="19">
        <f t="array" aca="1" ref="L142:M142" ca="1">MMULT(J142:K142,TRANSPOSE($B$10:$C$11))</f>
        <v>0.30960364619338443</v>
      </c>
      <c r="M142" s="19">
        <f ca="1"/>
        <v>0.31239583594141462</v>
      </c>
      <c r="N142" s="20">
        <f t="shared" ca="1" si="38"/>
        <v>1.5794305988363375E-2</v>
      </c>
      <c r="O142" s="20">
        <f t="shared" ca="1" si="39"/>
        <v>0.14484160700711457</v>
      </c>
      <c r="P142" s="19">
        <f t="shared" ca="1" si="40"/>
        <v>4.4486461542345932</v>
      </c>
      <c r="Q142" s="19">
        <f ca="1">HCTrans(P142,Strike,RiskFreeRate,Dividend,Variance_T0*AnnualVarConvtr,(Simulation!G142)/250,0.5,Variance_Avg*AnnualVarConvtr,Lambda,SQRT(Simulation!N142),Rho,1,"Call")</f>
        <v>29.023356692573202</v>
      </c>
      <c r="R142" s="19">
        <f ca="1">ImpliedVolatility("Call",P142,Strike,RiskFreeRate,G142/250,Dividend,Q142,0.5)</f>
        <v>0.74042409652675867</v>
      </c>
      <c r="S142" s="19">
        <f t="shared" ca="1" si="41"/>
        <v>0.55050445010581117</v>
      </c>
      <c r="T142" s="19">
        <f t="shared" ca="1" si="42"/>
        <v>11.0365960405734</v>
      </c>
      <c r="U142" s="19">
        <f t="shared" ca="1" si="43"/>
        <v>-26.142344578669412</v>
      </c>
      <c r="V142" s="21"/>
      <c r="X142" s="22"/>
      <c r="Y142" s="22"/>
      <c r="Z142" s="22"/>
    </row>
    <row r="143" spans="7:26" x14ac:dyDescent="0.25">
      <c r="G143" s="19">
        <v>112</v>
      </c>
      <c r="H143" s="19">
        <f t="shared" ca="1" si="35"/>
        <v>0.47077266672945184</v>
      </c>
      <c r="I143" s="19">
        <f t="shared" ca="1" si="35"/>
        <v>0.27769909285193517</v>
      </c>
      <c r="J143" s="19">
        <f t="shared" ca="1" si="36"/>
        <v>-0.21255572477029699</v>
      </c>
      <c r="K143" s="19">
        <f t="shared" ca="1" si="37"/>
        <v>1.2089582244968691</v>
      </c>
      <c r="L143" s="19">
        <f t="array" aca="1" ref="L143:M143" ca="1">MMULT(J143:K143,TRANSPOSE($B$10:$C$11))</f>
        <v>-0.21255572477029699</v>
      </c>
      <c r="M143" s="19">
        <f ca="1"/>
        <v>0.99564982817261871</v>
      </c>
      <c r="N143" s="20">
        <f t="shared" ca="1" si="38"/>
        <v>1.8965127910737279E-2</v>
      </c>
      <c r="O143" s="20">
        <f t="shared" ca="1" si="39"/>
        <v>0.14312053831438706</v>
      </c>
      <c r="P143" s="19">
        <f t="shared" ca="1" si="40"/>
        <v>4.3357668469088964</v>
      </c>
      <c r="Q143" s="19">
        <f ca="1">HCTrans(P143,Strike,RiskFreeRate,Dividend,Variance_T0*AnnualVarConvtr,(Simulation!G143)/250,0.5,Variance_Avg*AnnualVarConvtr,Lambda,SQRT(Simulation!N143),Rho,1,"Call")</f>
        <v>29.023356692573202</v>
      </c>
      <c r="R143" s="19">
        <f ca="1">ImpliedVolatility("Call",P143,Strike,RiskFreeRate,G143/250,Dividend,Q143,0.5)</f>
        <v>0.74042409652675867</v>
      </c>
      <c r="S143" s="19">
        <f t="shared" ca="1" si="41"/>
        <v>0.55050445010581117</v>
      </c>
      <c r="T143" s="19">
        <f t="shared" ca="1" si="42"/>
        <v>11.0365960405734</v>
      </c>
      <c r="U143" s="19">
        <f t="shared" ca="1" si="43"/>
        <v>-26.142344578669412</v>
      </c>
      <c r="V143" s="21"/>
      <c r="X143" s="22"/>
      <c r="Y143" s="22"/>
      <c r="Z143" s="22"/>
    </row>
    <row r="144" spans="7:26" x14ac:dyDescent="0.25">
      <c r="G144" s="19">
        <v>111</v>
      </c>
      <c r="H144" s="19">
        <f t="shared" ca="1" si="35"/>
        <v>0.69993244543552247</v>
      </c>
      <c r="I144" s="19">
        <f t="shared" ca="1" si="35"/>
        <v>0.51737228838854432</v>
      </c>
      <c r="J144" s="19">
        <f t="shared" ca="1" si="36"/>
        <v>-0.83968753276840702</v>
      </c>
      <c r="K144" s="19">
        <f t="shared" ca="1" si="37"/>
        <v>-9.202041918097531E-2</v>
      </c>
      <c r="L144" s="19">
        <f t="array" aca="1" ref="L144:M144" ca="1">MMULT(J144:K144,TRANSPOSE($B$10:$C$11))</f>
        <v>-0.83968753276840702</v>
      </c>
      <c r="M144" s="19">
        <f ca="1"/>
        <v>0.5374438606684967</v>
      </c>
      <c r="N144" s="20">
        <f t="shared" ca="1" si="38"/>
        <v>2.0760191480290392E-2</v>
      </c>
      <c r="O144" s="20">
        <f t="shared" ca="1" si="39"/>
        <v>0.13576910261797534</v>
      </c>
      <c r="P144" s="19">
        <f t="shared" ca="1" si="40"/>
        <v>4.2027577825687894</v>
      </c>
      <c r="Q144" s="19">
        <f ca="1">HCTrans(P144,Strike,RiskFreeRate,Dividend,Variance_T0*AnnualVarConvtr,(Simulation!G144)/250,0.5,Variance_Avg*AnnualVarConvtr,Lambda,SQRT(Simulation!N144),Rho,1,"Call")</f>
        <v>29.023356692573202</v>
      </c>
      <c r="R144" s="19">
        <f ca="1">ImpliedVolatility("Call",P144,Strike,RiskFreeRate,G144/250,Dividend,Q144,0.5)</f>
        <v>0.74042409652675867</v>
      </c>
      <c r="S144" s="19">
        <f t="shared" ca="1" si="41"/>
        <v>0.55050445010581117</v>
      </c>
      <c r="T144" s="19">
        <f t="shared" ca="1" si="42"/>
        <v>11.0365960405734</v>
      </c>
      <c r="U144" s="19">
        <f t="shared" ca="1" si="43"/>
        <v>-26.142344578669412</v>
      </c>
      <c r="V144" s="21"/>
      <c r="X144" s="22"/>
      <c r="Y144" s="22"/>
      <c r="Z144" s="22"/>
    </row>
    <row r="145" spans="7:26" x14ac:dyDescent="0.25">
      <c r="G145" s="19">
        <v>110</v>
      </c>
      <c r="H145" s="19">
        <f t="shared" ca="1" si="35"/>
        <v>0.110750370646711</v>
      </c>
      <c r="I145" s="19">
        <f t="shared" ca="1" si="35"/>
        <v>1.172323137009601E-2</v>
      </c>
      <c r="J145" s="19">
        <f t="shared" ca="1" si="36"/>
        <v>2.0921563098589133</v>
      </c>
      <c r="K145" s="19">
        <f t="shared" ca="1" si="37"/>
        <v>0.15438595094174878</v>
      </c>
      <c r="L145" s="19">
        <f t="array" aca="1" ref="L145:M145" ca="1">MMULT(J145:K145,TRANSPOSE($B$10:$C$11))</f>
        <v>2.0921563098589133</v>
      </c>
      <c r="M145" s="19">
        <f ca="1"/>
        <v>-1.391332349553162</v>
      </c>
      <c r="N145" s="20">
        <f t="shared" ca="1" si="38"/>
        <v>1.6062909490820319E-2</v>
      </c>
      <c r="O145" s="20">
        <f t="shared" ca="1" si="39"/>
        <v>0.15479271358293792</v>
      </c>
      <c r="P145" s="19">
        <f t="shared" ca="1" si="40"/>
        <v>4.04650657491392</v>
      </c>
      <c r="Q145" s="19">
        <f ca="1">HCTrans(P145,Strike,RiskFreeRate,Dividend,Variance_T0*AnnualVarConvtr,(Simulation!G145)/250,0.5,Variance_Avg*AnnualVarConvtr,Lambda,SQRT(Simulation!N145),Rho,1,"Call")</f>
        <v>29.023356692573202</v>
      </c>
      <c r="R145" s="19">
        <f ca="1">ImpliedVolatility("Call",P145,Strike,RiskFreeRate,G145/250,Dividend,Q145,0.5)</f>
        <v>0.74042409652675867</v>
      </c>
      <c r="S145" s="19">
        <f t="shared" ca="1" si="41"/>
        <v>0.55050445010581117</v>
      </c>
      <c r="T145" s="19">
        <f t="shared" ca="1" si="42"/>
        <v>11.0365960405734</v>
      </c>
      <c r="U145" s="19">
        <f t="shared" ca="1" si="43"/>
        <v>-26.142344578669412</v>
      </c>
      <c r="V145" s="21"/>
      <c r="X145" s="22"/>
      <c r="Y145" s="22"/>
      <c r="Z145" s="22"/>
    </row>
    <row r="146" spans="7:26" x14ac:dyDescent="0.25">
      <c r="G146" s="19">
        <v>109</v>
      </c>
      <c r="H146" s="19">
        <f t="shared" ca="1" si="35"/>
        <v>0.69102172546514073</v>
      </c>
      <c r="I146" s="19">
        <f t="shared" ca="1" si="35"/>
        <v>0.38437236556350718</v>
      </c>
      <c r="J146" s="19">
        <f t="shared" ca="1" si="36"/>
        <v>-0.64265994737719057</v>
      </c>
      <c r="K146" s="19">
        <f t="shared" ca="1" si="37"/>
        <v>0.5711008862049366</v>
      </c>
      <c r="L146" s="19">
        <f t="array" aca="1" ref="L146:M146" ca="1">MMULT(J146:K146,TRANSPOSE($B$10:$C$11))</f>
        <v>-0.64265994737719057</v>
      </c>
      <c r="M146" s="19">
        <f ca="1"/>
        <v>0.85885845836343522</v>
      </c>
      <c r="N146" s="20">
        <f t="shared" ca="1" si="38"/>
        <v>1.8795050430445034E-2</v>
      </c>
      <c r="O146" s="20">
        <f t="shared" ca="1" si="39"/>
        <v>0.14960921074807115</v>
      </c>
      <c r="P146" s="19">
        <f t="shared" ca="1" si="40"/>
        <v>3.8899351853366775</v>
      </c>
      <c r="Q146" s="19">
        <f ca="1">HCTrans(P146,Strike,RiskFreeRate,Dividend,Variance_T0*AnnualVarConvtr,(Simulation!G146)/250,0.5,Variance_Avg*AnnualVarConvtr,Lambda,SQRT(Simulation!N146),Rho,1,"Call")</f>
        <v>29.023356692573202</v>
      </c>
      <c r="R146" s="19">
        <f ca="1">ImpliedVolatility("Call",P146,Strike,RiskFreeRate,G146/250,Dividend,Q146,0.5)</f>
        <v>0.74042409652675867</v>
      </c>
      <c r="S146" s="19">
        <f t="shared" ca="1" si="41"/>
        <v>0.55050445010581117</v>
      </c>
      <c r="T146" s="19">
        <f t="shared" ca="1" si="42"/>
        <v>11.0365960405734</v>
      </c>
      <c r="U146" s="19">
        <f t="shared" ca="1" si="43"/>
        <v>-26.142344578669412</v>
      </c>
      <c r="V146" s="21"/>
      <c r="X146" s="22"/>
      <c r="Y146" s="22"/>
      <c r="Z146" s="22"/>
    </row>
    <row r="147" spans="7:26" x14ac:dyDescent="0.25">
      <c r="G147" s="19">
        <v>108</v>
      </c>
      <c r="H147" s="19">
        <f t="shared" ca="1" si="35"/>
        <v>0.38917225108999021</v>
      </c>
      <c r="I147" s="19">
        <f t="shared" ca="1" si="35"/>
        <v>0.11541903555814426</v>
      </c>
      <c r="J147" s="19">
        <f t="shared" ca="1" si="36"/>
        <v>1.0281451577056273</v>
      </c>
      <c r="K147" s="19">
        <f t="shared" ca="1" si="37"/>
        <v>0.91125407637769096</v>
      </c>
      <c r="L147" s="19">
        <f t="array" aca="1" ref="L147:M147" ca="1">MMULT(J147:K147,TRANSPOSE($B$10:$C$11))</f>
        <v>1.0281451577056273</v>
      </c>
      <c r="M147" s="19">
        <f ca="1"/>
        <v>-0.10098692488679462</v>
      </c>
      <c r="N147" s="20">
        <f t="shared" ca="1" si="38"/>
        <v>1.8394819401130753E-2</v>
      </c>
      <c r="O147" s="20">
        <f t="shared" ca="1" si="39"/>
        <v>0.15848630925527885</v>
      </c>
      <c r="P147" s="19">
        <f t="shared" ca="1" si="40"/>
        <v>3.7490845328535722</v>
      </c>
      <c r="Q147" s="19">
        <f ca="1">HCTrans(P147,Strike,RiskFreeRate,Dividend,Variance_T0*AnnualVarConvtr,(Simulation!G147)/250,0.5,Variance_Avg*AnnualVarConvtr,Lambda,SQRT(Simulation!N147),Rho,1,"Call")</f>
        <v>29.023356692573202</v>
      </c>
      <c r="R147" s="19">
        <f ca="1">ImpliedVolatility("Call",P147,Strike,RiskFreeRate,G147/250,Dividend,Q147,0.5)</f>
        <v>0.74042409652675867</v>
      </c>
      <c r="S147" s="19">
        <f t="shared" ca="1" si="41"/>
        <v>0.55050445010581117</v>
      </c>
      <c r="T147" s="19">
        <f t="shared" ca="1" si="42"/>
        <v>11.0365960405734</v>
      </c>
      <c r="U147" s="19">
        <f t="shared" ca="1" si="43"/>
        <v>-26.142344578669412</v>
      </c>
      <c r="V147" s="21"/>
      <c r="X147" s="22"/>
      <c r="Y147" s="22"/>
      <c r="Z147" s="22"/>
    </row>
    <row r="148" spans="7:26" x14ac:dyDescent="0.25">
      <c r="G148" s="19">
        <v>107</v>
      </c>
      <c r="H148" s="19">
        <f t="shared" ca="1" si="35"/>
        <v>9.1725847858174392E-2</v>
      </c>
      <c r="I148" s="19">
        <f t="shared" ca="1" si="35"/>
        <v>0.70625861019637415</v>
      </c>
      <c r="J148" s="19">
        <f t="shared" ca="1" si="36"/>
        <v>-0.59321192826792113</v>
      </c>
      <c r="K148" s="19">
        <f t="shared" ca="1" si="37"/>
        <v>-2.1038064879566045</v>
      </c>
      <c r="L148" s="19">
        <f t="array" aca="1" ref="L148:M148" ca="1">MMULT(J148:K148,TRANSPOSE($B$10:$C$11))</f>
        <v>-0.59321192826792113</v>
      </c>
      <c r="M148" s="19">
        <f ca="1"/>
        <v>-1.0425519020655674</v>
      </c>
      <c r="N148" s="20">
        <f t="shared" ca="1" si="38"/>
        <v>1.5030892549326965E-2</v>
      </c>
      <c r="O148" s="20">
        <f t="shared" ca="1" si="39"/>
        <v>0.15336104473491458</v>
      </c>
      <c r="P148" s="19">
        <f t="shared" ca="1" si="40"/>
        <v>3.6092536695557347</v>
      </c>
      <c r="Q148" s="19">
        <f ca="1">HCTrans(P148,Strike,RiskFreeRate,Dividend,Variance_T0*AnnualVarConvtr,(Simulation!G148)/250,0.5,Variance_Avg*AnnualVarConvtr,Lambda,SQRT(Simulation!N148),Rho,1,"Call")</f>
        <v>29.023356692573202</v>
      </c>
      <c r="R148" s="19">
        <f ca="1">ImpliedVolatility("Call",P148,Strike,RiskFreeRate,G148/250,Dividend,Q148,0.5)</f>
        <v>0.74042409652675867</v>
      </c>
      <c r="S148" s="19">
        <f t="shared" ca="1" si="41"/>
        <v>0.55050445010581117</v>
      </c>
      <c r="T148" s="19">
        <f t="shared" ca="1" si="42"/>
        <v>11.0365960405734</v>
      </c>
      <c r="U148" s="19">
        <f t="shared" ca="1" si="43"/>
        <v>-26.142344578669412</v>
      </c>
      <c r="V148" s="21"/>
      <c r="X148" s="22"/>
      <c r="Y148" s="22"/>
      <c r="Z148" s="22"/>
    </row>
    <row r="149" spans="7:26" x14ac:dyDescent="0.25">
      <c r="G149" s="19">
        <v>106</v>
      </c>
      <c r="H149" s="19">
        <f t="shared" ca="1" si="35"/>
        <v>0.41686196396818065</v>
      </c>
      <c r="I149" s="19">
        <f t="shared" ca="1" si="35"/>
        <v>0.43565456249600587</v>
      </c>
      <c r="J149" s="19">
        <f t="shared" ca="1" si="36"/>
        <v>-1.216225809870753</v>
      </c>
      <c r="K149" s="19">
        <f t="shared" ca="1" si="37"/>
        <v>0.52037971394790805</v>
      </c>
      <c r="L149" s="19">
        <f t="array" aca="1" ref="L149:M149" ca="1">MMULT(J149:K149,TRANSPOSE($B$10:$C$11))</f>
        <v>-1.216225809870753</v>
      </c>
      <c r="M149" s="19">
        <f ca="1"/>
        <v>1.2344359638160898</v>
      </c>
      <c r="N149" s="20">
        <f t="shared" ca="1" si="38"/>
        <v>1.8928575202204003E-2</v>
      </c>
      <c r="O149" s="20">
        <f t="shared" ca="1" si="39"/>
        <v>0.14390044219561132</v>
      </c>
      <c r="P149" s="19">
        <f t="shared" ca="1" si="40"/>
        <v>3.4659683291635375</v>
      </c>
      <c r="Q149" s="19">
        <f ca="1">HCTrans(P149,Strike,RiskFreeRate,Dividend,Variance_T0*AnnualVarConvtr,(Simulation!G149)/250,0.5,Variance_Avg*AnnualVarConvtr,Lambda,SQRT(Simulation!N149),Rho,1,"Call")</f>
        <v>29.023356692573202</v>
      </c>
      <c r="R149" s="19">
        <f ca="1">ImpliedVolatility("Call",P149,Strike,RiskFreeRate,G149/250,Dividend,Q149,0.5)</f>
        <v>0.74042409652675867</v>
      </c>
      <c r="S149" s="19">
        <f t="shared" ca="1" si="41"/>
        <v>0.55050445010581117</v>
      </c>
      <c r="T149" s="19">
        <f t="shared" ca="1" si="42"/>
        <v>11.0365960405734</v>
      </c>
      <c r="U149" s="19">
        <f t="shared" ca="1" si="43"/>
        <v>-26.142344578669412</v>
      </c>
      <c r="V149" s="21"/>
      <c r="X149" s="22"/>
      <c r="Y149" s="22"/>
      <c r="Z149" s="22"/>
    </row>
    <row r="150" spans="7:26" x14ac:dyDescent="0.25">
      <c r="G150" s="19">
        <v>105</v>
      </c>
      <c r="H150" s="19">
        <f t="shared" ca="1" si="35"/>
        <v>0.9431149854570039</v>
      </c>
      <c r="I150" s="19">
        <f t="shared" ca="1" si="35"/>
        <v>0.23900858196772301</v>
      </c>
      <c r="J150" s="19">
        <f t="shared" ca="1" si="36"/>
        <v>2.3617289584569278E-2</v>
      </c>
      <c r="K150" s="19">
        <f t="shared" ca="1" si="37"/>
        <v>0.34143280393402414</v>
      </c>
      <c r="L150" s="19">
        <f t="array" aca="1" ref="L150:M150" ca="1">MMULT(J150:K150,TRANSPOSE($B$10:$C$11))</f>
        <v>2.3617289584569278E-2</v>
      </c>
      <c r="M150" s="19">
        <f ca="1"/>
        <v>0.22125732859602429</v>
      </c>
      <c r="N150" s="20">
        <f t="shared" ca="1" si="38"/>
        <v>1.9619359238710991E-2</v>
      </c>
      <c r="O150" s="20">
        <f t="shared" ca="1" si="39"/>
        <v>0.14406808844580998</v>
      </c>
      <c r="P150" s="19">
        <f t="shared" ca="1" si="40"/>
        <v>3.3095784437368798</v>
      </c>
      <c r="Q150" s="19">
        <f ca="1">HCTrans(P150,Strike,RiskFreeRate,Dividend,Variance_T0*AnnualVarConvtr,(Simulation!G150)/250,0.5,Variance_Avg*AnnualVarConvtr,Lambda,SQRT(Simulation!N150),Rho,1,"Call")</f>
        <v>29.023356692573202</v>
      </c>
      <c r="R150" s="19">
        <f ca="1">ImpliedVolatility("Call",P150,Strike,RiskFreeRate,G150/250,Dividend,Q150,0.5)</f>
        <v>0.74042409652675867</v>
      </c>
      <c r="S150" s="19">
        <f t="shared" ca="1" si="41"/>
        <v>0.55050445010581117</v>
      </c>
      <c r="T150" s="19">
        <f t="shared" ca="1" si="42"/>
        <v>11.0365960405734</v>
      </c>
      <c r="U150" s="19">
        <f t="shared" ca="1" si="43"/>
        <v>-26.142344578669412</v>
      </c>
      <c r="V150" s="21"/>
      <c r="X150" s="22"/>
      <c r="Y150" s="22"/>
      <c r="Z150" s="22"/>
    </row>
    <row r="151" spans="7:26" x14ac:dyDescent="0.25">
      <c r="G151" s="19">
        <v>104</v>
      </c>
      <c r="H151" s="19">
        <f t="shared" ca="1" si="35"/>
        <v>0.15744359666957863</v>
      </c>
      <c r="I151" s="19">
        <f t="shared" ca="1" si="35"/>
        <v>0.49585813695068992</v>
      </c>
      <c r="J151" s="19">
        <f t="shared" ca="1" si="36"/>
        <v>-1.9222051157931108</v>
      </c>
      <c r="K151" s="19">
        <f t="shared" ca="1" si="37"/>
        <v>5.0034940760618103E-2</v>
      </c>
      <c r="L151" s="19">
        <f t="array" aca="1" ref="L151:M151" ca="1">MMULT(J151:K151,TRANSPOSE($B$10:$C$11))</f>
        <v>-1.9222051157931108</v>
      </c>
      <c r="M151" s="19">
        <f ca="1"/>
        <v>1.4121636942561822</v>
      </c>
      <c r="N151" s="20">
        <f t="shared" ca="1" si="38"/>
        <v>2.4702584539043591E-2</v>
      </c>
      <c r="O151" s="20">
        <f t="shared" ca="1" si="39"/>
        <v>0.12700051674261267</v>
      </c>
      <c r="P151" s="19">
        <f t="shared" ca="1" si="40"/>
        <v>3.1555533981280144</v>
      </c>
      <c r="Q151" s="19">
        <f ca="1">HCTrans(P151,Strike,RiskFreeRate,Dividend,Variance_T0*AnnualVarConvtr,(Simulation!G151)/250,0.5,Variance_Avg*AnnualVarConvtr,Lambda,SQRT(Simulation!N151),Rho,1,"Call")</f>
        <v>29.023356692573202</v>
      </c>
      <c r="R151" s="19">
        <f ca="1">ImpliedVolatility("Call",P151,Strike,RiskFreeRate,G151/250,Dividend,Q151,0.5)</f>
        <v>0.74042409652675867</v>
      </c>
      <c r="S151" s="19">
        <f t="shared" ca="1" si="41"/>
        <v>0.55050445010581117</v>
      </c>
      <c r="T151" s="19">
        <f t="shared" ca="1" si="42"/>
        <v>11.0365960405734</v>
      </c>
      <c r="U151" s="19">
        <f t="shared" ca="1" si="43"/>
        <v>-26.142344578669412</v>
      </c>
      <c r="V151" s="21"/>
      <c r="X151" s="22"/>
      <c r="Y151" s="22"/>
      <c r="Z151" s="22"/>
    </row>
    <row r="152" spans="7:26" x14ac:dyDescent="0.25">
      <c r="G152" s="19">
        <v>103</v>
      </c>
      <c r="H152" s="19">
        <f t="shared" ca="1" si="35"/>
        <v>0.99039764246996764</v>
      </c>
      <c r="I152" s="19">
        <f t="shared" ca="1" si="35"/>
        <v>0.13574077612591828</v>
      </c>
      <c r="J152" s="19">
        <f t="shared" ca="1" si="36"/>
        <v>9.1380470542859429E-2</v>
      </c>
      <c r="K152" s="19">
        <f t="shared" ca="1" si="37"/>
        <v>0.10462850699515837</v>
      </c>
      <c r="L152" s="19">
        <f t="array" aca="1" ref="L152:M152" ca="1">MMULT(J152:K152,TRANSPOSE($B$10:$C$11))</f>
        <v>9.1380470542859429E-2</v>
      </c>
      <c r="M152" s="19">
        <f ca="1"/>
        <v>7.5133887217254947E-3</v>
      </c>
      <c r="N152" s="20">
        <f t="shared" ca="1" si="38"/>
        <v>2.4637946492034615E-2</v>
      </c>
      <c r="O152" s="20">
        <f t="shared" ca="1" si="39"/>
        <v>0.12785946442283244</v>
      </c>
      <c r="P152" s="19">
        <f t="shared" ca="1" si="40"/>
        <v>3.0100749473842909</v>
      </c>
      <c r="Q152" s="19">
        <f ca="1">HCTrans(P152,Strike,RiskFreeRate,Dividend,Variance_T0*AnnualVarConvtr,(Simulation!G152)/250,0.5,Variance_Avg*AnnualVarConvtr,Lambda,SQRT(Simulation!N152),Rho,1,"Call")</f>
        <v>29.023356692573202</v>
      </c>
      <c r="R152" s="19">
        <f ca="1">ImpliedVolatility("Call",P152,Strike,RiskFreeRate,G152/250,Dividend,Q152,0.5)</f>
        <v>0.74042409652675867</v>
      </c>
      <c r="S152" s="19">
        <f t="shared" ca="1" si="41"/>
        <v>0.55050445010581117</v>
      </c>
      <c r="T152" s="19">
        <f t="shared" ca="1" si="42"/>
        <v>11.0365960405734</v>
      </c>
      <c r="U152" s="19">
        <f t="shared" ca="1" si="43"/>
        <v>-26.142344578669412</v>
      </c>
      <c r="V152" s="21"/>
      <c r="X152" s="22"/>
      <c r="Y152" s="22"/>
      <c r="Z152" s="22"/>
    </row>
    <row r="153" spans="7:26" x14ac:dyDescent="0.25">
      <c r="G153" s="19">
        <v>102</v>
      </c>
      <c r="H153" s="19">
        <f t="shared" ca="1" si="35"/>
        <v>0.62964973788468737</v>
      </c>
      <c r="I153" s="19">
        <f t="shared" ca="1" si="35"/>
        <v>6.6996921310194302E-2</v>
      </c>
      <c r="J153" s="19">
        <f t="shared" ca="1" si="36"/>
        <v>0.87789317198580863</v>
      </c>
      <c r="K153" s="19">
        <f t="shared" ca="1" si="37"/>
        <v>0.39304802533033678</v>
      </c>
      <c r="L153" s="19">
        <f t="array" aca="1" ref="L153:M153" ca="1">MMULT(J153:K153,TRANSPOSE($B$10:$C$11))</f>
        <v>0.87789317198580863</v>
      </c>
      <c r="M153" s="19">
        <f ca="1"/>
        <v>-0.35482522898189534</v>
      </c>
      <c r="N153" s="20">
        <f t="shared" ca="1" si="38"/>
        <v>2.3197951480868523E-2</v>
      </c>
      <c r="O153" s="20">
        <f t="shared" ca="1" si="39"/>
        <v>0.13652531955411448</v>
      </c>
      <c r="P153" s="19">
        <f t="shared" ca="1" si="40"/>
        <v>2.8646561493920641</v>
      </c>
      <c r="Q153" s="19">
        <f ca="1">HCTrans(P153,Strike,RiskFreeRate,Dividend,Variance_T0*AnnualVarConvtr,(Simulation!G153)/250,0.5,Variance_Avg*AnnualVarConvtr,Lambda,SQRT(Simulation!N153),Rho,1,"Call")</f>
        <v>29.023356692573202</v>
      </c>
      <c r="R153" s="19">
        <f ca="1">ImpliedVolatility("Call",P153,Strike,RiskFreeRate,G153/250,Dividend,Q153,0.5)</f>
        <v>0.74042409652675867</v>
      </c>
      <c r="S153" s="19">
        <f t="shared" ca="1" si="41"/>
        <v>0.55050445010581117</v>
      </c>
      <c r="T153" s="19">
        <f t="shared" ca="1" si="42"/>
        <v>11.0365960405734</v>
      </c>
      <c r="U153" s="19">
        <f t="shared" ca="1" si="43"/>
        <v>-26.142344578669412</v>
      </c>
      <c r="V153" s="21"/>
      <c r="X153" s="22"/>
      <c r="Y153" s="22"/>
      <c r="Z153" s="22"/>
    </row>
    <row r="154" spans="7:26" x14ac:dyDescent="0.25">
      <c r="G154" s="19">
        <v>101</v>
      </c>
      <c r="H154" s="19">
        <f t="shared" ca="1" si="35"/>
        <v>0.71005853804921093</v>
      </c>
      <c r="I154" s="19">
        <f t="shared" ca="1" si="35"/>
        <v>0.88008886414337451</v>
      </c>
      <c r="J154" s="19">
        <f t="shared" ca="1" si="36"/>
        <v>0.6035639409925192</v>
      </c>
      <c r="K154" s="19">
        <f t="shared" ca="1" si="37"/>
        <v>-0.56615041986308945</v>
      </c>
      <c r="L154" s="19">
        <f t="array" aca="1" ref="L154:M154" ca="1">MMULT(J154:K154,TRANSPOSE($B$10:$C$11))</f>
        <v>0.6035639409925192</v>
      </c>
      <c r="M154" s="19">
        <f ca="1"/>
        <v>-0.8273927883726474</v>
      </c>
      <c r="N154" s="20">
        <f t="shared" ca="1" si="38"/>
        <v>2.0125198107774158E-2</v>
      </c>
      <c r="O154" s="20">
        <f t="shared" ca="1" si="39"/>
        <v>0.1422929647732063</v>
      </c>
      <c r="P154" s="19">
        <f t="shared" ca="1" si="40"/>
        <v>2.712910260978957</v>
      </c>
      <c r="Q154" s="19">
        <f ca="1">HCTrans(P154,Strike,RiskFreeRate,Dividend,Variance_T0*AnnualVarConvtr,(Simulation!G154)/250,0.5,Variance_Avg*AnnualVarConvtr,Lambda,SQRT(Simulation!N154),Rho,1,"Call")</f>
        <v>29.023356692573202</v>
      </c>
      <c r="R154" s="19">
        <f ca="1">ImpliedVolatility("Call",P154,Strike,RiskFreeRate,G154/250,Dividend,Q154,0.5)</f>
        <v>0.74042409652675867</v>
      </c>
      <c r="S154" s="19">
        <f t="shared" ca="1" si="41"/>
        <v>0.55050445010581117</v>
      </c>
      <c r="T154" s="19">
        <f t="shared" ca="1" si="42"/>
        <v>11.0365960405734</v>
      </c>
      <c r="U154" s="19">
        <f t="shared" ca="1" si="43"/>
        <v>-26.142344578669412</v>
      </c>
      <c r="V154" s="21"/>
      <c r="X154" s="22"/>
      <c r="Y154" s="22"/>
      <c r="Z154" s="22"/>
    </row>
    <row r="155" spans="7:26" x14ac:dyDescent="0.25">
      <c r="G155" s="19">
        <v>100</v>
      </c>
      <c r="H155" s="19">
        <f t="shared" ca="1" si="35"/>
        <v>0.93929659738271942</v>
      </c>
      <c r="I155" s="19">
        <f t="shared" ca="1" si="35"/>
        <v>0.22978283087632334</v>
      </c>
      <c r="J155" s="19">
        <f t="shared" ca="1" si="36"/>
        <v>4.4834977364255194E-2</v>
      </c>
      <c r="K155" s="19">
        <f t="shared" ca="1" si="37"/>
        <v>0.35105240889026362</v>
      </c>
      <c r="L155" s="19">
        <f t="array" aca="1" ref="L155:M155" ca="1">MMULT(J155:K155,TRANSPOSE($B$10:$C$11))</f>
        <v>4.4834977364255194E-2</v>
      </c>
      <c r="M155" s="19">
        <f ca="1"/>
        <v>0.21276536754311332</v>
      </c>
      <c r="N155" s="20">
        <f t="shared" ca="1" si="38"/>
        <v>2.080277698252659E-2</v>
      </c>
      <c r="O155" s="20">
        <f t="shared" ca="1" si="39"/>
        <v>0.14265498380926622</v>
      </c>
      <c r="P155" s="19">
        <f t="shared" ca="1" si="40"/>
        <v>2.5809448324327113</v>
      </c>
      <c r="Q155" s="19">
        <f ca="1">HCTrans(P155,Strike,RiskFreeRate,Dividend,Variance_T0*AnnualVarConvtr,(Simulation!G155)/250,0.5,Variance_Avg*AnnualVarConvtr,Lambda,SQRT(Simulation!N155),Rho,1,"Call")</f>
        <v>29.023356692573202</v>
      </c>
      <c r="R155" s="19">
        <f ca="1">ImpliedVolatility("Call",P155,Strike,RiskFreeRate,G155/250,Dividend,Q155,0.5)</f>
        <v>0.74042409652675867</v>
      </c>
      <c r="S155" s="19">
        <f t="shared" ca="1" si="41"/>
        <v>0.55050445010581117</v>
      </c>
      <c r="T155" s="19">
        <f t="shared" ca="1" si="42"/>
        <v>11.0365960405734</v>
      </c>
      <c r="U155" s="19">
        <f t="shared" ca="1" si="43"/>
        <v>-26.142344578669412</v>
      </c>
      <c r="V155" s="21"/>
      <c r="X155" s="22"/>
      <c r="Y155" s="22"/>
      <c r="Z155" s="22"/>
    </row>
    <row r="156" spans="7:26" x14ac:dyDescent="0.25">
      <c r="G156" s="19">
        <v>99</v>
      </c>
      <c r="H156" s="19">
        <f t="shared" ca="1" si="35"/>
        <v>5.0923750645159749E-2</v>
      </c>
      <c r="I156" s="19">
        <f t="shared" ca="1" si="35"/>
        <v>0.73368940390087145</v>
      </c>
      <c r="J156" s="19">
        <f t="shared" ca="1" si="36"/>
        <v>-0.24964605210482235</v>
      </c>
      <c r="K156" s="19">
        <f t="shared" ca="1" si="37"/>
        <v>-2.4274530993353767</v>
      </c>
      <c r="L156" s="19">
        <f t="array" aca="1" ref="L156:M156" ca="1">MMULT(J156:K156,TRANSPOSE($B$10:$C$11))</f>
        <v>-0.24964605210482235</v>
      </c>
      <c r="M156" s="19">
        <f ca="1"/>
        <v>-1.5144885505892181</v>
      </c>
      <c r="N156" s="20">
        <f t="shared" ca="1" si="38"/>
        <v>1.571846731862403E-2</v>
      </c>
      <c r="O156" s="20">
        <f t="shared" ca="1" si="39"/>
        <v>0.14033610390380291</v>
      </c>
      <c r="P156" s="19">
        <f t="shared" ca="1" si="40"/>
        <v>2.4455731594568482</v>
      </c>
      <c r="Q156" s="19">
        <f ca="1">HCTrans(P156,Strike,RiskFreeRate,Dividend,Variance_T0*AnnualVarConvtr,(Simulation!G156)/250,0.5,Variance_Avg*AnnualVarConvtr,Lambda,SQRT(Simulation!N156),Rho,1,"Call")</f>
        <v>29.023356692573202</v>
      </c>
      <c r="R156" s="19">
        <f ca="1">ImpliedVolatility("Call",P156,Strike,RiskFreeRate,G156/250,Dividend,Q156,0.5)</f>
        <v>0.74042409652675867</v>
      </c>
      <c r="S156" s="19">
        <f t="shared" ca="1" si="41"/>
        <v>0.55050445010581117</v>
      </c>
      <c r="T156" s="19">
        <f t="shared" ca="1" si="42"/>
        <v>11.0365960405734</v>
      </c>
      <c r="U156" s="19">
        <f t="shared" ca="1" si="43"/>
        <v>-26.142344578669412</v>
      </c>
      <c r="V156" s="21"/>
      <c r="X156" s="22"/>
      <c r="Y156" s="22"/>
      <c r="Z156" s="22"/>
    </row>
    <row r="157" spans="7:26" x14ac:dyDescent="0.25">
      <c r="G157" s="19">
        <v>98</v>
      </c>
      <c r="H157" s="19">
        <f t="shared" ca="1" si="35"/>
        <v>0.20145029835034722</v>
      </c>
      <c r="I157" s="19">
        <f t="shared" ca="1" si="35"/>
        <v>0.58762283632062406</v>
      </c>
      <c r="J157" s="19">
        <f t="shared" ca="1" si="36"/>
        <v>-1.5255810002759811</v>
      </c>
      <c r="K157" s="19">
        <f t="shared" ca="1" si="37"/>
        <v>-0.93649761572570411</v>
      </c>
      <c r="L157" s="19">
        <f t="array" aca="1" ref="L157:M157" ca="1">MMULT(J157:K157,TRANSPOSE($B$10:$C$11))</f>
        <v>-1.5255810002759811</v>
      </c>
      <c r="M157" s="19">
        <f ca="1"/>
        <v>0.43979013889962182</v>
      </c>
      <c r="N157" s="20">
        <f t="shared" ca="1" si="38"/>
        <v>1.7053563319522819E-2</v>
      </c>
      <c r="O157" s="20">
        <f t="shared" ca="1" si="39"/>
        <v>0.12820787073428355</v>
      </c>
      <c r="P157" s="19">
        <f t="shared" ca="1" si="40"/>
        <v>2.3036818991184402</v>
      </c>
      <c r="Q157" s="19">
        <f ca="1">HCTrans(P157,Strike,RiskFreeRate,Dividend,Variance_T0*AnnualVarConvtr,(Simulation!G157)/250,0.5,Variance_Avg*AnnualVarConvtr,Lambda,SQRT(Simulation!N157),Rho,1,"Call")</f>
        <v>29.023356692573202</v>
      </c>
      <c r="R157" s="19">
        <f ca="1">ImpliedVolatility("Call",P157,Strike,RiskFreeRate,G157/250,Dividend,Q157,0.5)</f>
        <v>0.74042409652675867</v>
      </c>
      <c r="S157" s="19">
        <f t="shared" ca="1" si="41"/>
        <v>0.55050445010581117</v>
      </c>
      <c r="T157" s="19">
        <f t="shared" ca="1" si="42"/>
        <v>11.0365960405734</v>
      </c>
      <c r="U157" s="19">
        <f t="shared" ca="1" si="43"/>
        <v>-26.142344578669412</v>
      </c>
      <c r="V157" s="21"/>
      <c r="X157" s="22"/>
      <c r="Y157" s="22"/>
      <c r="Z157" s="22"/>
    </row>
    <row r="158" spans="7:26" x14ac:dyDescent="0.25">
      <c r="G158" s="19">
        <v>97</v>
      </c>
      <c r="H158" s="19">
        <f t="shared" ca="1" si="35"/>
        <v>0.64803334044294503</v>
      </c>
      <c r="I158" s="19">
        <f t="shared" ca="1" si="35"/>
        <v>0.7588987827728112</v>
      </c>
      <c r="J158" s="19">
        <f t="shared" ca="1" si="36"/>
        <v>5.2053568955752215E-2</v>
      </c>
      <c r="K158" s="19">
        <f t="shared" ca="1" si="37"/>
        <v>-0.93000897375463898</v>
      </c>
      <c r="L158" s="19">
        <f t="array" aca="1" ref="L158:M158" ca="1">MMULT(J158:K158,TRANSPOSE($B$10:$C$11))</f>
        <v>5.2053568955752215E-2</v>
      </c>
      <c r="M158" s="19">
        <f ca="1"/>
        <v>-0.68605863707559267</v>
      </c>
      <c r="N158" s="20">
        <f t="shared" ca="1" si="38"/>
        <v>1.4874437496246661E-2</v>
      </c>
      <c r="O158" s="20">
        <f t="shared" ca="1" si="39"/>
        <v>0.12860368403040975</v>
      </c>
      <c r="P158" s="19">
        <f t="shared" ca="1" si="40"/>
        <v>2.1711829800865519</v>
      </c>
      <c r="Q158" s="19">
        <f ca="1">HCTrans(P158,Strike,RiskFreeRate,Dividend,Variance_T0*AnnualVarConvtr,(Simulation!G158)/250,0.5,Variance_Avg*AnnualVarConvtr,Lambda,SQRT(Simulation!N158),Rho,1,"Call")</f>
        <v>29.023356692573202</v>
      </c>
      <c r="R158" s="19">
        <f ca="1">ImpliedVolatility("Call",P158,Strike,RiskFreeRate,G158/250,Dividend,Q158,0.5)</f>
        <v>0.74042409652675867</v>
      </c>
      <c r="S158" s="19">
        <f t="shared" ca="1" si="41"/>
        <v>0.55050445010581117</v>
      </c>
      <c r="T158" s="19">
        <f t="shared" ca="1" si="42"/>
        <v>11.0365960405734</v>
      </c>
      <c r="U158" s="19">
        <f t="shared" ca="1" si="43"/>
        <v>-26.142344578669412</v>
      </c>
      <c r="V158" s="21"/>
      <c r="X158" s="22"/>
      <c r="Y158" s="22"/>
      <c r="Z158" s="22"/>
    </row>
    <row r="159" spans="7:26" x14ac:dyDescent="0.25">
      <c r="G159" s="19">
        <v>96</v>
      </c>
      <c r="H159" s="19">
        <f t="shared" ref="H159:I222" ca="1" si="44">RAND()</f>
        <v>0.73637227853405152</v>
      </c>
      <c r="I159" s="19">
        <f t="shared" ca="1" si="44"/>
        <v>0.84960277164708808</v>
      </c>
      <c r="J159" s="19">
        <f t="shared" ca="1" si="36"/>
        <v>0.45826045199325544</v>
      </c>
      <c r="K159" s="19">
        <f t="shared" ca="1" si="37"/>
        <v>-0.63406333118625469</v>
      </c>
      <c r="L159" s="19">
        <f t="array" aca="1" ref="L159:M159" ca="1">MMULT(J159:K159,TRANSPOSE($B$10:$C$11))</f>
        <v>0.45826045199325544</v>
      </c>
      <c r="M159" s="19">
        <f ca="1"/>
        <v>-0.77065800877882862</v>
      </c>
      <c r="N159" s="20">
        <f t="shared" ca="1" si="38"/>
        <v>1.2617543465257751E-2</v>
      </c>
      <c r="O159" s="20">
        <f t="shared" ca="1" si="39"/>
        <v>0.13210871728189072</v>
      </c>
      <c r="P159" s="19">
        <f t="shared" ca="1" si="40"/>
        <v>2.0462360807174931</v>
      </c>
      <c r="Q159" s="19">
        <f ca="1">HCTrans(P159,Strike,RiskFreeRate,Dividend,Variance_T0*AnnualVarConvtr,(Simulation!G159)/250,0.5,Variance_Avg*AnnualVarConvtr,Lambda,SQRT(Simulation!N159),Rho,1,"Call")</f>
        <v>29.023356692573202</v>
      </c>
      <c r="R159" s="19">
        <f ca="1">ImpliedVolatility("Call",P159,Strike,RiskFreeRate,G159/250,Dividend,Q159,0.5)</f>
        <v>0.74042409652675867</v>
      </c>
      <c r="S159" s="19">
        <f t="shared" ca="1" si="41"/>
        <v>0.55050445010581117</v>
      </c>
      <c r="T159" s="19">
        <f t="shared" ca="1" si="42"/>
        <v>11.0365960405734</v>
      </c>
      <c r="U159" s="19">
        <f t="shared" ca="1" si="43"/>
        <v>-26.142344578669412</v>
      </c>
      <c r="V159" s="21"/>
      <c r="X159" s="22"/>
      <c r="Y159" s="22"/>
      <c r="Z159" s="22"/>
    </row>
    <row r="160" spans="7:26" x14ac:dyDescent="0.25">
      <c r="G160" s="19">
        <v>95</v>
      </c>
      <c r="H160" s="19">
        <f t="shared" ca="1" si="44"/>
        <v>0.96294974716621973</v>
      </c>
      <c r="I160" s="19">
        <f t="shared" ca="1" si="44"/>
        <v>0.62619202088197035</v>
      </c>
      <c r="J160" s="19">
        <f t="shared" ca="1" si="36"/>
        <v>-0.19284330730581489</v>
      </c>
      <c r="K160" s="19">
        <f t="shared" ca="1" si="37"/>
        <v>-0.19575383310330757</v>
      </c>
      <c r="L160" s="19">
        <f t="array" aca="1" ref="L160:M160" ca="1">MMULT(J160:K160,TRANSPOSE($B$10:$C$11))</f>
        <v>-0.19284330730581489</v>
      </c>
      <c r="M160" s="19">
        <f ca="1"/>
        <v>1.6168826320137608E-3</v>
      </c>
      <c r="N160" s="20">
        <f t="shared" ca="1" si="38"/>
        <v>1.259246032672456E-2</v>
      </c>
      <c r="O160" s="20">
        <f t="shared" ca="1" si="39"/>
        <v>0.13071347776481354</v>
      </c>
      <c r="P160" s="19">
        <f t="shared" ca="1" si="40"/>
        <v>1.9185743203320931</v>
      </c>
      <c r="Q160" s="19">
        <f ca="1">HCTrans(P160,Strike,RiskFreeRate,Dividend,Variance_T0*AnnualVarConvtr,(Simulation!G160)/250,0.5,Variance_Avg*AnnualVarConvtr,Lambda,SQRT(Simulation!N160),Rho,1,"Call")</f>
        <v>29.023356692573202</v>
      </c>
      <c r="R160" s="19">
        <f ca="1">ImpliedVolatility("Call",P160,Strike,RiskFreeRate,G160/250,Dividend,Q160,0.5)</f>
        <v>0.74042409652675867</v>
      </c>
      <c r="S160" s="19">
        <f t="shared" ca="1" si="41"/>
        <v>0.55050445010581117</v>
      </c>
      <c r="T160" s="19">
        <f t="shared" ca="1" si="42"/>
        <v>11.0365960405734</v>
      </c>
      <c r="U160" s="19">
        <f t="shared" ca="1" si="43"/>
        <v>-26.142344578669412</v>
      </c>
      <c r="V160" s="21"/>
      <c r="X160" s="22"/>
      <c r="Y160" s="22"/>
      <c r="Z160" s="22"/>
    </row>
    <row r="161" spans="7:26" x14ac:dyDescent="0.25">
      <c r="G161" s="19">
        <v>94</v>
      </c>
      <c r="H161" s="19">
        <f t="shared" ca="1" si="44"/>
        <v>0.98904279500052716</v>
      </c>
      <c r="I161" s="19">
        <f t="shared" ca="1" si="44"/>
        <v>0.88612318744133056</v>
      </c>
      <c r="J161" s="19">
        <f t="shared" ca="1" si="36"/>
        <v>0.11203882066834651</v>
      </c>
      <c r="K161" s="19">
        <f t="shared" ca="1" si="37"/>
        <v>-9.7378936591936402E-2</v>
      </c>
      <c r="L161" s="19">
        <f t="array" aca="1" ref="L161:M161" ca="1">MMULT(J161:K161,TRANSPOSE($B$10:$C$11))</f>
        <v>0.11203882066834651</v>
      </c>
      <c r="M161" s="19">
        <f ca="1"/>
        <v>-0.14820610414352822</v>
      </c>
      <c r="N161" s="20">
        <f t="shared" ca="1" si="38"/>
        <v>1.215855799652798E-2</v>
      </c>
      <c r="O161" s="20">
        <f t="shared" ca="1" si="39"/>
        <v>0.13148345155336588</v>
      </c>
      <c r="P161" s="19">
        <f t="shared" ca="1" si="40"/>
        <v>1.7815594946257511</v>
      </c>
      <c r="Q161" s="19">
        <f ca="1">HCTrans(P161,Strike,RiskFreeRate,Dividend,Variance_T0*AnnualVarConvtr,(Simulation!G161)/250,0.5,Variance_Avg*AnnualVarConvtr,Lambda,SQRT(Simulation!N161),Rho,1,"Call")</f>
        <v>29.023356692573202</v>
      </c>
      <c r="R161" s="19">
        <f ca="1">ImpliedVolatility("Call",P161,Strike,RiskFreeRate,G161/250,Dividend,Q161,0.5)</f>
        <v>0.74042409652675867</v>
      </c>
      <c r="S161" s="19">
        <f t="shared" ca="1" si="41"/>
        <v>0.55050445010581117</v>
      </c>
      <c r="T161" s="19">
        <f t="shared" ca="1" si="42"/>
        <v>11.0365960405734</v>
      </c>
      <c r="U161" s="19">
        <f t="shared" ca="1" si="43"/>
        <v>-26.142344578669412</v>
      </c>
      <c r="V161" s="21"/>
      <c r="X161" s="22"/>
      <c r="Y161" s="22"/>
      <c r="Z161" s="22"/>
    </row>
    <row r="162" spans="7:26" x14ac:dyDescent="0.25">
      <c r="G162" s="19">
        <v>93</v>
      </c>
      <c r="H162" s="19">
        <f t="shared" ca="1" si="44"/>
        <v>0.5076244371188936</v>
      </c>
      <c r="I162" s="19">
        <f t="shared" ca="1" si="44"/>
        <v>0.146162871902766</v>
      </c>
      <c r="J162" s="19">
        <f t="shared" ca="1" si="36"/>
        <v>0.70697954708996225</v>
      </c>
      <c r="K162" s="19">
        <f t="shared" ca="1" si="37"/>
        <v>0.92531439178988484</v>
      </c>
      <c r="L162" s="19">
        <f t="array" aca="1" ref="L162:M162" ca="1">MMULT(J162:K162,TRANSPOSE($B$10:$C$11))</f>
        <v>0.70697954708996225</v>
      </c>
      <c r="M162" s="19">
        <f ca="1"/>
        <v>0.13893652965100234</v>
      </c>
      <c r="N162" s="20">
        <f t="shared" ca="1" si="38"/>
        <v>1.2510005652883606E-2</v>
      </c>
      <c r="O162" s="20">
        <f t="shared" ca="1" si="39"/>
        <v>0.13638948591796815</v>
      </c>
      <c r="P162" s="19">
        <f t="shared" ca="1" si="40"/>
        <v>1.6491810289908073</v>
      </c>
      <c r="Q162" s="19">
        <f ca="1">HCTrans(P162,Strike,RiskFreeRate,Dividend,Variance_T0*AnnualVarConvtr,(Simulation!G162)/250,0.5,Variance_Avg*AnnualVarConvtr,Lambda,SQRT(Simulation!N162),Rho,1,"Call")</f>
        <v>29.023356692573202</v>
      </c>
      <c r="R162" s="19">
        <f ca="1">ImpliedVolatility("Call",P162,Strike,RiskFreeRate,G162/250,Dividend,Q162,0.5)</f>
        <v>0.74042409652675867</v>
      </c>
      <c r="S162" s="19">
        <f t="shared" ca="1" si="41"/>
        <v>0.55050445010581117</v>
      </c>
      <c r="T162" s="19">
        <f t="shared" ca="1" si="42"/>
        <v>11.0365960405734</v>
      </c>
      <c r="U162" s="19">
        <f t="shared" ca="1" si="43"/>
        <v>-26.142344578669412</v>
      </c>
      <c r="V162" s="21"/>
      <c r="X162" s="22"/>
      <c r="Y162" s="22"/>
      <c r="Z162" s="22"/>
    </row>
    <row r="163" spans="7:26" x14ac:dyDescent="0.25">
      <c r="G163" s="19">
        <v>92</v>
      </c>
      <c r="H163" s="19">
        <f t="shared" ca="1" si="44"/>
        <v>0.72275814411970807</v>
      </c>
      <c r="I163" s="19">
        <f t="shared" ca="1" si="44"/>
        <v>0.32309598603232004</v>
      </c>
      <c r="J163" s="19">
        <f t="shared" ca="1" si="36"/>
        <v>-0.35722336246408048</v>
      </c>
      <c r="K163" s="19">
        <f t="shared" ca="1" si="37"/>
        <v>0.72232453172398381</v>
      </c>
      <c r="L163" s="19">
        <f t="array" aca="1" ref="L163:M163" ca="1">MMULT(J163:K163,TRANSPOSE($B$10:$C$11))</f>
        <v>-0.35722336246408048</v>
      </c>
      <c r="M163" s="19">
        <f ca="1"/>
        <v>0.75983480829219985</v>
      </c>
      <c r="N163" s="20">
        <f t="shared" ca="1" si="38"/>
        <v>1.4651705796658159E-2</v>
      </c>
      <c r="O163" s="20">
        <f t="shared" ca="1" si="39"/>
        <v>0.13383750453751575</v>
      </c>
      <c r="P163" s="19">
        <f t="shared" ca="1" si="40"/>
        <v>1.5344629406462287</v>
      </c>
      <c r="Q163" s="19">
        <f ca="1">HCTrans(P163,Strike,RiskFreeRate,Dividend,Variance_T0*AnnualVarConvtr,(Simulation!G163)/250,0.5,Variance_Avg*AnnualVarConvtr,Lambda,SQRT(Simulation!N163),Rho,1,"Call")</f>
        <v>29.023356692573202</v>
      </c>
      <c r="R163" s="19">
        <f ca="1">ImpliedVolatility("Call",P163,Strike,RiskFreeRate,G163/250,Dividend,Q163,0.5)</f>
        <v>0.74042409652675867</v>
      </c>
      <c r="S163" s="19">
        <f t="shared" ca="1" si="41"/>
        <v>0.55050445010581117</v>
      </c>
      <c r="T163" s="19">
        <f t="shared" ca="1" si="42"/>
        <v>11.0365960405734</v>
      </c>
      <c r="U163" s="19">
        <f t="shared" ca="1" si="43"/>
        <v>-26.142344578669412</v>
      </c>
      <c r="V163" s="21"/>
      <c r="X163" s="22"/>
      <c r="Y163" s="22"/>
      <c r="Z163" s="22"/>
    </row>
    <row r="164" spans="7:26" x14ac:dyDescent="0.25">
      <c r="G164" s="19">
        <v>91</v>
      </c>
      <c r="H164" s="19">
        <f t="shared" ca="1" si="44"/>
        <v>0.35548845434755783</v>
      </c>
      <c r="I164" s="19">
        <f t="shared" ca="1" si="44"/>
        <v>0.55359379086649319</v>
      </c>
      <c r="J164" s="19">
        <f t="shared" ca="1" si="36"/>
        <v>-1.3574609582952304</v>
      </c>
      <c r="K164" s="19">
        <f t="shared" ca="1" si="37"/>
        <v>-0.47521022893114306</v>
      </c>
      <c r="L164" s="19">
        <f t="array" aca="1" ref="L164:M164" ca="1">MMULT(J164:K164,TRANSPOSE($B$10:$C$11))</f>
        <v>-1.3574609582952304</v>
      </c>
      <c r="M164" s="19">
        <f ca="1"/>
        <v>0.64112025524487215</v>
      </c>
      <c r="N164" s="20">
        <f t="shared" ca="1" si="38"/>
        <v>1.6576039776156733E-2</v>
      </c>
      <c r="O164" s="20">
        <f t="shared" ca="1" si="39"/>
        <v>0.12341614608705402</v>
      </c>
      <c r="P164" s="19">
        <f t="shared" ca="1" si="40"/>
        <v>1.4306700590447552</v>
      </c>
      <c r="Q164" s="19">
        <f ca="1">HCTrans(P164,Strike,RiskFreeRate,Dividend,Variance_T0*AnnualVarConvtr,(Simulation!G164)/250,0.5,Variance_Avg*AnnualVarConvtr,Lambda,SQRT(Simulation!N164),Rho,1,"Call")</f>
        <v>29.023356692573202</v>
      </c>
      <c r="R164" s="19">
        <f ca="1">ImpliedVolatility("Call",P164,Strike,RiskFreeRate,G164/250,Dividend,Q164,0.5)</f>
        <v>0.74042409652675867</v>
      </c>
      <c r="S164" s="19">
        <f t="shared" ca="1" si="41"/>
        <v>0.55050445010581117</v>
      </c>
      <c r="T164" s="19">
        <f t="shared" ca="1" si="42"/>
        <v>11.0365960405734</v>
      </c>
      <c r="U164" s="19">
        <f t="shared" ca="1" si="43"/>
        <v>-26.142344578669412</v>
      </c>
      <c r="V164" s="21"/>
      <c r="X164" s="22"/>
      <c r="Y164" s="22"/>
      <c r="Z164" s="22"/>
    </row>
    <row r="165" spans="7:26" x14ac:dyDescent="0.25">
      <c r="G165" s="19">
        <v>90</v>
      </c>
      <c r="H165" s="19">
        <f t="shared" ca="1" si="44"/>
        <v>0.94286954239563181</v>
      </c>
      <c r="I165" s="19">
        <f t="shared" ca="1" si="44"/>
        <v>0.68883979967921838</v>
      </c>
      <c r="J165" s="19">
        <f t="shared" ca="1" si="36"/>
        <v>-0.12859125964627788</v>
      </c>
      <c r="K165" s="19">
        <f t="shared" ca="1" si="37"/>
        <v>-0.31799211642752745</v>
      </c>
      <c r="L165" s="19">
        <f t="array" aca="1" ref="L165:M165" ca="1">MMULT(J165:K165,TRANSPOSE($B$10:$C$11))</f>
        <v>-0.12859125964627788</v>
      </c>
      <c r="M165" s="19">
        <f ca="1"/>
        <v>-0.12969155803021376</v>
      </c>
      <c r="N165" s="20">
        <f t="shared" ca="1" si="38"/>
        <v>1.6118617950813978E-2</v>
      </c>
      <c r="O165" s="20">
        <f t="shared" ca="1" si="39"/>
        <v>0.12233590925297454</v>
      </c>
      <c r="P165" s="19">
        <f t="shared" ca="1" si="40"/>
        <v>1.3315334378678705</v>
      </c>
      <c r="Q165" s="19">
        <f ca="1">HCTrans(P165,Strike,RiskFreeRate,Dividend,Variance_T0*AnnualVarConvtr,(Simulation!G165)/250,0.5,Variance_Avg*AnnualVarConvtr,Lambda,SQRT(Simulation!N165),Rho,1,"Call")</f>
        <v>29.023356692573202</v>
      </c>
      <c r="R165" s="19">
        <f ca="1">ImpliedVolatility("Call",P165,Strike,RiskFreeRate,G165/250,Dividend,Q165,0.5)</f>
        <v>0.74042409652675867</v>
      </c>
      <c r="S165" s="19">
        <f t="shared" ca="1" si="41"/>
        <v>0.55050445010581117</v>
      </c>
      <c r="T165" s="19">
        <f t="shared" ca="1" si="42"/>
        <v>11.0365960405734</v>
      </c>
      <c r="U165" s="19">
        <f t="shared" ca="1" si="43"/>
        <v>-26.142344578669412</v>
      </c>
      <c r="V165" s="21"/>
      <c r="X165" s="22"/>
      <c r="Y165" s="22"/>
      <c r="Z165" s="22"/>
    </row>
    <row r="166" spans="7:26" x14ac:dyDescent="0.25">
      <c r="G166" s="19">
        <v>89</v>
      </c>
      <c r="H166" s="19">
        <f t="shared" ca="1" si="44"/>
        <v>0.13429811432955308</v>
      </c>
      <c r="I166" s="19">
        <f t="shared" ca="1" si="44"/>
        <v>0.55761357784868204</v>
      </c>
      <c r="J166" s="19">
        <f t="shared" ca="1" si="36"/>
        <v>-1.8739769470034127</v>
      </c>
      <c r="K166" s="19">
        <f t="shared" ca="1" si="37"/>
        <v>-0.7096455697521673</v>
      </c>
      <c r="L166" s="19">
        <f t="array" aca="1" ref="L166:M166" ca="1">MMULT(J166:K166,TRANSPOSE($B$10:$C$11))</f>
        <v>-1.8739769470034127</v>
      </c>
      <c r="M166" s="19">
        <f ca="1"/>
        <v>0.84766489364435094</v>
      </c>
      <c r="N166" s="20">
        <f t="shared" ca="1" si="38"/>
        <v>1.8817370241597162E-2</v>
      </c>
      <c r="O166" s="20">
        <f t="shared" ca="1" si="39"/>
        <v>0.10725638723181062</v>
      </c>
      <c r="P166" s="19">
        <f t="shared" ca="1" si="40"/>
        <v>1.2319619563426347</v>
      </c>
      <c r="Q166" s="19">
        <f ca="1">HCTrans(P166,Strike,RiskFreeRate,Dividend,Variance_T0*AnnualVarConvtr,(Simulation!G166)/250,0.5,Variance_Avg*AnnualVarConvtr,Lambda,SQRT(Simulation!N166),Rho,1,"Call")</f>
        <v>29.023356692573202</v>
      </c>
      <c r="R166" s="19">
        <f ca="1">ImpliedVolatility("Call",P166,Strike,RiskFreeRate,G166/250,Dividend,Q166,0.5)</f>
        <v>0.74042409652675867</v>
      </c>
      <c r="S166" s="19">
        <f t="shared" ca="1" si="41"/>
        <v>0.55050445010581117</v>
      </c>
      <c r="T166" s="19">
        <f t="shared" ca="1" si="42"/>
        <v>11.0365960405734</v>
      </c>
      <c r="U166" s="19">
        <f t="shared" ca="1" si="43"/>
        <v>-26.142344578669412</v>
      </c>
      <c r="V166" s="21"/>
      <c r="X166" s="22"/>
      <c r="Y166" s="22"/>
      <c r="Z166" s="22"/>
    </row>
    <row r="167" spans="7:26" x14ac:dyDescent="0.25">
      <c r="G167" s="19">
        <v>88</v>
      </c>
      <c r="H167" s="19">
        <f t="shared" ca="1" si="44"/>
        <v>0.21086053034264096</v>
      </c>
      <c r="I167" s="19">
        <f t="shared" ca="1" si="44"/>
        <v>0.16659787325307718</v>
      </c>
      <c r="J167" s="19">
        <f t="shared" ca="1" si="36"/>
        <v>0.88286171613297781</v>
      </c>
      <c r="K167" s="19">
        <f t="shared" ca="1" si="37"/>
        <v>1.5276360514133052</v>
      </c>
      <c r="L167" s="19">
        <f t="array" aca="1" ref="L167:M167" ca="1">MMULT(J167:K167,TRANSPOSE($B$10:$C$11))</f>
        <v>0.88286171613297781</v>
      </c>
      <c r="M167" s="19">
        <f ca="1"/>
        <v>0.43308877011765123</v>
      </c>
      <c r="N167" s="20">
        <f t="shared" ca="1" si="38"/>
        <v>2.0239900524141669E-2</v>
      </c>
      <c r="O167" s="20">
        <f t="shared" ca="1" si="39"/>
        <v>0.11487828291274296</v>
      </c>
      <c r="P167" s="19">
        <f t="shared" ca="1" si="40"/>
        <v>1.1448063114265501</v>
      </c>
      <c r="Q167" s="19">
        <f ca="1">HCTrans(P167,Strike,RiskFreeRate,Dividend,Variance_T0*AnnualVarConvtr,(Simulation!G167)/250,0.5,Variance_Avg*AnnualVarConvtr,Lambda,SQRT(Simulation!N167),Rho,1,"Call")</f>
        <v>29.023356692573202</v>
      </c>
      <c r="R167" s="19">
        <f ca="1">ImpliedVolatility("Call",P167,Strike,RiskFreeRate,G167/250,Dividend,Q167,0.5)</f>
        <v>0.74042409652675867</v>
      </c>
      <c r="S167" s="19">
        <f t="shared" ca="1" si="41"/>
        <v>0.55050445010581117</v>
      </c>
      <c r="T167" s="19">
        <f t="shared" ca="1" si="42"/>
        <v>11.0365960405734</v>
      </c>
      <c r="U167" s="19">
        <f t="shared" ca="1" si="43"/>
        <v>-26.142344578669412</v>
      </c>
      <c r="V167" s="21"/>
      <c r="X167" s="22"/>
      <c r="Y167" s="22"/>
      <c r="Z167" s="22"/>
    </row>
    <row r="168" spans="7:26" x14ac:dyDescent="0.25">
      <c r="G168" s="19">
        <v>87</v>
      </c>
      <c r="H168" s="19">
        <f t="shared" ca="1" si="44"/>
        <v>0.42518539033019209</v>
      </c>
      <c r="I168" s="19">
        <f t="shared" ca="1" si="44"/>
        <v>0.87308714241790553</v>
      </c>
      <c r="J168" s="19">
        <f t="shared" ca="1" si="36"/>
        <v>0.91360507317368389</v>
      </c>
      <c r="K168" s="19">
        <f t="shared" ca="1" si="37"/>
        <v>-0.9358342564415747</v>
      </c>
      <c r="L168" s="19">
        <f t="array" aca="1" ref="L168:M168" ca="1">MMULT(J168:K168,TRANSPOSE($B$10:$C$11))</f>
        <v>0.91360507317368389</v>
      </c>
      <c r="M168" s="19">
        <f ca="1"/>
        <v>-1.3074239318535361</v>
      </c>
      <c r="N168" s="20">
        <f t="shared" ca="1" si="38"/>
        <v>1.5866035099924701E-2</v>
      </c>
      <c r="O168" s="20">
        <f t="shared" ca="1" si="39"/>
        <v>0.1230581980851186</v>
      </c>
      <c r="P168" s="19">
        <f t="shared" ca="1" si="40"/>
        <v>1.0688359012723831</v>
      </c>
      <c r="Q168" s="19">
        <f ca="1">HCTrans(P168,Strike,RiskFreeRate,Dividend,Variance_T0*AnnualVarConvtr,(Simulation!G168)/250,0.5,Variance_Avg*AnnualVarConvtr,Lambda,SQRT(Simulation!N168),Rho,1,"Call")</f>
        <v>29.023356692573202</v>
      </c>
      <c r="R168" s="19">
        <f ca="1">ImpliedVolatility("Call",P168,Strike,RiskFreeRate,G168/250,Dividend,Q168,0.5)</f>
        <v>0.74042409652675867</v>
      </c>
      <c r="S168" s="19">
        <f t="shared" ca="1" si="41"/>
        <v>0.55050445010581117</v>
      </c>
      <c r="T168" s="19">
        <f t="shared" ca="1" si="42"/>
        <v>11.0365960405734</v>
      </c>
      <c r="U168" s="19">
        <f t="shared" ca="1" si="43"/>
        <v>-26.142344578669412</v>
      </c>
      <c r="V168" s="21"/>
      <c r="X168" s="22"/>
      <c r="Y168" s="22"/>
      <c r="Z168" s="22"/>
    </row>
    <row r="169" spans="7:26" x14ac:dyDescent="0.25">
      <c r="G169" s="19">
        <v>86</v>
      </c>
      <c r="H169" s="19">
        <f t="shared" ca="1" si="44"/>
        <v>0.57709555241726795</v>
      </c>
      <c r="I169" s="19">
        <f t="shared" ca="1" si="44"/>
        <v>0.40988737083274784</v>
      </c>
      <c r="J169" s="19">
        <f t="shared" ca="1" si="36"/>
        <v>-0.88493741660138836</v>
      </c>
      <c r="K169" s="19">
        <f t="shared" ca="1" si="37"/>
        <v>0.56247721451510158</v>
      </c>
      <c r="L169" s="19">
        <f t="array" aca="1" ref="L169:M169" ca="1">MMULT(J169:K169,TRANSPOSE($B$10:$C$11))</f>
        <v>-0.88493741660138836</v>
      </c>
      <c r="M169" s="19">
        <f ca="1"/>
        <v>1.0264345030118158</v>
      </c>
      <c r="N169" s="20">
        <f t="shared" ca="1" si="38"/>
        <v>1.9147873849493312E-2</v>
      </c>
      <c r="O169" s="20">
        <f t="shared" ca="1" si="39"/>
        <v>0.11597666661888643</v>
      </c>
      <c r="P169" s="19">
        <f t="shared" ca="1" si="40"/>
        <v>0.99803313483249168</v>
      </c>
      <c r="Q169" s="19">
        <f ca="1">HCTrans(P169,Strike,RiskFreeRate,Dividend,Variance_T0*AnnualVarConvtr,(Simulation!G169)/250,0.5,Variance_Avg*AnnualVarConvtr,Lambda,SQRT(Simulation!N169),Rho,1,"Call")</f>
        <v>29.023356692573202</v>
      </c>
      <c r="R169" s="19">
        <f ca="1">ImpliedVolatility("Call",P169,Strike,RiskFreeRate,G169/250,Dividend,Q169,0.5)</f>
        <v>0.74042409652675867</v>
      </c>
      <c r="S169" s="19">
        <f t="shared" ca="1" si="41"/>
        <v>0.55050445010581117</v>
      </c>
      <c r="T169" s="19">
        <f t="shared" ca="1" si="42"/>
        <v>11.0365960405734</v>
      </c>
      <c r="U169" s="19">
        <f t="shared" ca="1" si="43"/>
        <v>-26.142344578669412</v>
      </c>
      <c r="V169" s="21"/>
      <c r="X169" s="22"/>
      <c r="Y169" s="22"/>
      <c r="Z169" s="22"/>
    </row>
    <row r="170" spans="7:26" x14ac:dyDescent="0.25">
      <c r="G170" s="19">
        <v>85</v>
      </c>
      <c r="H170" s="19">
        <f t="shared" ca="1" si="44"/>
        <v>0.90429141922818135</v>
      </c>
      <c r="I170" s="19">
        <f t="shared" ca="1" si="44"/>
        <v>0.69193595967271193</v>
      </c>
      <c r="J170" s="19">
        <f t="shared" ca="1" si="36"/>
        <v>-0.16004118797632627</v>
      </c>
      <c r="K170" s="19">
        <f t="shared" ca="1" si="37"/>
        <v>-0.41903940915277393</v>
      </c>
      <c r="L170" s="19">
        <f t="array" aca="1" ref="L170:M170" ca="1">MMULT(J170:K170,TRANSPOSE($B$10:$C$11))</f>
        <v>-0.16004118797632627</v>
      </c>
      <c r="M170" s="19">
        <f ca="1"/>
        <v>-0.17764697140141605</v>
      </c>
      <c r="N170" s="20">
        <f t="shared" ca="1" si="38"/>
        <v>1.8485702672133654E-2</v>
      </c>
      <c r="O170" s="20">
        <f t="shared" ca="1" si="39"/>
        <v>0.11453774533247074</v>
      </c>
      <c r="P170" s="19">
        <f t="shared" ca="1" si="40"/>
        <v>0.93491153817418404</v>
      </c>
      <c r="Q170" s="19">
        <f ca="1">HCTrans(P170,Strike,RiskFreeRate,Dividend,Variance_T0*AnnualVarConvtr,(Simulation!G170)/250,0.5,Variance_Avg*AnnualVarConvtr,Lambda,SQRT(Simulation!N170),Rho,1,"Call")</f>
        <v>29.023356692573202</v>
      </c>
      <c r="R170" s="19">
        <f ca="1">ImpliedVolatility("Call",P170,Strike,RiskFreeRate,G170/250,Dividend,Q170,0.5)</f>
        <v>0.74042409652675867</v>
      </c>
      <c r="S170" s="19">
        <f t="shared" ca="1" si="41"/>
        <v>0.55050445010581117</v>
      </c>
      <c r="T170" s="19">
        <f t="shared" ca="1" si="42"/>
        <v>11.0365960405734</v>
      </c>
      <c r="U170" s="19">
        <f t="shared" ca="1" si="43"/>
        <v>-26.142344578669412</v>
      </c>
      <c r="V170" s="21"/>
      <c r="X170" s="22"/>
      <c r="Y170" s="22"/>
      <c r="Z170" s="22"/>
    </row>
    <row r="171" spans="7:26" x14ac:dyDescent="0.25">
      <c r="G171" s="19">
        <v>84</v>
      </c>
      <c r="H171" s="19">
        <f t="shared" ca="1" si="44"/>
        <v>0.70663375223900826</v>
      </c>
      <c r="I171" s="19">
        <f t="shared" ca="1" si="44"/>
        <v>0.48185388606376334</v>
      </c>
      <c r="J171" s="19">
        <f t="shared" ca="1" si="36"/>
        <v>-0.82794724216362614</v>
      </c>
      <c r="K171" s="19">
        <f t="shared" ca="1" si="37"/>
        <v>9.480991705539972E-2</v>
      </c>
      <c r="L171" s="19">
        <f t="array" aca="1" ref="L171:M171" ca="1">MMULT(J171:K171,TRANSPOSE($B$10:$C$11))</f>
        <v>-0.82794724216362614</v>
      </c>
      <c r="M171" s="19">
        <f ca="1"/>
        <v>0.65936237327881564</v>
      </c>
      <c r="N171" s="20">
        <f t="shared" ca="1" si="38"/>
        <v>2.0688610323524516E-2</v>
      </c>
      <c r="O171" s="20">
        <f t="shared" ca="1" si="39"/>
        <v>0.1073812551253354</v>
      </c>
      <c r="P171" s="19">
        <f t="shared" ca="1" si="40"/>
        <v>0.86876373640077953</v>
      </c>
      <c r="Q171" s="19">
        <f ca="1">HCTrans(P171,Strike,RiskFreeRate,Dividend,Variance_T0*AnnualVarConvtr,(Simulation!G171)/250,0.5,Variance_Avg*AnnualVarConvtr,Lambda,SQRT(Simulation!N171),Rho,1,"Call")</f>
        <v>29.023356692573202</v>
      </c>
      <c r="R171" s="19">
        <f ca="1">ImpliedVolatility("Call",P171,Strike,RiskFreeRate,G171/250,Dividend,Q171,0.5)</f>
        <v>0.74042409652675867</v>
      </c>
      <c r="S171" s="19">
        <f t="shared" ca="1" si="41"/>
        <v>0.55050445010581117</v>
      </c>
      <c r="T171" s="19">
        <f t="shared" ca="1" si="42"/>
        <v>11.0365960405734</v>
      </c>
      <c r="U171" s="19">
        <f t="shared" ca="1" si="43"/>
        <v>-26.142344578669412</v>
      </c>
      <c r="V171" s="21"/>
      <c r="X171" s="22"/>
      <c r="Y171" s="22"/>
      <c r="Z171" s="22"/>
    </row>
    <row r="172" spans="7:26" x14ac:dyDescent="0.25">
      <c r="G172" s="19">
        <v>83</v>
      </c>
      <c r="H172" s="19">
        <f t="shared" ca="1" si="44"/>
        <v>0.24699768507212394</v>
      </c>
      <c r="I172" s="19">
        <f t="shared" ca="1" si="44"/>
        <v>0.30476294336202914</v>
      </c>
      <c r="J172" s="19">
        <f t="shared" ca="1" si="36"/>
        <v>-0.56414388704715523</v>
      </c>
      <c r="K172" s="19">
        <f t="shared" ca="1" si="37"/>
        <v>1.5743234432157696</v>
      </c>
      <c r="L172" s="19">
        <f t="array" aca="1" ref="L172:M172" ca="1">MMULT(J172:K172,TRANSPOSE($B$10:$C$11))</f>
        <v>-0.56414388704715523</v>
      </c>
      <c r="M172" s="19">
        <f ca="1"/>
        <v>1.502436806645808</v>
      </c>
      <c r="N172" s="20">
        <f t="shared" ca="1" si="38"/>
        <v>2.6254510944423048E-2</v>
      </c>
      <c r="O172" s="20">
        <f t="shared" ca="1" si="39"/>
        <v>0.10220789097009952</v>
      </c>
      <c r="P172" s="19">
        <f t="shared" ca="1" si="40"/>
        <v>0.80786246686417462</v>
      </c>
      <c r="Q172" s="19">
        <f ca="1">HCTrans(P172,Strike,RiskFreeRate,Dividend,Variance_T0*AnnualVarConvtr,(Simulation!G172)/250,0.5,Variance_Avg*AnnualVarConvtr,Lambda,SQRT(Simulation!N172),Rho,1,"Call")</f>
        <v>29.023356692573202</v>
      </c>
      <c r="R172" s="19">
        <f ca="1">ImpliedVolatility("Call",P172,Strike,RiskFreeRate,G172/250,Dividend,Q172,0.5)</f>
        <v>0.74042409652675867</v>
      </c>
      <c r="S172" s="19">
        <f t="shared" ca="1" si="41"/>
        <v>0.55050445010581117</v>
      </c>
      <c r="T172" s="19">
        <f t="shared" ca="1" si="42"/>
        <v>11.0365960405734</v>
      </c>
      <c r="U172" s="19">
        <f t="shared" ca="1" si="43"/>
        <v>-26.142344578669412</v>
      </c>
      <c r="V172" s="21"/>
      <c r="X172" s="22"/>
      <c r="Y172" s="22"/>
      <c r="Z172" s="22"/>
    </row>
    <row r="173" spans="7:26" x14ac:dyDescent="0.25">
      <c r="G173" s="19">
        <v>82</v>
      </c>
      <c r="H173" s="19">
        <f t="shared" ca="1" si="44"/>
        <v>0.59489421209159543</v>
      </c>
      <c r="I173" s="19">
        <f t="shared" ca="1" si="44"/>
        <v>0.2955258706065137</v>
      </c>
      <c r="J173" s="19">
        <f t="shared" ca="1" si="36"/>
        <v>-0.28757654671614469</v>
      </c>
      <c r="K173" s="19">
        <f t="shared" ca="1" si="37"/>
        <v>0.9777745639331461</v>
      </c>
      <c r="L173" s="19">
        <f t="array" aca="1" ref="L173:M173" ca="1">MMULT(J173:K173,TRANSPOSE($B$10:$C$11))</f>
        <v>-0.28757654671614469</v>
      </c>
      <c r="M173" s="19">
        <f ca="1"/>
        <v>0.88813150975953337</v>
      </c>
      <c r="N173" s="20">
        <f t="shared" ca="1" si="38"/>
        <v>2.9799865117617341E-2</v>
      </c>
      <c r="O173" s="20">
        <f t="shared" ca="1" si="39"/>
        <v>9.9208346047765086E-2</v>
      </c>
      <c r="P173" s="19">
        <f t="shared" ca="1" si="40"/>
        <v>0.74790716499956367</v>
      </c>
      <c r="Q173" s="19">
        <f ca="1">HCTrans(P173,Strike,RiskFreeRate,Dividend,Variance_T0*AnnualVarConvtr,(Simulation!G173)/250,0.5,Variance_Avg*AnnualVarConvtr,Lambda,SQRT(Simulation!N173),Rho,1,"Call")</f>
        <v>29.023356692573202</v>
      </c>
      <c r="R173" s="19">
        <f ca="1">ImpliedVolatility("Call",P173,Strike,RiskFreeRate,G173/250,Dividend,Q173,0.5)</f>
        <v>0.74042409652675867</v>
      </c>
      <c r="S173" s="19">
        <f t="shared" ca="1" si="41"/>
        <v>0.55050445010581117</v>
      </c>
      <c r="T173" s="19">
        <f t="shared" ca="1" si="42"/>
        <v>11.0365960405734</v>
      </c>
      <c r="U173" s="19">
        <f t="shared" ca="1" si="43"/>
        <v>-26.142344578669412</v>
      </c>
      <c r="V173" s="21"/>
      <c r="X173" s="22"/>
      <c r="Y173" s="22"/>
      <c r="Z173" s="22"/>
    </row>
    <row r="174" spans="7:26" x14ac:dyDescent="0.25">
      <c r="G174" s="19">
        <v>81</v>
      </c>
      <c r="H174" s="19">
        <f t="shared" ca="1" si="44"/>
        <v>0.16085821050820126</v>
      </c>
      <c r="I174" s="19">
        <f t="shared" ca="1" si="44"/>
        <v>0.41342556909786154</v>
      </c>
      <c r="J174" s="19">
        <f t="shared" ca="1" si="36"/>
        <v>-1.6357437528962275</v>
      </c>
      <c r="K174" s="19">
        <f t="shared" ca="1" si="37"/>
        <v>0.98934642014611973</v>
      </c>
      <c r="L174" s="19">
        <f t="array" aca="1" ref="L174:M174" ca="1">MMULT(J174:K174,TRANSPOSE($B$10:$C$11))</f>
        <v>-1.6357437528962275</v>
      </c>
      <c r="M174" s="19">
        <f ca="1"/>
        <v>1.8621656905045409</v>
      </c>
      <c r="N174" s="20">
        <f t="shared" ca="1" si="38"/>
        <v>3.8082739133150252E-2</v>
      </c>
      <c r="O174" s="20">
        <f t="shared" ca="1" si="39"/>
        <v>8.1289940497423344E-2</v>
      </c>
      <c r="P174" s="19">
        <f t="shared" ca="1" si="40"/>
        <v>0.6935326440583105</v>
      </c>
      <c r="Q174" s="19">
        <f ca="1">HCTrans(P174,Strike,RiskFreeRate,Dividend,Variance_T0*AnnualVarConvtr,(Simulation!G174)/250,0.5,Variance_Avg*AnnualVarConvtr,Lambda,SQRT(Simulation!N174),Rho,1,"Call")</f>
        <v>29.023356692573202</v>
      </c>
      <c r="R174" s="19">
        <f ca="1">ImpliedVolatility("Call",P174,Strike,RiskFreeRate,G174/250,Dividend,Q174,0.5)</f>
        <v>0.74042409652675867</v>
      </c>
      <c r="S174" s="19">
        <f t="shared" ca="1" si="41"/>
        <v>0.55050445010581117</v>
      </c>
      <c r="T174" s="19">
        <f t="shared" ca="1" si="42"/>
        <v>11.0365960405734</v>
      </c>
      <c r="U174" s="19">
        <f t="shared" ca="1" si="43"/>
        <v>-26.142344578669412</v>
      </c>
      <c r="V174" s="21"/>
      <c r="X174" s="22"/>
      <c r="Y174" s="22"/>
      <c r="Z174" s="22"/>
    </row>
    <row r="175" spans="7:26" x14ac:dyDescent="0.25">
      <c r="G175" s="19">
        <v>80</v>
      </c>
      <c r="H175" s="19">
        <f t="shared" ca="1" si="44"/>
        <v>8.0265459080249513E-2</v>
      </c>
      <c r="I175" s="19">
        <f t="shared" ca="1" si="44"/>
        <v>0.81158700790096483</v>
      </c>
      <c r="J175" s="19">
        <f t="shared" ca="1" si="36"/>
        <v>0.84761601617920979</v>
      </c>
      <c r="K175" s="19">
        <f t="shared" ca="1" si="37"/>
        <v>-2.0799949247862468</v>
      </c>
      <c r="L175" s="19">
        <f t="array" aca="1" ref="L175:M175" ca="1">MMULT(J175:K175,TRANSPOSE($B$10:$C$11))</f>
        <v>0.84761601617920979</v>
      </c>
      <c r="M175" s="19">
        <f ca="1"/>
        <v>-2.05829448516974</v>
      </c>
      <c r="N175" s="20">
        <f t="shared" ca="1" si="38"/>
        <v>2.8705892082942622E-2</v>
      </c>
      <c r="O175" s="20">
        <f t="shared" ca="1" si="39"/>
        <v>9.1675257664485921E-2</v>
      </c>
      <c r="P175" s="19">
        <f t="shared" ca="1" si="40"/>
        <v>0.64591675965510142</v>
      </c>
      <c r="Q175" s="19">
        <f ca="1">HCTrans(P175,Strike,RiskFreeRate,Dividend,Variance_T0*AnnualVarConvtr,(Simulation!G175)/250,0.5,Variance_Avg*AnnualVarConvtr,Lambda,SQRT(Simulation!N175),Rho,1,"Call")</f>
        <v>29.023356692573202</v>
      </c>
      <c r="R175" s="19">
        <f ca="1">ImpliedVolatility("Call",P175,Strike,RiskFreeRate,G175/250,Dividend,Q175,0.5)</f>
        <v>0.74042409652675867</v>
      </c>
      <c r="S175" s="19">
        <f t="shared" ca="1" si="41"/>
        <v>0.55050445010581117</v>
      </c>
      <c r="T175" s="19">
        <f t="shared" ca="1" si="42"/>
        <v>11.0365960405734</v>
      </c>
      <c r="U175" s="19">
        <f t="shared" ca="1" si="43"/>
        <v>-26.142344578669412</v>
      </c>
      <c r="V175" s="21"/>
      <c r="X175" s="22"/>
      <c r="Y175" s="22"/>
      <c r="Z175" s="22"/>
    </row>
    <row r="176" spans="7:26" x14ac:dyDescent="0.25">
      <c r="G176" s="19">
        <v>79</v>
      </c>
      <c r="H176" s="19">
        <f t="shared" ca="1" si="44"/>
        <v>4.3077474503485647E-2</v>
      </c>
      <c r="I176" s="19">
        <f t="shared" ca="1" si="44"/>
        <v>4.1266804827298276E-2</v>
      </c>
      <c r="J176" s="19">
        <f t="shared" ca="1" si="36"/>
        <v>2.42405843619572</v>
      </c>
      <c r="K176" s="19">
        <f t="shared" ca="1" si="37"/>
        <v>0.64300140089554514</v>
      </c>
      <c r="L176" s="19">
        <f t="array" aca="1" ref="L176:M176" ca="1">MMULT(J176:K176,TRANSPOSE($B$10:$C$11))</f>
        <v>2.42405843619572</v>
      </c>
      <c r="M176" s="19">
        <f ca="1"/>
        <v>-1.2882883925579014</v>
      </c>
      <c r="N176" s="20">
        <f t="shared" ca="1" si="38"/>
        <v>2.3488434884671006E-2</v>
      </c>
      <c r="O176" s="20">
        <f t="shared" ca="1" si="39"/>
        <v>0.11759302820490161</v>
      </c>
      <c r="P176" s="19">
        <f t="shared" ca="1" si="40"/>
        <v>0.59711959784023894</v>
      </c>
      <c r="Q176" s="19">
        <f ca="1">HCTrans(P176,Strike,RiskFreeRate,Dividend,Variance_T0*AnnualVarConvtr,(Simulation!G176)/250,0.5,Variance_Avg*AnnualVarConvtr,Lambda,SQRT(Simulation!N176),Rho,1,"Call")</f>
        <v>29.023356692573202</v>
      </c>
      <c r="R176" s="19">
        <f ca="1">ImpliedVolatility("Call",P176,Strike,RiskFreeRate,G176/250,Dividend,Q176,0.5)</f>
        <v>0.74042409652675867</v>
      </c>
      <c r="S176" s="19">
        <f t="shared" ca="1" si="41"/>
        <v>0.55050445010581117</v>
      </c>
      <c r="T176" s="19">
        <f t="shared" ca="1" si="42"/>
        <v>11.0365960405734</v>
      </c>
      <c r="U176" s="19">
        <f t="shared" ca="1" si="43"/>
        <v>-26.142344578669412</v>
      </c>
      <c r="V176" s="21"/>
      <c r="X176" s="22"/>
      <c r="Y176" s="22"/>
      <c r="Z176" s="22"/>
    </row>
    <row r="177" spans="7:26" x14ac:dyDescent="0.25">
      <c r="G177" s="19">
        <v>78</v>
      </c>
      <c r="H177" s="19">
        <f t="shared" ca="1" si="44"/>
        <v>0.27747770125365745</v>
      </c>
      <c r="I177" s="19">
        <f t="shared" ca="1" si="44"/>
        <v>0.12737912523368189</v>
      </c>
      <c r="J177" s="19">
        <f t="shared" ca="1" si="36"/>
        <v>1.1152094242830974</v>
      </c>
      <c r="K177" s="19">
        <f t="shared" ca="1" si="37"/>
        <v>1.1490593325517258</v>
      </c>
      <c r="L177" s="19">
        <f t="array" aca="1" ref="L177:M177" ca="1">MMULT(J177:K177,TRANSPOSE($B$10:$C$11))</f>
        <v>1.1152094242830974</v>
      </c>
      <c r="M177" s="19">
        <f ca="1"/>
        <v>2.5214050695404611E-3</v>
      </c>
      <c r="N177" s="20">
        <f t="shared" ca="1" si="38"/>
        <v>2.3410745493561813E-2</v>
      </c>
      <c r="O177" s="20">
        <f t="shared" ca="1" si="39"/>
        <v>0.12835574697712393</v>
      </c>
      <c r="P177" s="19">
        <f t="shared" ca="1" si="40"/>
        <v>0.5511315719368538</v>
      </c>
      <c r="Q177" s="19">
        <f ca="1">HCTrans(P177,Strike,RiskFreeRate,Dividend,Variance_T0*AnnualVarConvtr,(Simulation!G177)/250,0.5,Variance_Avg*AnnualVarConvtr,Lambda,SQRT(Simulation!N177),Rho,1,"Call")</f>
        <v>29.023356692573202</v>
      </c>
      <c r="R177" s="19">
        <f ca="1">ImpliedVolatility("Call",P177,Strike,RiskFreeRate,G177/250,Dividend,Q177,0.5)</f>
        <v>0.74042409652675867</v>
      </c>
      <c r="S177" s="19">
        <f t="shared" ca="1" si="41"/>
        <v>0.55050445010581117</v>
      </c>
      <c r="T177" s="19">
        <f t="shared" ca="1" si="42"/>
        <v>11.0365960405734</v>
      </c>
      <c r="U177" s="19">
        <f t="shared" ca="1" si="43"/>
        <v>-26.142344578669412</v>
      </c>
      <c r="V177" s="21"/>
      <c r="X177" s="22"/>
      <c r="Y177" s="22"/>
      <c r="Z177" s="22"/>
    </row>
    <row r="178" spans="7:26" x14ac:dyDescent="0.25">
      <c r="G178" s="19">
        <v>77</v>
      </c>
      <c r="H178" s="19">
        <f t="shared" ca="1" si="44"/>
        <v>0.12731955106581594</v>
      </c>
      <c r="I178" s="19">
        <f t="shared" ca="1" si="44"/>
        <v>0.11493187663227711</v>
      </c>
      <c r="J178" s="19">
        <f t="shared" ca="1" si="36"/>
        <v>1.5235236467354119</v>
      </c>
      <c r="K178" s="19">
        <f t="shared" ca="1" si="37"/>
        <v>1.3420082350893581</v>
      </c>
      <c r="L178" s="19">
        <f t="array" aca="1" ref="L178:M178" ca="1">MMULT(J178:K178,TRANSPOSE($B$10:$C$11))</f>
        <v>1.5235236467354119</v>
      </c>
      <c r="M178" s="19">
        <f ca="1"/>
        <v>-0.15543707161965192</v>
      </c>
      <c r="N178" s="20">
        <f t="shared" ca="1" si="38"/>
        <v>2.2744462864334722E-2</v>
      </c>
      <c r="O178" s="20">
        <f t="shared" ca="1" si="39"/>
        <v>0.14305195777896382</v>
      </c>
      <c r="P178" s="19">
        <f t="shared" ca="1" si="40"/>
        <v>0.51372708263786981</v>
      </c>
      <c r="Q178" s="19">
        <f ca="1">HCTrans(P178,Strike,RiskFreeRate,Dividend,Variance_T0*AnnualVarConvtr,(Simulation!G178)/250,0.5,Variance_Avg*AnnualVarConvtr,Lambda,SQRT(Simulation!N178),Rho,1,"Call")</f>
        <v>29.023356692573202</v>
      </c>
      <c r="R178" s="19">
        <f ca="1">ImpliedVolatility("Call",P178,Strike,RiskFreeRate,G178/250,Dividend,Q178,0.5)</f>
        <v>0.74042409652675867</v>
      </c>
      <c r="S178" s="19">
        <f t="shared" ca="1" si="41"/>
        <v>0.55050445010581117</v>
      </c>
      <c r="T178" s="19">
        <f t="shared" ca="1" si="42"/>
        <v>11.0365960405734</v>
      </c>
      <c r="U178" s="19">
        <f t="shared" ca="1" si="43"/>
        <v>-26.142344578669412</v>
      </c>
      <c r="V178" s="21"/>
      <c r="X178" s="22"/>
      <c r="Y178" s="22"/>
      <c r="Z178" s="22"/>
    </row>
    <row r="179" spans="7:26" x14ac:dyDescent="0.25">
      <c r="G179" s="19">
        <v>76</v>
      </c>
      <c r="H179" s="19">
        <f t="shared" ca="1" si="44"/>
        <v>0.46382215566976037</v>
      </c>
      <c r="I179" s="19">
        <f t="shared" ca="1" si="44"/>
        <v>1.9225397891398099E-4</v>
      </c>
      <c r="J179" s="19">
        <f t="shared" ca="1" si="36"/>
        <v>1.2395587637530359</v>
      </c>
      <c r="K179" s="19">
        <f t="shared" ca="1" si="37"/>
        <v>1.4973472750044749E-3</v>
      </c>
      <c r="L179" s="19">
        <f t="array" aca="1" ref="L179:M179" ca="1">MMULT(J179:K179,TRANSPOSE($B$10:$C$11))</f>
        <v>1.2395587637530359</v>
      </c>
      <c r="M179" s="19">
        <f ca="1"/>
        <v>-0.88709932409875847</v>
      </c>
      <c r="N179" s="20">
        <f t="shared" ca="1" si="38"/>
        <v>1.9499059239788518E-2</v>
      </c>
      <c r="O179" s="20">
        <f t="shared" ca="1" si="39"/>
        <v>0.1548296667350863</v>
      </c>
      <c r="P179" s="19">
        <f t="shared" ca="1" si="40"/>
        <v>0.47836088447511699</v>
      </c>
      <c r="Q179" s="19">
        <f ca="1">HCTrans(P179,Strike,RiskFreeRate,Dividend,Variance_T0*AnnualVarConvtr,(Simulation!G179)/250,0.5,Variance_Avg*AnnualVarConvtr,Lambda,SQRT(Simulation!N179),Rho,1,"Call")</f>
        <v>29.023356692573202</v>
      </c>
      <c r="R179" s="19">
        <f ca="1">ImpliedVolatility("Call",P179,Strike,RiskFreeRate,G179/250,Dividend,Q179,0.5)</f>
        <v>0.74042409652675867</v>
      </c>
      <c r="S179" s="19">
        <f t="shared" ca="1" si="41"/>
        <v>0.55050445010581117</v>
      </c>
      <c r="T179" s="19">
        <f t="shared" ca="1" si="42"/>
        <v>11.0365960405734</v>
      </c>
      <c r="U179" s="19">
        <f t="shared" ca="1" si="43"/>
        <v>-26.142344578669412</v>
      </c>
      <c r="V179" s="21"/>
      <c r="X179" s="22"/>
      <c r="Y179" s="22"/>
      <c r="Z179" s="22"/>
    </row>
    <row r="180" spans="7:26" x14ac:dyDescent="0.25">
      <c r="G180" s="19">
        <v>75</v>
      </c>
      <c r="H180" s="19">
        <f t="shared" ca="1" si="44"/>
        <v>2.35709010279056E-2</v>
      </c>
      <c r="I180" s="19">
        <f t="shared" ca="1" si="44"/>
        <v>7.4762993851640314E-2</v>
      </c>
      <c r="J180" s="19">
        <f t="shared" ca="1" si="36"/>
        <v>2.4412354279443695</v>
      </c>
      <c r="K180" s="19">
        <f t="shared" ca="1" si="37"/>
        <v>1.2392958708042758</v>
      </c>
      <c r="L180" s="19">
        <f t="array" aca="1" ref="L180:M180" ca="1">MMULT(J180:K180,TRANSPOSE($B$10:$C$11))</f>
        <v>2.4412354279443695</v>
      </c>
      <c r="M180" s="19">
        <f ca="1"/>
        <v>-0.88462838230184582</v>
      </c>
      <c r="N180" s="20">
        <f t="shared" ca="1" si="38"/>
        <v>1.6521711028554747E-2</v>
      </c>
      <c r="O180" s="20">
        <f t="shared" ca="1" si="39"/>
        <v>0.17635055604697333</v>
      </c>
      <c r="P180" s="19">
        <f t="shared" ca="1" si="40"/>
        <v>0.44591067966063419</v>
      </c>
      <c r="Q180" s="19">
        <f ca="1">HCTrans(P180,Strike,RiskFreeRate,Dividend,Variance_T0*AnnualVarConvtr,(Simulation!G180)/250,0.5,Variance_Avg*AnnualVarConvtr,Lambda,SQRT(Simulation!N180),Rho,1,"Call")</f>
        <v>29.023356692573202</v>
      </c>
      <c r="R180" s="19">
        <f ca="1">ImpliedVolatility("Call",P180,Strike,RiskFreeRate,G180/250,Dividend,Q180,0.5)</f>
        <v>0.74042409652675867</v>
      </c>
      <c r="S180" s="19">
        <f t="shared" ca="1" si="41"/>
        <v>0.55050445010581117</v>
      </c>
      <c r="T180" s="19">
        <f t="shared" ca="1" si="42"/>
        <v>11.0365960405734</v>
      </c>
      <c r="U180" s="19">
        <f t="shared" ca="1" si="43"/>
        <v>-26.142344578669412</v>
      </c>
      <c r="V180" s="21"/>
      <c r="X180" s="22"/>
      <c r="Y180" s="22"/>
      <c r="Z180" s="22"/>
    </row>
    <row r="181" spans="7:26" x14ac:dyDescent="0.25">
      <c r="G181" s="19">
        <v>74</v>
      </c>
      <c r="H181" s="19">
        <f t="shared" ca="1" si="44"/>
        <v>0.31204258385763084</v>
      </c>
      <c r="I181" s="19">
        <f t="shared" ca="1" si="44"/>
        <v>0.73101337278465317</v>
      </c>
      <c r="J181" s="19">
        <f t="shared" ca="1" si="36"/>
        <v>-0.18163660810274482</v>
      </c>
      <c r="K181" s="19">
        <f t="shared" ca="1" si="37"/>
        <v>-1.5153347386379086</v>
      </c>
      <c r="L181" s="19">
        <f t="array" aca="1" ref="L181:M181" ca="1">MMULT(J181:K181,TRANSPOSE($B$10:$C$11))</f>
        <v>-0.18163660810274482</v>
      </c>
      <c r="M181" s="19">
        <f ca="1"/>
        <v>-0.92693532302269765</v>
      </c>
      <c r="N181" s="20">
        <f t="shared" ca="1" si="38"/>
        <v>1.3679147346225206E-2</v>
      </c>
      <c r="O181" s="20">
        <f t="shared" ca="1" si="39"/>
        <v>0.17484091933723162</v>
      </c>
      <c r="P181" s="19">
        <f t="shared" ca="1" si="40"/>
        <v>0.42058537541084534</v>
      </c>
      <c r="Q181" s="19">
        <f ca="1">HCTrans(P181,Strike,RiskFreeRate,Dividend,Variance_T0*AnnualVarConvtr,(Simulation!G181)/250,0.5,Variance_Avg*AnnualVarConvtr,Lambda,SQRT(Simulation!N181),Rho,1,"Call")</f>
        <v>29.023356692573202</v>
      </c>
      <c r="R181" s="19">
        <f ca="1">ImpliedVolatility("Call",P181,Strike,RiskFreeRate,G181/250,Dividend,Q181,0.5)</f>
        <v>0.74042409652675867</v>
      </c>
      <c r="S181" s="19">
        <f t="shared" ca="1" si="41"/>
        <v>0.55050445010581117</v>
      </c>
      <c r="T181" s="19">
        <f t="shared" ca="1" si="42"/>
        <v>11.0365960405734</v>
      </c>
      <c r="U181" s="19">
        <f t="shared" ca="1" si="43"/>
        <v>-26.142344578669412</v>
      </c>
      <c r="V181" s="21"/>
      <c r="X181" s="22"/>
      <c r="Y181" s="22"/>
      <c r="Z181" s="22"/>
    </row>
    <row r="182" spans="7:26" x14ac:dyDescent="0.25">
      <c r="G182" s="19">
        <v>73</v>
      </c>
      <c r="H182" s="19">
        <f t="shared" ca="1" si="44"/>
        <v>0.84926411340881713</v>
      </c>
      <c r="I182" s="19">
        <f t="shared" ca="1" si="44"/>
        <v>0.77010666847646359</v>
      </c>
      <c r="J182" s="19">
        <f t="shared" ca="1" si="36"/>
        <v>7.2025335218469932E-2</v>
      </c>
      <c r="K182" s="19">
        <f t="shared" ca="1" si="37"/>
        <v>-0.56708240838339719</v>
      </c>
      <c r="L182" s="19">
        <f t="array" aca="1" ref="L182:M182" ca="1">MMULT(J182:K182,TRANSPOSE($B$10:$C$11))</f>
        <v>7.2025335218469932E-2</v>
      </c>
      <c r="M182" s="19">
        <f ca="1"/>
        <v>-0.44719552049658196</v>
      </c>
      <c r="N182" s="20">
        <f t="shared" ca="1" si="38"/>
        <v>1.2391556107498418E-2</v>
      </c>
      <c r="O182" s="20">
        <f t="shared" ca="1" si="39"/>
        <v>0.17534633722018214</v>
      </c>
      <c r="P182" s="19">
        <f t="shared" ca="1" si="40"/>
        <v>0.39764762691701994</v>
      </c>
      <c r="Q182" s="19">
        <f ca="1">HCTrans(P182,Strike,RiskFreeRate,Dividend,Variance_T0*AnnualVarConvtr,(Simulation!G182)/250,0.5,Variance_Avg*AnnualVarConvtr,Lambda,SQRT(Simulation!N182),Rho,1,"Call")</f>
        <v>29.023356692573202</v>
      </c>
      <c r="R182" s="19">
        <f ca="1">ImpliedVolatility("Call",P182,Strike,RiskFreeRate,G182/250,Dividend,Q182,0.5)</f>
        <v>0.74042409652675867</v>
      </c>
      <c r="S182" s="19">
        <f t="shared" ca="1" si="41"/>
        <v>0.55050445010581117</v>
      </c>
      <c r="T182" s="19">
        <f t="shared" ca="1" si="42"/>
        <v>11.0365960405734</v>
      </c>
      <c r="U182" s="19">
        <f t="shared" ca="1" si="43"/>
        <v>-26.142344578669412</v>
      </c>
      <c r="V182" s="21"/>
      <c r="X182" s="22"/>
      <c r="Y182" s="22"/>
      <c r="Z182" s="22"/>
    </row>
    <row r="183" spans="7:26" x14ac:dyDescent="0.25">
      <c r="G183" s="19">
        <v>72</v>
      </c>
      <c r="H183" s="19">
        <f t="shared" ca="1" si="44"/>
        <v>6.8469270835600504E-3</v>
      </c>
      <c r="I183" s="19">
        <f t="shared" ca="1" si="44"/>
        <v>0.8383174552996866</v>
      </c>
      <c r="J183" s="19">
        <f t="shared" ca="1" si="36"/>
        <v>1.663437033969656</v>
      </c>
      <c r="K183" s="19">
        <f t="shared" ca="1" si="37"/>
        <v>-2.6834470165474715</v>
      </c>
      <c r="L183" s="19">
        <f t="array" aca="1" ref="L183:M183" ca="1">MMULT(J183:K183,TRANSPOSE($B$10:$C$11))</f>
        <v>1.663437033969656</v>
      </c>
      <c r="M183" s="19">
        <f ca="1"/>
        <v>-3.0637906338695289</v>
      </c>
      <c r="N183" s="20">
        <f t="shared" ca="1" si="38"/>
        <v>5.4114363702336618E-3</v>
      </c>
      <c r="O183" s="20">
        <f t="shared" ca="1" si="39"/>
        <v>0.18703269715301421</v>
      </c>
      <c r="P183" s="19">
        <f t="shared" ca="1" si="40"/>
        <v>0.37765745768635972</v>
      </c>
      <c r="Q183" s="19">
        <f ca="1">HCTrans(P183,Strike,RiskFreeRate,Dividend,Variance_T0*AnnualVarConvtr,(Simulation!G183)/250,0.5,Variance_Avg*AnnualVarConvtr,Lambda,SQRT(Simulation!N183),Rho,1,"Call")</f>
        <v>29.023356692573202</v>
      </c>
      <c r="R183" s="19">
        <f ca="1">ImpliedVolatility("Call",P183,Strike,RiskFreeRate,G183/250,Dividend,Q183,0.5)</f>
        <v>0.74042409652675867</v>
      </c>
      <c r="S183" s="19">
        <f t="shared" ca="1" si="41"/>
        <v>0.55050445010581117</v>
      </c>
      <c r="T183" s="19">
        <f t="shared" ca="1" si="42"/>
        <v>11.0365960405734</v>
      </c>
      <c r="U183" s="19">
        <f t="shared" ca="1" si="43"/>
        <v>-26.142344578669412</v>
      </c>
      <c r="V183" s="21"/>
      <c r="X183" s="22"/>
      <c r="Y183" s="22"/>
      <c r="Z183" s="22"/>
    </row>
    <row r="184" spans="7:26" x14ac:dyDescent="0.25">
      <c r="G184" s="19">
        <v>71</v>
      </c>
      <c r="H184" s="19">
        <f t="shared" ca="1" si="44"/>
        <v>0.33919150004325649</v>
      </c>
      <c r="I184" s="19">
        <f t="shared" ca="1" si="44"/>
        <v>0.49535105481828057</v>
      </c>
      <c r="J184" s="19">
        <f t="shared" ca="1" si="36"/>
        <v>-1.4698763126158982</v>
      </c>
      <c r="K184" s="19">
        <f t="shared" ca="1" si="37"/>
        <v>4.2947573120054441E-2</v>
      </c>
      <c r="L184" s="19">
        <f t="array" aca="1" ref="L184:M184" ca="1">MMULT(J184:K184,TRANSPOSE($B$10:$C$11))</f>
        <v>-1.4698763126158982</v>
      </c>
      <c r="M184" s="19">
        <f ca="1"/>
        <v>1.0831260506020923</v>
      </c>
      <c r="N184" s="20">
        <f t="shared" ca="1" si="38"/>
        <v>7.5501543471636111E-3</v>
      </c>
      <c r="O184" s="20">
        <f t="shared" ca="1" si="39"/>
        <v>0.18018327643697776</v>
      </c>
      <c r="P184" s="19">
        <f t="shared" ca="1" si="40"/>
        <v>0.36066507449691082</v>
      </c>
      <c r="Q184" s="19">
        <f ca="1">HCTrans(P184,Strike,RiskFreeRate,Dividend,Variance_T0*AnnualVarConvtr,(Simulation!G184)/250,0.5,Variance_Avg*AnnualVarConvtr,Lambda,SQRT(Simulation!N184),Rho,1,"Call")</f>
        <v>29.023356692573202</v>
      </c>
      <c r="R184" s="19">
        <f ca="1">ImpliedVolatility("Call",P184,Strike,RiskFreeRate,G184/250,Dividend,Q184,0.5)</f>
        <v>0.74042409652675867</v>
      </c>
      <c r="S184" s="19">
        <f t="shared" ca="1" si="41"/>
        <v>0.55050445010581117</v>
      </c>
      <c r="T184" s="19">
        <f t="shared" ca="1" si="42"/>
        <v>11.0365960405734</v>
      </c>
      <c r="U184" s="19">
        <f t="shared" ca="1" si="43"/>
        <v>-26.142344578669412</v>
      </c>
      <c r="V184" s="21"/>
      <c r="X184" s="22"/>
      <c r="Y184" s="22"/>
      <c r="Z184" s="22"/>
    </row>
    <row r="185" spans="7:26" x14ac:dyDescent="0.25">
      <c r="G185" s="19">
        <v>70</v>
      </c>
      <c r="H185" s="19">
        <f t="shared" ca="1" si="44"/>
        <v>0.59883052051460728</v>
      </c>
      <c r="I185" s="19">
        <f t="shared" ca="1" si="44"/>
        <v>0.14593619072773167</v>
      </c>
      <c r="J185" s="19">
        <f t="shared" ca="1" si="36"/>
        <v>0.61597094225735882</v>
      </c>
      <c r="K185" s="19">
        <f t="shared" ca="1" si="37"/>
        <v>0.8038240571413392</v>
      </c>
      <c r="L185" s="19">
        <f t="array" aca="1" ref="L185:M185" ca="1">MMULT(J185:K185,TRANSPOSE($B$10:$C$11))</f>
        <v>0.61597094225735882</v>
      </c>
      <c r="M185" s="19">
        <f ca="1"/>
        <v>0.11939410584052645</v>
      </c>
      <c r="N185" s="20">
        <f t="shared" ca="1" si="38"/>
        <v>7.804005469004823E-3</v>
      </c>
      <c r="O185" s="20">
        <f t="shared" ca="1" si="39"/>
        <v>0.18355324988541658</v>
      </c>
      <c r="P185" s="19">
        <f t="shared" ca="1" si="40"/>
        <v>0.34373648751563929</v>
      </c>
      <c r="Q185" s="19">
        <f ca="1">HCTrans(P185,Strike,RiskFreeRate,Dividend,Variance_T0*AnnualVarConvtr,(Simulation!G185)/250,0.5,Variance_Avg*AnnualVarConvtr,Lambda,SQRT(Simulation!N185),Rho,1,"Call")</f>
        <v>29.023356692573202</v>
      </c>
      <c r="R185" s="19">
        <f ca="1">ImpliedVolatility("Call",P185,Strike,RiskFreeRate,G185/250,Dividend,Q185,0.5)</f>
        <v>0.74042409652675867</v>
      </c>
      <c r="S185" s="19">
        <f t="shared" ca="1" si="41"/>
        <v>0.55050445010581117</v>
      </c>
      <c r="T185" s="19">
        <f t="shared" ca="1" si="42"/>
        <v>11.0365960405734</v>
      </c>
      <c r="U185" s="19">
        <f t="shared" ca="1" si="43"/>
        <v>-26.142344578669412</v>
      </c>
      <c r="V185" s="21"/>
      <c r="X185" s="22"/>
      <c r="Y185" s="22"/>
      <c r="Z185" s="22"/>
    </row>
    <row r="186" spans="7:26" x14ac:dyDescent="0.25">
      <c r="G186" s="19">
        <v>69</v>
      </c>
      <c r="H186" s="19">
        <f t="shared" ca="1" si="44"/>
        <v>0.58026055078585048</v>
      </c>
      <c r="I186" s="19">
        <f t="shared" ca="1" si="44"/>
        <v>0.27056397639897756</v>
      </c>
      <c r="J186" s="19">
        <f t="shared" ca="1" si="36"/>
        <v>-0.13443220141937531</v>
      </c>
      <c r="K186" s="19">
        <f t="shared" ca="1" si="37"/>
        <v>1.0346420080696124</v>
      </c>
      <c r="L186" s="19">
        <f t="array" aca="1" ref="L186:M186" ca="1">MMULT(J186:K186,TRANSPOSE($B$10:$C$11))</f>
        <v>-0.13443220141937531</v>
      </c>
      <c r="M186" s="19">
        <f ca="1"/>
        <v>0.81807358130132424</v>
      </c>
      <c r="N186" s="20">
        <f t="shared" ca="1" si="38"/>
        <v>9.6726350316519195E-3</v>
      </c>
      <c r="O186" s="20">
        <f t="shared" ca="1" si="39"/>
        <v>0.1827865516860856</v>
      </c>
      <c r="P186" s="19">
        <f t="shared" ca="1" si="40"/>
        <v>0.32825505973768421</v>
      </c>
      <c r="Q186" s="19">
        <f ca="1">HCTrans(P186,Strike,RiskFreeRate,Dividend,Variance_T0*AnnualVarConvtr,(Simulation!G186)/250,0.5,Variance_Avg*AnnualVarConvtr,Lambda,SQRT(Simulation!N186),Rho,1,"Call")</f>
        <v>29.023356692573202</v>
      </c>
      <c r="R186" s="19">
        <f ca="1">ImpliedVolatility("Call",P186,Strike,RiskFreeRate,G186/250,Dividend,Q186,0.5)</f>
        <v>0.74042409652675867</v>
      </c>
      <c r="S186" s="19">
        <f t="shared" ca="1" si="41"/>
        <v>0.55050445010581117</v>
      </c>
      <c r="T186" s="19">
        <f t="shared" ca="1" si="42"/>
        <v>11.0365960405734</v>
      </c>
      <c r="U186" s="19">
        <f t="shared" ca="1" si="43"/>
        <v>-26.142344578669412</v>
      </c>
      <c r="V186" s="21"/>
      <c r="X186" s="22"/>
      <c r="Y186" s="22"/>
      <c r="Z186" s="22"/>
    </row>
    <row r="187" spans="7:26" x14ac:dyDescent="0.25">
      <c r="G187" s="19">
        <v>68</v>
      </c>
      <c r="H187" s="19">
        <f t="shared" ca="1" si="44"/>
        <v>0.43800821291884828</v>
      </c>
      <c r="I187" s="19">
        <f t="shared" ca="1" si="44"/>
        <v>0.48432160720777306</v>
      </c>
      <c r="J187" s="19">
        <f t="shared" ca="1" si="36"/>
        <v>-1.2786965654334017</v>
      </c>
      <c r="K187" s="19">
        <f t="shared" ca="1" si="37"/>
        <v>0.12637376784462953</v>
      </c>
      <c r="L187" s="19">
        <f t="array" aca="1" ref="L187:M187" ca="1">MMULT(J187:K187,TRANSPOSE($B$10:$C$11))</f>
        <v>-1.2786965654334017</v>
      </c>
      <c r="M187" s="19">
        <f ca="1"/>
        <v>1.0043427982650632</v>
      </c>
      <c r="N187" s="20">
        <f t="shared" ca="1" si="38"/>
        <v>1.2232362935905582E-2</v>
      </c>
      <c r="O187" s="20">
        <f t="shared" ca="1" si="39"/>
        <v>0.17481349380035296</v>
      </c>
      <c r="P187" s="19">
        <f t="shared" ca="1" si="40"/>
        <v>0.31394876167809788</v>
      </c>
      <c r="Q187" s="19">
        <f ca="1">HCTrans(P187,Strike,RiskFreeRate,Dividend,Variance_T0*AnnualVarConvtr,(Simulation!G187)/250,0.5,Variance_Avg*AnnualVarConvtr,Lambda,SQRT(Simulation!N187),Rho,1,"Call")</f>
        <v>29.023356692573202</v>
      </c>
      <c r="R187" s="19">
        <f ca="1">ImpliedVolatility("Call",P187,Strike,RiskFreeRate,G187/250,Dividend,Q187,0.5)</f>
        <v>0.74042409652675867</v>
      </c>
      <c r="S187" s="19">
        <f t="shared" ca="1" si="41"/>
        <v>0.55050445010581117</v>
      </c>
      <c r="T187" s="19">
        <f t="shared" ca="1" si="42"/>
        <v>11.0365960405734</v>
      </c>
      <c r="U187" s="19">
        <f t="shared" ca="1" si="43"/>
        <v>-26.142344578669412</v>
      </c>
      <c r="V187" s="21"/>
      <c r="X187" s="22"/>
      <c r="Y187" s="22"/>
      <c r="Z187" s="22"/>
    </row>
    <row r="188" spans="7:26" x14ac:dyDescent="0.25">
      <c r="G188" s="19">
        <v>67</v>
      </c>
      <c r="H188" s="19">
        <f t="shared" ca="1" si="44"/>
        <v>0.46885308319815422</v>
      </c>
      <c r="I188" s="19">
        <f t="shared" ca="1" si="44"/>
        <v>9.9895183452179959E-3</v>
      </c>
      <c r="J188" s="19">
        <f t="shared" ca="1" si="36"/>
        <v>1.2284019228108363</v>
      </c>
      <c r="K188" s="19">
        <f t="shared" ca="1" si="37"/>
        <v>7.7203278025588754E-2</v>
      </c>
      <c r="L188" s="19">
        <f t="array" aca="1" ref="L188:M188" ca="1">MMULT(J188:K188,TRANSPOSE($B$10:$C$11))</f>
        <v>1.2284019228108363</v>
      </c>
      <c r="M188" s="19">
        <f ca="1"/>
        <v>-0.82629396753441287</v>
      </c>
      <c r="N188" s="20">
        <f t="shared" ca="1" si="38"/>
        <v>1.0066630417807728E-2</v>
      </c>
      <c r="O188" s="20">
        <f t="shared" ca="1" si="39"/>
        <v>0.18338165018921063</v>
      </c>
      <c r="P188" s="19">
        <f t="shared" ca="1" si="40"/>
        <v>0.3003606767832781</v>
      </c>
      <c r="Q188" s="19">
        <f ca="1">HCTrans(P188,Strike,RiskFreeRate,Dividend,Variance_T0*AnnualVarConvtr,(Simulation!G188)/250,0.5,Variance_Avg*AnnualVarConvtr,Lambda,SQRT(Simulation!N188),Rho,1,"Call")</f>
        <v>29.023356692573202</v>
      </c>
      <c r="R188" s="19">
        <f ca="1">ImpliedVolatility("Call",P188,Strike,RiskFreeRate,G188/250,Dividend,Q188,0.5)</f>
        <v>0.74042409652675867</v>
      </c>
      <c r="S188" s="19">
        <f t="shared" ca="1" si="41"/>
        <v>0.55050445010581117</v>
      </c>
      <c r="T188" s="19">
        <f t="shared" ca="1" si="42"/>
        <v>11.0365960405734</v>
      </c>
      <c r="U188" s="19">
        <f t="shared" ca="1" si="43"/>
        <v>-26.142344578669412</v>
      </c>
      <c r="V188" s="21"/>
      <c r="X188" s="22"/>
      <c r="Y188" s="22"/>
      <c r="Z188" s="22"/>
    </row>
    <row r="189" spans="7:26" x14ac:dyDescent="0.25">
      <c r="G189" s="19">
        <v>66</v>
      </c>
      <c r="H189" s="19">
        <f t="shared" ca="1" si="44"/>
        <v>0.24471237864113582</v>
      </c>
      <c r="I189" s="19">
        <f t="shared" ca="1" si="44"/>
        <v>0.69388679060193048</v>
      </c>
      <c r="J189" s="19">
        <f t="shared" ca="1" si="36"/>
        <v>-0.57939609790916657</v>
      </c>
      <c r="K189" s="19">
        <f t="shared" ca="1" si="37"/>
        <v>-1.5746884159526096</v>
      </c>
      <c r="L189" s="19">
        <f t="array" aca="1" ref="L189:M189" ca="1">MMULT(J189:K189,TRANSPOSE($B$10:$C$11))</f>
        <v>-0.57939609790916657</v>
      </c>
      <c r="M189" s="19">
        <f ca="1"/>
        <v>-0.68334500769451301</v>
      </c>
      <c r="N189" s="20">
        <f t="shared" ca="1" si="38"/>
        <v>8.4396503103269082E-3</v>
      </c>
      <c r="O189" s="20">
        <f t="shared" ca="1" si="39"/>
        <v>0.17968490642237589</v>
      </c>
      <c r="P189" s="19">
        <f t="shared" ca="1" si="40"/>
        <v>0.28735084262532962</v>
      </c>
      <c r="Q189" s="19">
        <f ca="1">HCTrans(P189,Strike,RiskFreeRate,Dividend,Variance_T0*AnnualVarConvtr,(Simulation!G189)/250,0.5,Variance_Avg*AnnualVarConvtr,Lambda,SQRT(Simulation!N189),Rho,1,"Call")</f>
        <v>29.023356692573202</v>
      </c>
      <c r="R189" s="19">
        <f ca="1">ImpliedVolatility("Call",P189,Strike,RiskFreeRate,G189/250,Dividend,Q189,0.5)</f>
        <v>0.74042409652675867</v>
      </c>
      <c r="S189" s="19">
        <f t="shared" ca="1" si="41"/>
        <v>0.55050445010581117</v>
      </c>
      <c r="T189" s="19">
        <f t="shared" ca="1" si="42"/>
        <v>11.0365960405734</v>
      </c>
      <c r="U189" s="19">
        <f t="shared" ca="1" si="43"/>
        <v>-26.142344578669412</v>
      </c>
      <c r="V189" s="21"/>
      <c r="X189" s="22"/>
      <c r="Y189" s="22"/>
      <c r="Z189" s="22"/>
    </row>
    <row r="190" spans="7:26" x14ac:dyDescent="0.25">
      <c r="G190" s="19">
        <v>65</v>
      </c>
      <c r="H190" s="19">
        <f t="shared" ca="1" si="44"/>
        <v>0.93954141574570993</v>
      </c>
      <c r="I190" s="19">
        <f t="shared" ca="1" si="44"/>
        <v>0.20048986597890872</v>
      </c>
      <c r="J190" s="19">
        <f t="shared" ca="1" si="36"/>
        <v>0.10810019767585742</v>
      </c>
      <c r="K190" s="19">
        <f t="shared" ca="1" si="37"/>
        <v>0.33621585917155694</v>
      </c>
      <c r="L190" s="19">
        <f t="array" aca="1" ref="L190:M190" ca="1">MMULT(J190:K190,TRANSPOSE($B$10:$C$11))</f>
        <v>0.10810019767585742</v>
      </c>
      <c r="M190" s="19">
        <f ca="1"/>
        <v>0.15708605162610112</v>
      </c>
      <c r="N190" s="20">
        <f t="shared" ca="1" si="38"/>
        <v>8.789825564275865E-3</v>
      </c>
      <c r="O190" s="20">
        <f t="shared" ca="1" si="39"/>
        <v>0.18029611253872627</v>
      </c>
      <c r="P190" s="19">
        <f t="shared" ca="1" si="40"/>
        <v>0.27504903422342075</v>
      </c>
      <c r="Q190" s="19">
        <f ca="1">HCTrans(P190,Strike,RiskFreeRate,Dividend,Variance_T0*AnnualVarConvtr,(Simulation!G190)/250,0.5,Variance_Avg*AnnualVarConvtr,Lambda,SQRT(Simulation!N190),Rho,1,"Call")</f>
        <v>29.023356692573202</v>
      </c>
      <c r="R190" s="19">
        <f ca="1">ImpliedVolatility("Call",P190,Strike,RiskFreeRate,G190/250,Dividend,Q190,0.5)</f>
        <v>0.74042409652675867</v>
      </c>
      <c r="S190" s="19">
        <f t="shared" ca="1" si="41"/>
        <v>0.55050445010581117</v>
      </c>
      <c r="T190" s="19">
        <f t="shared" ca="1" si="42"/>
        <v>11.0365960405734</v>
      </c>
      <c r="U190" s="19">
        <f t="shared" ca="1" si="43"/>
        <v>-26.142344578669412</v>
      </c>
      <c r="V190" s="21"/>
      <c r="X190" s="22"/>
      <c r="Y190" s="22"/>
      <c r="Z190" s="22"/>
    </row>
    <row r="191" spans="7:26" x14ac:dyDescent="0.25">
      <c r="G191" s="19">
        <v>64</v>
      </c>
      <c r="H191" s="19">
        <f t="shared" ca="1" si="44"/>
        <v>0.43312304811029012</v>
      </c>
      <c r="I191" s="19">
        <f t="shared" ca="1" si="44"/>
        <v>0.50534829731305975</v>
      </c>
      <c r="J191" s="19">
        <f t="shared" ca="1" si="36"/>
        <v>-1.2928951143955396</v>
      </c>
      <c r="K191" s="19">
        <f t="shared" ca="1" si="37"/>
        <v>-4.3463252562698583E-2</v>
      </c>
      <c r="L191" s="19">
        <f t="array" aca="1" ref="L191:M191" ca="1">MMULT(J191:K191,TRANSPOSE($B$10:$C$11))</f>
        <v>-1.2928951143955396</v>
      </c>
      <c r="M191" s="19">
        <f ca="1"/>
        <v>0.89603994552914634</v>
      </c>
      <c r="N191" s="20">
        <f t="shared" ca="1" si="38"/>
        <v>1.0961149721045954E-2</v>
      </c>
      <c r="O191" s="20">
        <f t="shared" ca="1" si="39"/>
        <v>0.17261227511070634</v>
      </c>
      <c r="P191" s="19">
        <f t="shared" ca="1" si="40"/>
        <v>0.26325902690815078</v>
      </c>
      <c r="Q191" s="19">
        <f ca="1">HCTrans(P191,Strike,RiskFreeRate,Dividend,Variance_T0*AnnualVarConvtr,(Simulation!G191)/250,0.5,Variance_Avg*AnnualVarConvtr,Lambda,SQRT(Simulation!N191),Rho,1,"Call")</f>
        <v>29.023356692573202</v>
      </c>
      <c r="R191" s="19">
        <f ca="1">ImpliedVolatility("Call",P191,Strike,RiskFreeRate,G191/250,Dividend,Q191,0.5)</f>
        <v>0.74042409652675867</v>
      </c>
      <c r="S191" s="19">
        <f t="shared" ca="1" si="41"/>
        <v>0.55050445010581117</v>
      </c>
      <c r="T191" s="19">
        <f t="shared" ca="1" si="42"/>
        <v>11.0365960405734</v>
      </c>
      <c r="U191" s="19">
        <f t="shared" ca="1" si="43"/>
        <v>-26.142344578669412</v>
      </c>
      <c r="V191" s="21"/>
      <c r="X191" s="22"/>
      <c r="Y191" s="22"/>
      <c r="Z191" s="22"/>
    </row>
    <row r="192" spans="7:26" x14ac:dyDescent="0.25">
      <c r="G192" s="19">
        <v>63</v>
      </c>
      <c r="H192" s="19">
        <f t="shared" ca="1" si="44"/>
        <v>0.4283019045177171</v>
      </c>
      <c r="I192" s="19">
        <f t="shared" ca="1" si="44"/>
        <v>0.63324003982481858</v>
      </c>
      <c r="J192" s="19">
        <f t="shared" ca="1" si="36"/>
        <v>-0.87194216449409523</v>
      </c>
      <c r="K192" s="19">
        <f t="shared" ca="1" si="37"/>
        <v>-0.96724906675422917</v>
      </c>
      <c r="L192" s="19">
        <f t="array" aca="1" ref="L192:M192" ca="1">MMULT(J192:K192,TRANSPOSE($B$10:$C$11))</f>
        <v>-0.87194216449409523</v>
      </c>
      <c r="M192" s="19">
        <f ca="1"/>
        <v>-4.9993902215480057E-2</v>
      </c>
      <c r="N192" s="20">
        <f t="shared" ca="1" si="38"/>
        <v>1.0812426734478672E-2</v>
      </c>
      <c r="O192" s="20">
        <f t="shared" ca="1" si="39"/>
        <v>0.16681676560452868</v>
      </c>
      <c r="P192" s="19">
        <f t="shared" ca="1" si="40"/>
        <v>0.25240759156794618</v>
      </c>
      <c r="Q192" s="19">
        <f ca="1">HCTrans(P192,Strike,RiskFreeRate,Dividend,Variance_T0*AnnualVarConvtr,(Simulation!G192)/250,0.5,Variance_Avg*AnnualVarConvtr,Lambda,SQRT(Simulation!N192),Rho,1,"Call")</f>
        <v>29.023356692573202</v>
      </c>
      <c r="R192" s="19">
        <f ca="1">ImpliedVolatility("Call",P192,Strike,RiskFreeRate,G192/250,Dividend,Q192,0.5)</f>
        <v>0.74042409652675867</v>
      </c>
      <c r="S192" s="19">
        <f t="shared" ca="1" si="41"/>
        <v>0.55050445010581117</v>
      </c>
      <c r="T192" s="19">
        <f t="shared" ca="1" si="42"/>
        <v>11.0365960405734</v>
      </c>
      <c r="U192" s="19">
        <f t="shared" ca="1" si="43"/>
        <v>-26.142344578669412</v>
      </c>
      <c r="V192" s="21"/>
      <c r="X192" s="22"/>
      <c r="Y192" s="22"/>
      <c r="Z192" s="22"/>
    </row>
    <row r="193" spans="7:26" x14ac:dyDescent="0.25">
      <c r="G193" s="19">
        <v>62</v>
      </c>
      <c r="H193" s="19">
        <f t="shared" ca="1" si="44"/>
        <v>0.97436474095005854</v>
      </c>
      <c r="I193" s="19">
        <f t="shared" ca="1" si="44"/>
        <v>0.55686490801994748</v>
      </c>
      <c r="J193" s="19">
        <f t="shared" ca="1" si="36"/>
        <v>-0.2135089433453102</v>
      </c>
      <c r="K193" s="19">
        <f t="shared" ca="1" si="37"/>
        <v>-7.970613066856784E-2</v>
      </c>
      <c r="L193" s="19">
        <f t="array" aca="1" ref="L193:M193" ca="1">MMULT(J193:K193,TRANSPOSE($B$10:$C$11))</f>
        <v>-0.2135089433453102</v>
      </c>
      <c r="M193" s="19">
        <f ca="1"/>
        <v>9.7377190052102602E-2</v>
      </c>
      <c r="N193" s="20">
        <f t="shared" ca="1" si="38"/>
        <v>1.1042166037684993E-2</v>
      </c>
      <c r="O193" s="20">
        <f t="shared" ca="1" si="39"/>
        <v>0.16539100966035764</v>
      </c>
      <c r="P193" s="19">
        <f t="shared" ca="1" si="40"/>
        <v>0.24199730166997574</v>
      </c>
      <c r="Q193" s="19">
        <f ca="1">HCTrans(P193,Strike,RiskFreeRate,Dividend,Variance_T0*AnnualVarConvtr,(Simulation!G193)/250,0.5,Variance_Avg*AnnualVarConvtr,Lambda,SQRT(Simulation!N193),Rho,1,"Call")</f>
        <v>29.023356692573202</v>
      </c>
      <c r="R193" s="19">
        <f ca="1">ImpliedVolatility("Call",P193,Strike,RiskFreeRate,G193/250,Dividend,Q193,0.5)</f>
        <v>0.74042409652675867</v>
      </c>
      <c r="S193" s="19">
        <f t="shared" ca="1" si="41"/>
        <v>0.55050445010581117</v>
      </c>
      <c r="T193" s="19">
        <f t="shared" ca="1" si="42"/>
        <v>11.0365960405734</v>
      </c>
      <c r="U193" s="19">
        <f t="shared" ca="1" si="43"/>
        <v>-26.142344578669412</v>
      </c>
      <c r="V193" s="21"/>
      <c r="X193" s="22"/>
      <c r="Y193" s="22"/>
      <c r="Z193" s="22"/>
    </row>
    <row r="194" spans="7:26" x14ac:dyDescent="0.25">
      <c r="G194" s="19">
        <v>61</v>
      </c>
      <c r="H194" s="19">
        <f t="shared" ca="1" si="44"/>
        <v>0.13003256493023141</v>
      </c>
      <c r="I194" s="19">
        <f t="shared" ca="1" si="44"/>
        <v>0.63070529073278303</v>
      </c>
      <c r="J194" s="19">
        <f t="shared" ca="1" si="36"/>
        <v>-1.3761687255649067</v>
      </c>
      <c r="K194" s="19">
        <f t="shared" ca="1" si="37"/>
        <v>-1.47854670526265</v>
      </c>
      <c r="L194" s="19">
        <f t="array" aca="1" ref="L194:M194" ca="1">MMULT(J194:K194,TRANSPOSE($B$10:$C$11))</f>
        <v>-1.3761687255649067</v>
      </c>
      <c r="M194" s="19">
        <f ca="1"/>
        <v>-4.5390203662803996E-2</v>
      </c>
      <c r="N194" s="20">
        <f t="shared" ca="1" si="38"/>
        <v>1.0904336183120407E-2</v>
      </c>
      <c r="O194" s="20">
        <f t="shared" ca="1" si="39"/>
        <v>0.15622297546673306</v>
      </c>
      <c r="P194" s="19">
        <f t="shared" ca="1" si="40"/>
        <v>0.23203834177851079</v>
      </c>
      <c r="Q194" s="19">
        <f ca="1">HCTrans(P194,Strike,RiskFreeRate,Dividend,Variance_T0*AnnualVarConvtr,(Simulation!G194)/250,0.5,Variance_Avg*AnnualVarConvtr,Lambda,SQRT(Simulation!N194),Rho,1,"Call")</f>
        <v>29.023356692573202</v>
      </c>
      <c r="R194" s="19">
        <f ca="1">ImpliedVolatility("Call",P194,Strike,RiskFreeRate,G194/250,Dividend,Q194,0.5)</f>
        <v>0.74042409652675867</v>
      </c>
      <c r="S194" s="19">
        <f t="shared" ca="1" si="41"/>
        <v>0.55050445010581117</v>
      </c>
      <c r="T194" s="19">
        <f t="shared" ca="1" si="42"/>
        <v>11.0365960405734</v>
      </c>
      <c r="U194" s="19">
        <f t="shared" ca="1" si="43"/>
        <v>-26.142344578669412</v>
      </c>
      <c r="V194" s="21"/>
      <c r="X194" s="22"/>
      <c r="Y194" s="22"/>
      <c r="Z194" s="22"/>
    </row>
    <row r="195" spans="7:26" x14ac:dyDescent="0.25">
      <c r="G195" s="19">
        <v>60</v>
      </c>
      <c r="H195" s="19">
        <f t="shared" ca="1" si="44"/>
        <v>0.65233780899939786</v>
      </c>
      <c r="I195" s="19">
        <f t="shared" ca="1" si="44"/>
        <v>0.92845726474023949</v>
      </c>
      <c r="J195" s="19">
        <f t="shared" ca="1" si="36"/>
        <v>0.83250443084070502</v>
      </c>
      <c r="K195" s="19">
        <f t="shared" ca="1" si="37"/>
        <v>-0.40164891530333896</v>
      </c>
      <c r="L195" s="19">
        <f t="array" aca="1" ref="L195:M195" ca="1">MMULT(J195:K195,TRANSPOSE($B$10:$C$11))</f>
        <v>0.83250443084070502</v>
      </c>
      <c r="M195" s="19">
        <f ca="1"/>
        <v>-0.87667452326247786</v>
      </c>
      <c r="N195" s="20">
        <f t="shared" ca="1" si="38"/>
        <v>8.7546758964827213E-3</v>
      </c>
      <c r="O195" s="20">
        <f t="shared" ca="1" si="39"/>
        <v>0.16169931149567429</v>
      </c>
      <c r="P195" s="19">
        <f t="shared" ca="1" si="40"/>
        <v>0.2222600042832229</v>
      </c>
      <c r="Q195" s="19">
        <f ca="1">HCTrans(P195,Strike,RiskFreeRate,Dividend,Variance_T0*AnnualVarConvtr,(Simulation!G195)/250,0.5,Variance_Avg*AnnualVarConvtr,Lambda,SQRT(Simulation!N195),Rho,1,"Call")</f>
        <v>29.023356692573202</v>
      </c>
      <c r="R195" s="19">
        <f ca="1">ImpliedVolatility("Call",P195,Strike,RiskFreeRate,G195/250,Dividend,Q195,0.5)</f>
        <v>0.74042409652675867</v>
      </c>
      <c r="S195" s="19">
        <f t="shared" ca="1" si="41"/>
        <v>0.55050445010581117</v>
      </c>
      <c r="T195" s="19">
        <f t="shared" ca="1" si="42"/>
        <v>11.0365960405734</v>
      </c>
      <c r="U195" s="19">
        <f t="shared" ca="1" si="43"/>
        <v>-26.142344578669412</v>
      </c>
      <c r="V195" s="21"/>
      <c r="X195" s="22"/>
      <c r="Y195" s="22"/>
      <c r="Z195" s="22"/>
    </row>
    <row r="196" spans="7:26" x14ac:dyDescent="0.25">
      <c r="G196" s="19">
        <v>59</v>
      </c>
      <c r="H196" s="19">
        <f t="shared" ca="1" si="44"/>
        <v>0.31134572343309808</v>
      </c>
      <c r="I196" s="19">
        <f t="shared" ca="1" si="44"/>
        <v>0.91312471489440439</v>
      </c>
      <c r="J196" s="19">
        <f t="shared" ca="1" si="36"/>
        <v>1.3056554625977566</v>
      </c>
      <c r="K196" s="19">
        <f t="shared" ca="1" si="37"/>
        <v>-0.793074069445319</v>
      </c>
      <c r="L196" s="19">
        <f t="array" aca="1" ref="L196:M196" ca="1">MMULT(J196:K196,TRANSPOSE($B$10:$C$11))</f>
        <v>1.3056554625977566</v>
      </c>
      <c r="M196" s="19">
        <f ca="1"/>
        <v>-1.4887403722704415</v>
      </c>
      <c r="N196" s="20">
        <f t="shared" ca="1" si="38"/>
        <v>5.6631762584895854E-3</v>
      </c>
      <c r="O196" s="20">
        <f t="shared" ca="1" si="39"/>
        <v>0.16940822765799593</v>
      </c>
      <c r="P196" s="19">
        <f t="shared" ca="1" si="40"/>
        <v>0.21286097431090564</v>
      </c>
      <c r="Q196" s="19">
        <f ca="1">HCTrans(P196,Strike,RiskFreeRate,Dividend,Variance_T0*AnnualVarConvtr,(Simulation!G196)/250,0.5,Variance_Avg*AnnualVarConvtr,Lambda,SQRT(Simulation!N196),Rho,1,"Call")</f>
        <v>29.023356692573202</v>
      </c>
      <c r="R196" s="19">
        <f ca="1">ImpliedVolatility("Call",P196,Strike,RiskFreeRate,G196/250,Dividend,Q196,0.5)</f>
        <v>0.74042409652675867</v>
      </c>
      <c r="S196" s="19">
        <f t="shared" ca="1" si="41"/>
        <v>0.55050445010581117</v>
      </c>
      <c r="T196" s="19">
        <f t="shared" ca="1" si="42"/>
        <v>11.0365960405734</v>
      </c>
      <c r="U196" s="19">
        <f t="shared" ca="1" si="43"/>
        <v>-26.142344578669412</v>
      </c>
      <c r="V196" s="21"/>
      <c r="X196" s="22"/>
      <c r="Y196" s="22"/>
      <c r="Z196" s="22"/>
    </row>
    <row r="197" spans="7:26" x14ac:dyDescent="0.25">
      <c r="G197" s="19">
        <v>58</v>
      </c>
      <c r="H197" s="19">
        <f t="shared" ca="1" si="44"/>
        <v>0.65215191512839832</v>
      </c>
      <c r="I197" s="19">
        <f t="shared" ca="1" si="44"/>
        <v>0.1820550360530232</v>
      </c>
      <c r="J197" s="19">
        <f t="shared" ca="1" si="36"/>
        <v>0.38285640042817642</v>
      </c>
      <c r="K197" s="19">
        <f t="shared" ca="1" si="37"/>
        <v>0.84165103678170483</v>
      </c>
      <c r="L197" s="19">
        <f t="array" aca="1" ref="L197:M197" ca="1">MMULT(J197:K197,TRANSPOSE($B$10:$C$11))</f>
        <v>0.38285640042817642</v>
      </c>
      <c r="M197" s="19">
        <f ca="1"/>
        <v>0.31280828776252173</v>
      </c>
      <c r="N197" s="20">
        <f t="shared" ca="1" si="38"/>
        <v>6.2624239513386299E-3</v>
      </c>
      <c r="O197" s="20">
        <f t="shared" ca="1" si="39"/>
        <v>0.17121910090488801</v>
      </c>
      <c r="P197" s="19">
        <f t="shared" ca="1" si="40"/>
        <v>0.20482361476284489</v>
      </c>
      <c r="Q197" s="19">
        <f ca="1">HCTrans(P197,Strike,RiskFreeRate,Dividend,Variance_T0*AnnualVarConvtr,(Simulation!G197)/250,0.5,Variance_Avg*AnnualVarConvtr,Lambda,SQRT(Simulation!N197),Rho,1,"Call")</f>
        <v>29.023356692573202</v>
      </c>
      <c r="R197" s="19">
        <f ca="1">ImpliedVolatility("Call",P197,Strike,RiskFreeRate,G197/250,Dividend,Q197,0.5)</f>
        <v>0.74042409652675867</v>
      </c>
      <c r="S197" s="19">
        <f t="shared" ca="1" si="41"/>
        <v>0.55050445010581117</v>
      </c>
      <c r="T197" s="19">
        <f t="shared" ca="1" si="42"/>
        <v>11.0365960405734</v>
      </c>
      <c r="U197" s="19">
        <f t="shared" ca="1" si="43"/>
        <v>-26.142344578669412</v>
      </c>
      <c r="V197" s="21"/>
      <c r="X197" s="22"/>
      <c r="Y197" s="22"/>
      <c r="Z197" s="22"/>
    </row>
    <row r="198" spans="7:26" x14ac:dyDescent="0.25">
      <c r="G198" s="19">
        <v>57</v>
      </c>
      <c r="H198" s="19">
        <f t="shared" ca="1" si="44"/>
        <v>9.6816202396489137E-2</v>
      </c>
      <c r="I198" s="19">
        <f t="shared" ca="1" si="44"/>
        <v>0.23156298512781237</v>
      </c>
      <c r="J198" s="19">
        <f t="shared" ref="J198:J254" ca="1" si="45">SQRT(-2*LN(H198))*COS(2*PI()*I198)</f>
        <v>0.24977653649766587</v>
      </c>
      <c r="K198" s="19">
        <f t="shared" ref="K198:K254" ca="1" si="46">SQRT(-2*LN(H198))*SIN(2*PI()*I198)</f>
        <v>2.1465072836981904</v>
      </c>
      <c r="L198" s="19">
        <f t="array" aca="1" ref="L198:M198" ca="1">MMULT(J198:K198,TRANSPOSE($B$10:$C$11))</f>
        <v>0.24977653649766587</v>
      </c>
      <c r="M198" s="19">
        <f ca="1"/>
        <v>1.318410884168103</v>
      </c>
      <c r="N198" s="20">
        <f t="shared" ref="N198:N254" ca="1" si="47">GetVariance(N197,Variance_Avg,Lambda,Eta,M198,"Daily")</f>
        <v>9.0861273834478787E-3</v>
      </c>
      <c r="O198" s="20">
        <f t="shared" ref="O198:O254" ca="1" si="48">GetStockReturns(O197,RiskFreeRate,N197,L198,"Daily")</f>
        <v>0.17245669940783362</v>
      </c>
      <c r="P198" s="19">
        <f t="shared" ca="1" si="40"/>
        <v>0.19711607911770851</v>
      </c>
      <c r="Q198" s="19">
        <f ca="1">HCTrans(P198,Strike,RiskFreeRate,Dividend,Variance_T0*AnnualVarConvtr,(Simulation!G198)/250,0.5,Variance_Avg*AnnualVarConvtr,Lambda,SQRT(Simulation!N198),Rho,1,"Call")</f>
        <v>29.023356692573202</v>
      </c>
      <c r="R198" s="19">
        <f ca="1">ImpliedVolatility("Call",P198,Strike,RiskFreeRate,G198/250,Dividend,Q198,0.5)</f>
        <v>0.74042409652675867</v>
      </c>
      <c r="S198" s="19">
        <f t="shared" ca="1" si="41"/>
        <v>0.55050445010581117</v>
      </c>
      <c r="T198" s="19">
        <f t="shared" ca="1" si="42"/>
        <v>11.0365960405734</v>
      </c>
      <c r="U198" s="19">
        <f t="shared" ca="1" si="43"/>
        <v>-26.142344578669412</v>
      </c>
      <c r="V198" s="21"/>
      <c r="X198" s="22"/>
      <c r="Y198" s="22"/>
      <c r="Z198" s="22"/>
    </row>
    <row r="199" spans="7:26" x14ac:dyDescent="0.25">
      <c r="G199" s="19">
        <v>56</v>
      </c>
      <c r="H199" s="19">
        <f t="shared" ca="1" si="44"/>
        <v>6.0270698050757798E-2</v>
      </c>
      <c r="I199" s="19">
        <f t="shared" ca="1" si="44"/>
        <v>0.41916476760673693</v>
      </c>
      <c r="J199" s="19">
        <f t="shared" ca="1" si="45"/>
        <v>-2.070995716084175</v>
      </c>
      <c r="K199" s="19">
        <f t="shared" ca="1" si="46"/>
        <v>1.1527337953532268</v>
      </c>
      <c r="L199" s="19">
        <f t="array" aca="1" ref="L199:M199" ca="1">MMULT(J199:K199,TRANSPOSE($B$10:$C$11))</f>
        <v>-2.070995716084175</v>
      </c>
      <c r="M199" s="19">
        <f ca="1"/>
        <v>2.2880006459606164</v>
      </c>
      <c r="N199" s="20">
        <f t="shared" ca="1" si="47"/>
        <v>1.5209935947499061E-2</v>
      </c>
      <c r="O199" s="20">
        <f t="shared" ca="1" si="48"/>
        <v>0.15995323794457167</v>
      </c>
      <c r="P199" s="19">
        <f t="shared" ref="P199:P254" ca="1" si="49">P198*EXP(O199)</f>
        <v>0.18980053788318657</v>
      </c>
      <c r="Q199" s="19">
        <f ca="1">HCTrans(P199,Strike,RiskFreeRate,Dividend,Variance_T0*AnnualVarConvtr,(Simulation!G199)/250,0.5,Variance_Avg*AnnualVarConvtr,Lambda,SQRT(Simulation!N199),Rho,1,"Call")</f>
        <v>29.023356692573202</v>
      </c>
      <c r="R199" s="19">
        <f ca="1">ImpliedVolatility("Call",P199,Strike,RiskFreeRate,G199/250,Dividend,Q199,0.5)</f>
        <v>0.74042409652675867</v>
      </c>
      <c r="S199" s="19">
        <f t="shared" ca="1" si="41"/>
        <v>0.55050445010581117</v>
      </c>
      <c r="T199" s="19">
        <f t="shared" ca="1" si="42"/>
        <v>11.0365960405734</v>
      </c>
      <c r="U199" s="19">
        <f t="shared" ca="1" si="43"/>
        <v>-26.142344578669412</v>
      </c>
      <c r="V199" s="21"/>
      <c r="X199" s="22"/>
      <c r="Y199" s="22"/>
      <c r="Z199" s="22"/>
    </row>
    <row r="200" spans="7:26" x14ac:dyDescent="0.25">
      <c r="G200" s="19">
        <v>55</v>
      </c>
      <c r="H200" s="19">
        <f t="shared" ca="1" si="44"/>
        <v>0.73024350177231834</v>
      </c>
      <c r="I200" s="19">
        <f t="shared" ca="1" si="44"/>
        <v>4.3944486102968638E-2</v>
      </c>
      <c r="J200" s="19">
        <f t="shared" ca="1" si="45"/>
        <v>0.76290605045453652</v>
      </c>
      <c r="K200" s="19">
        <f t="shared" ca="1" si="46"/>
        <v>0.21616852443446988</v>
      </c>
      <c r="L200" s="19">
        <f t="array" aca="1" ref="L200:M200" ca="1">MMULT(J200:K200,TRANSPOSE($B$10:$C$11))</f>
        <v>0.76290605045453652</v>
      </c>
      <c r="M200" s="19">
        <f ca="1"/>
        <v>-0.39582581295182484</v>
      </c>
      <c r="N200" s="20">
        <f t="shared" ca="1" si="47"/>
        <v>1.3993208221000484E-2</v>
      </c>
      <c r="O200" s="20">
        <f t="shared" ca="1" si="48"/>
        <v>0.16587347273645489</v>
      </c>
      <c r="P200" s="19">
        <f t="shared" ca="1" si="49"/>
        <v>0.18279907347471722</v>
      </c>
      <c r="Q200" s="19">
        <f ca="1">HCTrans(P200,Strike,RiskFreeRate,Dividend,Variance_T0*AnnualVarConvtr,(Simulation!G200)/250,0.5,Variance_Avg*AnnualVarConvtr,Lambda,SQRT(Simulation!N200),Rho,1,"Call")</f>
        <v>29.023356692573202</v>
      </c>
      <c r="R200" s="19">
        <f ca="1">ImpliedVolatility("Call",P200,Strike,RiskFreeRate,G200/250,Dividend,Q200,0.5)</f>
        <v>0.74042409652675867</v>
      </c>
      <c r="S200" s="19">
        <f t="shared" ca="1" si="41"/>
        <v>0.55050445010581117</v>
      </c>
      <c r="T200" s="19">
        <f t="shared" ca="1" si="42"/>
        <v>11.0365960405734</v>
      </c>
      <c r="U200" s="19">
        <f t="shared" ca="1" si="43"/>
        <v>-26.142344578669412</v>
      </c>
      <c r="V200" s="21"/>
      <c r="X200" s="22"/>
      <c r="Y200" s="22"/>
      <c r="Z200" s="22"/>
    </row>
    <row r="201" spans="7:26" x14ac:dyDescent="0.25">
      <c r="G201" s="19">
        <v>54</v>
      </c>
      <c r="H201" s="19">
        <f t="shared" ca="1" si="44"/>
        <v>8.6556444445149427E-2</v>
      </c>
      <c r="I201" s="19">
        <f t="shared" ca="1" si="44"/>
        <v>0.92211437290497189</v>
      </c>
      <c r="J201" s="19">
        <f t="shared" ca="1" si="45"/>
        <v>1.9525700495936809</v>
      </c>
      <c r="K201" s="19">
        <f t="shared" ca="1" si="46"/>
        <v>-1.0398977273084893</v>
      </c>
      <c r="L201" s="19">
        <f t="array" aca="1" ref="L201:M201" ca="1">MMULT(J201:K201,TRANSPOSE($B$10:$C$11))</f>
        <v>1.9525700495936809</v>
      </c>
      <c r="M201" s="19">
        <f ca="1"/>
        <v>-2.1244356714149459</v>
      </c>
      <c r="N201" s="20">
        <f t="shared" ca="1" si="47"/>
        <v>8.4726776769142795E-3</v>
      </c>
      <c r="O201" s="20">
        <f t="shared" ca="1" si="48"/>
        <v>0.18045363792384872</v>
      </c>
      <c r="P201" s="19">
        <f t="shared" ca="1" si="49"/>
        <v>0.17603994506359069</v>
      </c>
      <c r="Q201" s="19">
        <f ca="1">HCTrans(P201,Strike,RiskFreeRate,Dividend,Variance_T0*AnnualVarConvtr,(Simulation!G201)/250,0.5,Variance_Avg*AnnualVarConvtr,Lambda,SQRT(Simulation!N201),Rho,1,"Call")</f>
        <v>29.023356692573202</v>
      </c>
      <c r="R201" s="19">
        <f ca="1">ImpliedVolatility("Call",P201,Strike,RiskFreeRate,G201/250,Dividend,Q201,0.5)</f>
        <v>0.74042409652675867</v>
      </c>
      <c r="S201" s="19">
        <f t="shared" ref="S201:S254" ca="1" si="50">BSdelta(1,P201,Strike,R201/AnnualVarConvtr,Dividend,RiskFreeRate,G201/250)</f>
        <v>0.55050445010581117</v>
      </c>
      <c r="T201" s="19">
        <f t="shared" ref="T201:T254" ca="1" si="51">(S201-S200)*P201</f>
        <v>11.0365960405734</v>
      </c>
      <c r="U201" s="19">
        <f t="shared" ref="U201:U254" ca="1" si="52">(Q201-Q200)+U200-T201</f>
        <v>-26.142344578669412</v>
      </c>
      <c r="V201" s="21"/>
      <c r="X201" s="22"/>
      <c r="Y201" s="22"/>
      <c r="Z201" s="22"/>
    </row>
    <row r="202" spans="7:26" x14ac:dyDescent="0.25">
      <c r="G202" s="19">
        <v>53</v>
      </c>
      <c r="H202" s="19">
        <f t="shared" ca="1" si="44"/>
        <v>0.67733545028158682</v>
      </c>
      <c r="I202" s="19">
        <f t="shared" ca="1" si="44"/>
        <v>0.76440637323668181</v>
      </c>
      <c r="J202" s="19">
        <f t="shared" ca="1" si="45"/>
        <v>7.9792016439505259E-2</v>
      </c>
      <c r="K202" s="19">
        <f t="shared" ca="1" si="46"/>
        <v>-0.8790964117743727</v>
      </c>
      <c r="L202" s="19">
        <f t="array" aca="1" ref="L202:M202" ca="1">MMULT(J202:K202,TRANSPOSE($B$10:$C$11))</f>
        <v>7.9792016439505259E-2</v>
      </c>
      <c r="M202" s="19">
        <f ca="1"/>
        <v>-0.67041728867337369</v>
      </c>
      <c r="N202" s="20">
        <f t="shared" ca="1" si="47"/>
        <v>7.0195245431468349E-3</v>
      </c>
      <c r="O202" s="20">
        <f t="shared" ca="1" si="48"/>
        <v>0.18090120760682632</v>
      </c>
      <c r="P202" s="19">
        <f t="shared" ca="1" si="49"/>
        <v>0.16992786562939333</v>
      </c>
      <c r="Q202" s="19">
        <f ca="1">HCTrans(P202,Strike,RiskFreeRate,Dividend,Variance_T0*AnnualVarConvtr,(Simulation!G202)/250,0.5,Variance_Avg*AnnualVarConvtr,Lambda,SQRT(Simulation!N202),Rho,1,"Call")</f>
        <v>29.023356692573202</v>
      </c>
      <c r="R202" s="19">
        <f ca="1">ImpliedVolatility("Call",P202,Strike,RiskFreeRate,G202/250,Dividend,Q202,0.5)</f>
        <v>0.74042409652675867</v>
      </c>
      <c r="S202" s="19">
        <f t="shared" ca="1" si="50"/>
        <v>0.55050445010581117</v>
      </c>
      <c r="T202" s="19">
        <f t="shared" ca="1" si="51"/>
        <v>11.0365960405734</v>
      </c>
      <c r="U202" s="19">
        <f t="shared" ca="1" si="52"/>
        <v>-26.142344578669412</v>
      </c>
      <c r="V202" s="21"/>
      <c r="X202" s="22"/>
      <c r="Y202" s="22"/>
      <c r="Z202" s="22"/>
    </row>
    <row r="203" spans="7:26" x14ac:dyDescent="0.25">
      <c r="G203" s="19">
        <v>52</v>
      </c>
      <c r="H203" s="19">
        <f t="shared" ca="1" si="44"/>
        <v>0.59704222382204142</v>
      </c>
      <c r="I203" s="19">
        <f t="shared" ca="1" si="44"/>
        <v>0.69055509583918384</v>
      </c>
      <c r="J203" s="19">
        <f t="shared" ca="1" si="45"/>
        <v>-0.37058803402436064</v>
      </c>
      <c r="K203" s="19">
        <f t="shared" ca="1" si="46"/>
        <v>-0.94562116721173439</v>
      </c>
      <c r="L203" s="19">
        <f t="array" aca="1" ref="L203:M203" ca="1">MMULT(J203:K203,TRANSPOSE($B$10:$C$11))</f>
        <v>-0.37058803402436064</v>
      </c>
      <c r="M203" s="19">
        <f ca="1"/>
        <v>-0.39412679316346744</v>
      </c>
      <c r="N203" s="20">
        <f t="shared" ca="1" si="47"/>
        <v>6.2333284851266409E-3</v>
      </c>
      <c r="O203" s="20">
        <f t="shared" ca="1" si="48"/>
        <v>0.17892346812289447</v>
      </c>
      <c r="P203" s="19">
        <f t="shared" ca="1" si="49"/>
        <v>0.16419996322768757</v>
      </c>
      <c r="Q203" s="19">
        <f ca="1">HCTrans(P203,Strike,RiskFreeRate,Dividend,Variance_T0*AnnualVarConvtr,(Simulation!G203)/250,0.5,Variance_Avg*AnnualVarConvtr,Lambda,SQRT(Simulation!N203),Rho,1,"Call")</f>
        <v>29.023356692573202</v>
      </c>
      <c r="R203" s="19">
        <f ca="1">ImpliedVolatility("Call",P203,Strike,RiskFreeRate,G203/250,Dividend,Q203,0.5)</f>
        <v>0.74042409652675867</v>
      </c>
      <c r="S203" s="19">
        <f t="shared" ca="1" si="50"/>
        <v>0.55050445010581117</v>
      </c>
      <c r="T203" s="19">
        <f t="shared" ca="1" si="51"/>
        <v>11.0365960405734</v>
      </c>
      <c r="U203" s="19">
        <f t="shared" ca="1" si="52"/>
        <v>-26.142344578669412</v>
      </c>
      <c r="V203" s="21"/>
      <c r="X203" s="22"/>
      <c r="Y203" s="22"/>
      <c r="Z203" s="22"/>
    </row>
    <row r="204" spans="7:26" x14ac:dyDescent="0.25">
      <c r="G204" s="19">
        <v>51</v>
      </c>
      <c r="H204" s="19">
        <f t="shared" ca="1" si="44"/>
        <v>0.97425845722929949</v>
      </c>
      <c r="I204" s="19">
        <f t="shared" ca="1" si="44"/>
        <v>0.32480929135334891</v>
      </c>
      <c r="J204" s="19">
        <f t="shared" ca="1" si="45"/>
        <v>-0.10343832945539221</v>
      </c>
      <c r="K204" s="19">
        <f t="shared" ca="1" si="46"/>
        <v>0.2036119350229513</v>
      </c>
      <c r="L204" s="19">
        <f t="array" aca="1" ref="L204:M204" ca="1">MMULT(J204:K204,TRANSPOSE($B$10:$C$11))</f>
        <v>-0.10343832945539221</v>
      </c>
      <c r="M204" s="19">
        <f ca="1"/>
        <v>0.21615062056894502</v>
      </c>
      <c r="N204" s="20">
        <f t="shared" ca="1" si="47"/>
        <v>6.6631070265733188E-3</v>
      </c>
      <c r="O204" s="20">
        <f t="shared" ca="1" si="48"/>
        <v>0.17839450006871441</v>
      </c>
      <c r="P204" s="19">
        <f t="shared" ca="1" si="49"/>
        <v>0.15862540642922124</v>
      </c>
      <c r="Q204" s="19">
        <f ca="1">HCTrans(P204,Strike,RiskFreeRate,Dividend,Variance_T0*AnnualVarConvtr,(Simulation!G204)/250,0.5,Variance_Avg*AnnualVarConvtr,Lambda,SQRT(Simulation!N204),Rho,1,"Call")</f>
        <v>29.023356692573202</v>
      </c>
      <c r="R204" s="19">
        <f ca="1">ImpliedVolatility("Call",P204,Strike,RiskFreeRate,G204/250,Dividend,Q204,0.5)</f>
        <v>0.74042409652675867</v>
      </c>
      <c r="S204" s="19">
        <f t="shared" ca="1" si="50"/>
        <v>0.55050445010581117</v>
      </c>
      <c r="T204" s="19">
        <f t="shared" ca="1" si="51"/>
        <v>11.0365960405734</v>
      </c>
      <c r="U204" s="19">
        <f t="shared" ca="1" si="52"/>
        <v>-26.142344578669412</v>
      </c>
      <c r="V204" s="21"/>
      <c r="X204" s="22"/>
      <c r="Y204" s="22"/>
      <c r="Z204" s="22"/>
    </row>
    <row r="205" spans="7:26" x14ac:dyDescent="0.25">
      <c r="G205" s="19">
        <v>50</v>
      </c>
      <c r="H205" s="19">
        <f t="shared" ca="1" si="44"/>
        <v>0.1568004585762135</v>
      </c>
      <c r="I205" s="19">
        <f t="shared" ca="1" si="44"/>
        <v>0.34731745007743708</v>
      </c>
      <c r="J205" s="19">
        <f t="shared" ca="1" si="45"/>
        <v>-1.10506861588727</v>
      </c>
      <c r="K205" s="19">
        <f t="shared" ca="1" si="46"/>
        <v>1.5761934675460398</v>
      </c>
      <c r="L205" s="19">
        <f t="array" aca="1" ref="L205:M205" ca="1">MMULT(J205:K205,TRANSPOSE($B$10:$C$11))</f>
        <v>-1.10506861588727</v>
      </c>
      <c r="M205" s="19">
        <f ca="1"/>
        <v>1.8913138796930329</v>
      </c>
      <c r="N205" s="20">
        <f t="shared" ca="1" si="47"/>
        <v>1.0988349151884428E-2</v>
      </c>
      <c r="O205" s="20">
        <f t="shared" ca="1" si="48"/>
        <v>0.17267614775850926</v>
      </c>
      <c r="P205" s="19">
        <f t="shared" ca="1" si="49"/>
        <v>0.15315559249080307</v>
      </c>
      <c r="Q205" s="19">
        <f ca="1">HCTrans(P205,Strike,RiskFreeRate,Dividend,Variance_T0*AnnualVarConvtr,(Simulation!G205)/250,0.5,Variance_Avg*AnnualVarConvtr,Lambda,SQRT(Simulation!N205),Rho,1,"Call")</f>
        <v>29.023356692573202</v>
      </c>
      <c r="R205" s="19">
        <f ca="1">ImpliedVolatility("Call",P205,Strike,RiskFreeRate,G205/250,Dividend,Q205,0.5)</f>
        <v>0.74042409652675867</v>
      </c>
      <c r="S205" s="19">
        <f t="shared" ca="1" si="50"/>
        <v>0.55050445010581117</v>
      </c>
      <c r="T205" s="19">
        <f t="shared" ca="1" si="51"/>
        <v>11.0365960405734</v>
      </c>
      <c r="U205" s="19">
        <f t="shared" ca="1" si="52"/>
        <v>-26.142344578669412</v>
      </c>
      <c r="V205" s="21"/>
      <c r="X205" s="22"/>
      <c r="Y205" s="22"/>
      <c r="Z205" s="22"/>
    </row>
    <row r="206" spans="7:26" x14ac:dyDescent="0.25">
      <c r="G206" s="19">
        <v>49</v>
      </c>
      <c r="H206" s="19">
        <f t="shared" ca="1" si="44"/>
        <v>0.55184583796787146</v>
      </c>
      <c r="I206" s="19">
        <f t="shared" ca="1" si="44"/>
        <v>0.11356007439520377</v>
      </c>
      <c r="J206" s="19">
        <f t="shared" ca="1" si="45"/>
        <v>0.82441184479260299</v>
      </c>
      <c r="K206" s="19">
        <f t="shared" ca="1" si="46"/>
        <v>0.7136653359064542</v>
      </c>
      <c r="L206" s="19">
        <f t="array" aca="1" ref="L206:M206" ca="1">MMULT(J206:K206,TRANSPOSE($B$10:$C$11))</f>
        <v>0.82441184479260299</v>
      </c>
      <c r="M206" s="19">
        <f ca="1"/>
        <v>-9.2847360930881806E-2</v>
      </c>
      <c r="N206" s="20">
        <f t="shared" ca="1" si="47"/>
        <v>1.0730094602838738E-2</v>
      </c>
      <c r="O206" s="20">
        <f t="shared" ca="1" si="48"/>
        <v>0.17811980377098485</v>
      </c>
      <c r="P206" s="19">
        <f t="shared" ca="1" si="49"/>
        <v>0.14780868807171638</v>
      </c>
      <c r="Q206" s="19">
        <f ca="1">HCTrans(P206,Strike,RiskFreeRate,Dividend,Variance_T0*AnnualVarConvtr,(Simulation!G206)/250,0.5,Variance_Avg*AnnualVarConvtr,Lambda,SQRT(Simulation!N206),Rho,1,"Call")</f>
        <v>29.023356692573202</v>
      </c>
      <c r="R206" s="19">
        <f ca="1">ImpliedVolatility("Call",P206,Strike,RiskFreeRate,G206/250,Dividend,Q206,0.5)</f>
        <v>0.74042409652675867</v>
      </c>
      <c r="S206" s="19">
        <f t="shared" ca="1" si="50"/>
        <v>0.55050445010581117</v>
      </c>
      <c r="T206" s="19">
        <f t="shared" ca="1" si="51"/>
        <v>11.0365960405734</v>
      </c>
      <c r="U206" s="19">
        <f t="shared" ca="1" si="52"/>
        <v>-26.142344578669412</v>
      </c>
      <c r="V206" s="21"/>
      <c r="X206" s="22"/>
      <c r="Y206" s="22"/>
      <c r="Z206" s="22"/>
    </row>
    <row r="207" spans="7:26" x14ac:dyDescent="0.25">
      <c r="G207" s="19">
        <v>48</v>
      </c>
      <c r="H207" s="19">
        <f t="shared" ca="1" si="44"/>
        <v>0.53421567094021483</v>
      </c>
      <c r="I207" s="19">
        <f t="shared" ca="1" si="44"/>
        <v>5.0442506182857949E-2</v>
      </c>
      <c r="J207" s="19">
        <f t="shared" ca="1" si="45"/>
        <v>1.0640095772905915</v>
      </c>
      <c r="K207" s="19">
        <f t="shared" ca="1" si="46"/>
        <v>0.34899126954847215</v>
      </c>
      <c r="L207" s="19">
        <f t="array" aca="1" ref="L207:M207" ca="1">MMULT(J207:K207,TRANSPOSE($B$10:$C$11))</f>
        <v>1.0640095772905915</v>
      </c>
      <c r="M207" s="19">
        <f ca="1"/>
        <v>-0.5189110575023872</v>
      </c>
      <c r="N207" s="20">
        <f t="shared" ca="1" si="47"/>
        <v>9.4330221003622351E-3</v>
      </c>
      <c r="O207" s="20">
        <f t="shared" ca="1" si="48"/>
        <v>0.18506905828398804</v>
      </c>
      <c r="P207" s="19">
        <f t="shared" ca="1" si="49"/>
        <v>0.14236808339147622</v>
      </c>
      <c r="Q207" s="19">
        <f ca="1">HCTrans(P207,Strike,RiskFreeRate,Dividend,Variance_T0*AnnualVarConvtr,(Simulation!G207)/250,0.5,Variance_Avg*AnnualVarConvtr,Lambda,SQRT(Simulation!N207),Rho,1,"Call")</f>
        <v>29.023356692573202</v>
      </c>
      <c r="R207" s="19">
        <f ca="1">ImpliedVolatility("Call",P207,Strike,RiskFreeRate,G207/250,Dividend,Q207,0.5)</f>
        <v>0.74042409652675867</v>
      </c>
      <c r="S207" s="19">
        <f t="shared" ca="1" si="50"/>
        <v>0.55050445010581117</v>
      </c>
      <c r="T207" s="19">
        <f t="shared" ca="1" si="51"/>
        <v>11.0365960405734</v>
      </c>
      <c r="U207" s="19">
        <f t="shared" ca="1" si="52"/>
        <v>-26.142344578669412</v>
      </c>
      <c r="V207" s="21"/>
      <c r="X207" s="22"/>
      <c r="Y207" s="22"/>
      <c r="Z207" s="22"/>
    </row>
    <row r="208" spans="7:26" x14ac:dyDescent="0.25">
      <c r="G208" s="19">
        <v>47</v>
      </c>
      <c r="H208" s="19">
        <f t="shared" ca="1" si="44"/>
        <v>0.41753925780251377</v>
      </c>
      <c r="I208" s="19">
        <f t="shared" ca="1" si="44"/>
        <v>0.89127254688409796</v>
      </c>
      <c r="J208" s="19">
        <f t="shared" ca="1" si="45"/>
        <v>1.0250505921347335</v>
      </c>
      <c r="K208" s="19">
        <f t="shared" ca="1" si="46"/>
        <v>-0.83428094815744791</v>
      </c>
      <c r="L208" s="19">
        <f t="array" aca="1" ref="L208:M208" ca="1">MMULT(J208:K208,TRANSPOSE($B$10:$C$11))</f>
        <v>1.0250505921347335</v>
      </c>
      <c r="M208" s="19">
        <f ca="1"/>
        <v>-1.3164323692475555</v>
      </c>
      <c r="N208" s="20">
        <f t="shared" ca="1" si="47"/>
        <v>6.545767260546927E-3</v>
      </c>
      <c r="O208" s="20">
        <f t="shared" ca="1" si="48"/>
        <v>0.19134671420151311</v>
      </c>
      <c r="P208" s="19">
        <f t="shared" ca="1" si="49"/>
        <v>0.13689241620741452</v>
      </c>
      <c r="Q208" s="19">
        <f ca="1">HCTrans(P208,Strike,RiskFreeRate,Dividend,Variance_T0*AnnualVarConvtr,(Simulation!G208)/250,0.5,Variance_Avg*AnnualVarConvtr,Lambda,SQRT(Simulation!N208),Rho,1,"Call")</f>
        <v>29.023356692573202</v>
      </c>
      <c r="R208" s="19">
        <f ca="1">ImpliedVolatility("Call",P208,Strike,RiskFreeRate,G208/250,Dividend,Q208,0.5)</f>
        <v>0.74042409652675867</v>
      </c>
      <c r="S208" s="19">
        <f t="shared" ca="1" si="50"/>
        <v>0.55050445010581117</v>
      </c>
      <c r="T208" s="19">
        <f t="shared" ca="1" si="51"/>
        <v>11.0365960405734</v>
      </c>
      <c r="U208" s="19">
        <f t="shared" ca="1" si="52"/>
        <v>-26.142344578669412</v>
      </c>
      <c r="V208" s="21"/>
      <c r="X208" s="22"/>
      <c r="Y208" s="22"/>
      <c r="Z208" s="22"/>
    </row>
    <row r="209" spans="7:26" x14ac:dyDescent="0.25">
      <c r="G209" s="19">
        <v>46</v>
      </c>
      <c r="H209" s="19">
        <f t="shared" ca="1" si="44"/>
        <v>0.25488362092706396</v>
      </c>
      <c r="I209" s="19">
        <f t="shared" ca="1" si="44"/>
        <v>0.84227746791856173</v>
      </c>
      <c r="J209" s="19">
        <f t="shared" ca="1" si="45"/>
        <v>0.90584853857783509</v>
      </c>
      <c r="K209" s="19">
        <f t="shared" ca="1" si="46"/>
        <v>-1.383233486509178</v>
      </c>
      <c r="L209" s="19">
        <f t="array" aca="1" ref="L209:M209" ca="1">MMULT(J209:K209,TRANSPOSE($B$10:$C$11))</f>
        <v>0.90584853857783509</v>
      </c>
      <c r="M209" s="19">
        <f ca="1"/>
        <v>-1.6139663023848778</v>
      </c>
      <c r="N209" s="20">
        <f t="shared" ca="1" si="47"/>
        <v>3.7381152531955363E-3</v>
      </c>
      <c r="O209" s="20">
        <f t="shared" ca="1" si="48"/>
        <v>0.1959687947638506</v>
      </c>
      <c r="P209" s="19">
        <f t="shared" ca="1" si="49"/>
        <v>0.1320957300913059</v>
      </c>
      <c r="Q209" s="19">
        <f ca="1">HCTrans(P209,Strike,RiskFreeRate,Dividend,Variance_T0*AnnualVarConvtr,(Simulation!G209)/250,0.5,Variance_Avg*AnnualVarConvtr,Lambda,SQRT(Simulation!N209),Rho,1,"Call")</f>
        <v>29.023356692573202</v>
      </c>
      <c r="R209" s="19">
        <f ca="1">ImpliedVolatility("Call",P209,Strike,RiskFreeRate,G209/250,Dividend,Q209,0.5)</f>
        <v>0.74042409652675867</v>
      </c>
      <c r="S209" s="19">
        <f t="shared" ca="1" si="50"/>
        <v>0.55050445010581117</v>
      </c>
      <c r="T209" s="19">
        <f t="shared" ca="1" si="51"/>
        <v>11.0365960405734</v>
      </c>
      <c r="U209" s="19">
        <f t="shared" ca="1" si="52"/>
        <v>-26.142344578669412</v>
      </c>
      <c r="V209" s="21"/>
      <c r="X209" s="22"/>
      <c r="Y209" s="22"/>
      <c r="Z209" s="22"/>
    </row>
    <row r="210" spans="7:26" x14ac:dyDescent="0.25">
      <c r="G210" s="19">
        <v>45</v>
      </c>
      <c r="H210" s="19">
        <f t="shared" ca="1" si="44"/>
        <v>0.28297771709057196</v>
      </c>
      <c r="I210" s="19">
        <f t="shared" ca="1" si="44"/>
        <v>0.64831208279690544</v>
      </c>
      <c r="J210" s="19">
        <f t="shared" ca="1" si="45"/>
        <v>-0.94754410959504798</v>
      </c>
      <c r="K210" s="19">
        <f t="shared" ca="1" si="46"/>
        <v>-1.2755133890482191</v>
      </c>
      <c r="L210" s="19">
        <f t="array" aca="1" ref="L210:M210" ca="1">MMULT(J210:K210,TRANSPOSE($B$10:$C$11))</f>
        <v>-0.94754410959504798</v>
      </c>
      <c r="M210" s="19">
        <f ca="1"/>
        <v>-0.21086632050267984</v>
      </c>
      <c r="N210" s="20">
        <f t="shared" ca="1" si="47"/>
        <v>3.4462081017767464E-3</v>
      </c>
      <c r="O210" s="20">
        <f t="shared" ca="1" si="48"/>
        <v>0.19229731591356289</v>
      </c>
      <c r="P210" s="19">
        <f t="shared" ca="1" si="49"/>
        <v>0.12762252193326501</v>
      </c>
      <c r="Q210" s="19">
        <f ca="1">HCTrans(P210,Strike,RiskFreeRate,Dividend,Variance_T0*AnnualVarConvtr,(Simulation!G210)/250,0.5,Variance_Avg*AnnualVarConvtr,Lambda,SQRT(Simulation!N210),Rho,1,"Call")</f>
        <v>29.023356692573202</v>
      </c>
      <c r="R210" s="19">
        <f ca="1">ImpliedVolatility("Call",P210,Strike,RiskFreeRate,G210/250,Dividend,Q210,0.5)</f>
        <v>0.74042409652675867</v>
      </c>
      <c r="S210" s="19">
        <f t="shared" ca="1" si="50"/>
        <v>0.55050445010581117</v>
      </c>
      <c r="T210" s="19">
        <f t="shared" ca="1" si="51"/>
        <v>11.0365960405734</v>
      </c>
      <c r="U210" s="19">
        <f t="shared" ca="1" si="52"/>
        <v>-26.142344578669412</v>
      </c>
      <c r="V210" s="21"/>
      <c r="X210" s="22"/>
      <c r="Y210" s="22"/>
      <c r="Z210" s="22"/>
    </row>
    <row r="211" spans="7:26" x14ac:dyDescent="0.25">
      <c r="G211" s="19">
        <v>44</v>
      </c>
      <c r="H211" s="19">
        <f t="shared" ca="1" si="44"/>
        <v>0.59155093037435447</v>
      </c>
      <c r="I211" s="19">
        <f t="shared" ca="1" si="44"/>
        <v>0.64791499023749966</v>
      </c>
      <c r="J211" s="19">
        <f t="shared" ca="1" si="45"/>
        <v>-0.6131132973708121</v>
      </c>
      <c r="K211" s="19">
        <f t="shared" ca="1" si="46"/>
        <v>-0.82104023994372521</v>
      </c>
      <c r="L211" s="19">
        <f t="array" aca="1" ref="L211:M211" ca="1">MMULT(J211:K211,TRANSPOSE($B$10:$C$11))</f>
        <v>-0.6131132973708121</v>
      </c>
      <c r="M211" s="19">
        <f ca="1"/>
        <v>-0.13345139528677946</v>
      </c>
      <c r="N211" s="20">
        <f t="shared" ca="1" si="47"/>
        <v>3.275870594258855E-3</v>
      </c>
      <c r="O211" s="20">
        <f t="shared" ca="1" si="48"/>
        <v>0.19001406069357082</v>
      </c>
      <c r="P211" s="19">
        <f t="shared" ca="1" si="49"/>
        <v>0.12324401092118435</v>
      </c>
      <c r="Q211" s="19">
        <f ca="1">HCTrans(P211,Strike,RiskFreeRate,Dividend,Variance_T0*AnnualVarConvtr,(Simulation!G211)/250,0.5,Variance_Avg*AnnualVarConvtr,Lambda,SQRT(Simulation!N211),Rho,1,"Call")</f>
        <v>29.023356692573202</v>
      </c>
      <c r="R211" s="19">
        <f ca="1">ImpliedVolatility("Call",P211,Strike,RiskFreeRate,G211/250,Dividend,Q211,0.5)</f>
        <v>0.74042409652675867</v>
      </c>
      <c r="S211" s="19">
        <f t="shared" ca="1" si="50"/>
        <v>0.55050445010581117</v>
      </c>
      <c r="T211" s="19">
        <f t="shared" ca="1" si="51"/>
        <v>11.0365960405734</v>
      </c>
      <c r="U211" s="19">
        <f t="shared" ca="1" si="52"/>
        <v>-26.142344578669412</v>
      </c>
      <c r="V211" s="21"/>
      <c r="X211" s="22"/>
      <c r="Y211" s="22"/>
      <c r="Z211" s="22"/>
    </row>
    <row r="212" spans="7:26" x14ac:dyDescent="0.25">
      <c r="G212" s="19">
        <v>43</v>
      </c>
      <c r="H212" s="19">
        <f t="shared" ca="1" si="44"/>
        <v>0.90770741944453781</v>
      </c>
      <c r="I212" s="19">
        <f t="shared" ca="1" si="44"/>
        <v>0.33290469578621495</v>
      </c>
      <c r="J212" s="19">
        <f t="shared" ca="1" si="45"/>
        <v>-0.21901047543862187</v>
      </c>
      <c r="K212" s="19">
        <f t="shared" ca="1" si="46"/>
        <v>0.38170769814606825</v>
      </c>
      <c r="L212" s="19">
        <f t="array" aca="1" ref="L212:M212" ca="1">MMULT(J212:K212,TRANSPOSE($B$10:$C$11))</f>
        <v>-0.21901047543862187</v>
      </c>
      <c r="M212" s="19">
        <f ca="1"/>
        <v>0.42319536854242551</v>
      </c>
      <c r="N212" s="20">
        <f t="shared" ca="1" si="47"/>
        <v>3.9166985384673425E-3</v>
      </c>
      <c r="O212" s="20">
        <f t="shared" ca="1" si="48"/>
        <v>0.18921471878993537</v>
      </c>
      <c r="P212" s="19">
        <f t="shared" ca="1" si="49"/>
        <v>0.11896052853663086</v>
      </c>
      <c r="Q212" s="19">
        <f ca="1">HCTrans(P212,Strike,RiskFreeRate,Dividend,Variance_T0*AnnualVarConvtr,(Simulation!G212)/250,0.5,Variance_Avg*AnnualVarConvtr,Lambda,SQRT(Simulation!N212),Rho,1,"Call")</f>
        <v>29.023356692573202</v>
      </c>
      <c r="R212" s="19">
        <f ca="1">ImpliedVolatility("Call",P212,Strike,RiskFreeRate,G212/250,Dividend,Q212,0.5)</f>
        <v>0.74042409652675867</v>
      </c>
      <c r="S212" s="19">
        <f t="shared" ca="1" si="50"/>
        <v>0.55050445010581117</v>
      </c>
      <c r="T212" s="19">
        <f t="shared" ca="1" si="51"/>
        <v>11.0365960405734</v>
      </c>
      <c r="U212" s="19">
        <f t="shared" ca="1" si="52"/>
        <v>-26.142344578669412</v>
      </c>
      <c r="V212" s="21"/>
      <c r="X212" s="22"/>
      <c r="Y212" s="22"/>
      <c r="Z212" s="22"/>
    </row>
    <row r="213" spans="7:26" x14ac:dyDescent="0.25">
      <c r="G213" s="19">
        <v>42</v>
      </c>
      <c r="H213" s="19">
        <f t="shared" ca="1" si="44"/>
        <v>0.89861417258277687</v>
      </c>
      <c r="I213" s="19">
        <f t="shared" ca="1" si="44"/>
        <v>0.77988766331800574</v>
      </c>
      <c r="J213" s="19">
        <f t="shared" ca="1" si="45"/>
        <v>8.6322334690673436E-2</v>
      </c>
      <c r="K213" s="19">
        <f t="shared" ca="1" si="46"/>
        <v>-0.45425926053091065</v>
      </c>
      <c r="L213" s="19">
        <f t="array" aca="1" ref="L213:M213" ca="1">MMULT(J213:K213,TRANSPOSE($B$10:$C$11))</f>
        <v>8.6322334690673436E-2</v>
      </c>
      <c r="M213" s="19">
        <f ca="1"/>
        <v>-0.37873534907251671</v>
      </c>
      <c r="N213" s="20">
        <f t="shared" ca="1" si="47"/>
        <v>3.3736524590487959E-3</v>
      </c>
      <c r="O213" s="20">
        <f t="shared" ca="1" si="48"/>
        <v>0.18954856042699328</v>
      </c>
      <c r="P213" s="19">
        <f t="shared" ca="1" si="49"/>
        <v>0.11452295654625956</v>
      </c>
      <c r="Q213" s="19">
        <f ca="1">HCTrans(P213,Strike,RiskFreeRate,Dividend,Variance_T0*AnnualVarConvtr,(Simulation!G213)/250,0.5,Variance_Avg*AnnualVarConvtr,Lambda,SQRT(Simulation!N213),Rho,1,"Call")</f>
        <v>29.023356692573202</v>
      </c>
      <c r="R213" s="19">
        <f ca="1">ImpliedVolatility("Call",P213,Strike,RiskFreeRate,G213/250,Dividend,Q213,0.5)</f>
        <v>0.74042409652675867</v>
      </c>
      <c r="S213" s="19">
        <f t="shared" ca="1" si="50"/>
        <v>0.55050445010581117</v>
      </c>
      <c r="T213" s="19">
        <f t="shared" ca="1" si="51"/>
        <v>11.0365960405734</v>
      </c>
      <c r="U213" s="19">
        <f t="shared" ca="1" si="52"/>
        <v>-26.142344578669412</v>
      </c>
      <c r="V213" s="21"/>
      <c r="X213" s="22"/>
      <c r="Y213" s="22"/>
      <c r="Z213" s="22"/>
    </row>
    <row r="214" spans="7:26" x14ac:dyDescent="0.25">
      <c r="G214" s="19">
        <v>41</v>
      </c>
      <c r="H214" s="19">
        <f t="shared" ca="1" si="44"/>
        <v>0.51047658902962934</v>
      </c>
      <c r="I214" s="19">
        <f t="shared" ca="1" si="44"/>
        <v>0.86559190816870701</v>
      </c>
      <c r="J214" s="19">
        <f t="shared" ca="1" si="45"/>
        <v>0.77012950079229503</v>
      </c>
      <c r="K214" s="19">
        <f t="shared" ca="1" si="46"/>
        <v>-0.86701877411903394</v>
      </c>
      <c r="L214" s="19">
        <f t="array" aca="1" ref="L214:M214" ca="1">MMULT(J214:K214,TRANSPOSE($B$10:$C$11))</f>
        <v>0.77012950079229503</v>
      </c>
      <c r="M214" s="19">
        <f ca="1"/>
        <v>-1.1566188920899378</v>
      </c>
      <c r="N214" s="20">
        <f t="shared" ca="1" si="47"/>
        <v>1.9469252282285565E-3</v>
      </c>
      <c r="O214" s="20">
        <f t="shared" ca="1" si="48"/>
        <v>0.19237088463843804</v>
      </c>
      <c r="P214" s="19">
        <f t="shared" ca="1" si="49"/>
        <v>0.11005112006170567</v>
      </c>
      <c r="Q214" s="19">
        <f ca="1">HCTrans(P214,Strike,RiskFreeRate,Dividend,Variance_T0*AnnualVarConvtr,(Simulation!G214)/250,0.5,Variance_Avg*AnnualVarConvtr,Lambda,SQRT(Simulation!N214),Rho,1,"Call")</f>
        <v>29.023356692573202</v>
      </c>
      <c r="R214" s="19">
        <f ca="1">ImpliedVolatility("Call",P214,Strike,RiskFreeRate,G214/250,Dividend,Q214,0.5)</f>
        <v>0.74042409652675867</v>
      </c>
      <c r="S214" s="19">
        <f t="shared" ca="1" si="50"/>
        <v>0.55050445010581117</v>
      </c>
      <c r="T214" s="19">
        <f t="shared" ca="1" si="51"/>
        <v>11.0365960405734</v>
      </c>
      <c r="U214" s="19">
        <f t="shared" ca="1" si="52"/>
        <v>-26.142344578669412</v>
      </c>
      <c r="V214" s="21"/>
      <c r="X214" s="22"/>
      <c r="Y214" s="22"/>
      <c r="Z214" s="22"/>
    </row>
    <row r="215" spans="7:26" x14ac:dyDescent="0.25">
      <c r="G215" s="19">
        <v>40</v>
      </c>
      <c r="H215" s="19">
        <f t="shared" ca="1" si="44"/>
        <v>0.26366442241041543</v>
      </c>
      <c r="I215" s="19">
        <f t="shared" ca="1" si="44"/>
        <v>0.36452544184029123</v>
      </c>
      <c r="J215" s="19">
        <f t="shared" ca="1" si="45"/>
        <v>-1.076157539141728</v>
      </c>
      <c r="K215" s="19">
        <f t="shared" ca="1" si="46"/>
        <v>1.228023279185533</v>
      </c>
      <c r="L215" s="19">
        <f t="array" aca="1" ref="L215:M215" ca="1">MMULT(J215:K215,TRANSPOSE($B$10:$C$11))</f>
        <v>-1.076157539141728</v>
      </c>
      <c r="M215" s="19">
        <f ca="1"/>
        <v>1.6277200642161946</v>
      </c>
      <c r="N215" s="20">
        <f t="shared" ca="1" si="47"/>
        <v>4.1332853420793523E-3</v>
      </c>
      <c r="O215" s="20">
        <f t="shared" ca="1" si="48"/>
        <v>0.18936381686282197</v>
      </c>
      <c r="P215" s="19">
        <f t="shared" ca="1" si="49"/>
        <v>0.10593464735686953</v>
      </c>
      <c r="Q215" s="19">
        <f ca="1">HCTrans(P215,Strike,RiskFreeRate,Dividend,Variance_T0*AnnualVarConvtr,(Simulation!G215)/250,0.5,Variance_Avg*AnnualVarConvtr,Lambda,SQRT(Simulation!N215),Rho,1,"Call")</f>
        <v>29.023356692573202</v>
      </c>
      <c r="R215" s="19">
        <f ca="1">ImpliedVolatility("Call",P215,Strike,RiskFreeRate,G215/250,Dividend,Q215,0.5)</f>
        <v>0.74042409652675867</v>
      </c>
      <c r="S215" s="19">
        <f t="shared" ca="1" si="50"/>
        <v>0.55050445010581117</v>
      </c>
      <c r="T215" s="19">
        <f t="shared" ca="1" si="51"/>
        <v>11.0365960405734</v>
      </c>
      <c r="U215" s="19">
        <f t="shared" ca="1" si="52"/>
        <v>-26.142344578669412</v>
      </c>
      <c r="V215" s="21"/>
      <c r="X215" s="22"/>
      <c r="Y215" s="22"/>
      <c r="Z215" s="22"/>
    </row>
    <row r="216" spans="7:26" x14ac:dyDescent="0.25">
      <c r="G216" s="19">
        <v>39</v>
      </c>
      <c r="H216" s="19">
        <f t="shared" ca="1" si="44"/>
        <v>1.8615856525363239E-2</v>
      </c>
      <c r="I216" s="19">
        <f t="shared" ca="1" si="44"/>
        <v>0.86123317496499663</v>
      </c>
      <c r="J216" s="19">
        <f t="shared" ca="1" si="45"/>
        <v>1.8160370960869363</v>
      </c>
      <c r="K216" s="19">
        <f t="shared" ca="1" si="46"/>
        <v>-2.1609008273821031</v>
      </c>
      <c r="L216" s="19">
        <f t="array" aca="1" ref="L216:M216" ca="1">MMULT(J216:K216,TRANSPOSE($B$10:$C$11))</f>
        <v>1.8160370960869363</v>
      </c>
      <c r="M216" s="19">
        <f ca="1"/>
        <v>-2.8086071021874632</v>
      </c>
      <c r="N216" s="20">
        <f t="shared" ca="1" si="47"/>
        <v>9.0686152272598914E-4</v>
      </c>
      <c r="O216" s="20">
        <f t="shared" ca="1" si="48"/>
        <v>0.19673973251108656</v>
      </c>
      <c r="P216" s="19">
        <f t="shared" ca="1" si="49"/>
        <v>0.10162963325050865</v>
      </c>
      <c r="Q216" s="19">
        <f ca="1">HCTrans(P216,Strike,RiskFreeRate,Dividend,Variance_T0*AnnualVarConvtr,(Simulation!G216)/250,0.5,Variance_Avg*AnnualVarConvtr,Lambda,SQRT(Simulation!N216),Rho,1,"Call")</f>
        <v>29.023356692573202</v>
      </c>
      <c r="R216" s="19">
        <f ca="1">ImpliedVolatility("Call",P216,Strike,RiskFreeRate,G216/250,Dividend,Q216,0.5)</f>
        <v>0.74042409652675867</v>
      </c>
      <c r="S216" s="19">
        <f t="shared" ca="1" si="50"/>
        <v>0.55050445010581117</v>
      </c>
      <c r="T216" s="19">
        <f t="shared" ca="1" si="51"/>
        <v>11.0365960405734</v>
      </c>
      <c r="U216" s="19">
        <f t="shared" ca="1" si="52"/>
        <v>-26.142344578669412</v>
      </c>
      <c r="V216" s="21"/>
      <c r="X216" s="22"/>
      <c r="Y216" s="22"/>
      <c r="Z216" s="22"/>
    </row>
    <row r="217" spans="7:26" x14ac:dyDescent="0.25">
      <c r="G217" s="19">
        <v>38</v>
      </c>
      <c r="H217" s="19">
        <f t="shared" ca="1" si="44"/>
        <v>0.73271339908812327</v>
      </c>
      <c r="I217" s="19">
        <f t="shared" ca="1" si="44"/>
        <v>0.32783642759116616</v>
      </c>
      <c r="J217" s="19">
        <f t="shared" ca="1" si="45"/>
        <v>-0.37051500189248859</v>
      </c>
      <c r="K217" s="19">
        <f t="shared" ca="1" si="46"/>
        <v>0.69621830971667431</v>
      </c>
      <c r="L217" s="19">
        <f t="array" aca="1" ref="L217:M217" ca="1">MMULT(J217:K217,TRANSPOSE($B$10:$C$11))</f>
        <v>-0.37051500189248859</v>
      </c>
      <c r="M217" s="19">
        <f ca="1"/>
        <v>0.75114690446677757</v>
      </c>
      <c r="N217" s="20">
        <f t="shared" ca="1" si="47"/>
        <v>1.5788668903095845E-3</v>
      </c>
      <c r="O217" s="20">
        <f t="shared" ca="1" si="48"/>
        <v>0.19603224127194294</v>
      </c>
      <c r="P217" s="19">
        <f t="shared" ca="1" si="49"/>
        <v>9.7617130014518591E-2</v>
      </c>
      <c r="Q217" s="19">
        <f ca="1">HCTrans(P217,Strike,RiskFreeRate,Dividend,Variance_T0*AnnualVarConvtr,(Simulation!G217)/250,0.5,Variance_Avg*AnnualVarConvtr,Lambda,SQRT(Simulation!N217),Rho,1,"Call")</f>
        <v>29.023356692573202</v>
      </c>
      <c r="R217" s="19">
        <f ca="1">ImpliedVolatility("Call",P217,Strike,RiskFreeRate,G217/250,Dividend,Q217,0.5)</f>
        <v>0.74042409652675867</v>
      </c>
      <c r="S217" s="19">
        <f t="shared" ca="1" si="50"/>
        <v>0.55050445010581117</v>
      </c>
      <c r="T217" s="19">
        <f t="shared" ca="1" si="51"/>
        <v>11.0365960405734</v>
      </c>
      <c r="U217" s="19">
        <f t="shared" ca="1" si="52"/>
        <v>-26.142344578669412</v>
      </c>
      <c r="V217" s="21"/>
      <c r="X217" s="22"/>
      <c r="Y217" s="22"/>
      <c r="Z217" s="22"/>
    </row>
    <row r="218" spans="7:26" x14ac:dyDescent="0.25">
      <c r="G218" s="19">
        <v>37</v>
      </c>
      <c r="H218" s="19">
        <f t="shared" ca="1" si="44"/>
        <v>0.98990571011180728</v>
      </c>
      <c r="I218" s="19">
        <f t="shared" ca="1" si="44"/>
        <v>0.51583722410749788</v>
      </c>
      <c r="J218" s="19">
        <f t="shared" ca="1" si="45"/>
        <v>-0.14174239631315644</v>
      </c>
      <c r="K218" s="19">
        <f t="shared" ca="1" si="46"/>
        <v>-1.4151271628105E-2</v>
      </c>
      <c r="L218" s="19">
        <f t="array" aca="1" ref="L218:M218" ca="1">MMULT(J218:K218,TRANSPOSE($B$10:$C$11))</f>
        <v>-0.14174239631315644</v>
      </c>
      <c r="M218" s="19">
        <f ca="1"/>
        <v>9.1686682544607184E-2</v>
      </c>
      <c r="N218" s="20">
        <f t="shared" ca="1" si="47"/>
        <v>1.6984433138438435E-3</v>
      </c>
      <c r="O218" s="20">
        <f t="shared" ca="1" si="48"/>
        <v>0.19567287647635365</v>
      </c>
      <c r="P218" s="19">
        <f t="shared" ca="1" si="49"/>
        <v>9.3010648977609897E-2</v>
      </c>
      <c r="Q218" s="19">
        <f ca="1">HCTrans(P218,Strike,RiskFreeRate,Dividend,Variance_T0*AnnualVarConvtr,(Simulation!G218)/250,0.5,Variance_Avg*AnnualVarConvtr,Lambda,SQRT(Simulation!N218),Rho,1,"Call")</f>
        <v>29.023356692573202</v>
      </c>
      <c r="R218" s="19">
        <f ca="1">ImpliedVolatility("Call",P218,Strike,RiskFreeRate,G218/250,Dividend,Q218,0.5)</f>
        <v>0.74042409652675867</v>
      </c>
      <c r="S218" s="19">
        <f t="shared" ca="1" si="50"/>
        <v>0.55050445010581117</v>
      </c>
      <c r="T218" s="19">
        <f t="shared" ca="1" si="51"/>
        <v>11.0365960405734</v>
      </c>
      <c r="U218" s="19">
        <f t="shared" ca="1" si="52"/>
        <v>-26.142344578669412</v>
      </c>
      <c r="V218" s="21"/>
      <c r="X218" s="22"/>
      <c r="Y218" s="22"/>
      <c r="Z218" s="22"/>
    </row>
    <row r="219" spans="7:26" x14ac:dyDescent="0.25">
      <c r="G219" s="19">
        <v>36</v>
      </c>
      <c r="H219" s="19">
        <f t="shared" ca="1" si="44"/>
        <v>0.7433487970465551</v>
      </c>
      <c r="I219" s="19">
        <f t="shared" ca="1" si="44"/>
        <v>0.89219480625750458</v>
      </c>
      <c r="J219" s="19">
        <f t="shared" ca="1" si="45"/>
        <v>0.60014867193873456</v>
      </c>
      <c r="K219" s="19">
        <f t="shared" ca="1" si="46"/>
        <v>-0.48270215660572474</v>
      </c>
      <c r="L219" s="19">
        <f t="array" aca="1" ref="L219:M219" ca="1">MMULT(J219:K219,TRANSPOSE($B$10:$C$11))</f>
        <v>0.60014867193873456</v>
      </c>
      <c r="M219" s="19">
        <f ca="1"/>
        <v>-0.76673331685278234</v>
      </c>
      <c r="N219" s="20">
        <f t="shared" ca="1" si="47"/>
        <v>1.040344924145695E-3</v>
      </c>
      <c r="O219" s="20">
        <f t="shared" ca="1" si="48"/>
        <v>0.19723375916008085</v>
      </c>
      <c r="P219" s="19">
        <f t="shared" ca="1" si="49"/>
        <v>8.876135959772255E-2</v>
      </c>
      <c r="Q219" s="19">
        <f ca="1">HCTrans(P219,Strike,RiskFreeRate,Dividend,Variance_T0*AnnualVarConvtr,(Simulation!G219)/250,0.5,Variance_Avg*AnnualVarConvtr,Lambda,SQRT(Simulation!N219),Rho,1,"Call")</f>
        <v>29.023356692573202</v>
      </c>
      <c r="R219" s="19">
        <f ca="1">ImpliedVolatility("Call",P219,Strike,RiskFreeRate,G219/250,Dividend,Q219,0.5)</f>
        <v>0.74042409652675867</v>
      </c>
      <c r="S219" s="19">
        <f t="shared" ca="1" si="50"/>
        <v>0.55050445010581117</v>
      </c>
      <c r="T219" s="19">
        <f t="shared" ca="1" si="51"/>
        <v>11.0365960405734</v>
      </c>
      <c r="U219" s="19">
        <f t="shared" ca="1" si="52"/>
        <v>-26.142344578669412</v>
      </c>
      <c r="V219" s="21"/>
      <c r="X219" s="22"/>
      <c r="Y219" s="22"/>
      <c r="Z219" s="22"/>
    </row>
    <row r="220" spans="7:26" x14ac:dyDescent="0.25">
      <c r="G220" s="19">
        <v>35</v>
      </c>
      <c r="H220" s="19">
        <f t="shared" ca="1" si="44"/>
        <v>0.74383239360028253</v>
      </c>
      <c r="I220" s="19">
        <f t="shared" ca="1" si="44"/>
        <v>0.61507732276581517</v>
      </c>
      <c r="J220" s="19">
        <f t="shared" ca="1" si="45"/>
        <v>-0.57684079496929608</v>
      </c>
      <c r="K220" s="19">
        <f t="shared" ca="1" si="46"/>
        <v>-0.50905185507251594</v>
      </c>
      <c r="L220" s="19">
        <f t="array" aca="1" ref="L220:M220" ca="1">MMULT(J220:K220,TRANSPOSE($B$10:$C$11))</f>
        <v>-0.57684079496929608</v>
      </c>
      <c r="M220" s="19">
        <f ca="1"/>
        <v>5.819842667576608E-2</v>
      </c>
      <c r="N220" s="20">
        <f t="shared" ca="1" si="47"/>
        <v>1.1187185334111149E-3</v>
      </c>
      <c r="O220" s="20">
        <f t="shared" ca="1" si="48"/>
        <v>0.19605495439596582</v>
      </c>
      <c r="P220" s="19">
        <f t="shared" ca="1" si="49"/>
        <v>8.4362717132726542E-2</v>
      </c>
      <c r="Q220" s="19">
        <f ca="1">HCTrans(P220,Strike,RiskFreeRate,Dividend,Variance_T0*AnnualVarConvtr,(Simulation!G220)/250,0.5,Variance_Avg*AnnualVarConvtr,Lambda,SQRT(Simulation!N220),Rho,1,"Call")</f>
        <v>29.023356692573202</v>
      </c>
      <c r="R220" s="19">
        <f ca="1">ImpliedVolatility("Call",P220,Strike,RiskFreeRate,G220/250,Dividend,Q220,0.5)</f>
        <v>0.74042409652675867</v>
      </c>
      <c r="S220" s="19">
        <f t="shared" ca="1" si="50"/>
        <v>0.55050445010581117</v>
      </c>
      <c r="T220" s="19">
        <f t="shared" ca="1" si="51"/>
        <v>11.0365960405734</v>
      </c>
      <c r="U220" s="19">
        <f t="shared" ca="1" si="52"/>
        <v>-26.142344578669412</v>
      </c>
      <c r="V220" s="21"/>
      <c r="X220" s="22"/>
      <c r="Y220" s="22"/>
      <c r="Z220" s="22"/>
    </row>
    <row r="221" spans="7:26" x14ac:dyDescent="0.25">
      <c r="G221" s="19">
        <v>34</v>
      </c>
      <c r="H221" s="19">
        <f t="shared" ca="1" si="44"/>
        <v>0.98054684268301484</v>
      </c>
      <c r="I221" s="19">
        <f t="shared" ca="1" si="44"/>
        <v>0.4052927071164717</v>
      </c>
      <c r="J221" s="19">
        <f t="shared" ca="1" si="45"/>
        <v>-0.16414551851632389</v>
      </c>
      <c r="K221" s="19">
        <f t="shared" ca="1" si="46"/>
        <v>0.11111241677589541</v>
      </c>
      <c r="L221" s="19">
        <f t="array" aca="1" ref="L221:M221" ca="1">MMULT(J221:K221,TRANSPOSE($B$10:$C$11))</f>
        <v>-0.16414551851632389</v>
      </c>
      <c r="M221" s="19">
        <f ca="1"/>
        <v>0.19512085164706616</v>
      </c>
      <c r="N221" s="20">
        <f t="shared" ca="1" si="47"/>
        <v>1.3158876053225288E-3</v>
      </c>
      <c r="O221" s="20">
        <f t="shared" ca="1" si="48"/>
        <v>0.19570548519835934</v>
      </c>
      <c r="P221" s="19">
        <f t="shared" ca="1" si="49"/>
        <v>7.9813180796149255E-2</v>
      </c>
      <c r="Q221" s="19">
        <f ca="1">HCTrans(P221,Strike,RiskFreeRate,Dividend,Variance_T0*AnnualVarConvtr,(Simulation!G221)/250,0.5,Variance_Avg*AnnualVarConvtr,Lambda,SQRT(Simulation!N221),Rho,1,"Call")</f>
        <v>29.023356692573202</v>
      </c>
      <c r="R221" s="19">
        <f ca="1">ImpliedVolatility("Call",P221,Strike,RiskFreeRate,G221/250,Dividend,Q221,0.5)</f>
        <v>0.74042409652675867</v>
      </c>
      <c r="S221" s="19">
        <f t="shared" ca="1" si="50"/>
        <v>0.55050445010581117</v>
      </c>
      <c r="T221" s="19">
        <f t="shared" ca="1" si="51"/>
        <v>11.0365960405734</v>
      </c>
      <c r="U221" s="19">
        <f t="shared" ca="1" si="52"/>
        <v>-26.142344578669412</v>
      </c>
      <c r="V221" s="21"/>
      <c r="X221" s="22"/>
      <c r="Y221" s="22"/>
      <c r="Z221" s="22"/>
    </row>
    <row r="222" spans="7:26" x14ac:dyDescent="0.25">
      <c r="G222" s="19">
        <v>33</v>
      </c>
      <c r="H222" s="19">
        <f t="shared" ca="1" si="44"/>
        <v>0.80739507395776144</v>
      </c>
      <c r="I222" s="19">
        <f t="shared" ca="1" si="44"/>
        <v>1.250946124798491E-2</v>
      </c>
      <c r="J222" s="19">
        <f t="shared" ca="1" si="45"/>
        <v>0.65210917769503307</v>
      </c>
      <c r="K222" s="19">
        <f t="shared" ca="1" si="46"/>
        <v>5.1361111403941201E-2</v>
      </c>
      <c r="L222" s="19">
        <f t="array" aca="1" ref="L222:M222" ca="1">MMULT(J222:K222,TRANSPOSE($B$10:$C$11))</f>
        <v>0.65210917769503307</v>
      </c>
      <c r="M222" s="19">
        <f ca="1"/>
        <v>-0.43140737750638086</v>
      </c>
      <c r="N222" s="20">
        <f t="shared" ca="1" si="47"/>
        <v>9.9051043856058498E-4</v>
      </c>
      <c r="O222" s="20">
        <f t="shared" ca="1" si="48"/>
        <v>0.19719895026515963</v>
      </c>
      <c r="P222" s="19">
        <f t="shared" ca="1" si="49"/>
        <v>7.5221941963348263E-2</v>
      </c>
      <c r="Q222" s="19">
        <f ca="1">HCTrans(P222,Strike,RiskFreeRate,Dividend,Variance_T0*AnnualVarConvtr,(Simulation!G222)/250,0.5,Variance_Avg*AnnualVarConvtr,Lambda,SQRT(Simulation!N222),Rho,1,"Call")</f>
        <v>29.023356692573202</v>
      </c>
      <c r="R222" s="19">
        <f ca="1">ImpliedVolatility("Call",P222,Strike,RiskFreeRate,G222/250,Dividend,Q222,0.5)</f>
        <v>0.74042409652675867</v>
      </c>
      <c r="S222" s="19">
        <f t="shared" ca="1" si="50"/>
        <v>0.55050445010581117</v>
      </c>
      <c r="T222" s="19">
        <f t="shared" ca="1" si="51"/>
        <v>11.0365960405734</v>
      </c>
      <c r="U222" s="19">
        <f t="shared" ca="1" si="52"/>
        <v>-26.142344578669412</v>
      </c>
      <c r="V222" s="21"/>
      <c r="X222" s="22"/>
      <c r="Y222" s="22"/>
      <c r="Z222" s="22"/>
    </row>
    <row r="223" spans="7:26" x14ac:dyDescent="0.25">
      <c r="G223" s="19">
        <v>32</v>
      </c>
      <c r="H223" s="19">
        <f t="shared" ref="H223:I254" ca="1" si="53">RAND()</f>
        <v>9.8628637917530515E-4</v>
      </c>
      <c r="I223" s="19">
        <f t="shared" ca="1" si="53"/>
        <v>0.56479781445431598</v>
      </c>
      <c r="J223" s="19">
        <f t="shared" ca="1" si="45"/>
        <v>-3.4165047224453264</v>
      </c>
      <c r="K223" s="19">
        <f t="shared" ca="1" si="46"/>
        <v>-1.4733034588136091</v>
      </c>
      <c r="L223" s="19">
        <f t="array" aca="1" ref="L223:M223" ca="1">MMULT(J223:K223,TRANSPOSE($B$10:$C$11))</f>
        <v>-3.4165047224453264</v>
      </c>
      <c r="M223" s="19">
        <f ca="1"/>
        <v>1.420168159141566</v>
      </c>
      <c r="N223" s="20">
        <f t="shared" ca="1" si="47"/>
        <v>2.4217311994193837E-3</v>
      </c>
      <c r="O223" s="20">
        <f t="shared" ca="1" si="48"/>
        <v>0.19039645821356985</v>
      </c>
      <c r="P223" s="19">
        <f t="shared" ca="1" si="49"/>
        <v>7.0821519946205017E-2</v>
      </c>
      <c r="Q223" s="19">
        <f ca="1">HCTrans(P223,Strike,RiskFreeRate,Dividend,Variance_T0*AnnualVarConvtr,(Simulation!G223)/250,0.5,Variance_Avg*AnnualVarConvtr,Lambda,SQRT(Simulation!N223),Rho,1,"Call")</f>
        <v>29.023356692573202</v>
      </c>
      <c r="R223" s="19">
        <f ca="1">ImpliedVolatility("Call",P223,Strike,RiskFreeRate,G223/250,Dividend,Q223,0.5)</f>
        <v>0.74042409652675867</v>
      </c>
      <c r="S223" s="19">
        <f t="shared" ca="1" si="50"/>
        <v>0.55050445010581117</v>
      </c>
      <c r="T223" s="19">
        <f t="shared" ca="1" si="51"/>
        <v>11.0365960405734</v>
      </c>
      <c r="U223" s="19">
        <f t="shared" ca="1" si="52"/>
        <v>-26.142344578669412</v>
      </c>
      <c r="V223" s="21"/>
      <c r="X223" s="22"/>
      <c r="Y223" s="22"/>
      <c r="Z223" s="22"/>
    </row>
    <row r="224" spans="7:26" x14ac:dyDescent="0.25">
      <c r="G224" s="19">
        <v>31</v>
      </c>
      <c r="H224" s="19">
        <f t="shared" ca="1" si="53"/>
        <v>0.53902425455790792</v>
      </c>
      <c r="I224" s="19">
        <f t="shared" ca="1" si="53"/>
        <v>0.66718726900404268</v>
      </c>
      <c r="J224" s="19">
        <f t="shared" ca="1" si="45"/>
        <v>-0.55272296478128469</v>
      </c>
      <c r="K224" s="19">
        <f t="shared" ca="1" si="46"/>
        <v>-0.96461740810279184</v>
      </c>
      <c r="L224" s="19">
        <f t="array" aca="1" ref="L224:M224" ca="1">MMULT(J224:K224,TRANSPOSE($B$10:$C$11))</f>
        <v>-0.55272296478128469</v>
      </c>
      <c r="M224" s="19">
        <f ca="1"/>
        <v>-0.27687864770566084</v>
      </c>
      <c r="N224" s="20">
        <f t="shared" ca="1" si="47"/>
        <v>2.1236660900323763E-3</v>
      </c>
      <c r="O224" s="20">
        <f t="shared" ca="1" si="48"/>
        <v>0.18867132947077969</v>
      </c>
      <c r="P224" s="19">
        <f t="shared" ca="1" si="49"/>
        <v>6.7767081282049585E-2</v>
      </c>
      <c r="Q224" s="19">
        <f ca="1">HCTrans(P224,Strike,RiskFreeRate,Dividend,Variance_T0*AnnualVarConvtr,(Simulation!G224)/250,0.5,Variance_Avg*AnnualVarConvtr,Lambda,SQRT(Simulation!N224),Rho,1,"Call")</f>
        <v>29.023356692573202</v>
      </c>
      <c r="R224" s="19">
        <f ca="1">ImpliedVolatility("Call",P224,Strike,RiskFreeRate,G224/250,Dividend,Q224,0.5)</f>
        <v>0.74042409652675867</v>
      </c>
      <c r="S224" s="19">
        <f t="shared" ca="1" si="50"/>
        <v>0.55050445010581117</v>
      </c>
      <c r="T224" s="19">
        <f t="shared" ca="1" si="51"/>
        <v>11.0365960405734</v>
      </c>
      <c r="U224" s="19">
        <f t="shared" ca="1" si="52"/>
        <v>-26.142344578669412</v>
      </c>
      <c r="V224" s="21"/>
      <c r="X224" s="22"/>
      <c r="Y224" s="22"/>
      <c r="Z224" s="22"/>
    </row>
    <row r="225" spans="7:26" x14ac:dyDescent="0.25">
      <c r="G225" s="19">
        <v>30</v>
      </c>
      <c r="H225" s="19">
        <f t="shared" ca="1" si="53"/>
        <v>0.38468290964920193</v>
      </c>
      <c r="I225" s="19">
        <f t="shared" ca="1" si="53"/>
        <v>0.40471337262984897</v>
      </c>
      <c r="J225" s="19">
        <f t="shared" ca="1" si="45"/>
        <v>-1.1418480052161739</v>
      </c>
      <c r="K225" s="19">
        <f t="shared" ca="1" si="46"/>
        <v>0.77900893684370509</v>
      </c>
      <c r="L225" s="19">
        <f t="array" aca="1" ref="L225:M225" ca="1">MMULT(J225:K225,TRANSPOSE($B$10:$C$11))</f>
        <v>-1.1418480052161739</v>
      </c>
      <c r="M225" s="19">
        <f ca="1"/>
        <v>1.3615606741157085</v>
      </c>
      <c r="N225" s="20">
        <f t="shared" ca="1" si="47"/>
        <v>3.9669433042727794E-3</v>
      </c>
      <c r="O225" s="20">
        <f t="shared" ca="1" si="48"/>
        <v>0.18533909676117113</v>
      </c>
      <c r="P225" s="19">
        <f t="shared" ca="1" si="49"/>
        <v>6.4956540031525331E-2</v>
      </c>
      <c r="Q225" s="19">
        <f ca="1">HCTrans(P225,Strike,RiskFreeRate,Dividend,Variance_T0*AnnualVarConvtr,(Simulation!G225)/250,0.5,Variance_Avg*AnnualVarConvtr,Lambda,SQRT(Simulation!N225),Rho,1,"Call")</f>
        <v>29.023356692573202</v>
      </c>
      <c r="R225" s="19">
        <f ca="1">ImpliedVolatility("Call",P225,Strike,RiskFreeRate,G225/250,Dividend,Q225,0.5)</f>
        <v>0.74042409652675867</v>
      </c>
      <c r="S225" s="19">
        <f t="shared" ca="1" si="50"/>
        <v>0.55050445010581117</v>
      </c>
      <c r="T225" s="19">
        <f t="shared" ca="1" si="51"/>
        <v>11.0365960405734</v>
      </c>
      <c r="U225" s="19">
        <f t="shared" ca="1" si="52"/>
        <v>-26.142344578669412</v>
      </c>
      <c r="V225" s="21"/>
      <c r="X225" s="22"/>
      <c r="Y225" s="22"/>
      <c r="Z225" s="22"/>
    </row>
    <row r="226" spans="7:26" x14ac:dyDescent="0.25">
      <c r="G226" s="19">
        <v>29</v>
      </c>
      <c r="H226" s="19">
        <f t="shared" ca="1" si="53"/>
        <v>0.69638323025857574</v>
      </c>
      <c r="I226" s="19">
        <f t="shared" ca="1" si="53"/>
        <v>4.5961280653959102E-2</v>
      </c>
      <c r="J226" s="19">
        <f t="shared" ca="1" si="45"/>
        <v>0.81548461247268356</v>
      </c>
      <c r="K226" s="19">
        <f t="shared" ca="1" si="46"/>
        <v>0.24227082120973156</v>
      </c>
      <c r="L226" s="19">
        <f t="array" aca="1" ref="L226:M226" ca="1">MMULT(J226:K226,TRANSPOSE($B$10:$C$11))</f>
        <v>0.81548461247268356</v>
      </c>
      <c r="M226" s="19">
        <f ca="1"/>
        <v>-0.41528972735315756</v>
      </c>
      <c r="N226" s="20">
        <f t="shared" ca="1" si="47"/>
        <v>3.3678238600554451E-3</v>
      </c>
      <c r="O226" s="20">
        <f t="shared" ca="1" si="48"/>
        <v>0.18857959474803399</v>
      </c>
      <c r="P226" s="19">
        <f t="shared" ca="1" si="49"/>
        <v>6.2451459198466723E-2</v>
      </c>
      <c r="Q226" s="19">
        <f ca="1">HCTrans(P226,Strike,RiskFreeRate,Dividend,Variance_T0*AnnualVarConvtr,(Simulation!G226)/250,0.5,Variance_Avg*AnnualVarConvtr,Lambda,SQRT(Simulation!N226),Rho,1,"Call")</f>
        <v>29.023356692573202</v>
      </c>
      <c r="R226" s="19">
        <f ca="1">ImpliedVolatility("Call",P226,Strike,RiskFreeRate,G226/250,Dividend,Q226,0.5)</f>
        <v>0.74042409652675867</v>
      </c>
      <c r="S226" s="19">
        <f t="shared" ca="1" si="50"/>
        <v>0.55050445010581117</v>
      </c>
      <c r="T226" s="19">
        <f t="shared" ca="1" si="51"/>
        <v>11.0365960405734</v>
      </c>
      <c r="U226" s="19">
        <f t="shared" ca="1" si="52"/>
        <v>-26.142344578669412</v>
      </c>
      <c r="V226" s="21"/>
      <c r="X226" s="22"/>
      <c r="Y226" s="22"/>
      <c r="Z226" s="22"/>
    </row>
    <row r="227" spans="7:26" x14ac:dyDescent="0.25">
      <c r="G227" s="19">
        <v>28</v>
      </c>
      <c r="H227" s="19">
        <f t="shared" ca="1" si="53"/>
        <v>0.58106734007792005</v>
      </c>
      <c r="I227" s="19">
        <f t="shared" ca="1" si="53"/>
        <v>0.31533154087431126</v>
      </c>
      <c r="J227" s="19">
        <f t="shared" ca="1" si="45"/>
        <v>-0.4158218404570565</v>
      </c>
      <c r="K227" s="19">
        <f t="shared" ca="1" si="46"/>
        <v>0.95544201665765982</v>
      </c>
      <c r="L227" s="19">
        <f t="array" aca="1" ref="L227:M227" ca="1">MMULT(J227:K227,TRANSPOSE($B$10:$C$11))</f>
        <v>-0.4158218404570565</v>
      </c>
      <c r="M227" s="19">
        <f ca="1"/>
        <v>0.96444036602884442</v>
      </c>
      <c r="N227" s="20">
        <f t="shared" ca="1" si="47"/>
        <v>4.8995175476710413E-3</v>
      </c>
      <c r="O227" s="20">
        <f t="shared" ca="1" si="48"/>
        <v>0.18704665724664332</v>
      </c>
      <c r="P227" s="19">
        <f t="shared" ca="1" si="49"/>
        <v>6.0131477796575288E-2</v>
      </c>
      <c r="Q227" s="19">
        <f ca="1">HCTrans(P227,Strike,RiskFreeRate,Dividend,Variance_T0*AnnualVarConvtr,(Simulation!G227)/250,0.5,Variance_Avg*AnnualVarConvtr,Lambda,SQRT(Simulation!N227),Rho,1,"Call")</f>
        <v>29.023356692573202</v>
      </c>
      <c r="R227" s="19">
        <f ca="1">ImpliedVolatility("Call",P227,Strike,RiskFreeRate,G227/250,Dividend,Q227,0.5)</f>
        <v>0.74042409652675867</v>
      </c>
      <c r="S227" s="19">
        <f t="shared" ca="1" si="50"/>
        <v>0.55050445010581117</v>
      </c>
      <c r="T227" s="19">
        <f t="shared" ca="1" si="51"/>
        <v>11.0365960405734</v>
      </c>
      <c r="U227" s="19">
        <f t="shared" ca="1" si="52"/>
        <v>-26.142344578669412</v>
      </c>
      <c r="V227" s="21"/>
      <c r="X227" s="22"/>
      <c r="Y227" s="22"/>
      <c r="Z227" s="22"/>
    </row>
    <row r="228" spans="7:26" x14ac:dyDescent="0.25">
      <c r="G228" s="19">
        <v>27</v>
      </c>
      <c r="H228" s="19">
        <f t="shared" ca="1" si="53"/>
        <v>0.97606295233908547</v>
      </c>
      <c r="I228" s="19">
        <f t="shared" ca="1" si="53"/>
        <v>0.85452728586702942</v>
      </c>
      <c r="J228" s="19">
        <f t="shared" ca="1" si="45"/>
        <v>0.1344008681293847</v>
      </c>
      <c r="K228" s="19">
        <f t="shared" ca="1" si="46"/>
        <v>-0.17433529547806875</v>
      </c>
      <c r="L228" s="19">
        <f t="array" aca="1" ref="L228:M228" ca="1">MMULT(J228:K228,TRANSPOSE($B$10:$C$11))</f>
        <v>0.1344008681293847</v>
      </c>
      <c r="M228" s="19">
        <f ca="1"/>
        <v>-0.21791227370462457</v>
      </c>
      <c r="N228" s="20">
        <f t="shared" ca="1" si="47"/>
        <v>4.5440222571452417E-3</v>
      </c>
      <c r="O228" s="20">
        <f t="shared" ca="1" si="48"/>
        <v>0.18763184692610174</v>
      </c>
      <c r="P228" s="19">
        <f t="shared" ca="1" si="49"/>
        <v>5.7892276609900463E-2</v>
      </c>
      <c r="Q228" s="19">
        <f ca="1">HCTrans(P228,Strike,RiskFreeRate,Dividend,Variance_T0*AnnualVarConvtr,(Simulation!G228)/250,0.5,Variance_Avg*AnnualVarConvtr,Lambda,SQRT(Simulation!N228),Rho,1,"Call")</f>
        <v>29.023356692573202</v>
      </c>
      <c r="R228" s="19">
        <f ca="1">ImpliedVolatility("Call",P228,Strike,RiskFreeRate,G228/250,Dividend,Q228,0.5)</f>
        <v>0.74042409652675867</v>
      </c>
      <c r="S228" s="19">
        <f t="shared" ca="1" si="50"/>
        <v>0.55050445010581117</v>
      </c>
      <c r="T228" s="19">
        <f t="shared" ca="1" si="51"/>
        <v>11.0365960405734</v>
      </c>
      <c r="U228" s="19">
        <f t="shared" ca="1" si="52"/>
        <v>-26.142344578669412</v>
      </c>
      <c r="V228" s="21"/>
      <c r="X228" s="22"/>
      <c r="Y228" s="22"/>
      <c r="Z228" s="22"/>
    </row>
    <row r="229" spans="7:26" x14ac:dyDescent="0.25">
      <c r="G229" s="19">
        <v>26</v>
      </c>
      <c r="H229" s="19">
        <f t="shared" ca="1" si="53"/>
        <v>0.33935817352385289</v>
      </c>
      <c r="I229" s="19">
        <f t="shared" ca="1" si="53"/>
        <v>0.8978741948390826</v>
      </c>
      <c r="J229" s="19">
        <f t="shared" ca="1" si="45"/>
        <v>1.1777441313851389</v>
      </c>
      <c r="K229" s="19">
        <f t="shared" ca="1" si="46"/>
        <v>-0.87995289736882776</v>
      </c>
      <c r="L229" s="19">
        <f t="array" aca="1" ref="L229:M229" ca="1">MMULT(J229:K229,TRANSPOSE($B$10:$C$11))</f>
        <v>1.1777441313851389</v>
      </c>
      <c r="M229" s="19">
        <f ca="1"/>
        <v>-1.4576974523265283</v>
      </c>
      <c r="N229" s="20">
        <f t="shared" ca="1" si="47"/>
        <v>2.4672533871624379E-3</v>
      </c>
      <c r="O229" s="20">
        <f t="shared" ca="1" si="48"/>
        <v>0.19264388545738287</v>
      </c>
      <c r="P229" s="19">
        <f t="shared" ca="1" si="49"/>
        <v>5.5900002058572845E-2</v>
      </c>
      <c r="Q229" s="19">
        <f ca="1">HCTrans(P229,Strike,RiskFreeRate,Dividend,Variance_T0*AnnualVarConvtr,(Simulation!G229)/250,0.5,Variance_Avg*AnnualVarConvtr,Lambda,SQRT(Simulation!N229),Rho,1,"Call")</f>
        <v>29.023356692573202</v>
      </c>
      <c r="R229" s="19">
        <f ca="1">ImpliedVolatility("Call",P229,Strike,RiskFreeRate,G229/250,Dividend,Q229,0.5)</f>
        <v>0.74042409652675867</v>
      </c>
      <c r="S229" s="19">
        <f t="shared" ca="1" si="50"/>
        <v>0.55050445010581117</v>
      </c>
      <c r="T229" s="19">
        <f t="shared" ca="1" si="51"/>
        <v>11.0365960405734</v>
      </c>
      <c r="U229" s="19">
        <f t="shared" ca="1" si="52"/>
        <v>-26.142344578669412</v>
      </c>
      <c r="V229" s="21"/>
      <c r="X229" s="22"/>
      <c r="Y229" s="22"/>
      <c r="Z229" s="22"/>
    </row>
    <row r="230" spans="7:26" x14ac:dyDescent="0.25">
      <c r="G230" s="19">
        <v>25</v>
      </c>
      <c r="H230" s="19">
        <f t="shared" ca="1" si="53"/>
        <v>0.50528959801358697</v>
      </c>
      <c r="I230" s="19">
        <f t="shared" ca="1" si="53"/>
        <v>0.33316240480070203</v>
      </c>
      <c r="J230" s="19">
        <f t="shared" ca="1" si="45"/>
        <v>-0.58313185620292662</v>
      </c>
      <c r="K230" s="19">
        <f t="shared" ca="1" si="46"/>
        <v>1.0125237496479369</v>
      </c>
      <c r="L230" s="19">
        <f t="array" aca="1" ref="L230:M230" ca="1">MMULT(J230:K230,TRANSPOSE($B$10:$C$11))</f>
        <v>-0.58313185620292662</v>
      </c>
      <c r="M230" s="19">
        <f ca="1"/>
        <v>1.1241374723959223</v>
      </c>
      <c r="N230" s="20">
        <f t="shared" ca="1" si="47"/>
        <v>4.0506246709918368E-3</v>
      </c>
      <c r="O230" s="20">
        <f t="shared" ca="1" si="48"/>
        <v>0.19080704303192872</v>
      </c>
      <c r="P230" s="19">
        <f t="shared" ca="1" si="49"/>
        <v>5.3861049701426578E-2</v>
      </c>
      <c r="Q230" s="19">
        <f ca="1">HCTrans(P230,Strike,RiskFreeRate,Dividend,Variance_T0*AnnualVarConvtr,(Simulation!G230)/250,0.5,Variance_Avg*AnnualVarConvtr,Lambda,SQRT(Simulation!N230),Rho,1,"Call")</f>
        <v>29.023356692573202</v>
      </c>
      <c r="R230" s="19">
        <f ca="1">ImpliedVolatility("Call",P230,Strike,RiskFreeRate,G230/250,Dividend,Q230,0.5)</f>
        <v>0.74042409652675867</v>
      </c>
      <c r="S230" s="19">
        <f t="shared" ca="1" si="50"/>
        <v>0.55050445010581117</v>
      </c>
      <c r="T230" s="19">
        <f t="shared" ca="1" si="51"/>
        <v>11.0365960405734</v>
      </c>
      <c r="U230" s="19">
        <f t="shared" ca="1" si="52"/>
        <v>-26.142344578669412</v>
      </c>
      <c r="V230" s="21"/>
      <c r="X230" s="22"/>
      <c r="Y230" s="22"/>
      <c r="Z230" s="22"/>
    </row>
    <row r="231" spans="7:26" x14ac:dyDescent="0.25">
      <c r="G231" s="19">
        <v>24</v>
      </c>
      <c r="H231" s="19">
        <f t="shared" ca="1" si="53"/>
        <v>0.57439509377311682</v>
      </c>
      <c r="I231" s="19">
        <f t="shared" ca="1" si="53"/>
        <v>0.38764583493159621</v>
      </c>
      <c r="J231" s="19">
        <f t="shared" ca="1" si="45"/>
        <v>-0.80135784739596427</v>
      </c>
      <c r="K231" s="19">
        <f t="shared" ca="1" si="46"/>
        <v>0.68315533076218782</v>
      </c>
      <c r="L231" s="19">
        <f t="array" aca="1" ref="L231:M231" ca="1">MMULT(J231:K231,TRANSPOSE($B$10:$C$11))</f>
        <v>-0.80135784739596427</v>
      </c>
      <c r="M231" s="19">
        <f ca="1"/>
        <v>1.0507332377769614</v>
      </c>
      <c r="N231" s="20">
        <f t="shared" ca="1" si="47"/>
        <v>5.8722085686086804E-3</v>
      </c>
      <c r="O231" s="20">
        <f t="shared" ca="1" si="48"/>
        <v>0.18757328993154598</v>
      </c>
      <c r="P231" s="19">
        <f t="shared" ca="1" si="49"/>
        <v>5.1783881565396254E-2</v>
      </c>
      <c r="Q231" s="19">
        <f ca="1">HCTrans(P231,Strike,RiskFreeRate,Dividend,Variance_T0*AnnualVarConvtr,(Simulation!G231)/250,0.5,Variance_Avg*AnnualVarConvtr,Lambda,SQRT(Simulation!N231),Rho,1,"Call")</f>
        <v>29.023356692573202</v>
      </c>
      <c r="R231" s="19">
        <f ca="1">ImpliedVolatility("Call",P231,Strike,RiskFreeRate,G231/250,Dividend,Q231,0.5)</f>
        <v>0.74042409652675867</v>
      </c>
      <c r="S231" s="19">
        <f t="shared" ca="1" si="50"/>
        <v>0.55050445010581117</v>
      </c>
      <c r="T231" s="19">
        <f t="shared" ca="1" si="51"/>
        <v>11.0365960405734</v>
      </c>
      <c r="U231" s="19">
        <f t="shared" ca="1" si="52"/>
        <v>-26.142344578669412</v>
      </c>
      <c r="V231" s="21"/>
      <c r="X231" s="22"/>
      <c r="Y231" s="22"/>
      <c r="Z231" s="22"/>
    </row>
    <row r="232" spans="7:26" x14ac:dyDescent="0.25">
      <c r="G232" s="19">
        <v>23</v>
      </c>
      <c r="H232" s="19">
        <f t="shared" ca="1" si="53"/>
        <v>0.46575144603741314</v>
      </c>
      <c r="I232" s="19">
        <f t="shared" ca="1" si="53"/>
        <v>0.66738284348314691</v>
      </c>
      <c r="J232" s="19">
        <f t="shared" ca="1" si="45"/>
        <v>-0.61327947134458272</v>
      </c>
      <c r="K232" s="19">
        <f t="shared" ca="1" si="46"/>
        <v>-1.0733567065693468</v>
      </c>
      <c r="L232" s="19">
        <f t="array" aca="1" ref="L232:M232" ca="1">MMULT(J232:K232,TRANSPOSE($B$10:$C$11))</f>
        <v>-0.61327947134458272</v>
      </c>
      <c r="M232" s="19">
        <f ca="1"/>
        <v>-0.3093450416843665</v>
      </c>
      <c r="N232" s="20">
        <f t="shared" ca="1" si="47"/>
        <v>5.3115549460179814E-3</v>
      </c>
      <c r="O232" s="20">
        <f t="shared" ca="1" si="48"/>
        <v>0.18458926934550676</v>
      </c>
      <c r="P232" s="19">
        <f t="shared" ca="1" si="49"/>
        <v>4.9327807648000994E-2</v>
      </c>
      <c r="Q232" s="19">
        <f ca="1">HCTrans(P232,Strike,RiskFreeRate,Dividend,Variance_T0*AnnualVarConvtr,(Simulation!G232)/250,0.5,Variance_Avg*AnnualVarConvtr,Lambda,SQRT(Simulation!N232),Rho,1,"Call")</f>
        <v>29.023356692573202</v>
      </c>
      <c r="R232" s="19">
        <f ca="1">ImpliedVolatility("Call",P232,Strike,RiskFreeRate,G232/250,Dividend,Q232,0.5)</f>
        <v>0.74042409652675867</v>
      </c>
      <c r="S232" s="19">
        <f t="shared" ca="1" si="50"/>
        <v>0.55050445010581117</v>
      </c>
      <c r="T232" s="19">
        <f t="shared" ca="1" si="51"/>
        <v>11.0365960405734</v>
      </c>
      <c r="U232" s="19">
        <f t="shared" ca="1" si="52"/>
        <v>-26.142344578669412</v>
      </c>
      <c r="V232" s="21"/>
      <c r="X232" s="22"/>
      <c r="Y232" s="22"/>
      <c r="Z232" s="22"/>
    </row>
    <row r="233" spans="7:26" x14ac:dyDescent="0.25">
      <c r="G233" s="19">
        <v>22</v>
      </c>
      <c r="H233" s="19">
        <f t="shared" ca="1" si="53"/>
        <v>0.53495199159884865</v>
      </c>
      <c r="I233" s="19">
        <f t="shared" ca="1" si="53"/>
        <v>0.41918332622683663</v>
      </c>
      <c r="J233" s="19">
        <f t="shared" ca="1" si="45"/>
        <v>-0.97741581020385149</v>
      </c>
      <c r="K233" s="19">
        <f t="shared" ca="1" si="46"/>
        <v>0.5438886621793384</v>
      </c>
      <c r="L233" s="19">
        <f t="array" aca="1" ref="L233:M233" ca="1">MMULT(J233:K233,TRANSPOSE($B$10:$C$11))</f>
        <v>-0.97741581020385149</v>
      </c>
      <c r="M233" s="19">
        <f ca="1"/>
        <v>1.0797281378719101</v>
      </c>
      <c r="N233" s="20">
        <f t="shared" ca="1" si="47"/>
        <v>7.4255112215257076E-3</v>
      </c>
      <c r="O233" s="20">
        <f t="shared" ca="1" si="48"/>
        <v>0.18007338275769338</v>
      </c>
      <c r="P233" s="19">
        <f t="shared" ca="1" si="49"/>
        <v>4.7179912412715519E-2</v>
      </c>
      <c r="Q233" s="19">
        <f ca="1">HCTrans(P233,Strike,RiskFreeRate,Dividend,Variance_T0*AnnualVarConvtr,(Simulation!G233)/250,0.5,Variance_Avg*AnnualVarConvtr,Lambda,SQRT(Simulation!N233),Rho,1,"Call")</f>
        <v>29.023356692573202</v>
      </c>
      <c r="R233" s="19">
        <f ca="1">ImpliedVolatility("Call",P233,Strike,RiskFreeRate,G233/250,Dividend,Q233,0.5)</f>
        <v>0.74042409652675867</v>
      </c>
      <c r="S233" s="19">
        <f t="shared" ca="1" si="50"/>
        <v>0.55050445010581117</v>
      </c>
      <c r="T233" s="19">
        <f t="shared" ca="1" si="51"/>
        <v>11.0365960405734</v>
      </c>
      <c r="U233" s="19">
        <f t="shared" ca="1" si="52"/>
        <v>-26.142344578669412</v>
      </c>
      <c r="V233" s="21"/>
      <c r="X233" s="22"/>
      <c r="Y233" s="22"/>
      <c r="Z233" s="22"/>
    </row>
    <row r="234" spans="7:26" x14ac:dyDescent="0.25">
      <c r="G234" s="19">
        <v>21</v>
      </c>
      <c r="H234" s="19">
        <f t="shared" ca="1" si="53"/>
        <v>0.56264723062011179</v>
      </c>
      <c r="I234" s="19">
        <f t="shared" ca="1" si="53"/>
        <v>0.25428074189276539</v>
      </c>
      <c r="J234" s="19">
        <f t="shared" ca="1" si="45"/>
        <v>-2.8842582764912729E-2</v>
      </c>
      <c r="K234" s="19">
        <f t="shared" ca="1" si="46"/>
        <v>1.0720881386690659</v>
      </c>
      <c r="L234" s="19">
        <f t="array" aca="1" ref="L234:M234" ca="1">MMULT(J234:K234,TRANSPOSE($B$10:$C$11))</f>
        <v>-2.8842582764912729E-2</v>
      </c>
      <c r="M234" s="19">
        <f ca="1"/>
        <v>0.76854055686209966</v>
      </c>
      <c r="N234" s="20">
        <f t="shared" ca="1" si="47"/>
        <v>9.1361672010926605E-3</v>
      </c>
      <c r="O234" s="20">
        <f t="shared" ca="1" si="48"/>
        <v>0.17990134086346693</v>
      </c>
      <c r="P234" s="19">
        <f t="shared" ca="1" si="49"/>
        <v>4.5218900965590926E-2</v>
      </c>
      <c r="Q234" s="19">
        <f ca="1">HCTrans(P234,Strike,RiskFreeRate,Dividend,Variance_T0*AnnualVarConvtr,(Simulation!G234)/250,0.5,Variance_Avg*AnnualVarConvtr,Lambda,SQRT(Simulation!N234),Rho,1,"Call")</f>
        <v>29.023356692573202</v>
      </c>
      <c r="R234" s="19">
        <f ca="1">ImpliedVolatility("Call",P234,Strike,RiskFreeRate,G234/250,Dividend,Q234,0.5)</f>
        <v>0.74042409652675867</v>
      </c>
      <c r="S234" s="19">
        <f t="shared" ca="1" si="50"/>
        <v>0.55050445010581117</v>
      </c>
      <c r="T234" s="19">
        <f t="shared" ca="1" si="51"/>
        <v>11.0365960405734</v>
      </c>
      <c r="U234" s="19">
        <f t="shared" ca="1" si="52"/>
        <v>-26.142344578669412</v>
      </c>
      <c r="V234" s="21"/>
      <c r="X234" s="22"/>
      <c r="Y234" s="22"/>
      <c r="Z234" s="22"/>
    </row>
    <row r="235" spans="7:26" x14ac:dyDescent="0.25">
      <c r="G235" s="19">
        <v>20</v>
      </c>
      <c r="H235" s="19">
        <f t="shared" ca="1" si="53"/>
        <v>0.18818702537719312</v>
      </c>
      <c r="I235" s="19">
        <f t="shared" ca="1" si="53"/>
        <v>0.30445595765366573</v>
      </c>
      <c r="J235" s="19">
        <f t="shared" ca="1" si="45"/>
        <v>-0.61324321885668465</v>
      </c>
      <c r="K235" s="19">
        <f t="shared" ca="1" si="46"/>
        <v>1.7217928865461971</v>
      </c>
      <c r="L235" s="19">
        <f t="array" aca="1" ref="L235:M235" ca="1">MMULT(J235:K235,TRANSPOSE($B$10:$C$11))</f>
        <v>-0.61324321885668465</v>
      </c>
      <c r="M235" s="19">
        <f ca="1"/>
        <v>1.6404892579212937</v>
      </c>
      <c r="N235" s="20">
        <f t="shared" ca="1" si="47"/>
        <v>1.3374470225044845E-2</v>
      </c>
      <c r="O235" s="20">
        <f t="shared" ca="1" si="48"/>
        <v>0.17617587917134256</v>
      </c>
      <c r="P235" s="19">
        <f t="shared" ca="1" si="49"/>
        <v>4.3611939649722098E-2</v>
      </c>
      <c r="Q235" s="19">
        <f ca="1">HCTrans(P235,Strike,RiskFreeRate,Dividend,Variance_T0*AnnualVarConvtr,(Simulation!G235)/250,0.5,Variance_Avg*AnnualVarConvtr,Lambda,SQRT(Simulation!N235),Rho,1,"Call")</f>
        <v>29.023356692573202</v>
      </c>
      <c r="R235" s="19">
        <f ca="1">ImpliedVolatility("Call",P235,Strike,RiskFreeRate,G235/250,Dividend,Q235,0.5)</f>
        <v>0.74042409652675867</v>
      </c>
      <c r="S235" s="19">
        <f t="shared" ca="1" si="50"/>
        <v>0.55050445010581117</v>
      </c>
      <c r="T235" s="19">
        <f t="shared" ca="1" si="51"/>
        <v>11.0365960405734</v>
      </c>
      <c r="U235" s="19">
        <f t="shared" ca="1" si="52"/>
        <v>-26.142344578669412</v>
      </c>
      <c r="V235" s="21"/>
      <c r="X235" s="22"/>
      <c r="Y235" s="22"/>
      <c r="Z235" s="22"/>
    </row>
    <row r="236" spans="7:26" x14ac:dyDescent="0.25">
      <c r="G236" s="19">
        <v>19</v>
      </c>
      <c r="H236" s="19">
        <f t="shared" ca="1" si="53"/>
        <v>0.33148283337513873</v>
      </c>
      <c r="I236" s="19">
        <f t="shared" ca="1" si="53"/>
        <v>0.34108758567246955</v>
      </c>
      <c r="J236" s="19">
        <f t="shared" ca="1" si="45"/>
        <v>-0.80482337261827519</v>
      </c>
      <c r="K236" s="19">
        <f t="shared" ca="1" si="46"/>
        <v>1.2492469130089108</v>
      </c>
      <c r="L236" s="19">
        <f t="array" aca="1" ref="L236:M236" ca="1">MMULT(J236:K236,TRANSPOSE($B$10:$C$11))</f>
        <v>-0.80482337261827519</v>
      </c>
      <c r="M236" s="19">
        <f ca="1"/>
        <v>1.4481144668885921</v>
      </c>
      <c r="N236" s="20">
        <f t="shared" ca="1" si="47"/>
        <v>1.7762582982169182E-2</v>
      </c>
      <c r="O236" s="20">
        <f t="shared" ca="1" si="48"/>
        <v>0.17026247135319211</v>
      </c>
      <c r="P236" s="19">
        <f t="shared" ca="1" si="49"/>
        <v>4.2245699776354735E-2</v>
      </c>
      <c r="Q236" s="19">
        <f ca="1">HCTrans(P236,Strike,RiskFreeRate,Dividend,Variance_T0*AnnualVarConvtr,(Simulation!G236)/250,0.5,Variance_Avg*AnnualVarConvtr,Lambda,SQRT(Simulation!N236),Rho,1,"Call")</f>
        <v>29.023356692573202</v>
      </c>
      <c r="R236" s="19">
        <f ca="1">ImpliedVolatility("Call",P236,Strike,RiskFreeRate,G236/250,Dividend,Q236,0.5)</f>
        <v>0.74042409652675867</v>
      </c>
      <c r="S236" s="19">
        <f t="shared" ca="1" si="50"/>
        <v>0.55050445010581117</v>
      </c>
      <c r="T236" s="19">
        <f t="shared" ca="1" si="51"/>
        <v>11.0365960405734</v>
      </c>
      <c r="U236" s="19">
        <f t="shared" ca="1" si="52"/>
        <v>-26.142344578669412</v>
      </c>
      <c r="V236" s="21"/>
      <c r="X236" s="22"/>
      <c r="Y236" s="22"/>
      <c r="Z236" s="22"/>
    </row>
    <row r="237" spans="7:26" x14ac:dyDescent="0.25">
      <c r="G237" s="19">
        <v>18</v>
      </c>
      <c r="H237" s="19">
        <f t="shared" ca="1" si="53"/>
        <v>0.53370239653642171</v>
      </c>
      <c r="I237" s="19">
        <f t="shared" ca="1" si="53"/>
        <v>2.6496595161599412E-2</v>
      </c>
      <c r="J237" s="19">
        <f t="shared" ca="1" si="45"/>
        <v>1.1051455869675046</v>
      </c>
      <c r="K237" s="19">
        <f t="shared" ca="1" si="46"/>
        <v>0.18570687136892333</v>
      </c>
      <c r="L237" s="19">
        <f t="array" aca="1" ref="L237:M237" ca="1">MMULT(J237:K237,TRANSPOSE($B$10:$C$11))</f>
        <v>1.1051455869675046</v>
      </c>
      <c r="M237" s="19">
        <f ca="1"/>
        <v>-0.66229009682267759</v>
      </c>
      <c r="N237" s="20">
        <f t="shared" ca="1" si="47"/>
        <v>1.5607353801289936E-2</v>
      </c>
      <c r="O237" s="20">
        <f t="shared" ca="1" si="48"/>
        <v>0.1795423685230316</v>
      </c>
      <c r="P237" s="19">
        <f t="shared" ca="1" si="49"/>
        <v>4.1104186929567972E-2</v>
      </c>
      <c r="Q237" s="19">
        <f ca="1">HCTrans(P237,Strike,RiskFreeRate,Dividend,Variance_T0*AnnualVarConvtr,(Simulation!G237)/250,0.5,Variance_Avg*AnnualVarConvtr,Lambda,SQRT(Simulation!N237),Rho,1,"Call")</f>
        <v>29.023356692573202</v>
      </c>
      <c r="R237" s="19">
        <f ca="1">ImpliedVolatility("Call",P237,Strike,RiskFreeRate,G237/250,Dividend,Q237,0.5)</f>
        <v>0.74042409652675867</v>
      </c>
      <c r="S237" s="19">
        <f t="shared" ca="1" si="50"/>
        <v>0.55050445010581117</v>
      </c>
      <c r="T237" s="19">
        <f t="shared" ca="1" si="51"/>
        <v>11.0365960405734</v>
      </c>
      <c r="U237" s="19">
        <f t="shared" ca="1" si="52"/>
        <v>-26.142344578669412</v>
      </c>
      <c r="V237" s="21"/>
      <c r="X237" s="22"/>
      <c r="Y237" s="22"/>
      <c r="Z237" s="22"/>
    </row>
    <row r="238" spans="7:26" x14ac:dyDescent="0.25">
      <c r="G238" s="19">
        <v>17</v>
      </c>
      <c r="H238" s="19">
        <f t="shared" ca="1" si="53"/>
        <v>6.4367212739082635E-3</v>
      </c>
      <c r="I238" s="19">
        <f t="shared" ca="1" si="53"/>
        <v>0.14149067553720696</v>
      </c>
      <c r="J238" s="19">
        <f t="shared" ca="1" si="45"/>
        <v>2.0018956490702071</v>
      </c>
      <c r="K238" s="19">
        <f t="shared" ca="1" si="46"/>
        <v>2.4665534223228041</v>
      </c>
      <c r="L238" s="19">
        <f t="array" aca="1" ref="L238:M238" ca="1">MMULT(J238:K238,TRANSPOSE($B$10:$C$11))</f>
        <v>2.0018956490702071</v>
      </c>
      <c r="M238" s="19">
        <f ca="1"/>
        <v>0.28627759494665606</v>
      </c>
      <c r="N238" s="20">
        <f t="shared" ca="1" si="47"/>
        <v>1.6451242009233018E-2</v>
      </c>
      <c r="O238" s="20">
        <f t="shared" ca="1" si="48"/>
        <v>0.19532858920209584</v>
      </c>
      <c r="P238" s="19">
        <f t="shared" ca="1" si="49"/>
        <v>4.0098578557318493E-2</v>
      </c>
      <c r="Q238" s="19">
        <f ca="1">HCTrans(P238,Strike,RiskFreeRate,Dividend,Variance_T0*AnnualVarConvtr,(Simulation!G238)/250,0.5,Variance_Avg*AnnualVarConvtr,Lambda,SQRT(Simulation!N238),Rho,1,"Call")</f>
        <v>29.023356692573202</v>
      </c>
      <c r="R238" s="19">
        <f ca="1">ImpliedVolatility("Call",P238,Strike,RiskFreeRate,G238/250,Dividend,Q238,0.5)</f>
        <v>0.74042409652675867</v>
      </c>
      <c r="S238" s="19">
        <f t="shared" ca="1" si="50"/>
        <v>0.55050445010581117</v>
      </c>
      <c r="T238" s="19">
        <f t="shared" ca="1" si="51"/>
        <v>11.0365960405734</v>
      </c>
      <c r="U238" s="19">
        <f t="shared" ca="1" si="52"/>
        <v>-26.142344578669412</v>
      </c>
      <c r="V238" s="21"/>
      <c r="X238" s="22"/>
      <c r="Y238" s="22"/>
      <c r="Z238" s="22"/>
    </row>
    <row r="239" spans="7:26" x14ac:dyDescent="0.25">
      <c r="G239" s="19">
        <v>16</v>
      </c>
      <c r="H239" s="19">
        <f t="shared" ca="1" si="53"/>
        <v>0.49105233248250935</v>
      </c>
      <c r="I239" s="19">
        <f t="shared" ca="1" si="53"/>
        <v>5.8972689021385971E-2</v>
      </c>
      <c r="J239" s="19">
        <f t="shared" ca="1" si="45"/>
        <v>1.1117068333604394</v>
      </c>
      <c r="K239" s="19">
        <f t="shared" ca="1" si="46"/>
        <v>0.43187621312049673</v>
      </c>
      <c r="L239" s="19">
        <f t="array" aca="1" ref="L239:M239" ca="1">MMULT(J239:K239,TRANSPOSE($B$10:$C$11))</f>
        <v>1.1117068333604394</v>
      </c>
      <c r="M239" s="19">
        <f ca="1"/>
        <v>-0.49526667477439418</v>
      </c>
      <c r="N239" s="20">
        <f t="shared" ca="1" si="47"/>
        <v>1.4880621788293821E-2</v>
      </c>
      <c r="O239" s="20">
        <f t="shared" ca="1" si="48"/>
        <v>0.20431388160626346</v>
      </c>
      <c r="P239" s="19">
        <f t="shared" ca="1" si="49"/>
        <v>3.9124276884121616E-2</v>
      </c>
      <c r="Q239" s="19">
        <f ca="1">HCTrans(P239,Strike,RiskFreeRate,Dividend,Variance_T0*AnnualVarConvtr,(Simulation!G239)/250,0.5,Variance_Avg*AnnualVarConvtr,Lambda,SQRT(Simulation!N239),Rho,1,"Call")</f>
        <v>29.023356692573202</v>
      </c>
      <c r="R239" s="19">
        <f ca="1">ImpliedVolatility("Call",P239,Strike,RiskFreeRate,G239/250,Dividend,Q239,0.5)</f>
        <v>0.74042409652675867</v>
      </c>
      <c r="S239" s="19">
        <f t="shared" ca="1" si="50"/>
        <v>0.55050445010581117</v>
      </c>
      <c r="T239" s="19">
        <f t="shared" ca="1" si="51"/>
        <v>11.0365960405734</v>
      </c>
      <c r="U239" s="19">
        <f t="shared" ca="1" si="52"/>
        <v>-26.142344578669412</v>
      </c>
      <c r="V239" s="21"/>
      <c r="X239" s="22"/>
      <c r="Y239" s="22"/>
      <c r="Z239" s="22"/>
    </row>
    <row r="240" spans="7:26" x14ac:dyDescent="0.25">
      <c r="G240" s="19">
        <v>15</v>
      </c>
      <c r="H240" s="19">
        <f t="shared" ca="1" si="53"/>
        <v>0.69724636903125026</v>
      </c>
      <c r="I240" s="19">
        <f t="shared" ca="1" si="53"/>
        <v>0.56610513988901667</v>
      </c>
      <c r="J240" s="19">
        <f t="shared" ca="1" si="45"/>
        <v>-0.77704631879328023</v>
      </c>
      <c r="K240" s="19">
        <f t="shared" ca="1" si="46"/>
        <v>-0.34268343779492921</v>
      </c>
      <c r="L240" s="19">
        <f t="array" aca="1" ref="L240:M240" ca="1">MMULT(J240:K240,TRANSPOSE($B$10:$C$11))</f>
        <v>-0.77704631879328023</v>
      </c>
      <c r="M240" s="19">
        <f ca="1"/>
        <v>0.31770214479466086</v>
      </c>
      <c r="N240" s="20">
        <f t="shared" ca="1" si="47"/>
        <v>1.5804550151937657E-2</v>
      </c>
      <c r="O240" s="20">
        <f t="shared" ca="1" si="48"/>
        <v>0.19828914445219351</v>
      </c>
      <c r="P240" s="19">
        <f t="shared" ca="1" si="49"/>
        <v>3.860485759975258E-2</v>
      </c>
      <c r="Q240" s="19">
        <f ca="1">HCTrans(P240,Strike,RiskFreeRate,Dividend,Variance_T0*AnnualVarConvtr,(Simulation!G240)/250,0.5,Variance_Avg*AnnualVarConvtr,Lambda,SQRT(Simulation!N240),Rho,1,"Call")</f>
        <v>29.023356692573202</v>
      </c>
      <c r="R240" s="19">
        <f ca="1">ImpliedVolatility("Call",P240,Strike,RiskFreeRate,G240/250,Dividend,Q240,0.5)</f>
        <v>0.74042409652675867</v>
      </c>
      <c r="S240" s="19">
        <f t="shared" ca="1" si="50"/>
        <v>0.55050445010581117</v>
      </c>
      <c r="T240" s="19">
        <f t="shared" ca="1" si="51"/>
        <v>11.0365960405734</v>
      </c>
      <c r="U240" s="19">
        <f t="shared" ca="1" si="52"/>
        <v>-26.142344578669412</v>
      </c>
      <c r="V240" s="21"/>
      <c r="X240" s="22"/>
      <c r="Y240" s="22"/>
      <c r="Z240" s="22"/>
    </row>
    <row r="241" spans="7:26" x14ac:dyDescent="0.25">
      <c r="G241" s="19">
        <v>14</v>
      </c>
      <c r="H241" s="19">
        <f t="shared" ca="1" si="53"/>
        <v>0.75882548903721225</v>
      </c>
      <c r="I241" s="19">
        <f t="shared" ca="1" si="53"/>
        <v>0.85829924748774777</v>
      </c>
      <c r="J241" s="19">
        <f t="shared" ca="1" si="45"/>
        <v>0.46742661403181451</v>
      </c>
      <c r="K241" s="19">
        <f t="shared" ca="1" si="46"/>
        <v>-0.57747663240543434</v>
      </c>
      <c r="L241" s="19">
        <f t="array" aca="1" ref="L241:M241" ca="1">MMULT(J241:K241,TRANSPOSE($B$10:$C$11))</f>
        <v>0.46742661403181451</v>
      </c>
      <c r="M241" s="19">
        <f ca="1"/>
        <v>-0.7377514132685814</v>
      </c>
      <c r="N241" s="20">
        <f t="shared" ca="1" si="47"/>
        <v>1.3565738366821758E-2</v>
      </c>
      <c r="O241" s="20">
        <f t="shared" ca="1" si="48"/>
        <v>0.20197403846968148</v>
      </c>
      <c r="P241" s="19">
        <f t="shared" ca="1" si="49"/>
        <v>3.8164730982095683E-2</v>
      </c>
      <c r="Q241" s="19">
        <f ca="1">HCTrans(P241,Strike,RiskFreeRate,Dividend,Variance_T0*AnnualVarConvtr,(Simulation!G241)/250,0.5,Variance_Avg*AnnualVarConvtr,Lambda,SQRT(Simulation!N241),Rho,1,"Call")</f>
        <v>29.023356692573202</v>
      </c>
      <c r="R241" s="19">
        <f ca="1">ImpliedVolatility("Call",P241,Strike,RiskFreeRate,G241/250,Dividend,Q241,0.5)</f>
        <v>0.74042409652675867</v>
      </c>
      <c r="S241" s="19">
        <f t="shared" ca="1" si="50"/>
        <v>0.55050445010581117</v>
      </c>
      <c r="T241" s="19">
        <f t="shared" ca="1" si="51"/>
        <v>11.0365960405734</v>
      </c>
      <c r="U241" s="19">
        <f t="shared" ca="1" si="52"/>
        <v>-26.142344578669412</v>
      </c>
      <c r="V241" s="21"/>
      <c r="X241" s="22"/>
      <c r="Y241" s="22"/>
      <c r="Z241" s="22"/>
    </row>
    <row r="242" spans="7:26" x14ac:dyDescent="0.25">
      <c r="G242" s="19">
        <v>13</v>
      </c>
      <c r="H242" s="19">
        <f t="shared" ca="1" si="53"/>
        <v>0.82261237851107849</v>
      </c>
      <c r="I242" s="19">
        <f t="shared" ca="1" si="53"/>
        <v>0.61099873659146053</v>
      </c>
      <c r="J242" s="19">
        <f t="shared" ca="1" si="45"/>
        <v>-0.4790094059725179</v>
      </c>
      <c r="K242" s="19">
        <f t="shared" ca="1" si="46"/>
        <v>-0.40136061032945425</v>
      </c>
      <c r="L242" s="19">
        <f t="array" aca="1" ref="L242:M242" ca="1">MMULT(J242:K242,TRANSPOSE($B$10:$C$11))</f>
        <v>-0.4790094059725179</v>
      </c>
      <c r="M242" s="19">
        <f ca="1"/>
        <v>6.3226258642346655E-2</v>
      </c>
      <c r="N242" s="20">
        <f t="shared" ca="1" si="47"/>
        <v>1.3712345493760474E-2</v>
      </c>
      <c r="O242" s="20">
        <f t="shared" ca="1" si="48"/>
        <v>0.19841836122018083</v>
      </c>
      <c r="P242" s="19">
        <f t="shared" ca="1" si="49"/>
        <v>3.7611766788023422E-2</v>
      </c>
      <c r="Q242" s="19">
        <f ca="1">HCTrans(P242,Strike,RiskFreeRate,Dividend,Variance_T0*AnnualVarConvtr,(Simulation!G242)/250,0.5,Variance_Avg*AnnualVarConvtr,Lambda,SQRT(Simulation!N242),Rho,1,"Call")</f>
        <v>29.023356692573202</v>
      </c>
      <c r="R242" s="19">
        <f ca="1">ImpliedVolatility("Call",P242,Strike,RiskFreeRate,G242/250,Dividend,Q242,0.5)</f>
        <v>0.74042409652675867</v>
      </c>
      <c r="S242" s="19">
        <f t="shared" ca="1" si="50"/>
        <v>0.55050445010581117</v>
      </c>
      <c r="T242" s="19">
        <f t="shared" ca="1" si="51"/>
        <v>11.0365960405734</v>
      </c>
      <c r="U242" s="19">
        <f t="shared" ca="1" si="52"/>
        <v>-26.142344578669412</v>
      </c>
      <c r="V242" s="21"/>
      <c r="X242" s="22"/>
      <c r="Y242" s="22"/>
      <c r="Z242" s="22"/>
    </row>
    <row r="243" spans="7:26" x14ac:dyDescent="0.25">
      <c r="G243" s="19">
        <v>12</v>
      </c>
      <c r="H243" s="19">
        <f t="shared" ca="1" si="53"/>
        <v>0.81373576746833065</v>
      </c>
      <c r="I243" s="19">
        <f t="shared" ca="1" si="53"/>
        <v>0.44874645591133144</v>
      </c>
      <c r="J243" s="19">
        <f t="shared" ca="1" si="45"/>
        <v>-0.60905231814196314</v>
      </c>
      <c r="K243" s="19">
        <f t="shared" ca="1" si="46"/>
        <v>0.20321029771908736</v>
      </c>
      <c r="L243" s="19">
        <f t="array" aca="1" ref="L243:M243" ca="1">MMULT(J243:K243,TRANSPOSE($B$10:$C$11))</f>
        <v>-0.60905231814196314</v>
      </c>
      <c r="M243" s="19">
        <f ca="1"/>
        <v>0.57814286646429824</v>
      </c>
      <c r="N243" s="20">
        <f t="shared" ca="1" si="47"/>
        <v>1.5387279681397645E-2</v>
      </c>
      <c r="O243" s="20">
        <f t="shared" ca="1" si="48"/>
        <v>0.1938802726112272</v>
      </c>
      <c r="P243" s="19">
        <f t="shared" ca="1" si="49"/>
        <v>3.7099214578688866E-2</v>
      </c>
      <c r="Q243" s="19">
        <f ca="1">HCTrans(P243,Strike,RiskFreeRate,Dividend,Variance_T0*AnnualVarConvtr,(Simulation!G243)/250,0.5,Variance_Avg*AnnualVarConvtr,Lambda,SQRT(Simulation!N243),Rho,1,"Call")</f>
        <v>29.023356692573202</v>
      </c>
      <c r="R243" s="19">
        <f ca="1">ImpliedVolatility("Call",P243,Strike,RiskFreeRate,G243/250,Dividend,Q243,0.5)</f>
        <v>0.74042409652675867</v>
      </c>
      <c r="S243" s="19">
        <f t="shared" ca="1" si="50"/>
        <v>0.55050445010581117</v>
      </c>
      <c r="T243" s="19">
        <f t="shared" ca="1" si="51"/>
        <v>11.0365960405734</v>
      </c>
      <c r="U243" s="19">
        <f t="shared" ca="1" si="52"/>
        <v>-26.142344578669412</v>
      </c>
      <c r="V243" s="21"/>
      <c r="X243" s="22"/>
      <c r="Y243" s="22"/>
      <c r="Z243" s="22"/>
    </row>
    <row r="244" spans="7:26" x14ac:dyDescent="0.25">
      <c r="G244" s="19">
        <v>11</v>
      </c>
      <c r="H244" s="19">
        <f t="shared" ca="1" si="53"/>
        <v>0.82287756436501169</v>
      </c>
      <c r="I244" s="19">
        <f t="shared" ca="1" si="53"/>
        <v>0.33513769853891617</v>
      </c>
      <c r="J244" s="19">
        <f t="shared" ca="1" si="45"/>
        <v>-0.31831864126367571</v>
      </c>
      <c r="K244" s="19">
        <f t="shared" ca="1" si="46"/>
        <v>0.53718614681093924</v>
      </c>
      <c r="L244" s="19">
        <f t="array" aca="1" ref="L244:M244" ca="1">MMULT(J244:K244,TRANSPOSE($B$10:$C$11))</f>
        <v>-0.31831864126367571</v>
      </c>
      <c r="M244" s="19">
        <f ca="1"/>
        <v>0.60280942812579119</v>
      </c>
      <c r="N244" s="20">
        <f t="shared" ca="1" si="47"/>
        <v>1.7231204487202018E-2</v>
      </c>
      <c r="O244" s="20">
        <f t="shared" ca="1" si="48"/>
        <v>0.19135218497180984</v>
      </c>
      <c r="P244" s="19">
        <f t="shared" ca="1" si="49"/>
        <v>3.647296137955041E-2</v>
      </c>
      <c r="Q244" s="19">
        <f ca="1">HCTrans(P244,Strike,RiskFreeRate,Dividend,Variance_T0*AnnualVarConvtr,(Simulation!G244)/250,0.5,Variance_Avg*AnnualVarConvtr,Lambda,SQRT(Simulation!N244),Rho,1,"Call")</f>
        <v>29.023356692573202</v>
      </c>
      <c r="R244" s="19">
        <f ca="1">ImpliedVolatility("Call",P244,Strike,RiskFreeRate,G244/250,Dividend,Q244,0.5)</f>
        <v>0.74042409652675867</v>
      </c>
      <c r="S244" s="19">
        <f t="shared" ca="1" si="50"/>
        <v>0.55050445010581117</v>
      </c>
      <c r="T244" s="19">
        <f t="shared" ca="1" si="51"/>
        <v>11.0365960405734</v>
      </c>
      <c r="U244" s="19">
        <f t="shared" ca="1" si="52"/>
        <v>-26.142344578669412</v>
      </c>
      <c r="V244" s="21"/>
      <c r="X244" s="22"/>
      <c r="Y244" s="22"/>
      <c r="Z244" s="22"/>
    </row>
    <row r="245" spans="7:26" x14ac:dyDescent="0.25">
      <c r="G245" s="19">
        <v>10</v>
      </c>
      <c r="H245" s="19">
        <f t="shared" ca="1" si="53"/>
        <v>0.68670233872745623</v>
      </c>
      <c r="I245" s="19">
        <f t="shared" ca="1" si="53"/>
        <v>0.91248214851696585</v>
      </c>
      <c r="J245" s="19">
        <f t="shared" ca="1" si="45"/>
        <v>0.73919790038616096</v>
      </c>
      <c r="K245" s="19">
        <f t="shared" ca="1" si="46"/>
        <v>-0.45309511064501218</v>
      </c>
      <c r="L245" s="19">
        <f t="array" aca="1" ref="L245:M245" ca="1">MMULT(J245:K245,TRANSPOSE($B$10:$C$11))</f>
        <v>0.73919790038616096</v>
      </c>
      <c r="M245" s="19">
        <f ca="1"/>
        <v>-0.84570859596054926</v>
      </c>
      <c r="N245" s="20">
        <f t="shared" ca="1" si="47"/>
        <v>1.4562613931012451E-2</v>
      </c>
      <c r="O245" s="20">
        <f t="shared" ca="1" si="48"/>
        <v>0.19745461538323775</v>
      </c>
      <c r="P245" s="19">
        <f t="shared" ca="1" si="49"/>
        <v>3.574653859858265E-2</v>
      </c>
      <c r="Q245" s="19">
        <f ca="1">HCTrans(P245,Strike,RiskFreeRate,Dividend,Variance_T0*AnnualVarConvtr,(Simulation!G245)/250,0.5,Variance_Avg*AnnualVarConvtr,Lambda,SQRT(Simulation!N245),Rho,1,"Call")</f>
        <v>29.023356692573202</v>
      </c>
      <c r="R245" s="19">
        <f ca="1">ImpliedVolatility("Call",P245,Strike,RiskFreeRate,G245/250,Dividend,Q245,0.5)</f>
        <v>0.74042409652675867</v>
      </c>
      <c r="S245" s="19">
        <f t="shared" ca="1" si="50"/>
        <v>0.55050445010581117</v>
      </c>
      <c r="T245" s="19">
        <f t="shared" ca="1" si="51"/>
        <v>11.0365960405734</v>
      </c>
      <c r="U245" s="19">
        <f t="shared" ca="1" si="52"/>
        <v>-26.142344578669412</v>
      </c>
      <c r="V245" s="21"/>
      <c r="X245" s="22"/>
      <c r="Y245" s="22"/>
      <c r="Z245" s="22"/>
    </row>
    <row r="246" spans="7:26" x14ac:dyDescent="0.25">
      <c r="G246" s="19">
        <v>9</v>
      </c>
      <c r="H246" s="19">
        <f t="shared" ca="1" si="53"/>
        <v>0.32532942976296175</v>
      </c>
      <c r="I246" s="19">
        <f t="shared" ca="1" si="53"/>
        <v>0.68587460627143793</v>
      </c>
      <c r="J246" s="19">
        <f t="shared" ca="1" si="45"/>
        <v>-0.58760310361688106</v>
      </c>
      <c r="K246" s="19">
        <f t="shared" ca="1" si="46"/>
        <v>-1.3786067432726887</v>
      </c>
      <c r="L246" s="19">
        <f t="array" aca="1" ref="L246:M246" ca="1">MMULT(J246:K246,TRANSPOSE($B$10:$C$11))</f>
        <v>-0.58760310361688106</v>
      </c>
      <c r="M246" s="19">
        <f ca="1"/>
        <v>-0.54068064439565799</v>
      </c>
      <c r="N246" s="20">
        <f t="shared" ca="1" si="47"/>
        <v>1.2966831259992396E-2</v>
      </c>
      <c r="O246" s="20">
        <f t="shared" ca="1" si="48"/>
        <v>0.19294078656080957</v>
      </c>
      <c r="P246" s="19">
        <f t="shared" ca="1" si="49"/>
        <v>3.5031134839568705E-2</v>
      </c>
      <c r="Q246" s="19">
        <f ca="1">HCTrans(P246,Strike,RiskFreeRate,Dividend,Variance_T0*AnnualVarConvtr,(Simulation!G246)/250,0.5,Variance_Avg*AnnualVarConvtr,Lambda,SQRT(Simulation!N246),Rho,1,"Call")</f>
        <v>29.023356692573202</v>
      </c>
      <c r="R246" s="19">
        <f ca="1">ImpliedVolatility("Call",P246,Strike,RiskFreeRate,G246/250,Dividend,Q246,0.5)</f>
        <v>0.74042409652675867</v>
      </c>
      <c r="S246" s="19">
        <f t="shared" ca="1" si="50"/>
        <v>0.55050445010581117</v>
      </c>
      <c r="T246" s="19">
        <f t="shared" ca="1" si="51"/>
        <v>11.0365960405734</v>
      </c>
      <c r="U246" s="19">
        <f t="shared" ca="1" si="52"/>
        <v>-26.142344578669412</v>
      </c>
      <c r="V246" s="21"/>
      <c r="X246" s="22"/>
      <c r="Y246" s="22"/>
      <c r="Z246" s="22"/>
    </row>
    <row r="247" spans="7:26" x14ac:dyDescent="0.25">
      <c r="G247" s="19">
        <v>8</v>
      </c>
      <c r="H247" s="19">
        <f t="shared" ca="1" si="53"/>
        <v>6.4123152597315158E-3</v>
      </c>
      <c r="I247" s="19">
        <f t="shared" ca="1" si="53"/>
        <v>0.58017634515216221</v>
      </c>
      <c r="J247" s="19">
        <f t="shared" ca="1" si="45"/>
        <v>-2.7831199073784201</v>
      </c>
      <c r="K247" s="19">
        <f t="shared" ca="1" si="46"/>
        <v>-1.5340512826341948</v>
      </c>
      <c r="L247" s="19">
        <f t="array" aca="1" ref="L247:M247" ca="1">MMULT(J247:K247,TRANSPOSE($B$10:$C$11))</f>
        <v>-2.7831199073784201</v>
      </c>
      <c r="M247" s="19">
        <f ca="1"/>
        <v>0.92397104142207365</v>
      </c>
      <c r="N247" s="20">
        <f t="shared" ca="1" si="47"/>
        <v>1.5643656201613173E-2</v>
      </c>
      <c r="O247" s="20">
        <f t="shared" ca="1" si="48"/>
        <v>0.17287110908989092</v>
      </c>
      <c r="P247" s="19">
        <f t="shared" ca="1" si="49"/>
        <v>3.4461417007460318E-2</v>
      </c>
      <c r="Q247" s="19">
        <f ca="1">HCTrans(P247,Strike,RiskFreeRate,Dividend,Variance_T0*AnnualVarConvtr,(Simulation!G247)/250,0.5,Variance_Avg*AnnualVarConvtr,Lambda,SQRT(Simulation!N247),Rho,1,"Call")</f>
        <v>29.023356692573202</v>
      </c>
      <c r="R247" s="19">
        <f ca="1">ImpliedVolatility("Call",P247,Strike,RiskFreeRate,G247/250,Dividend,Q247,0.5)</f>
        <v>0.74042409652675867</v>
      </c>
      <c r="S247" s="19">
        <f t="shared" ca="1" si="50"/>
        <v>0.55050445010581117</v>
      </c>
      <c r="T247" s="19">
        <f t="shared" ca="1" si="51"/>
        <v>11.0365960405734</v>
      </c>
      <c r="U247" s="19">
        <f t="shared" ca="1" si="52"/>
        <v>-26.142344578669412</v>
      </c>
      <c r="V247" s="21"/>
      <c r="X247" s="22"/>
      <c r="Y247" s="22"/>
      <c r="Z247" s="22"/>
    </row>
    <row r="248" spans="7:26" x14ac:dyDescent="0.25">
      <c r="G248" s="19">
        <v>7</v>
      </c>
      <c r="H248" s="19">
        <f t="shared" ca="1" si="53"/>
        <v>0.36801587444746608</v>
      </c>
      <c r="I248" s="19">
        <f t="shared" ca="1" si="53"/>
        <v>0.34338538059980506</v>
      </c>
      <c r="J248" s="19">
        <f t="shared" ca="1" si="45"/>
        <v>-0.78285382200649667</v>
      </c>
      <c r="K248" s="19">
        <f t="shared" ca="1" si="46"/>
        <v>1.1774541616071412</v>
      </c>
      <c r="L248" s="19">
        <f t="array" aca="1" ref="L248:M248" ca="1">MMULT(J248:K248,TRANSPOSE($B$10:$C$11))</f>
        <v>-0.78285382200649667</v>
      </c>
      <c r="M248" s="19">
        <f ca="1"/>
        <v>1.3822915872458128</v>
      </c>
      <c r="N248" s="20">
        <f t="shared" ca="1" si="47"/>
        <v>2.0124585850966697E-2</v>
      </c>
      <c r="O248" s="20">
        <f t="shared" ca="1" si="48"/>
        <v>0.16664712517332356</v>
      </c>
      <c r="P248" s="19">
        <f t="shared" ca="1" si="49"/>
        <v>3.3839955008501621E-2</v>
      </c>
      <c r="Q248" s="19">
        <f ca="1">HCTrans(P248,Strike,RiskFreeRate,Dividend,Variance_T0*AnnualVarConvtr,(Simulation!G248)/250,0.5,Variance_Avg*AnnualVarConvtr,Lambda,SQRT(Simulation!N248),Rho,1,"Call")</f>
        <v>29.023356692573202</v>
      </c>
      <c r="R248" s="19">
        <f ca="1">ImpliedVolatility("Call",P248,Strike,RiskFreeRate,G248/250,Dividend,Q248,0.5)</f>
        <v>0.74042409652675867</v>
      </c>
      <c r="S248" s="19">
        <f t="shared" ca="1" si="50"/>
        <v>0.55050445010581117</v>
      </c>
      <c r="T248" s="19">
        <f t="shared" ca="1" si="51"/>
        <v>11.0365960405734</v>
      </c>
      <c r="U248" s="19">
        <f t="shared" ca="1" si="52"/>
        <v>-26.142344578669412</v>
      </c>
      <c r="V248" s="21"/>
      <c r="X248" s="22"/>
      <c r="Y248" s="22"/>
      <c r="Z248" s="22"/>
    </row>
    <row r="249" spans="7:26" x14ac:dyDescent="0.25">
      <c r="G249" s="19">
        <v>6</v>
      </c>
      <c r="H249" s="19">
        <f t="shared" ca="1" si="53"/>
        <v>7.6377292680897324E-2</v>
      </c>
      <c r="I249" s="19">
        <f t="shared" ca="1" si="53"/>
        <v>0.14563500565667686</v>
      </c>
      <c r="J249" s="19">
        <f t="shared" ca="1" si="45"/>
        <v>1.3829544762819879</v>
      </c>
      <c r="K249" s="19">
        <f t="shared" ca="1" si="46"/>
        <v>1.7976586447218412</v>
      </c>
      <c r="L249" s="19">
        <f t="array" aca="1" ref="L249:M249" ca="1">MMULT(J249:K249,TRANSPOSE($B$10:$C$11))</f>
        <v>1.3829544762819879</v>
      </c>
      <c r="M249" s="19">
        <f ca="1"/>
        <v>0.26313658293225761</v>
      </c>
      <c r="N249" s="20">
        <f t="shared" ca="1" si="47"/>
        <v>2.0980975108694074E-2</v>
      </c>
      <c r="O249" s="20">
        <f t="shared" ca="1" si="48"/>
        <v>0.17901486374640105</v>
      </c>
      <c r="P249" s="19">
        <f t="shared" ca="1" si="49"/>
        <v>3.3137844404178232E-2</v>
      </c>
      <c r="Q249" s="19">
        <f ca="1">HCTrans(P249,Strike,RiskFreeRate,Dividend,Variance_T0*AnnualVarConvtr,(Simulation!G249)/250,0.5,Variance_Avg*AnnualVarConvtr,Lambda,SQRT(Simulation!N249),Rho,1,"Call")</f>
        <v>29.023356692573202</v>
      </c>
      <c r="R249" s="19">
        <f ca="1">ImpliedVolatility("Call",P249,Strike,RiskFreeRate,G249/250,Dividend,Q249,0.5)</f>
        <v>0.74042409652675867</v>
      </c>
      <c r="S249" s="19">
        <f t="shared" ca="1" si="50"/>
        <v>0.55050445010581117</v>
      </c>
      <c r="T249" s="19">
        <f t="shared" ca="1" si="51"/>
        <v>11.0365960405734</v>
      </c>
      <c r="U249" s="19">
        <f t="shared" ca="1" si="52"/>
        <v>-26.142344578669412</v>
      </c>
      <c r="V249" s="21"/>
      <c r="X249" s="22"/>
      <c r="Y249" s="22"/>
      <c r="Z249" s="22"/>
    </row>
    <row r="250" spans="7:26" x14ac:dyDescent="0.25">
      <c r="G250" s="19">
        <v>5</v>
      </c>
      <c r="H250" s="19">
        <f t="shared" ca="1" si="53"/>
        <v>0.91584483652602189</v>
      </c>
      <c r="I250" s="19">
        <f t="shared" ca="1" si="53"/>
        <v>0.85879585220740606</v>
      </c>
      <c r="J250" s="19">
        <f t="shared" ca="1" si="45"/>
        <v>0.26482302273616676</v>
      </c>
      <c r="K250" s="19">
        <f t="shared" ca="1" si="46"/>
        <v>-0.32509292336132734</v>
      </c>
      <c r="L250" s="19">
        <f t="array" aca="1" ref="L250:M250" ca="1">MMULT(J250:K250,TRANSPOSE($B$10:$C$11))</f>
        <v>0.26482302273616676</v>
      </c>
      <c r="M250" s="19">
        <f ca="1"/>
        <v>-0.41652632261233036</v>
      </c>
      <c r="N250" s="20">
        <f t="shared" ca="1" si="47"/>
        <v>1.945379552273262E-2</v>
      </c>
      <c r="O250" s="20">
        <f t="shared" ca="1" si="48"/>
        <v>0.18139894521022348</v>
      </c>
      <c r="P250" s="19">
        <f t="shared" ca="1" si="49"/>
        <v>3.252970427075625E-2</v>
      </c>
      <c r="Q250" s="19">
        <f ca="1">HCTrans(P250,Strike,RiskFreeRate,Dividend,Variance_T0*AnnualVarConvtr,(Simulation!G250)/250,0.5,Variance_Avg*AnnualVarConvtr,Lambda,SQRT(Simulation!N250),Rho,1,"Call")</f>
        <v>29.023356692573202</v>
      </c>
      <c r="R250" s="19">
        <f ca="1">ImpliedVolatility("Call",P250,Strike,RiskFreeRate,G250/250,Dividend,Q250,0.5)</f>
        <v>0.74042409652675867</v>
      </c>
      <c r="S250" s="19">
        <f t="shared" ca="1" si="50"/>
        <v>0.55050445010581117</v>
      </c>
      <c r="T250" s="19">
        <f t="shared" ca="1" si="51"/>
        <v>11.0365960405734</v>
      </c>
      <c r="U250" s="19">
        <f t="shared" ca="1" si="52"/>
        <v>-26.142344578669412</v>
      </c>
      <c r="V250" s="21"/>
      <c r="X250" s="22"/>
      <c r="Y250" s="22"/>
      <c r="Z250" s="22"/>
    </row>
    <row r="251" spans="7:26" x14ac:dyDescent="0.25">
      <c r="G251" s="19">
        <v>4</v>
      </c>
      <c r="H251" s="19">
        <f t="shared" ca="1" si="53"/>
        <v>0.50442498371373623</v>
      </c>
      <c r="I251" s="19">
        <f t="shared" ca="1" si="53"/>
        <v>0.18132241756328815</v>
      </c>
      <c r="J251" s="19">
        <f t="shared" ca="1" si="45"/>
        <v>0.48930767619568633</v>
      </c>
      <c r="K251" s="19">
        <f t="shared" ca="1" si="46"/>
        <v>1.0626618875034277</v>
      </c>
      <c r="L251" s="19">
        <f t="array" aca="1" ref="L251:M251" ca="1">MMULT(J251:K251,TRANSPOSE($B$10:$C$11))</f>
        <v>0.48930767619568633</v>
      </c>
      <c r="M251" s="19">
        <f ca="1"/>
        <v>0.39071026518398094</v>
      </c>
      <c r="N251" s="20">
        <f t="shared" ca="1" si="47"/>
        <v>2.0747198790427746E-2</v>
      </c>
      <c r="O251" s="20">
        <f t="shared" ca="1" si="48"/>
        <v>0.1856763632186853</v>
      </c>
      <c r="P251" s="19">
        <f t="shared" ca="1" si="49"/>
        <v>3.1954089588291851E-2</v>
      </c>
      <c r="Q251" s="19">
        <f ca="1">HCTrans(P251,Strike,RiskFreeRate,Dividend,Variance_T0*AnnualVarConvtr,(Simulation!G251)/250,0.5,Variance_Avg*AnnualVarConvtr,Lambda,SQRT(Simulation!N251),Rho,1,"Call")</f>
        <v>29.023356692573202</v>
      </c>
      <c r="R251" s="19">
        <f ca="1">ImpliedVolatility("Call",P251,Strike,RiskFreeRate,G251/250,Dividend,Q251,0.5)</f>
        <v>0.74042409652675867</v>
      </c>
      <c r="S251" s="19">
        <f t="shared" ca="1" si="50"/>
        <v>0.55050445010581117</v>
      </c>
      <c r="T251" s="19">
        <f t="shared" ca="1" si="51"/>
        <v>11.0365960405734</v>
      </c>
      <c r="U251" s="19">
        <f t="shared" ca="1" si="52"/>
        <v>-26.142344578669412</v>
      </c>
      <c r="V251" s="21"/>
      <c r="X251" s="22"/>
      <c r="Y251" s="22"/>
      <c r="Z251" s="22"/>
    </row>
    <row r="252" spans="7:26" x14ac:dyDescent="0.25">
      <c r="G252" s="19">
        <v>3</v>
      </c>
      <c r="H252" s="19">
        <f t="shared" ca="1" si="53"/>
        <v>0.88876336269041523</v>
      </c>
      <c r="I252" s="19">
        <f t="shared" ca="1" si="53"/>
        <v>0.13366715254763395</v>
      </c>
      <c r="J252" s="19">
        <f t="shared" ca="1" si="45"/>
        <v>0.32420049420589442</v>
      </c>
      <c r="K252" s="19">
        <f t="shared" ca="1" si="46"/>
        <v>0.36158341328122023</v>
      </c>
      <c r="L252" s="19">
        <f t="array" aca="1" ref="L252:M252" ca="1">MMULT(J252:K252,TRANSPOSE($B$10:$C$11))</f>
        <v>0.32420049420589442</v>
      </c>
      <c r="M252" s="19">
        <f ca="1"/>
        <v>1.9946267448023247E-2</v>
      </c>
      <c r="N252" s="20">
        <f t="shared" ca="1" si="47"/>
        <v>2.0745072488863637E-2</v>
      </c>
      <c r="O252" s="20">
        <f t="shared" ca="1" si="48"/>
        <v>0.18858827651756421</v>
      </c>
      <c r="P252" s="19">
        <f t="shared" ca="1" si="49"/>
        <v>3.1388660668835083E-2</v>
      </c>
      <c r="Q252" s="19">
        <f ca="1">HCTrans(P252,Strike,RiskFreeRate,Dividend,Variance_T0*AnnualVarConvtr,(Simulation!G252)/250,0.5,Variance_Avg*AnnualVarConvtr,Lambda,SQRT(Simulation!N252),Rho,1,"Call")</f>
        <v>29.023356692573202</v>
      </c>
      <c r="R252" s="19">
        <f ca="1">ImpliedVolatility("Call",P252,Strike,RiskFreeRate,G252/250,Dividend,Q252,0.5)</f>
        <v>0.74042409652675867</v>
      </c>
      <c r="S252" s="19">
        <f t="shared" ca="1" si="50"/>
        <v>0.55050445010581117</v>
      </c>
      <c r="T252" s="19">
        <f t="shared" ca="1" si="51"/>
        <v>11.0365960405734</v>
      </c>
      <c r="U252" s="19">
        <f t="shared" ca="1" si="52"/>
        <v>-26.142344578669412</v>
      </c>
      <c r="V252" s="21"/>
      <c r="X252" s="22"/>
      <c r="Y252" s="22"/>
      <c r="Z252" s="22"/>
    </row>
    <row r="253" spans="7:26" x14ac:dyDescent="0.25">
      <c r="G253" s="19">
        <v>2</v>
      </c>
      <c r="H253" s="19">
        <f t="shared" ca="1" si="53"/>
        <v>0.49574228703758827</v>
      </c>
      <c r="I253" s="19">
        <f t="shared" ca="1" si="53"/>
        <v>0.40947862122266865</v>
      </c>
      <c r="J253" s="19">
        <f t="shared" ca="1" si="45"/>
        <v>-0.99814916250202335</v>
      </c>
      <c r="K253" s="19">
        <f t="shared" ca="1" si="46"/>
        <v>0.63804105599996963</v>
      </c>
      <c r="L253" s="19">
        <f t="array" aca="1" ref="L253:M253" ca="1">MMULT(J253:K253,TRANSPOSE($B$10:$C$11))</f>
        <v>-0.99814916250202335</v>
      </c>
      <c r="M253" s="19">
        <f ca="1"/>
        <v>1.1602630793412991</v>
      </c>
      <c r="N253" s="20">
        <f t="shared" ca="1" si="47"/>
        <v>2.4972496637874653E-2</v>
      </c>
      <c r="O253" s="20">
        <f t="shared" ca="1" si="48"/>
        <v>0.17945429451676365</v>
      </c>
      <c r="P253" s="19">
        <f t="shared" ca="1" si="49"/>
        <v>3.0776907809186675E-2</v>
      </c>
      <c r="Q253" s="19">
        <f ca="1">HCTrans(P253,Strike,RiskFreeRate,Dividend,Variance_T0*AnnualVarConvtr,(Simulation!G253)/250,0.5,Variance_Avg*AnnualVarConvtr,Lambda,SQRT(Simulation!N253),Rho,1,"Call")</f>
        <v>29.023356692573202</v>
      </c>
      <c r="R253" s="19">
        <f ca="1">ImpliedVolatility("Call",P253,Strike,RiskFreeRate,G253/250,Dividend,Q253,0.5)</f>
        <v>0.74042409652675867</v>
      </c>
      <c r="S253" s="19">
        <f t="shared" ca="1" si="50"/>
        <v>0.55050445010581117</v>
      </c>
      <c r="T253" s="19">
        <f t="shared" ca="1" si="51"/>
        <v>11.0365960405734</v>
      </c>
      <c r="U253" s="19">
        <f t="shared" ca="1" si="52"/>
        <v>-26.142344578669412</v>
      </c>
      <c r="V253" s="21"/>
      <c r="X253" s="22"/>
      <c r="Y253" s="22"/>
      <c r="Z253" s="22"/>
    </row>
    <row r="254" spans="7:26" x14ac:dyDescent="0.25">
      <c r="G254" s="19">
        <v>1</v>
      </c>
      <c r="H254" s="19">
        <f t="shared" ca="1" si="53"/>
        <v>0.31818677525650951</v>
      </c>
      <c r="I254" s="19">
        <f t="shared" ca="1" si="53"/>
        <v>0.45137334057935585</v>
      </c>
      <c r="J254" s="19">
        <f t="shared" ca="1" si="45"/>
        <v>-1.4432647302795421</v>
      </c>
      <c r="K254" s="19">
        <f t="shared" ca="1" si="46"/>
        <v>0.45521463994981282</v>
      </c>
      <c r="L254" s="19">
        <f t="array" aca="1" ref="L254:M254" ca="1">MMULT(J254:K254,TRANSPOSE($B$10:$C$11))</f>
        <v>-1.4432647302795421</v>
      </c>
      <c r="M254" s="19">
        <f ca="1"/>
        <v>1.3516510358618963</v>
      </c>
      <c r="N254" s="20">
        <f t="shared" ca="1" si="47"/>
        <v>3.0389544148993659E-2</v>
      </c>
      <c r="O254" s="20">
        <f t="shared" ca="1" si="48"/>
        <v>0.16497964333186999</v>
      </c>
      <c r="P254" s="19">
        <f t="shared" ca="1" si="49"/>
        <v>3.0171686879545453E-2</v>
      </c>
      <c r="Q254" s="19">
        <f ca="1">HCTrans(P254,Strike,RiskFreeRate,Dividend,Variance_T0*AnnualVarConvtr,(Simulation!G254)/250,0.5,Variance_Avg*AnnualVarConvtr,Lambda,SQRT(Simulation!N254),Rho,1,"Call")</f>
        <v>29.023356692573202</v>
      </c>
      <c r="R254" s="19">
        <f ca="1">ImpliedVolatility("Call",P254,Strike,RiskFreeRate,G254/250,Dividend,Q254,0.5)</f>
        <v>0.74042409652675867</v>
      </c>
      <c r="S254" s="19">
        <f t="shared" ca="1" si="50"/>
        <v>0.55050445010581117</v>
      </c>
      <c r="T254" s="19">
        <f t="shared" ca="1" si="51"/>
        <v>11.0365960405734</v>
      </c>
      <c r="U254" s="19">
        <f t="shared" ca="1" si="52"/>
        <v>-26.142344578669412</v>
      </c>
      <c r="V254" s="21"/>
      <c r="X254" s="22"/>
      <c r="Y254" s="22"/>
      <c r="Z254" s="22"/>
    </row>
  </sheetData>
  <mergeCells count="6">
    <mergeCell ref="G1:AD1"/>
    <mergeCell ref="G2:M2"/>
    <mergeCell ref="N2:P2"/>
    <mergeCell ref="R2:U2"/>
    <mergeCell ref="V2:Z2"/>
    <mergeCell ref="AA2:AD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Inputs</vt:lpstr>
      <vt:lpstr>Simulation</vt:lpstr>
      <vt:lpstr>Graph</vt:lpstr>
      <vt:lpstr>AnnualVarConvtr</vt:lpstr>
      <vt:lpstr>Dividend</vt:lpstr>
      <vt:lpstr>Eta</vt:lpstr>
      <vt:lpstr>Lambda</vt:lpstr>
      <vt:lpstr>Rho</vt:lpstr>
      <vt:lpstr>RiskFreeRate</vt:lpstr>
      <vt:lpstr>StockPrice_T0</vt:lpstr>
      <vt:lpstr>Strike</vt:lpstr>
      <vt:lpstr>Variance_Avg</vt:lpstr>
      <vt:lpstr>Variance_T0</vt:lpstr>
    </vt:vector>
  </TitlesOfParts>
  <Company>Barclays Capital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siluvaie</dc:creator>
  <cp:lastModifiedBy>Edwin</cp:lastModifiedBy>
  <dcterms:created xsi:type="dcterms:W3CDTF">2014-12-23T13:54:23Z</dcterms:created>
  <dcterms:modified xsi:type="dcterms:W3CDTF">2015-01-04T20:30:25Z</dcterms:modified>
</cp:coreProperties>
</file>