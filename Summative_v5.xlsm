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05" windowWidth="19155" windowHeight="11760" activeTab="1"/>
  </bookViews>
  <sheets>
    <sheet name="Inputs" sheetId="4" r:id="rId1"/>
    <sheet name="Simulation" sheetId="5" r:id="rId2"/>
    <sheet name="Graph" sheetId="6" r:id="rId3"/>
  </sheets>
  <functionGroups builtInGroupCount="17"/>
  <externalReferences>
    <externalReference r:id="rId4"/>
  </externalReferences>
  <definedNames>
    <definedName name="AnnualVarConvtr" localSheetId="2">[1]Inputs!$H$4</definedName>
    <definedName name="AnnualVarConvtr" localSheetId="1">[1]Inputs!$H$4</definedName>
    <definedName name="AnnualVarConvtr">Inputs!$H$4</definedName>
    <definedName name="Dividend" localSheetId="2">[1]Inputs!$C$10</definedName>
    <definedName name="Dividend" localSheetId="1">[1]Inputs!$C$10</definedName>
    <definedName name="Dividend">Inputs!$C$10</definedName>
    <definedName name="Eta" localSheetId="2">[1]Inputs!$C$6</definedName>
    <definedName name="Eta" localSheetId="1">[1]Inputs!$C$6</definedName>
    <definedName name="Eta">Inputs!$C$6</definedName>
    <definedName name="Lambda" localSheetId="2">[1]Inputs!$C$8</definedName>
    <definedName name="Lambda" localSheetId="1">[1]Inputs!$C$8</definedName>
    <definedName name="Lambda">Inputs!$C$8</definedName>
    <definedName name="Rho" localSheetId="2">[1]Inputs!$C$7</definedName>
    <definedName name="Rho" localSheetId="1">[1]Inputs!$C$7</definedName>
    <definedName name="Rho">Inputs!$C$7</definedName>
    <definedName name="RiskFreeRate" localSheetId="2">[1]Inputs!$C$9</definedName>
    <definedName name="RiskFreeRate" localSheetId="1">[1]Inputs!$C$9</definedName>
    <definedName name="RiskFreeRate">Inputs!$C$9</definedName>
    <definedName name="StockPrice_T0">Inputs!$C$11</definedName>
    <definedName name="Strike" localSheetId="2">[1]Inputs!$C$12</definedName>
    <definedName name="Strike" localSheetId="1">[1]Inputs!$C$12</definedName>
    <definedName name="Strike">Inputs!$C$12</definedName>
    <definedName name="Variance_Avg" localSheetId="2">[1]Inputs!$C$4</definedName>
    <definedName name="Variance_Avg" localSheetId="1">[1]Inputs!$C$4</definedName>
    <definedName name="Variance_Avg">Inputs!$C$4</definedName>
    <definedName name="Variance_T0" localSheetId="2">[1]Inputs!$C$5</definedName>
    <definedName name="Variance_T0" localSheetId="1">[1]Inputs!$C$5</definedName>
    <definedName name="Variance_T0">Inputs!$C$5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S5" i="5" l="1"/>
  <c r="F4" i="5"/>
  <c r="N5" i="5" l="1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J238" i="5" s="1"/>
  <c r="I237" i="5"/>
  <c r="H237" i="5"/>
  <c r="I236" i="5"/>
  <c r="H236" i="5"/>
  <c r="I235" i="5"/>
  <c r="H235" i="5"/>
  <c r="I234" i="5"/>
  <c r="H234" i="5"/>
  <c r="I233" i="5"/>
  <c r="H233" i="5"/>
  <c r="I232" i="5"/>
  <c r="K232" i="5" s="1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J214" i="5" s="1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J198" i="5" s="1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J168" i="5" s="1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K150" i="5" s="1"/>
  <c r="I149" i="5"/>
  <c r="H149" i="5"/>
  <c r="I148" i="5"/>
  <c r="H148" i="5"/>
  <c r="I147" i="5"/>
  <c r="H147" i="5"/>
  <c r="I146" i="5"/>
  <c r="H146" i="5"/>
  <c r="I145" i="5"/>
  <c r="H145" i="5"/>
  <c r="I144" i="5"/>
  <c r="H144" i="5"/>
  <c r="J144" i="5" s="1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J105" i="5"/>
  <c r="I105" i="5"/>
  <c r="H105" i="5"/>
  <c r="K105" i="5" s="1"/>
  <c r="I104" i="5"/>
  <c r="H104" i="5"/>
  <c r="I103" i="5"/>
  <c r="H103" i="5"/>
  <c r="I102" i="5"/>
  <c r="H102" i="5"/>
  <c r="I101" i="5"/>
  <c r="H101" i="5"/>
  <c r="K101" i="5" s="1"/>
  <c r="I100" i="5"/>
  <c r="H100" i="5"/>
  <c r="I99" i="5"/>
  <c r="H99" i="5"/>
  <c r="K99" i="5" s="1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K83" i="5" s="1"/>
  <c r="I82" i="5"/>
  <c r="H82" i="5"/>
  <c r="I81" i="5"/>
  <c r="H81" i="5"/>
  <c r="I80" i="5"/>
  <c r="H80" i="5"/>
  <c r="I79" i="5"/>
  <c r="H79" i="5"/>
  <c r="J79" i="5" s="1"/>
  <c r="I78" i="5"/>
  <c r="H78" i="5"/>
  <c r="I77" i="5"/>
  <c r="H77" i="5"/>
  <c r="I76" i="5"/>
  <c r="H76" i="5"/>
  <c r="I75" i="5"/>
  <c r="H75" i="5"/>
  <c r="I74" i="5"/>
  <c r="H74" i="5"/>
  <c r="I73" i="5"/>
  <c r="H73" i="5"/>
  <c r="K73" i="5" s="1"/>
  <c r="I72" i="5"/>
  <c r="H72" i="5"/>
  <c r="I71" i="5"/>
  <c r="H71" i="5"/>
  <c r="J71" i="5" s="1"/>
  <c r="I70" i="5"/>
  <c r="H70" i="5"/>
  <c r="I69" i="5"/>
  <c r="H69" i="5"/>
  <c r="I68" i="5"/>
  <c r="H68" i="5"/>
  <c r="I67" i="5"/>
  <c r="H67" i="5"/>
  <c r="I66" i="5"/>
  <c r="H66" i="5"/>
  <c r="I65" i="5"/>
  <c r="H65" i="5"/>
  <c r="K65" i="5" s="1"/>
  <c r="I64" i="5"/>
  <c r="H64" i="5"/>
  <c r="I63" i="5"/>
  <c r="H63" i="5"/>
  <c r="J63" i="5" s="1"/>
  <c r="I62" i="5"/>
  <c r="H62" i="5"/>
  <c r="I61" i="5"/>
  <c r="H61" i="5"/>
  <c r="I60" i="5"/>
  <c r="H60" i="5"/>
  <c r="K60" i="5" s="1"/>
  <c r="I59" i="5"/>
  <c r="H59" i="5"/>
  <c r="I58" i="5"/>
  <c r="H58" i="5"/>
  <c r="I57" i="5"/>
  <c r="H57" i="5"/>
  <c r="I56" i="5"/>
  <c r="H56" i="5"/>
  <c r="K56" i="5" s="1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J48" i="5" s="1"/>
  <c r="I47" i="5"/>
  <c r="H47" i="5"/>
  <c r="I46" i="5"/>
  <c r="H46" i="5"/>
  <c r="I45" i="5"/>
  <c r="H45" i="5"/>
  <c r="I44" i="5"/>
  <c r="H44" i="5"/>
  <c r="J44" i="5" s="1"/>
  <c r="I43" i="5"/>
  <c r="H43" i="5"/>
  <c r="I42" i="5"/>
  <c r="H42" i="5"/>
  <c r="I41" i="5"/>
  <c r="H41" i="5"/>
  <c r="K41" i="5" s="1"/>
  <c r="I40" i="5"/>
  <c r="H40" i="5"/>
  <c r="J40" i="5" s="1"/>
  <c r="I39" i="5"/>
  <c r="H39" i="5"/>
  <c r="J39" i="5" s="1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J31" i="5" s="1"/>
  <c r="I30" i="5"/>
  <c r="H30" i="5"/>
  <c r="I29" i="5"/>
  <c r="H29" i="5"/>
  <c r="I28" i="5"/>
  <c r="H28" i="5"/>
  <c r="K28" i="5" s="1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J20" i="5" s="1"/>
  <c r="I19" i="5"/>
  <c r="H19" i="5"/>
  <c r="K19" i="5" s="1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B6" i="5"/>
  <c r="W5" i="5"/>
  <c r="V5" i="5"/>
  <c r="I5" i="5"/>
  <c r="H5" i="5"/>
  <c r="C5" i="4"/>
  <c r="H4" i="4"/>
  <c r="B10" i="5" a="1"/>
  <c r="Q5" i="5"/>
  <c r="R5" i="5" s="1"/>
  <c r="K119" i="5" l="1"/>
  <c r="J127" i="5"/>
  <c r="J131" i="5"/>
  <c r="K135" i="5"/>
  <c r="J215" i="5"/>
  <c r="J239" i="5"/>
  <c r="J176" i="5"/>
  <c r="J240" i="5"/>
  <c r="J145" i="5"/>
  <c r="K214" i="5"/>
  <c r="K120" i="5"/>
  <c r="J140" i="5"/>
  <c r="J184" i="5"/>
  <c r="K188" i="5"/>
  <c r="J192" i="5"/>
  <c r="J200" i="5"/>
  <c r="K212" i="5"/>
  <c r="J137" i="5"/>
  <c r="K160" i="5"/>
  <c r="J216" i="5"/>
  <c r="J220" i="5"/>
  <c r="J228" i="5"/>
  <c r="J248" i="5"/>
  <c r="J167" i="5"/>
  <c r="J114" i="5"/>
  <c r="K115" i="5"/>
  <c r="K9" i="5"/>
  <c r="J17" i="5"/>
  <c r="K21" i="5"/>
  <c r="K33" i="5"/>
  <c r="J72" i="5"/>
  <c r="K96" i="5"/>
  <c r="J112" i="5"/>
  <c r="J116" i="5"/>
  <c r="J120" i="5"/>
  <c r="K139" i="5"/>
  <c r="J166" i="5"/>
  <c r="K236" i="5"/>
  <c r="K240" i="5"/>
  <c r="J135" i="5"/>
  <c r="K252" i="5"/>
  <c r="J51" i="5"/>
  <c r="K6" i="5"/>
  <c r="K14" i="5"/>
  <c r="J117" i="5"/>
  <c r="J151" i="5"/>
  <c r="K155" i="5"/>
  <c r="J163" i="5"/>
  <c r="J175" i="5"/>
  <c r="J182" i="5"/>
  <c r="J180" i="5"/>
  <c r="K246" i="5"/>
  <c r="K102" i="5"/>
  <c r="K121" i="5"/>
  <c r="J125" i="5"/>
  <c r="K129" i="5"/>
  <c r="J152" i="5"/>
  <c r="J160" i="5"/>
  <c r="J179" i="5"/>
  <c r="J207" i="5"/>
  <c r="J218" i="5"/>
  <c r="K222" i="5"/>
  <c r="K17" i="5"/>
  <c r="K117" i="5"/>
  <c r="K167" i="5"/>
  <c r="K10" i="5"/>
  <c r="K57" i="5"/>
  <c r="J60" i="5"/>
  <c r="K76" i="5"/>
  <c r="K111" i="5"/>
  <c r="J115" i="5"/>
  <c r="J126" i="5"/>
  <c r="J155" i="5"/>
  <c r="J199" i="5"/>
  <c r="K238" i="5"/>
  <c r="K242" i="5"/>
  <c r="J246" i="5"/>
  <c r="K137" i="5"/>
  <c r="J159" i="5"/>
  <c r="J232" i="5"/>
  <c r="K254" i="5"/>
  <c r="K93" i="5"/>
  <c r="J108" i="5"/>
  <c r="K112" i="5"/>
  <c r="J123" i="5"/>
  <c r="K152" i="5"/>
  <c r="K166" i="5"/>
  <c r="K192" i="5"/>
  <c r="J196" i="5"/>
  <c r="K12" i="5"/>
  <c r="J43" i="5"/>
  <c r="J47" i="5"/>
  <c r="K86" i="5"/>
  <c r="K94" i="5"/>
  <c r="K124" i="5"/>
  <c r="K127" i="5"/>
  <c r="K153" i="5"/>
  <c r="K163" i="5"/>
  <c r="J178" i="5"/>
  <c r="K200" i="5"/>
  <c r="K208" i="5"/>
  <c r="J222" i="5"/>
  <c r="J230" i="5"/>
  <c r="K244" i="5"/>
  <c r="J15" i="5"/>
  <c r="J132" i="5"/>
  <c r="K190" i="5"/>
  <c r="K216" i="5"/>
  <c r="K44" i="5"/>
  <c r="J75" i="5"/>
  <c r="K110" i="5"/>
  <c r="J136" i="5"/>
  <c r="K154" i="5"/>
  <c r="J161" i="5"/>
  <c r="K172" i="5"/>
  <c r="K176" i="5"/>
  <c r="K198" i="5"/>
  <c r="J202" i="5"/>
  <c r="K206" i="5"/>
  <c r="K210" i="5"/>
  <c r="K224" i="5"/>
  <c r="J190" i="5"/>
  <c r="J208" i="5"/>
  <c r="J254" i="5"/>
  <c r="J21" i="5"/>
  <c r="J28" i="5"/>
  <c r="J56" i="5"/>
  <c r="L56" i="5" s="1" a="1"/>
  <c r="K146" i="5"/>
  <c r="J172" i="5"/>
  <c r="J236" i="5"/>
  <c r="J6" i="5"/>
  <c r="J19" i="5"/>
  <c r="J36" i="5"/>
  <c r="J76" i="5"/>
  <c r="K114" i="5"/>
  <c r="J119" i="5"/>
  <c r="J121" i="5"/>
  <c r="J124" i="5"/>
  <c r="K144" i="5"/>
  <c r="J147" i="5"/>
  <c r="K184" i="5"/>
  <c r="J191" i="5"/>
  <c r="K194" i="5"/>
  <c r="J206" i="5"/>
  <c r="J212" i="5"/>
  <c r="J224" i="5"/>
  <c r="K228" i="5"/>
  <c r="K230" i="5"/>
  <c r="K248" i="5"/>
  <c r="J12" i="5"/>
  <c r="J110" i="5"/>
  <c r="K132" i="5"/>
  <c r="K175" i="5"/>
  <c r="L175" i="5" s="1" a="1"/>
  <c r="J59" i="5"/>
  <c r="J107" i="5"/>
  <c r="K116" i="5"/>
  <c r="J143" i="5"/>
  <c r="J150" i="5"/>
  <c r="K178" i="5"/>
  <c r="K80" i="5"/>
  <c r="J188" i="5"/>
  <c r="K204" i="5"/>
  <c r="J231" i="5"/>
  <c r="J234" i="5"/>
  <c r="J252" i="5"/>
  <c r="J67" i="5"/>
  <c r="J128" i="5"/>
  <c r="J158" i="5"/>
  <c r="K174" i="5"/>
  <c r="J186" i="5"/>
  <c r="J204" i="5"/>
  <c r="K220" i="5"/>
  <c r="J247" i="5"/>
  <c r="J250" i="5"/>
  <c r="J129" i="5"/>
  <c r="L129" i="5" s="1" a="1"/>
  <c r="K68" i="5"/>
  <c r="J142" i="5"/>
  <c r="K171" i="5"/>
  <c r="K196" i="5"/>
  <c r="J223" i="5"/>
  <c r="K226" i="5"/>
  <c r="J244" i="5"/>
  <c r="K29" i="5"/>
  <c r="K113" i="5"/>
  <c r="K123" i="5"/>
  <c r="J193" i="5"/>
  <c r="K249" i="5"/>
  <c r="K143" i="5"/>
  <c r="J169" i="5"/>
  <c r="J49" i="5"/>
  <c r="K72" i="5"/>
  <c r="J109" i="5"/>
  <c r="K168" i="5"/>
  <c r="J104" i="5"/>
  <c r="K20" i="5"/>
  <c r="J138" i="5"/>
  <c r="K159" i="5"/>
  <c r="J185" i="5"/>
  <c r="J225" i="5"/>
  <c r="J241" i="5"/>
  <c r="L241" i="5" s="1" a="1"/>
  <c r="J106" i="5"/>
  <c r="J164" i="5"/>
  <c r="K182" i="5"/>
  <c r="K85" i="5"/>
  <c r="J187" i="5"/>
  <c r="J227" i="5"/>
  <c r="J251" i="5"/>
  <c r="K131" i="5"/>
  <c r="K142" i="5"/>
  <c r="K186" i="5"/>
  <c r="K202" i="5"/>
  <c r="K218" i="5"/>
  <c r="K234" i="5"/>
  <c r="K250" i="5"/>
  <c r="K36" i="5"/>
  <c r="J68" i="5"/>
  <c r="L68" i="5" s="1" a="1"/>
  <c r="J111" i="5"/>
  <c r="J139" i="5"/>
  <c r="K145" i="5"/>
  <c r="K147" i="5"/>
  <c r="J171" i="5"/>
  <c r="J189" i="5"/>
  <c r="J194" i="5"/>
  <c r="J197" i="5"/>
  <c r="J205" i="5"/>
  <c r="J210" i="5"/>
  <c r="J213" i="5"/>
  <c r="J221" i="5"/>
  <c r="J226" i="5"/>
  <c r="J229" i="5"/>
  <c r="J237" i="5"/>
  <c r="J242" i="5"/>
  <c r="J245" i="5"/>
  <c r="K253" i="5"/>
  <c r="K18" i="5"/>
  <c r="J64" i="5"/>
  <c r="J162" i="5"/>
  <c r="J32" i="5"/>
  <c r="K179" i="5"/>
  <c r="J201" i="5"/>
  <c r="J209" i="5"/>
  <c r="J217" i="5"/>
  <c r="J233" i="5"/>
  <c r="K35" i="5"/>
  <c r="K125" i="5"/>
  <c r="J195" i="5"/>
  <c r="J203" i="5"/>
  <c r="J211" i="5"/>
  <c r="J219" i="5"/>
  <c r="J235" i="5"/>
  <c r="J243" i="5"/>
  <c r="K88" i="5"/>
  <c r="J148" i="5"/>
  <c r="K40" i="5"/>
  <c r="K48" i="5"/>
  <c r="K128" i="5"/>
  <c r="K136" i="5"/>
  <c r="J10" i="5"/>
  <c r="L10" i="5" s="1" a="1"/>
  <c r="J13" i="5"/>
  <c r="K16" i="5"/>
  <c r="J18" i="5"/>
  <c r="J52" i="5"/>
  <c r="K91" i="5"/>
  <c r="J113" i="5"/>
  <c r="L113" i="5" s="1" a="1"/>
  <c r="K126" i="5"/>
  <c r="J153" i="5"/>
  <c r="J174" i="5"/>
  <c r="J183" i="5"/>
  <c r="J5" i="5"/>
  <c r="K43" i="5"/>
  <c r="J66" i="5"/>
  <c r="J78" i="5"/>
  <c r="J57" i="5"/>
  <c r="K15" i="5"/>
  <c r="J42" i="5"/>
  <c r="J54" i="5"/>
  <c r="J74" i="5"/>
  <c r="J90" i="5"/>
  <c r="K31" i="5"/>
  <c r="J33" i="5"/>
  <c r="K53" i="5"/>
  <c r="K64" i="5"/>
  <c r="K148" i="5"/>
  <c r="K169" i="5"/>
  <c r="K205" i="5"/>
  <c r="K37" i="5"/>
  <c r="K69" i="5"/>
  <c r="K45" i="5"/>
  <c r="K63" i="5"/>
  <c r="K77" i="5"/>
  <c r="J65" i="5"/>
  <c r="K39" i="5"/>
  <c r="L39" i="5" s="1" a="1"/>
  <c r="J50" i="5"/>
  <c r="J62" i="5"/>
  <c r="K71" i="5"/>
  <c r="K104" i="5"/>
  <c r="K185" i="5"/>
  <c r="K187" i="5"/>
  <c r="K189" i="5"/>
  <c r="K191" i="5"/>
  <c r="K193" i="5"/>
  <c r="K195" i="5"/>
  <c r="K197" i="5"/>
  <c r="K199" i="5"/>
  <c r="K201" i="5"/>
  <c r="K203" i="5"/>
  <c r="K207" i="5"/>
  <c r="K209" i="5"/>
  <c r="K211" i="5"/>
  <c r="K213" i="5"/>
  <c r="K215" i="5"/>
  <c r="K217" i="5"/>
  <c r="K219" i="5"/>
  <c r="K221" i="5"/>
  <c r="K223" i="5"/>
  <c r="K225" i="5"/>
  <c r="K227" i="5"/>
  <c r="K229" i="5"/>
  <c r="K231" i="5"/>
  <c r="K233" i="5"/>
  <c r="K235" i="5"/>
  <c r="K237" i="5"/>
  <c r="K239" i="5"/>
  <c r="K241" i="5"/>
  <c r="K243" i="5"/>
  <c r="K245" i="5"/>
  <c r="K247" i="5"/>
  <c r="K251" i="5"/>
  <c r="J11" i="5"/>
  <c r="J30" i="5"/>
  <c r="K49" i="5"/>
  <c r="J73" i="5"/>
  <c r="K164" i="5"/>
  <c r="J249" i="5"/>
  <c r="J253" i="5"/>
  <c r="J46" i="5"/>
  <c r="K55" i="5"/>
  <c r="K75" i="5"/>
  <c r="J34" i="5"/>
  <c r="K87" i="5"/>
  <c r="J8" i="5"/>
  <c r="J14" i="5"/>
  <c r="K32" i="5"/>
  <c r="J35" i="5"/>
  <c r="J41" i="5"/>
  <c r="K52" i="5"/>
  <c r="K95" i="5"/>
  <c r="K109" i="5"/>
  <c r="J38" i="5"/>
  <c r="K47" i="5"/>
  <c r="J55" i="5"/>
  <c r="J58" i="5"/>
  <c r="K61" i="5"/>
  <c r="K67" i="5"/>
  <c r="J70" i="5"/>
  <c r="K79" i="5"/>
  <c r="J82" i="5"/>
  <c r="J98" i="5"/>
  <c r="K106" i="5"/>
  <c r="K138" i="5"/>
  <c r="K162" i="5"/>
  <c r="AA254" i="5"/>
  <c r="AA251" i="5"/>
  <c r="AA247" i="5"/>
  <c r="AA239" i="5"/>
  <c r="AA231" i="5"/>
  <c r="AA227" i="5"/>
  <c r="AA219" i="5"/>
  <c r="AA211" i="5"/>
  <c r="AA203" i="5"/>
  <c r="AA195" i="5"/>
  <c r="AA187" i="5"/>
  <c r="AA179" i="5"/>
  <c r="AA171" i="5"/>
  <c r="AA163" i="5"/>
  <c r="AA155" i="5"/>
  <c r="AA147" i="5"/>
  <c r="AA139" i="5"/>
  <c r="AA131" i="5"/>
  <c r="AA252" i="5"/>
  <c r="AA242" i="5"/>
  <c r="AA234" i="5"/>
  <c r="AA228" i="5"/>
  <c r="AA220" i="5"/>
  <c r="AA212" i="5"/>
  <c r="AA204" i="5"/>
  <c r="AA196" i="5"/>
  <c r="AA188" i="5"/>
  <c r="AA182" i="5"/>
  <c r="AA174" i="5"/>
  <c r="AA166" i="5"/>
  <c r="AA158" i="5"/>
  <c r="AA150" i="5"/>
  <c r="AA142" i="5"/>
  <c r="AA134" i="5"/>
  <c r="AA125" i="5"/>
  <c r="AA253" i="5"/>
  <c r="AA245" i="5"/>
  <c r="AA237" i="5"/>
  <c r="AA229" i="5"/>
  <c r="AA221" i="5"/>
  <c r="AA213" i="5"/>
  <c r="AA205" i="5"/>
  <c r="AA197" i="5"/>
  <c r="AA189" i="5"/>
  <c r="AA238" i="5"/>
  <c r="AA236" i="5"/>
  <c r="AA222" i="5"/>
  <c r="AA217" i="5"/>
  <c r="AA200" i="5"/>
  <c r="AA183" i="5"/>
  <c r="AA176" i="5"/>
  <c r="AA167" i="5"/>
  <c r="AA153" i="5"/>
  <c r="AA146" i="5"/>
  <c r="AA241" i="5"/>
  <c r="AA240" i="5"/>
  <c r="AA225" i="5"/>
  <c r="AA208" i="5"/>
  <c r="AA191" i="5"/>
  <c r="AA186" i="5"/>
  <c r="AA168" i="5"/>
  <c r="AA159" i="5"/>
  <c r="AA145" i="5"/>
  <c r="AA138" i="5"/>
  <c r="AA119" i="5"/>
  <c r="AA103" i="5"/>
  <c r="AA246" i="5"/>
  <c r="AA244" i="5"/>
  <c r="AA224" i="5"/>
  <c r="AA207" i="5"/>
  <c r="AA202" i="5"/>
  <c r="AA172" i="5"/>
  <c r="AA165" i="5"/>
  <c r="AA152" i="5"/>
  <c r="AA143" i="5"/>
  <c r="AA129" i="5"/>
  <c r="AA115" i="5"/>
  <c r="AA249" i="5"/>
  <c r="AA248" i="5"/>
  <c r="AA215" i="5"/>
  <c r="AA210" i="5"/>
  <c r="AA190" i="5"/>
  <c r="AA185" i="5"/>
  <c r="AA178" i="5"/>
  <c r="AA164" i="5"/>
  <c r="AA157" i="5"/>
  <c r="AA144" i="5"/>
  <c r="AA135" i="5"/>
  <c r="AA122" i="5"/>
  <c r="AA250" i="5"/>
  <c r="AA230" i="5"/>
  <c r="AA223" i="5"/>
  <c r="AA218" i="5"/>
  <c r="AA198" i="5"/>
  <c r="AA193" i="5"/>
  <c r="AA177" i="5"/>
  <c r="AA170" i="5"/>
  <c r="AA156" i="5"/>
  <c r="AA149" i="5"/>
  <c r="AA136" i="5"/>
  <c r="AA127" i="5"/>
  <c r="AA233" i="5"/>
  <c r="AA232" i="5"/>
  <c r="AA226" i="5"/>
  <c r="AA206" i="5"/>
  <c r="AA201" i="5"/>
  <c r="AA184" i="5"/>
  <c r="AA169" i="5"/>
  <c r="AA162" i="5"/>
  <c r="AA148" i="5"/>
  <c r="AA141" i="5"/>
  <c r="AA128" i="5"/>
  <c r="AA126" i="5"/>
  <c r="AA235" i="5"/>
  <c r="AA214" i="5"/>
  <c r="AA209" i="5"/>
  <c r="AA192" i="5"/>
  <c r="AA181" i="5"/>
  <c r="AA175" i="5"/>
  <c r="AA161" i="5"/>
  <c r="AA154" i="5"/>
  <c r="AA243" i="5"/>
  <c r="AA140" i="5"/>
  <c r="AA124" i="5"/>
  <c r="AA105" i="5"/>
  <c r="AA97" i="5"/>
  <c r="AA89" i="5"/>
  <c r="AA81" i="5"/>
  <c r="AA78" i="5"/>
  <c r="AA77" i="5"/>
  <c r="AA76" i="5"/>
  <c r="AA75" i="5"/>
  <c r="AA74" i="5"/>
  <c r="AA73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60" i="5"/>
  <c r="AA59" i="5"/>
  <c r="AA58" i="5"/>
  <c r="AA57" i="5"/>
  <c r="AA56" i="5"/>
  <c r="AA55" i="5"/>
  <c r="AA54" i="5"/>
  <c r="AA53" i="5"/>
  <c r="AA52" i="5"/>
  <c r="AA51" i="5"/>
  <c r="AA50" i="5"/>
  <c r="AA49" i="5"/>
  <c r="AA48" i="5"/>
  <c r="AA47" i="5"/>
  <c r="AA46" i="5"/>
  <c r="AA45" i="5"/>
  <c r="AA44" i="5"/>
  <c r="AA43" i="5"/>
  <c r="AA42" i="5"/>
  <c r="AA41" i="5"/>
  <c r="AA40" i="5"/>
  <c r="AA39" i="5"/>
  <c r="AA38" i="5"/>
  <c r="AA37" i="5"/>
  <c r="AA36" i="5"/>
  <c r="AA35" i="5"/>
  <c r="AA34" i="5"/>
  <c r="AA33" i="5"/>
  <c r="AA32" i="5"/>
  <c r="AA31" i="5"/>
  <c r="AA30" i="5"/>
  <c r="AA29" i="5"/>
  <c r="AA28" i="5"/>
  <c r="AA27" i="5"/>
  <c r="AA180" i="5"/>
  <c r="AA160" i="5"/>
  <c r="AA106" i="5"/>
  <c r="AA102" i="5"/>
  <c r="AA94" i="5"/>
  <c r="AA86" i="5"/>
  <c r="AA133" i="5"/>
  <c r="AA118" i="5"/>
  <c r="AA108" i="5"/>
  <c r="AA107" i="5"/>
  <c r="AA99" i="5"/>
  <c r="AA91" i="5"/>
  <c r="AA83" i="5"/>
  <c r="AA26" i="5"/>
  <c r="AA216" i="5"/>
  <c r="AA173" i="5"/>
  <c r="AA132" i="5"/>
  <c r="AA194" i="5"/>
  <c r="AA130" i="5"/>
  <c r="AA111" i="5"/>
  <c r="AA98" i="5"/>
  <c r="AA90" i="5"/>
  <c r="AA82" i="5"/>
  <c r="AA112" i="5"/>
  <c r="AA16" i="5"/>
  <c r="AA199" i="5"/>
  <c r="AA120" i="5"/>
  <c r="AA101" i="5"/>
  <c r="AA93" i="5"/>
  <c r="AA85" i="5"/>
  <c r="AA14" i="5"/>
  <c r="AA12" i="5"/>
  <c r="AA10" i="5"/>
  <c r="AA151" i="5"/>
  <c r="AA137" i="5"/>
  <c r="AA7" i="5"/>
  <c r="AA121" i="5"/>
  <c r="AA116" i="5"/>
  <c r="AA24" i="5"/>
  <c r="AA20" i="5"/>
  <c r="AA18" i="5"/>
  <c r="AA8" i="5"/>
  <c r="AA5" i="5"/>
  <c r="AA114" i="5"/>
  <c r="AA21" i="5"/>
  <c r="AA92" i="5"/>
  <c r="AA104" i="5"/>
  <c r="AA15" i="5"/>
  <c r="AA110" i="5"/>
  <c r="AA96" i="5"/>
  <c r="AA117" i="5"/>
  <c r="AA109" i="5"/>
  <c r="AA22" i="5"/>
  <c r="AA19" i="5"/>
  <c r="AA17" i="5"/>
  <c r="AA13" i="5"/>
  <c r="AA23" i="5"/>
  <c r="AA6" i="5"/>
  <c r="AA25" i="5"/>
  <c r="AA100" i="5"/>
  <c r="AA84" i="5"/>
  <c r="AA113" i="5"/>
  <c r="AA95" i="5"/>
  <c r="AA87" i="5"/>
  <c r="AA79" i="5"/>
  <c r="AA9" i="5"/>
  <c r="AA123" i="5"/>
  <c r="AA88" i="5"/>
  <c r="AA80" i="5"/>
  <c r="AA11" i="5"/>
  <c r="C10" i="5"/>
  <c r="B11" i="5"/>
  <c r="C11" i="5"/>
  <c r="B10" i="5"/>
  <c r="B16" i="5" s="1" a="1"/>
  <c r="J103" i="5"/>
  <c r="K5" i="5"/>
  <c r="K11" i="5"/>
  <c r="K13" i="5"/>
  <c r="L13" i="5" s="1" a="1"/>
  <c r="J16" i="5"/>
  <c r="J29" i="5"/>
  <c r="K30" i="5"/>
  <c r="J37" i="5"/>
  <c r="K38" i="5"/>
  <c r="J45" i="5"/>
  <c r="K46" i="5"/>
  <c r="J53" i="5"/>
  <c r="K54" i="5"/>
  <c r="J61" i="5"/>
  <c r="K62" i="5"/>
  <c r="J69" i="5"/>
  <c r="K70" i="5"/>
  <c r="J77" i="5"/>
  <c r="K78" i="5"/>
  <c r="K82" i="5"/>
  <c r="K90" i="5"/>
  <c r="K98" i="5"/>
  <c r="K107" i="5"/>
  <c r="K122" i="5"/>
  <c r="J122" i="5"/>
  <c r="J22" i="5"/>
  <c r="K22" i="5"/>
  <c r="J25" i="5"/>
  <c r="K25" i="5"/>
  <c r="J7" i="5"/>
  <c r="K7" i="5"/>
  <c r="J9" i="5"/>
  <c r="J85" i="5"/>
  <c r="J93" i="5"/>
  <c r="J101" i="5"/>
  <c r="K103" i="5"/>
  <c r="J24" i="5"/>
  <c r="K24" i="5"/>
  <c r="J87" i="5"/>
  <c r="J95" i="5"/>
  <c r="K8" i="5"/>
  <c r="K34" i="5"/>
  <c r="K42" i="5"/>
  <c r="K50" i="5"/>
  <c r="K58" i="5"/>
  <c r="K66" i="5"/>
  <c r="K74" i="5"/>
  <c r="J23" i="5"/>
  <c r="K23" i="5"/>
  <c r="J84" i="5"/>
  <c r="K84" i="5"/>
  <c r="J92" i="5"/>
  <c r="K92" i="5"/>
  <c r="J100" i="5"/>
  <c r="K100" i="5"/>
  <c r="K118" i="5"/>
  <c r="J118" i="5"/>
  <c r="K51" i="5"/>
  <c r="K59" i="5"/>
  <c r="L59" i="5" s="1" a="1"/>
  <c r="K108" i="5"/>
  <c r="K130" i="5"/>
  <c r="J130" i="5"/>
  <c r="J27" i="5"/>
  <c r="K27" i="5"/>
  <c r="J134" i="5"/>
  <c r="K134" i="5"/>
  <c r="J26" i="5"/>
  <c r="K26" i="5"/>
  <c r="J81" i="5"/>
  <c r="K81" i="5"/>
  <c r="J89" i="5"/>
  <c r="K89" i="5"/>
  <c r="J97" i="5"/>
  <c r="K97" i="5"/>
  <c r="K170" i="5"/>
  <c r="J170" i="5"/>
  <c r="J149" i="5"/>
  <c r="K149" i="5"/>
  <c r="J156" i="5"/>
  <c r="K156" i="5"/>
  <c r="J177" i="5"/>
  <c r="K177" i="5"/>
  <c r="J80" i="5"/>
  <c r="J88" i="5"/>
  <c r="J96" i="5"/>
  <c r="J83" i="5"/>
  <c r="J91" i="5"/>
  <c r="J99" i="5"/>
  <c r="L124" i="5" a="1"/>
  <c r="J86" i="5"/>
  <c r="J94" i="5"/>
  <c r="J102" i="5"/>
  <c r="J173" i="5"/>
  <c r="K173" i="5"/>
  <c r="J181" i="5"/>
  <c r="K181" i="5"/>
  <c r="K140" i="5"/>
  <c r="J146" i="5"/>
  <c r="K161" i="5"/>
  <c r="J154" i="5"/>
  <c r="J133" i="5"/>
  <c r="K133" i="5"/>
  <c r="J141" i="5"/>
  <c r="K141" i="5"/>
  <c r="J157" i="5"/>
  <c r="K157" i="5"/>
  <c r="K151" i="5"/>
  <c r="K158" i="5"/>
  <c r="K180" i="5"/>
  <c r="K183" i="5"/>
  <c r="J165" i="5"/>
  <c r="K165" i="5"/>
  <c r="AB5" i="5"/>
  <c r="L180" i="5" l="1" a="1"/>
  <c r="L76" i="5" a="1"/>
  <c r="L75" i="5" a="1"/>
  <c r="L126" i="5" a="1"/>
  <c r="L111" i="5" a="1"/>
  <c r="L111" i="5" s="1"/>
  <c r="L26" i="5" a="1"/>
  <c r="L187" i="5" a="1"/>
  <c r="M187" i="5" s="1"/>
  <c r="L159" i="5" a="1"/>
  <c r="M159" i="5" s="1"/>
  <c r="L92" i="5" a="1"/>
  <c r="L54" i="5" a="1"/>
  <c r="L54" i="5" s="1"/>
  <c r="L16" i="5" a="1"/>
  <c r="L16" i="5" s="1"/>
  <c r="L123" i="5" a="1"/>
  <c r="L123" i="5" s="1"/>
  <c r="L138" i="5" a="1"/>
  <c r="M138" i="5" s="1"/>
  <c r="L233" i="5" a="1"/>
  <c r="M233" i="5" s="1"/>
  <c r="L178" i="5" a="1"/>
  <c r="M178" i="5" s="1"/>
  <c r="L78" i="5" a="1"/>
  <c r="M78" i="5" s="1"/>
  <c r="C17" i="5"/>
  <c r="B16" i="5"/>
  <c r="C16" i="5"/>
  <c r="B17" i="5"/>
  <c r="L151" i="5" a="1"/>
  <c r="L151" i="5" s="1"/>
  <c r="L135" i="5" a="1"/>
  <c r="L135" i="5" s="1"/>
  <c r="L81" i="5" a="1"/>
  <c r="L81" i="5" s="1"/>
  <c r="L100" i="5" a="1"/>
  <c r="L100" i="5" s="1"/>
  <c r="L229" i="5" a="1"/>
  <c r="L46" i="5" a="1"/>
  <c r="L46" i="5" s="1"/>
  <c r="L11" i="5" a="1"/>
  <c r="M11" i="5" s="1"/>
  <c r="L36" i="5" a="1"/>
  <c r="L36" i="5" s="1"/>
  <c r="L154" i="5" a="1"/>
  <c r="L154" i="5" s="1"/>
  <c r="L108" i="5" a="1"/>
  <c r="L108" i="5" s="1"/>
  <c r="L43" i="5" a="1"/>
  <c r="M43" i="5" s="1"/>
  <c r="L5" i="5" a="1"/>
  <c r="L53" i="5" a="1"/>
  <c r="L218" i="5" a="1"/>
  <c r="M218" i="5" s="1"/>
  <c r="L51" i="5" a="1"/>
  <c r="L51" i="5" s="1"/>
  <c r="L24" i="5" a="1"/>
  <c r="L24" i="5" s="1"/>
  <c r="L21" i="5" a="1"/>
  <c r="L21" i="5" s="1"/>
  <c r="L65" i="5" a="1"/>
  <c r="M65" i="5" s="1"/>
  <c r="L249" i="5" a="1"/>
  <c r="M249" i="5" s="1"/>
  <c r="L25" i="5" a="1"/>
  <c r="M25" i="5" s="1"/>
  <c r="L153" i="5" a="1"/>
  <c r="L153" i="5" s="1"/>
  <c r="L70" i="5" a="1"/>
  <c r="M70" i="5" s="1"/>
  <c r="L141" i="5" a="1"/>
  <c r="L141" i="5" s="1"/>
  <c r="L140" i="5" a="1"/>
  <c r="L140" i="5" s="1"/>
  <c r="L40" i="5" a="1"/>
  <c r="L40" i="5" s="1"/>
  <c r="L30" i="5" a="1"/>
  <c r="L30" i="5" s="1"/>
  <c r="L221" i="5" a="1"/>
  <c r="L221" i="5" s="1"/>
  <c r="L58" i="5" a="1"/>
  <c r="M58" i="5" s="1"/>
  <c r="L22" i="5" a="1"/>
  <c r="L22" i="5" s="1"/>
  <c r="L34" i="5" a="1"/>
  <c r="M34" i="5" s="1"/>
  <c r="L38" i="5" a="1"/>
  <c r="L38" i="5" s="1"/>
  <c r="L42" i="5" a="1"/>
  <c r="L42" i="5" s="1"/>
  <c r="L134" i="5" a="1"/>
  <c r="L134" i="5" s="1"/>
  <c r="L82" i="5" a="1"/>
  <c r="M82" i="5" s="1"/>
  <c r="L98" i="5" a="1"/>
  <c r="M98" i="5" s="1"/>
  <c r="L90" i="5" a="1"/>
  <c r="M90" i="5" s="1"/>
  <c r="L50" i="5" a="1"/>
  <c r="M50" i="5" s="1"/>
  <c r="L62" i="5" a="1"/>
  <c r="M62" i="5" s="1"/>
  <c r="L31" i="5" a="1"/>
  <c r="M31" i="5" s="1"/>
  <c r="T5" i="5"/>
  <c r="U5" i="5" s="1"/>
  <c r="AC5" i="5"/>
  <c r="AD5" i="5" s="1"/>
  <c r="L180" i="5"/>
  <c r="M180" i="5"/>
  <c r="L78" i="5"/>
  <c r="L13" i="5"/>
  <c r="M13" i="5"/>
  <c r="M54" i="5"/>
  <c r="L76" i="5"/>
  <c r="M76" i="5"/>
  <c r="L59" i="5"/>
  <c r="M59" i="5"/>
  <c r="M153" i="5"/>
  <c r="L170" i="5" a="1"/>
  <c r="L15" i="5" a="1"/>
  <c r="L68" i="5"/>
  <c r="M68" i="5"/>
  <c r="L56" i="5"/>
  <c r="M56" i="5"/>
  <c r="L126" i="5"/>
  <c r="M126" i="5"/>
  <c r="L175" i="5"/>
  <c r="M175" i="5"/>
  <c r="L25" i="5"/>
  <c r="L213" i="5" a="1"/>
  <c r="L188" i="5" a="1"/>
  <c r="L228" i="5" a="1"/>
  <c r="L41" i="5" a="1"/>
  <c r="L89" i="5" a="1"/>
  <c r="L33" i="5" a="1"/>
  <c r="L241" i="5"/>
  <c r="M241" i="5"/>
  <c r="M129" i="5"/>
  <c r="L129" i="5"/>
  <c r="L39" i="5"/>
  <c r="M39" i="5"/>
  <c r="L254" i="5" a="1"/>
  <c r="L244" i="5" a="1"/>
  <c r="L236" i="5" a="1"/>
  <c r="L222" i="5" a="1"/>
  <c r="L214" i="5" a="1"/>
  <c r="L206" i="5" a="1"/>
  <c r="L198" i="5" a="1"/>
  <c r="L190" i="5" a="1"/>
  <c r="L247" i="5" a="1"/>
  <c r="L239" i="5" a="1"/>
  <c r="L231" i="5" a="1"/>
  <c r="L223" i="5" a="1"/>
  <c r="L215" i="5" a="1"/>
  <c r="L207" i="5" a="1"/>
  <c r="L199" i="5" a="1"/>
  <c r="L191" i="5" a="1"/>
  <c r="L246" i="5" a="1"/>
  <c r="L245" i="5" a="1"/>
  <c r="L209" i="5" a="1"/>
  <c r="L203" i="5" a="1"/>
  <c r="L192" i="5" a="1"/>
  <c r="L160" i="5" a="1"/>
  <c r="L139" i="5" a="1"/>
  <c r="L253" i="5" a="1"/>
  <c r="L250" i="5" a="1"/>
  <c r="L217" i="5" a="1"/>
  <c r="L200" i="5" a="1"/>
  <c r="L152" i="5" a="1"/>
  <c r="L234" i="5" a="1"/>
  <c r="L232" i="5" a="1"/>
  <c r="L227" i="5" a="1"/>
  <c r="L216" i="5" a="1"/>
  <c r="L204" i="5" a="1"/>
  <c r="L194" i="5" a="1"/>
  <c r="L179" i="5" a="1"/>
  <c r="L136" i="5" a="1"/>
  <c r="L114" i="5" a="1"/>
  <c r="L235" i="5" a="1"/>
  <c r="L224" i="5" a="1"/>
  <c r="L212" i="5" a="1"/>
  <c r="L202" i="5" a="1"/>
  <c r="L171" i="5" a="1"/>
  <c r="L164" i="5" a="1"/>
  <c r="L142" i="5" a="1"/>
  <c r="L128" i="5" a="1"/>
  <c r="L127" i="5" a="1"/>
  <c r="L121" i="5" a="1"/>
  <c r="L238" i="5" a="1"/>
  <c r="L237" i="5" a="1"/>
  <c r="L220" i="5" a="1"/>
  <c r="L210" i="5" a="1"/>
  <c r="L185" i="5" a="1"/>
  <c r="L182" i="5" a="1"/>
  <c r="L163" i="5" a="1"/>
  <c r="L242" i="5" a="1"/>
  <c r="L193" i="5" a="1"/>
  <c r="L176" i="5" a="1"/>
  <c r="L243" i="5" a="1"/>
  <c r="L226" i="5" a="1"/>
  <c r="L201" i="5" a="1"/>
  <c r="L195" i="5" a="1"/>
  <c r="L184" i="5" a="1"/>
  <c r="L168" i="5" a="1"/>
  <c r="L251" i="5" a="1"/>
  <c r="L225" i="5" a="1"/>
  <c r="L230" i="5" a="1"/>
  <c r="L147" i="5" a="1"/>
  <c r="L219" i="5" a="1"/>
  <c r="L208" i="5" a="1"/>
  <c r="L117" i="5" a="1"/>
  <c r="L116" i="5" a="1"/>
  <c r="L109" i="5" a="1"/>
  <c r="L137" i="5" a="1"/>
  <c r="L186" i="5" a="1"/>
  <c r="L158" i="5" a="1"/>
  <c r="L252" i="5" a="1"/>
  <c r="L144" i="5" a="1"/>
  <c r="L107" i="5" a="1"/>
  <c r="L102" i="5" a="1"/>
  <c r="L94" i="5" a="1"/>
  <c r="L86" i="5" a="1"/>
  <c r="L88" i="5" a="1"/>
  <c r="L125" i="5" a="1"/>
  <c r="L9" i="5" a="1"/>
  <c r="L115" i="5" a="1"/>
  <c r="L6" i="5" a="1"/>
  <c r="L196" i="5" a="1"/>
  <c r="L96" i="5" a="1"/>
  <c r="L106" i="5" a="1"/>
  <c r="L104" i="5" a="1"/>
  <c r="L112" i="5" a="1"/>
  <c r="L80" i="5" a="1"/>
  <c r="L14" i="5" a="1"/>
  <c r="L110" i="5" a="1"/>
  <c r="L8" i="5" a="1"/>
  <c r="L181" i="5" a="1"/>
  <c r="L131" i="5" a="1"/>
  <c r="L133" i="5" a="1"/>
  <c r="L169" i="5" a="1"/>
  <c r="L248" i="5" a="1"/>
  <c r="L72" i="5" a="1"/>
  <c r="L67" i="5" a="1"/>
  <c r="L18" i="5" a="1"/>
  <c r="L83" i="5" a="1"/>
  <c r="L44" i="5" a="1"/>
  <c r="L118" i="5" a="1"/>
  <c r="L87" i="5" a="1"/>
  <c r="L85" i="5" a="1"/>
  <c r="L63" i="5" a="1"/>
  <c r="L172" i="5" a="1"/>
  <c r="L69" i="5" a="1"/>
  <c r="L37" i="5" a="1"/>
  <c r="L103" i="5" a="1"/>
  <c r="L73" i="5" a="1"/>
  <c r="L120" i="5" a="1"/>
  <c r="L20" i="5" a="1"/>
  <c r="L124" i="5"/>
  <c r="M124" i="5"/>
  <c r="L92" i="5"/>
  <c r="M92" i="5"/>
  <c r="L229" i="5"/>
  <c r="M229" i="5"/>
  <c r="L113" i="5"/>
  <c r="M113" i="5"/>
  <c r="L197" i="5" a="1"/>
  <c r="L166" i="5" a="1"/>
  <c r="L174" i="5" a="1"/>
  <c r="L61" i="5" a="1"/>
  <c r="L74" i="5" a="1"/>
  <c r="L155" i="5" a="1"/>
  <c r="L177" i="5" a="1"/>
  <c r="L64" i="5" a="1"/>
  <c r="L211" i="5" a="1"/>
  <c r="L149" i="5" a="1"/>
  <c r="L146" i="5" a="1"/>
  <c r="L240" i="5" a="1"/>
  <c r="L161" i="5" a="1"/>
  <c r="L52" i="5" a="1"/>
  <c r="L130" i="5" a="1"/>
  <c r="L95" i="5" a="1"/>
  <c r="L167" i="5" a="1"/>
  <c r="L26" i="5"/>
  <c r="M26" i="5"/>
  <c r="L75" i="5"/>
  <c r="M75" i="5"/>
  <c r="L53" i="5"/>
  <c r="M53" i="5"/>
  <c r="L10" i="5"/>
  <c r="M10" i="5"/>
  <c r="L165" i="5" a="1"/>
  <c r="L150" i="5" a="1"/>
  <c r="L32" i="5" a="1"/>
  <c r="L29" i="5" a="1"/>
  <c r="L157" i="5" a="1"/>
  <c r="L145" i="5" a="1"/>
  <c r="L28" i="5" a="1"/>
  <c r="L23" i="5" a="1"/>
  <c r="L55" i="5" a="1"/>
  <c r="L47" i="5" a="1"/>
  <c r="L189" i="5" a="1"/>
  <c r="L35" i="5" a="1"/>
  <c r="L162" i="5" a="1"/>
  <c r="L173" i="5" a="1"/>
  <c r="L91" i="5" a="1"/>
  <c r="L97" i="5" a="1"/>
  <c r="L143" i="5" a="1"/>
  <c r="L71" i="5" a="1"/>
  <c r="L84" i="5" a="1"/>
  <c r="L119" i="5" a="1"/>
  <c r="L93" i="5" a="1"/>
  <c r="L7" i="5" a="1"/>
  <c r="L12" i="5" a="1"/>
  <c r="L17" i="5" a="1"/>
  <c r="L57" i="5" a="1"/>
  <c r="L205" i="5" a="1"/>
  <c r="L99" i="5" a="1"/>
  <c r="L183" i="5" a="1"/>
  <c r="L156" i="5" a="1"/>
  <c r="L60" i="5" a="1"/>
  <c r="L148" i="5" a="1"/>
  <c r="L27" i="5" a="1"/>
  <c r="L79" i="5" a="1"/>
  <c r="L132" i="5" a="1"/>
  <c r="L101" i="5" a="1"/>
  <c r="L48" i="5" a="1"/>
  <c r="L122" i="5" a="1"/>
  <c r="L77" i="5" a="1"/>
  <c r="L45" i="5" a="1"/>
  <c r="L66" i="5" a="1"/>
  <c r="L19" i="5" a="1"/>
  <c r="L105" i="5" a="1"/>
  <c r="L49" i="5" a="1"/>
  <c r="L65" i="5" l="1"/>
  <c r="L187" i="5"/>
  <c r="L159" i="5"/>
  <c r="M111" i="5"/>
  <c r="M100" i="5"/>
  <c r="M51" i="5"/>
  <c r="M141" i="5"/>
  <c r="M140" i="5"/>
  <c r="L70" i="5"/>
  <c r="L11" i="5"/>
  <c r="L31" i="5"/>
  <c r="M36" i="5"/>
  <c r="M38" i="5"/>
  <c r="M16" i="5"/>
  <c r="M40" i="5"/>
  <c r="M151" i="5"/>
  <c r="M42" i="5"/>
  <c r="L43" i="5"/>
  <c r="M123" i="5"/>
  <c r="M24" i="5"/>
  <c r="M81" i="5"/>
  <c r="L233" i="5"/>
  <c r="L178" i="5"/>
  <c r="L138" i="5"/>
  <c r="M21" i="5"/>
  <c r="M135" i="5"/>
  <c r="L249" i="5"/>
  <c r="L50" i="5"/>
  <c r="M221" i="5"/>
  <c r="M30" i="5"/>
  <c r="M154" i="5"/>
  <c r="L218" i="5"/>
  <c r="M108" i="5"/>
  <c r="M46" i="5"/>
  <c r="M5" i="5"/>
  <c r="L5" i="5"/>
  <c r="L58" i="5"/>
  <c r="L90" i="5"/>
  <c r="M134" i="5"/>
  <c r="L34" i="5"/>
  <c r="L62" i="5"/>
  <c r="M22" i="5"/>
  <c r="L82" i="5"/>
  <c r="L98" i="5"/>
  <c r="L66" i="5"/>
  <c r="M66" i="5"/>
  <c r="M211" i="5"/>
  <c r="L211" i="5"/>
  <c r="L197" i="5"/>
  <c r="M197" i="5"/>
  <c r="L69" i="5"/>
  <c r="M69" i="5"/>
  <c r="M18" i="5"/>
  <c r="L18" i="5"/>
  <c r="M8" i="5"/>
  <c r="L8" i="5"/>
  <c r="L196" i="5"/>
  <c r="M196" i="5"/>
  <c r="L102" i="5"/>
  <c r="M102" i="5"/>
  <c r="L116" i="5"/>
  <c r="M116" i="5"/>
  <c r="L168" i="5"/>
  <c r="M168" i="5"/>
  <c r="L242" i="5"/>
  <c r="M242" i="5"/>
  <c r="M121" i="5"/>
  <c r="L121" i="5"/>
  <c r="L224" i="5"/>
  <c r="M224" i="5"/>
  <c r="M227" i="5"/>
  <c r="L227" i="5"/>
  <c r="L139" i="5"/>
  <c r="M139" i="5"/>
  <c r="L199" i="5"/>
  <c r="M199" i="5"/>
  <c r="L198" i="5"/>
  <c r="M198" i="5"/>
  <c r="L213" i="5"/>
  <c r="M213" i="5"/>
  <c r="M181" i="5"/>
  <c r="L181" i="5"/>
  <c r="L253" i="5"/>
  <c r="M253" i="5"/>
  <c r="L150" i="5"/>
  <c r="M150" i="5"/>
  <c r="L103" i="5"/>
  <c r="M103" i="5"/>
  <c r="M137" i="5"/>
  <c r="L137" i="5"/>
  <c r="L202" i="5"/>
  <c r="M202" i="5"/>
  <c r="L246" i="5"/>
  <c r="M246" i="5"/>
  <c r="L228" i="5"/>
  <c r="M228" i="5"/>
  <c r="L97" i="5"/>
  <c r="M97" i="5"/>
  <c r="M165" i="5"/>
  <c r="L165" i="5"/>
  <c r="L212" i="5"/>
  <c r="M212" i="5"/>
  <c r="L104" i="5"/>
  <c r="M104" i="5"/>
  <c r="L23" i="5"/>
  <c r="M23" i="5"/>
  <c r="L57" i="5"/>
  <c r="M57" i="5"/>
  <c r="L37" i="5"/>
  <c r="M37" i="5"/>
  <c r="L251" i="5"/>
  <c r="M251" i="5"/>
  <c r="L190" i="5"/>
  <c r="M190" i="5"/>
  <c r="L174" i="5"/>
  <c r="M174" i="5"/>
  <c r="L247" i="5"/>
  <c r="M247" i="5"/>
  <c r="L27" i="5"/>
  <c r="M27" i="5"/>
  <c r="L55" i="5"/>
  <c r="M55" i="5"/>
  <c r="M166" i="5"/>
  <c r="L166" i="5"/>
  <c r="L96" i="5"/>
  <c r="M96" i="5"/>
  <c r="M193" i="5"/>
  <c r="L193" i="5"/>
  <c r="L191" i="5"/>
  <c r="M191" i="5"/>
  <c r="L132" i="5"/>
  <c r="M132" i="5"/>
  <c r="L71" i="5"/>
  <c r="M71" i="5"/>
  <c r="L44" i="5"/>
  <c r="M44" i="5"/>
  <c r="L86" i="5"/>
  <c r="M86" i="5"/>
  <c r="M176" i="5"/>
  <c r="L176" i="5"/>
  <c r="L250" i="5"/>
  <c r="M250" i="5"/>
  <c r="M101" i="5"/>
  <c r="L101" i="5"/>
  <c r="L189" i="5"/>
  <c r="M189" i="5"/>
  <c r="L61" i="5"/>
  <c r="M61" i="5"/>
  <c r="L133" i="5"/>
  <c r="M133" i="5"/>
  <c r="L230" i="5"/>
  <c r="M230" i="5"/>
  <c r="L171" i="5"/>
  <c r="M171" i="5"/>
  <c r="L245" i="5"/>
  <c r="M245" i="5"/>
  <c r="L41" i="5"/>
  <c r="M41" i="5"/>
  <c r="L48" i="5"/>
  <c r="M48" i="5"/>
  <c r="L35" i="5"/>
  <c r="M35" i="5"/>
  <c r="L74" i="5"/>
  <c r="M74" i="5"/>
  <c r="L87" i="5"/>
  <c r="M87" i="5"/>
  <c r="L125" i="5"/>
  <c r="M125" i="5"/>
  <c r="L226" i="5"/>
  <c r="M226" i="5"/>
  <c r="L179" i="5"/>
  <c r="M179" i="5"/>
  <c r="L231" i="5"/>
  <c r="M231" i="5"/>
  <c r="L170" i="5"/>
  <c r="M170" i="5"/>
  <c r="M122" i="5"/>
  <c r="L122" i="5"/>
  <c r="L162" i="5"/>
  <c r="M162" i="5"/>
  <c r="M20" i="5"/>
  <c r="L20" i="5"/>
  <c r="M85" i="5"/>
  <c r="L85" i="5"/>
  <c r="L248" i="5"/>
  <c r="M248" i="5"/>
  <c r="L80" i="5"/>
  <c r="M80" i="5"/>
  <c r="L9" i="5"/>
  <c r="M9" i="5"/>
  <c r="L252" i="5"/>
  <c r="M252" i="5"/>
  <c r="M219" i="5"/>
  <c r="L219" i="5"/>
  <c r="L201" i="5"/>
  <c r="M201" i="5"/>
  <c r="L185" i="5"/>
  <c r="M185" i="5"/>
  <c r="L142" i="5"/>
  <c r="M142" i="5"/>
  <c r="L136" i="5"/>
  <c r="M136" i="5"/>
  <c r="M152" i="5"/>
  <c r="L152" i="5"/>
  <c r="M203" i="5"/>
  <c r="L203" i="5"/>
  <c r="M223" i="5"/>
  <c r="L223" i="5"/>
  <c r="L222" i="5"/>
  <c r="M222" i="5"/>
  <c r="L33" i="5"/>
  <c r="M33" i="5"/>
  <c r="M15" i="5"/>
  <c r="L15" i="5"/>
  <c r="M17" i="5"/>
  <c r="L17" i="5"/>
  <c r="L79" i="5"/>
  <c r="M79" i="5"/>
  <c r="L149" i="5"/>
  <c r="M149" i="5"/>
  <c r="L94" i="5"/>
  <c r="M94" i="5"/>
  <c r="L238" i="5"/>
  <c r="M238" i="5"/>
  <c r="L188" i="5"/>
  <c r="M188" i="5"/>
  <c r="L19" i="5"/>
  <c r="M19" i="5"/>
  <c r="L47" i="5"/>
  <c r="M47" i="5"/>
  <c r="M131" i="5"/>
  <c r="L131" i="5"/>
  <c r="L225" i="5"/>
  <c r="M225" i="5"/>
  <c r="L204" i="5"/>
  <c r="M204" i="5"/>
  <c r="M99" i="5"/>
  <c r="L99" i="5"/>
  <c r="L32" i="5"/>
  <c r="M32" i="5"/>
  <c r="L73" i="5"/>
  <c r="M73" i="5"/>
  <c r="L88" i="5"/>
  <c r="M88" i="5"/>
  <c r="L243" i="5"/>
  <c r="M243" i="5"/>
  <c r="L194" i="5"/>
  <c r="M194" i="5"/>
  <c r="L239" i="5"/>
  <c r="M239" i="5"/>
  <c r="L49" i="5"/>
  <c r="M49" i="5"/>
  <c r="L119" i="5"/>
  <c r="M119" i="5"/>
  <c r="M161" i="5"/>
  <c r="L161" i="5"/>
  <c r="M169" i="5"/>
  <c r="L169" i="5"/>
  <c r="L158" i="5"/>
  <c r="M158" i="5"/>
  <c r="L210" i="5"/>
  <c r="M210" i="5"/>
  <c r="M200" i="5"/>
  <c r="L200" i="5"/>
  <c r="L236" i="5"/>
  <c r="M236" i="5"/>
  <c r="L156" i="5"/>
  <c r="M156" i="5"/>
  <c r="L157" i="5"/>
  <c r="M157" i="5"/>
  <c r="L52" i="5"/>
  <c r="M52" i="5"/>
  <c r="L60" i="5"/>
  <c r="M60" i="5"/>
  <c r="M145" i="5"/>
  <c r="L145" i="5"/>
  <c r="M177" i="5"/>
  <c r="L177" i="5"/>
  <c r="L72" i="5"/>
  <c r="M72" i="5"/>
  <c r="L115" i="5"/>
  <c r="M115" i="5"/>
  <c r="L144" i="5"/>
  <c r="M144" i="5"/>
  <c r="M195" i="5"/>
  <c r="L195" i="5"/>
  <c r="L182" i="5"/>
  <c r="M182" i="5"/>
  <c r="L128" i="5"/>
  <c r="M128" i="5"/>
  <c r="L114" i="5"/>
  <c r="M114" i="5"/>
  <c r="L234" i="5"/>
  <c r="M234" i="5"/>
  <c r="L192" i="5"/>
  <c r="M192" i="5"/>
  <c r="L215" i="5"/>
  <c r="M215" i="5"/>
  <c r="L214" i="5"/>
  <c r="M214" i="5"/>
  <c r="L167" i="5"/>
  <c r="M167" i="5"/>
  <c r="L143" i="5"/>
  <c r="M143" i="5"/>
  <c r="M83" i="5"/>
  <c r="L83" i="5"/>
  <c r="M109" i="5"/>
  <c r="L109" i="5"/>
  <c r="L216" i="5"/>
  <c r="M216" i="5"/>
  <c r="L205" i="5"/>
  <c r="M205" i="5"/>
  <c r="M146" i="5"/>
  <c r="L146" i="5"/>
  <c r="M106" i="5"/>
  <c r="L106" i="5"/>
  <c r="L237" i="5"/>
  <c r="M237" i="5"/>
  <c r="L254" i="5"/>
  <c r="M254" i="5"/>
  <c r="L105" i="5"/>
  <c r="M105" i="5"/>
  <c r="L84" i="5"/>
  <c r="M84" i="5"/>
  <c r="L240" i="5"/>
  <c r="M240" i="5"/>
  <c r="M118" i="5"/>
  <c r="L118" i="5"/>
  <c r="L186" i="5"/>
  <c r="M186" i="5"/>
  <c r="L220" i="5"/>
  <c r="M220" i="5"/>
  <c r="M217" i="5"/>
  <c r="L217" i="5"/>
  <c r="L244" i="5"/>
  <c r="M244" i="5"/>
  <c r="L183" i="5"/>
  <c r="M183" i="5"/>
  <c r="L29" i="5"/>
  <c r="M29" i="5"/>
  <c r="L120" i="5"/>
  <c r="M120" i="5"/>
  <c r="M112" i="5"/>
  <c r="L112" i="5"/>
  <c r="L147" i="5"/>
  <c r="M147" i="5"/>
  <c r="L164" i="5"/>
  <c r="M164" i="5"/>
  <c r="L209" i="5"/>
  <c r="M209" i="5"/>
  <c r="L89" i="5"/>
  <c r="M89" i="5"/>
  <c r="M93" i="5"/>
  <c r="L93" i="5"/>
  <c r="M155" i="5"/>
  <c r="L155" i="5"/>
  <c r="L77" i="5"/>
  <c r="M77" i="5"/>
  <c r="M7" i="5"/>
  <c r="L7" i="5"/>
  <c r="L173" i="5"/>
  <c r="M173" i="5"/>
  <c r="L130" i="5"/>
  <c r="M130" i="5"/>
  <c r="L63" i="5"/>
  <c r="M63" i="5"/>
  <c r="M14" i="5"/>
  <c r="L14" i="5"/>
  <c r="L208" i="5"/>
  <c r="M208" i="5"/>
  <c r="L45" i="5"/>
  <c r="M45" i="5"/>
  <c r="L148" i="5"/>
  <c r="M148" i="5"/>
  <c r="M12" i="5"/>
  <c r="L12" i="5"/>
  <c r="M91" i="5"/>
  <c r="L91" i="5"/>
  <c r="L28" i="5"/>
  <c r="M28" i="5"/>
  <c r="L95" i="5"/>
  <c r="M95" i="5"/>
  <c r="L64" i="5"/>
  <c r="M64" i="5"/>
  <c r="L172" i="5"/>
  <c r="M172" i="5"/>
  <c r="L67" i="5"/>
  <c r="M67" i="5"/>
  <c r="M110" i="5"/>
  <c r="L110" i="5"/>
  <c r="M6" i="5"/>
  <c r="L6" i="5"/>
  <c r="L107" i="5"/>
  <c r="M107" i="5"/>
  <c r="L117" i="5"/>
  <c r="M117" i="5"/>
  <c r="L184" i="5"/>
  <c r="M184" i="5"/>
  <c r="L163" i="5"/>
  <c r="M163" i="5"/>
  <c r="L127" i="5"/>
  <c r="M127" i="5"/>
  <c r="L235" i="5"/>
  <c r="M235" i="5"/>
  <c r="L232" i="5"/>
  <c r="M232" i="5"/>
  <c r="L160" i="5"/>
  <c r="M160" i="5"/>
  <c r="L207" i="5"/>
  <c r="M207" i="5"/>
  <c r="L206" i="5"/>
  <c r="M206" i="5"/>
  <c r="N6" i="5"/>
  <c r="O6" i="5"/>
  <c r="N7" i="5"/>
  <c r="O7" i="5"/>
  <c r="N8" i="5"/>
  <c r="N9" i="5"/>
  <c r="O8" i="5"/>
  <c r="O9" i="5"/>
  <c r="N10" i="5"/>
  <c r="N11" i="5"/>
  <c r="O10" i="5"/>
  <c r="N12" i="5"/>
  <c r="O11" i="5"/>
  <c r="O12" i="5"/>
  <c r="N13" i="5"/>
  <c r="N14" i="5"/>
  <c r="O13" i="5"/>
  <c r="O14" i="5"/>
  <c r="N15" i="5"/>
  <c r="O15" i="5"/>
  <c r="N16" i="5"/>
  <c r="N17" i="5"/>
  <c r="O16" i="5"/>
  <c r="O17" i="5"/>
  <c r="N18" i="5"/>
  <c r="O18" i="5"/>
  <c r="N19" i="5"/>
  <c r="N20" i="5"/>
  <c r="O19" i="5"/>
  <c r="O20" i="5"/>
  <c r="N21" i="5"/>
  <c r="N22" i="5"/>
  <c r="O21" i="5"/>
  <c r="N23" i="5"/>
  <c r="O22" i="5"/>
  <c r="O23" i="5"/>
  <c r="N24" i="5"/>
  <c r="O24" i="5"/>
  <c r="N25" i="5"/>
  <c r="N26" i="5"/>
  <c r="O25" i="5"/>
  <c r="N27" i="5"/>
  <c r="O26" i="5"/>
  <c r="O27" i="5"/>
  <c r="N28" i="5"/>
  <c r="N29" i="5"/>
  <c r="O28" i="5"/>
  <c r="N30" i="5"/>
  <c r="O29" i="5"/>
  <c r="O30" i="5"/>
  <c r="N31" i="5"/>
  <c r="N32" i="5"/>
  <c r="O31" i="5"/>
  <c r="O32" i="5"/>
  <c r="N33" i="5"/>
  <c r="O33" i="5"/>
  <c r="N34" i="5"/>
  <c r="O34" i="5"/>
  <c r="N35" i="5"/>
  <c r="O35" i="5"/>
  <c r="N36" i="5"/>
  <c r="N37" i="5"/>
  <c r="O36" i="5"/>
  <c r="O37" i="5"/>
  <c r="N38" i="5"/>
  <c r="N39" i="5"/>
  <c r="O38" i="5"/>
  <c r="N40" i="5"/>
  <c r="O39" i="5"/>
  <c r="N41" i="5"/>
  <c r="O40" i="5"/>
  <c r="O41" i="5"/>
  <c r="N42" i="5"/>
  <c r="N43" i="5"/>
  <c r="O42" i="5"/>
  <c r="N44" i="5"/>
  <c r="O43" i="5"/>
  <c r="O44" i="5"/>
  <c r="N45" i="5"/>
  <c r="N46" i="5"/>
  <c r="O45" i="5"/>
  <c r="N47" i="5"/>
  <c r="O46" i="5"/>
  <c r="N48" i="5"/>
  <c r="O47" i="5"/>
  <c r="O48" i="5"/>
  <c r="N49" i="5"/>
  <c r="O49" i="5"/>
  <c r="N50" i="5"/>
  <c r="O50" i="5"/>
  <c r="N51" i="5"/>
  <c r="N52" i="5"/>
  <c r="O51" i="5"/>
  <c r="O52" i="5"/>
  <c r="N53" i="5"/>
  <c r="O53" i="5"/>
  <c r="N54" i="5"/>
  <c r="N55" i="5"/>
  <c r="O54" i="5"/>
  <c r="O55" i="5"/>
  <c r="N56" i="5"/>
  <c r="N57" i="5"/>
  <c r="O56" i="5"/>
  <c r="O57" i="5"/>
  <c r="N58" i="5"/>
  <c r="O58" i="5"/>
  <c r="N59" i="5"/>
  <c r="N60" i="5"/>
  <c r="O59" i="5"/>
  <c r="O60" i="5"/>
  <c r="N61" i="5"/>
  <c r="O61" i="5"/>
  <c r="N62" i="5"/>
  <c r="N63" i="5"/>
  <c r="O62" i="5"/>
  <c r="N64" i="5"/>
  <c r="O63" i="5"/>
  <c r="O64" i="5"/>
  <c r="N65" i="5"/>
  <c r="N66" i="5"/>
  <c r="O65" i="5"/>
  <c r="O66" i="5"/>
  <c r="N67" i="5"/>
  <c r="O67" i="5"/>
  <c r="N68" i="5"/>
  <c r="N69" i="5"/>
  <c r="O68" i="5"/>
  <c r="O69" i="5"/>
  <c r="N70" i="5"/>
  <c r="N71" i="5"/>
  <c r="O70" i="5"/>
  <c r="N72" i="5"/>
  <c r="O71" i="5"/>
  <c r="O72" i="5"/>
  <c r="N73" i="5"/>
  <c r="O73" i="5"/>
  <c r="N74" i="5"/>
  <c r="O74" i="5"/>
  <c r="N75" i="5"/>
  <c r="O75" i="5"/>
  <c r="N76" i="5"/>
  <c r="N77" i="5"/>
  <c r="O76" i="5"/>
  <c r="O77" i="5"/>
  <c r="N78" i="5"/>
  <c r="N79" i="5"/>
  <c r="O78" i="5"/>
  <c r="O79" i="5"/>
  <c r="N80" i="5"/>
  <c r="O80" i="5"/>
  <c r="N81" i="5"/>
  <c r="O81" i="5"/>
  <c r="N82" i="5"/>
  <c r="N83" i="5"/>
  <c r="O82" i="5"/>
  <c r="O83" i="5"/>
  <c r="N84" i="5"/>
  <c r="N85" i="5"/>
  <c r="O84" i="5"/>
  <c r="N86" i="5"/>
  <c r="O85" i="5"/>
  <c r="O86" i="5"/>
  <c r="N87" i="5"/>
  <c r="O87" i="5"/>
  <c r="N88" i="5"/>
  <c r="N89" i="5"/>
  <c r="O88" i="5"/>
  <c r="O89" i="5"/>
  <c r="N90" i="5"/>
  <c r="O90" i="5"/>
  <c r="N91" i="5"/>
  <c r="O91" i="5"/>
  <c r="N92" i="5"/>
  <c r="N93" i="5"/>
  <c r="O92" i="5"/>
  <c r="N94" i="5"/>
  <c r="O93" i="5"/>
  <c r="N95" i="5"/>
  <c r="O94" i="5"/>
  <c r="N96" i="5"/>
  <c r="O95" i="5"/>
  <c r="N97" i="5"/>
  <c r="O96" i="5"/>
  <c r="O97" i="5"/>
  <c r="N98" i="5"/>
  <c r="N99" i="5"/>
  <c r="O98" i="5"/>
  <c r="O99" i="5"/>
  <c r="N100" i="5"/>
  <c r="N101" i="5"/>
  <c r="O100" i="5"/>
  <c r="O101" i="5"/>
  <c r="N102" i="5"/>
  <c r="N103" i="5"/>
  <c r="O102" i="5"/>
  <c r="N104" i="5"/>
  <c r="O103" i="5"/>
  <c r="O104" i="5"/>
  <c r="N105" i="5"/>
  <c r="O105" i="5"/>
  <c r="N106" i="5"/>
  <c r="N107" i="5"/>
  <c r="O106" i="5"/>
  <c r="N108" i="5"/>
  <c r="O107" i="5"/>
  <c r="N109" i="5"/>
  <c r="O108" i="5"/>
  <c r="N110" i="5"/>
  <c r="O109" i="5"/>
  <c r="O110" i="5"/>
  <c r="N111" i="5"/>
  <c r="N112" i="5"/>
  <c r="O111" i="5"/>
  <c r="O112" i="5"/>
  <c r="N113" i="5"/>
  <c r="N114" i="5"/>
  <c r="O113" i="5"/>
  <c r="N115" i="5"/>
  <c r="O114" i="5"/>
  <c r="O115" i="5"/>
  <c r="N116" i="5"/>
  <c r="O116" i="5"/>
  <c r="N117" i="5"/>
  <c r="N118" i="5"/>
  <c r="O117" i="5"/>
  <c r="O118" i="5"/>
  <c r="N119" i="5"/>
  <c r="N120" i="5"/>
  <c r="O119" i="5"/>
  <c r="O120" i="5"/>
  <c r="N121" i="5"/>
  <c r="N122" i="5"/>
  <c r="O121" i="5"/>
  <c r="O122" i="5"/>
  <c r="N123" i="5"/>
  <c r="O123" i="5"/>
  <c r="N124" i="5"/>
  <c r="N125" i="5"/>
  <c r="O124" i="5"/>
  <c r="O125" i="5"/>
  <c r="N126" i="5"/>
  <c r="N127" i="5"/>
  <c r="O126" i="5"/>
  <c r="O127" i="5"/>
  <c r="N128" i="5"/>
  <c r="O128" i="5"/>
  <c r="N129" i="5"/>
  <c r="N130" i="5"/>
  <c r="O129" i="5"/>
  <c r="N131" i="5"/>
  <c r="O130" i="5"/>
  <c r="O131" i="5"/>
  <c r="N132" i="5"/>
  <c r="N133" i="5"/>
  <c r="O132" i="5"/>
  <c r="N134" i="5"/>
  <c r="O133" i="5"/>
  <c r="O134" i="5"/>
  <c r="N135" i="5"/>
  <c r="N136" i="5"/>
  <c r="O135" i="5"/>
  <c r="O136" i="5"/>
  <c r="N137" i="5"/>
  <c r="O137" i="5"/>
  <c r="N138" i="5"/>
  <c r="N139" i="5"/>
  <c r="O138" i="5"/>
  <c r="O139" i="5"/>
  <c r="N140" i="5"/>
  <c r="N141" i="5"/>
  <c r="O140" i="5"/>
  <c r="N142" i="5"/>
  <c r="O141" i="5"/>
  <c r="N143" i="5"/>
  <c r="O142" i="5"/>
  <c r="O143" i="5"/>
  <c r="N144" i="5"/>
  <c r="O144" i="5"/>
  <c r="N145" i="5"/>
  <c r="N146" i="5"/>
  <c r="O145" i="5"/>
  <c r="N147" i="5"/>
  <c r="O146" i="5"/>
  <c r="O147" i="5"/>
  <c r="N148" i="5"/>
  <c r="O148" i="5"/>
  <c r="N149" i="5"/>
  <c r="N150" i="5"/>
  <c r="O149" i="5"/>
  <c r="O150" i="5"/>
  <c r="N151" i="5"/>
  <c r="N152" i="5"/>
  <c r="O151" i="5"/>
  <c r="O152" i="5"/>
  <c r="N153" i="5"/>
  <c r="N154" i="5"/>
  <c r="O153" i="5"/>
  <c r="N155" i="5"/>
  <c r="O154" i="5"/>
  <c r="O155" i="5"/>
  <c r="N156" i="5"/>
  <c r="N157" i="5"/>
  <c r="O156" i="5"/>
  <c r="O157" i="5"/>
  <c r="N158" i="5"/>
  <c r="O158" i="5"/>
  <c r="N159" i="5"/>
  <c r="N160" i="5"/>
  <c r="O159" i="5"/>
  <c r="O160" i="5"/>
  <c r="N161" i="5"/>
  <c r="O161" i="5"/>
  <c r="N162" i="5"/>
  <c r="N163" i="5"/>
  <c r="O162" i="5"/>
  <c r="O163" i="5"/>
  <c r="N164" i="5"/>
  <c r="O164" i="5"/>
  <c r="N165" i="5"/>
  <c r="O165" i="5"/>
  <c r="N166" i="5"/>
  <c r="N167" i="5"/>
  <c r="O166" i="5"/>
  <c r="N168" i="5"/>
  <c r="O167" i="5"/>
  <c r="O168" i="5"/>
  <c r="N169" i="5"/>
  <c r="N170" i="5"/>
  <c r="O169" i="5"/>
  <c r="O170" i="5"/>
  <c r="N171" i="5"/>
  <c r="N172" i="5"/>
  <c r="O171" i="5"/>
  <c r="N173" i="5"/>
  <c r="O172" i="5"/>
  <c r="O173" i="5"/>
  <c r="N174" i="5"/>
  <c r="O174" i="5"/>
  <c r="N175" i="5"/>
  <c r="N176" i="5"/>
  <c r="O175" i="5"/>
  <c r="N177" i="5"/>
  <c r="O176" i="5"/>
  <c r="O177" i="5"/>
  <c r="N178" i="5"/>
  <c r="N179" i="5"/>
  <c r="O178" i="5"/>
  <c r="O179" i="5"/>
  <c r="N180" i="5"/>
  <c r="N181" i="5"/>
  <c r="O180" i="5"/>
  <c r="N182" i="5"/>
  <c r="O181" i="5"/>
  <c r="O182" i="5"/>
  <c r="N183" i="5"/>
  <c r="N184" i="5"/>
  <c r="O183" i="5"/>
  <c r="N185" i="5"/>
  <c r="O184" i="5"/>
  <c r="N186" i="5"/>
  <c r="O185" i="5"/>
  <c r="O186" i="5"/>
  <c r="N187" i="5"/>
  <c r="N188" i="5"/>
  <c r="O187" i="5"/>
  <c r="O188" i="5"/>
  <c r="N189" i="5"/>
  <c r="N190" i="5"/>
  <c r="O189" i="5"/>
  <c r="O190" i="5"/>
  <c r="N191" i="5"/>
  <c r="O191" i="5"/>
  <c r="N192" i="5"/>
  <c r="O192" i="5"/>
  <c r="N193" i="5"/>
  <c r="O193" i="5"/>
  <c r="N194" i="5"/>
  <c r="O194" i="5"/>
  <c r="N195" i="5"/>
  <c r="N196" i="5"/>
  <c r="O195" i="5"/>
  <c r="O196" i="5"/>
  <c r="N197" i="5"/>
  <c r="O197" i="5"/>
  <c r="N198" i="5"/>
  <c r="O198" i="5"/>
  <c r="N199" i="5"/>
  <c r="N200" i="5"/>
  <c r="O199" i="5"/>
  <c r="O200" i="5"/>
  <c r="N201" i="5"/>
  <c r="N202" i="5"/>
  <c r="O201" i="5"/>
  <c r="N203" i="5"/>
  <c r="O202" i="5"/>
  <c r="O203" i="5"/>
  <c r="N204" i="5"/>
  <c r="N205" i="5"/>
  <c r="O204" i="5"/>
  <c r="O205" i="5"/>
  <c r="N206" i="5"/>
  <c r="N207" i="5"/>
  <c r="O206" i="5"/>
  <c r="N208" i="5"/>
  <c r="O207" i="5"/>
  <c r="N209" i="5"/>
  <c r="O208" i="5"/>
  <c r="N210" i="5"/>
  <c r="O209" i="5"/>
  <c r="N211" i="5"/>
  <c r="O210" i="5"/>
  <c r="O211" i="5"/>
  <c r="N212" i="5"/>
  <c r="N213" i="5"/>
  <c r="O212" i="5"/>
  <c r="O213" i="5"/>
  <c r="N214" i="5"/>
  <c r="N215" i="5"/>
  <c r="O214" i="5"/>
  <c r="O215" i="5"/>
  <c r="N216" i="5"/>
  <c r="O216" i="5"/>
  <c r="N217" i="5"/>
  <c r="O217" i="5"/>
  <c r="N218" i="5"/>
  <c r="N219" i="5"/>
  <c r="O218" i="5"/>
  <c r="O219" i="5"/>
  <c r="N220" i="5"/>
  <c r="N221" i="5"/>
  <c r="O220" i="5"/>
  <c r="N222" i="5"/>
  <c r="O221" i="5"/>
  <c r="N223" i="5"/>
  <c r="O222" i="5"/>
  <c r="O223" i="5"/>
  <c r="N224" i="5"/>
  <c r="N225" i="5"/>
  <c r="O224" i="5"/>
  <c r="N226" i="5"/>
  <c r="O225" i="5"/>
  <c r="N227" i="5"/>
  <c r="O226" i="5"/>
  <c r="N228" i="5"/>
  <c r="O227" i="5"/>
  <c r="O228" i="5"/>
  <c r="N229" i="5"/>
  <c r="N230" i="5"/>
  <c r="O229" i="5"/>
  <c r="O230" i="5"/>
  <c r="N231" i="5"/>
  <c r="N232" i="5"/>
  <c r="O231" i="5"/>
  <c r="O232" i="5"/>
  <c r="N233" i="5"/>
  <c r="N234" i="5"/>
  <c r="O233" i="5"/>
  <c r="O234" i="5"/>
  <c r="N235" i="5"/>
  <c r="N236" i="5"/>
  <c r="O235" i="5"/>
  <c r="N237" i="5"/>
  <c r="O236" i="5"/>
  <c r="N238" i="5"/>
  <c r="O237" i="5"/>
  <c r="O238" i="5"/>
  <c r="N239" i="5"/>
  <c r="N240" i="5"/>
  <c r="O239" i="5"/>
  <c r="O240" i="5"/>
  <c r="N241" i="5"/>
  <c r="N242" i="5"/>
  <c r="O241" i="5"/>
  <c r="O242" i="5"/>
  <c r="N243" i="5"/>
  <c r="N244" i="5"/>
  <c r="O243" i="5"/>
  <c r="O244" i="5"/>
  <c r="N245" i="5"/>
  <c r="N246" i="5"/>
  <c r="O245" i="5"/>
  <c r="N247" i="5"/>
  <c r="O246" i="5"/>
  <c r="N248" i="5"/>
  <c r="O247" i="5"/>
  <c r="O248" i="5"/>
  <c r="N249" i="5"/>
  <c r="N250" i="5"/>
  <c r="O249" i="5"/>
  <c r="N251" i="5"/>
  <c r="O250" i="5"/>
  <c r="O251" i="5"/>
  <c r="N252" i="5"/>
  <c r="O252" i="5"/>
  <c r="N253" i="5"/>
  <c r="N254" i="5"/>
  <c r="O253" i="5"/>
  <c r="O254" i="5"/>
  <c r="V22" i="5" l="1"/>
  <c r="W22" i="5" s="1"/>
  <c r="V254" i="5"/>
  <c r="W254" i="5" s="1"/>
  <c r="V253" i="5"/>
  <c r="W253" i="5" s="1"/>
  <c r="V252" i="5"/>
  <c r="W252" i="5" s="1"/>
  <c r="V251" i="5"/>
  <c r="W251" i="5" s="1"/>
  <c r="V250" i="5"/>
  <c r="W250" i="5" s="1"/>
  <c r="V249" i="5"/>
  <c r="W249" i="5" s="1"/>
  <c r="V248" i="5"/>
  <c r="W248" i="5" s="1"/>
  <c r="V247" i="5"/>
  <c r="W247" i="5" s="1"/>
  <c r="V246" i="5"/>
  <c r="W246" i="5" s="1"/>
  <c r="V245" i="5"/>
  <c r="W245" i="5" s="1"/>
  <c r="V244" i="5"/>
  <c r="W244" i="5" s="1"/>
  <c r="V243" i="5"/>
  <c r="W243" i="5" s="1"/>
  <c r="V242" i="5"/>
  <c r="W242" i="5" s="1"/>
  <c r="V241" i="5"/>
  <c r="W241" i="5" s="1"/>
  <c r="V240" i="5"/>
  <c r="W240" i="5" s="1"/>
  <c r="V239" i="5"/>
  <c r="W239" i="5" s="1"/>
  <c r="V238" i="5"/>
  <c r="W238" i="5" s="1"/>
  <c r="V237" i="5"/>
  <c r="W237" i="5" s="1"/>
  <c r="V236" i="5"/>
  <c r="W236" i="5" s="1"/>
  <c r="V235" i="5"/>
  <c r="W235" i="5" s="1"/>
  <c r="V234" i="5"/>
  <c r="W234" i="5" s="1"/>
  <c r="V233" i="5"/>
  <c r="W233" i="5" s="1"/>
  <c r="V232" i="5"/>
  <c r="W232" i="5" s="1"/>
  <c r="V231" i="5"/>
  <c r="W231" i="5" s="1"/>
  <c r="V230" i="5"/>
  <c r="W230" i="5" s="1"/>
  <c r="V229" i="5"/>
  <c r="W229" i="5" s="1"/>
  <c r="V228" i="5"/>
  <c r="W228" i="5" s="1"/>
  <c r="V227" i="5"/>
  <c r="W227" i="5" s="1"/>
  <c r="V226" i="5"/>
  <c r="W226" i="5" s="1"/>
  <c r="V225" i="5"/>
  <c r="W225" i="5" s="1"/>
  <c r="V224" i="5"/>
  <c r="W224" i="5" s="1"/>
  <c r="V223" i="5"/>
  <c r="W223" i="5" s="1"/>
  <c r="V222" i="5"/>
  <c r="W222" i="5" s="1"/>
  <c r="V221" i="5"/>
  <c r="W221" i="5" s="1"/>
  <c r="V220" i="5"/>
  <c r="W220" i="5" s="1"/>
  <c r="V219" i="5"/>
  <c r="W219" i="5" s="1"/>
  <c r="V218" i="5"/>
  <c r="W218" i="5" s="1"/>
  <c r="V217" i="5"/>
  <c r="W217" i="5" s="1"/>
  <c r="V216" i="5"/>
  <c r="W216" i="5" s="1"/>
  <c r="V215" i="5"/>
  <c r="W215" i="5" s="1"/>
  <c r="V214" i="5"/>
  <c r="W214" i="5" s="1"/>
  <c r="V213" i="5"/>
  <c r="W213" i="5" s="1"/>
  <c r="V212" i="5"/>
  <c r="W212" i="5" s="1"/>
  <c r="V211" i="5"/>
  <c r="W211" i="5" s="1"/>
  <c r="V210" i="5"/>
  <c r="W210" i="5" s="1"/>
  <c r="V209" i="5"/>
  <c r="W209" i="5" s="1"/>
  <c r="V208" i="5"/>
  <c r="W208" i="5" s="1"/>
  <c r="V207" i="5"/>
  <c r="W207" i="5" s="1"/>
  <c r="V206" i="5"/>
  <c r="W206" i="5" s="1"/>
  <c r="V205" i="5"/>
  <c r="W205" i="5" s="1"/>
  <c r="V204" i="5"/>
  <c r="W204" i="5" s="1"/>
  <c r="V203" i="5"/>
  <c r="W203" i="5" s="1"/>
  <c r="V202" i="5"/>
  <c r="W202" i="5" s="1"/>
  <c r="V201" i="5"/>
  <c r="W201" i="5" s="1"/>
  <c r="V200" i="5"/>
  <c r="W200" i="5" s="1"/>
  <c r="V199" i="5"/>
  <c r="W199" i="5" s="1"/>
  <c r="V198" i="5"/>
  <c r="W198" i="5" s="1"/>
  <c r="V197" i="5"/>
  <c r="W197" i="5" s="1"/>
  <c r="V196" i="5"/>
  <c r="W196" i="5" s="1"/>
  <c r="V195" i="5"/>
  <c r="W195" i="5" s="1"/>
  <c r="V194" i="5"/>
  <c r="W194" i="5" s="1"/>
  <c r="V193" i="5"/>
  <c r="W193" i="5" s="1"/>
  <c r="V192" i="5"/>
  <c r="W192" i="5" s="1"/>
  <c r="V191" i="5"/>
  <c r="W191" i="5" s="1"/>
  <c r="V190" i="5"/>
  <c r="W190" i="5" s="1"/>
  <c r="V189" i="5"/>
  <c r="W189" i="5" s="1"/>
  <c r="V188" i="5"/>
  <c r="W188" i="5" s="1"/>
  <c r="V187" i="5"/>
  <c r="W187" i="5" s="1"/>
  <c r="V186" i="5"/>
  <c r="W186" i="5" s="1"/>
  <c r="V185" i="5"/>
  <c r="W185" i="5" s="1"/>
  <c r="V184" i="5"/>
  <c r="W184" i="5" s="1"/>
  <c r="V183" i="5"/>
  <c r="W183" i="5" s="1"/>
  <c r="V182" i="5"/>
  <c r="W182" i="5" s="1"/>
  <c r="V181" i="5"/>
  <c r="W181" i="5" s="1"/>
  <c r="V180" i="5"/>
  <c r="W180" i="5" s="1"/>
  <c r="V179" i="5"/>
  <c r="W179" i="5" s="1"/>
  <c r="V178" i="5"/>
  <c r="W178" i="5" s="1"/>
  <c r="V177" i="5"/>
  <c r="W177" i="5" s="1"/>
  <c r="V176" i="5"/>
  <c r="W176" i="5" s="1"/>
  <c r="V175" i="5"/>
  <c r="W175" i="5" s="1"/>
  <c r="V174" i="5"/>
  <c r="W174" i="5" s="1"/>
  <c r="V173" i="5"/>
  <c r="W173" i="5" s="1"/>
  <c r="V172" i="5"/>
  <c r="W172" i="5" s="1"/>
  <c r="V171" i="5"/>
  <c r="W171" i="5" s="1"/>
  <c r="V170" i="5"/>
  <c r="W170" i="5" s="1"/>
  <c r="V169" i="5"/>
  <c r="W169" i="5" s="1"/>
  <c r="V168" i="5"/>
  <c r="W168" i="5" s="1"/>
  <c r="V167" i="5"/>
  <c r="W167" i="5" s="1"/>
  <c r="V166" i="5"/>
  <c r="W166" i="5" s="1"/>
  <c r="V165" i="5"/>
  <c r="W165" i="5" s="1"/>
  <c r="V164" i="5"/>
  <c r="W164" i="5" s="1"/>
  <c r="V163" i="5"/>
  <c r="W163" i="5" s="1"/>
  <c r="V162" i="5"/>
  <c r="W162" i="5" s="1"/>
  <c r="V161" i="5"/>
  <c r="W161" i="5" s="1"/>
  <c r="V160" i="5"/>
  <c r="W160" i="5" s="1"/>
  <c r="V159" i="5"/>
  <c r="W159" i="5" s="1"/>
  <c r="V158" i="5"/>
  <c r="W158" i="5" s="1"/>
  <c r="V157" i="5"/>
  <c r="W157" i="5" s="1"/>
  <c r="V156" i="5"/>
  <c r="W156" i="5" s="1"/>
  <c r="V155" i="5"/>
  <c r="W155" i="5" s="1"/>
  <c r="V154" i="5"/>
  <c r="W154" i="5" s="1"/>
  <c r="V153" i="5"/>
  <c r="W153" i="5" s="1"/>
  <c r="V152" i="5"/>
  <c r="W152" i="5" s="1"/>
  <c r="V151" i="5"/>
  <c r="W151" i="5" s="1"/>
  <c r="V150" i="5"/>
  <c r="W150" i="5" s="1"/>
  <c r="V149" i="5"/>
  <c r="W149" i="5" s="1"/>
  <c r="V148" i="5"/>
  <c r="W148" i="5" s="1"/>
  <c r="V147" i="5"/>
  <c r="W147" i="5" s="1"/>
  <c r="V146" i="5"/>
  <c r="W146" i="5" s="1"/>
  <c r="V145" i="5"/>
  <c r="W145" i="5" s="1"/>
  <c r="V144" i="5"/>
  <c r="W144" i="5" s="1"/>
  <c r="V143" i="5"/>
  <c r="W143" i="5" s="1"/>
  <c r="V142" i="5"/>
  <c r="W142" i="5" s="1"/>
  <c r="V141" i="5"/>
  <c r="W141" i="5" s="1"/>
  <c r="V140" i="5"/>
  <c r="W140" i="5" s="1"/>
  <c r="V139" i="5"/>
  <c r="W139" i="5" s="1"/>
  <c r="V138" i="5"/>
  <c r="W138" i="5" s="1"/>
  <c r="V137" i="5"/>
  <c r="W137" i="5" s="1"/>
  <c r="V136" i="5"/>
  <c r="W136" i="5" s="1"/>
  <c r="V135" i="5"/>
  <c r="W135" i="5" s="1"/>
  <c r="V134" i="5"/>
  <c r="W134" i="5" s="1"/>
  <c r="V133" i="5"/>
  <c r="W133" i="5" s="1"/>
  <c r="V132" i="5"/>
  <c r="W132" i="5" s="1"/>
  <c r="V131" i="5"/>
  <c r="W131" i="5" s="1"/>
  <c r="V130" i="5"/>
  <c r="W130" i="5" s="1"/>
  <c r="V129" i="5"/>
  <c r="W129" i="5" s="1"/>
  <c r="V128" i="5"/>
  <c r="W128" i="5" s="1"/>
  <c r="V127" i="5"/>
  <c r="W127" i="5" s="1"/>
  <c r="V126" i="5"/>
  <c r="W126" i="5" s="1"/>
  <c r="V125" i="5"/>
  <c r="W125" i="5" s="1"/>
  <c r="V124" i="5"/>
  <c r="W124" i="5" s="1"/>
  <c r="V123" i="5"/>
  <c r="W123" i="5" s="1"/>
  <c r="V122" i="5"/>
  <c r="W122" i="5" s="1"/>
  <c r="V121" i="5"/>
  <c r="W121" i="5" s="1"/>
  <c r="V120" i="5"/>
  <c r="W120" i="5" s="1"/>
  <c r="V119" i="5"/>
  <c r="W119" i="5" s="1"/>
  <c r="V118" i="5"/>
  <c r="W118" i="5" s="1"/>
  <c r="V117" i="5"/>
  <c r="W117" i="5" s="1"/>
  <c r="V116" i="5"/>
  <c r="W116" i="5" s="1"/>
  <c r="V115" i="5"/>
  <c r="W115" i="5" s="1"/>
  <c r="V114" i="5"/>
  <c r="W114" i="5" s="1"/>
  <c r="V113" i="5"/>
  <c r="W113" i="5" s="1"/>
  <c r="V112" i="5"/>
  <c r="W112" i="5" s="1"/>
  <c r="V111" i="5"/>
  <c r="W111" i="5" s="1"/>
  <c r="V110" i="5"/>
  <c r="W110" i="5" s="1"/>
  <c r="V109" i="5"/>
  <c r="W109" i="5" s="1"/>
  <c r="V108" i="5"/>
  <c r="W108" i="5" s="1"/>
  <c r="V107" i="5"/>
  <c r="W107" i="5" s="1"/>
  <c r="V106" i="5"/>
  <c r="W106" i="5" s="1"/>
  <c r="V105" i="5"/>
  <c r="W105" i="5" s="1"/>
  <c r="V104" i="5"/>
  <c r="W104" i="5" s="1"/>
  <c r="V103" i="5"/>
  <c r="W103" i="5" s="1"/>
  <c r="V102" i="5"/>
  <c r="W102" i="5" s="1"/>
  <c r="V101" i="5"/>
  <c r="W101" i="5" s="1"/>
  <c r="V100" i="5"/>
  <c r="W100" i="5" s="1"/>
  <c r="V99" i="5"/>
  <c r="W99" i="5" s="1"/>
  <c r="V98" i="5"/>
  <c r="W98" i="5" s="1"/>
  <c r="V97" i="5"/>
  <c r="W97" i="5" s="1"/>
  <c r="V96" i="5"/>
  <c r="W96" i="5" s="1"/>
  <c r="V95" i="5"/>
  <c r="W95" i="5" s="1"/>
  <c r="V94" i="5"/>
  <c r="W94" i="5" s="1"/>
  <c r="V93" i="5"/>
  <c r="W93" i="5" s="1"/>
  <c r="V92" i="5"/>
  <c r="W92" i="5" s="1"/>
  <c r="V91" i="5"/>
  <c r="W91" i="5" s="1"/>
  <c r="V90" i="5"/>
  <c r="W90" i="5" s="1"/>
  <c r="V89" i="5"/>
  <c r="W89" i="5" s="1"/>
  <c r="V88" i="5"/>
  <c r="W88" i="5" s="1"/>
  <c r="V87" i="5"/>
  <c r="W87" i="5" s="1"/>
  <c r="V86" i="5"/>
  <c r="W86" i="5" s="1"/>
  <c r="V85" i="5"/>
  <c r="W85" i="5" s="1"/>
  <c r="V84" i="5"/>
  <c r="W84" i="5" s="1"/>
  <c r="V83" i="5"/>
  <c r="W83" i="5" s="1"/>
  <c r="V82" i="5"/>
  <c r="W82" i="5" s="1"/>
  <c r="V81" i="5"/>
  <c r="W81" i="5" s="1"/>
  <c r="V80" i="5"/>
  <c r="W80" i="5" s="1"/>
  <c r="V79" i="5"/>
  <c r="W79" i="5" s="1"/>
  <c r="V78" i="5"/>
  <c r="W78" i="5" s="1"/>
  <c r="V77" i="5"/>
  <c r="W77" i="5" s="1"/>
  <c r="V76" i="5"/>
  <c r="W76" i="5" s="1"/>
  <c r="V75" i="5"/>
  <c r="W75" i="5" s="1"/>
  <c r="V74" i="5"/>
  <c r="W74" i="5" s="1"/>
  <c r="V73" i="5"/>
  <c r="W73" i="5" s="1"/>
  <c r="V72" i="5"/>
  <c r="W72" i="5" s="1"/>
  <c r="V71" i="5"/>
  <c r="W71" i="5" s="1"/>
  <c r="V70" i="5"/>
  <c r="W70" i="5" s="1"/>
  <c r="V69" i="5"/>
  <c r="W69" i="5" s="1"/>
  <c r="V68" i="5"/>
  <c r="W68" i="5" s="1"/>
  <c r="V67" i="5"/>
  <c r="W67" i="5" s="1"/>
  <c r="V66" i="5"/>
  <c r="W66" i="5" s="1"/>
  <c r="V65" i="5"/>
  <c r="W65" i="5" s="1"/>
  <c r="V64" i="5"/>
  <c r="W64" i="5" s="1"/>
  <c r="V63" i="5"/>
  <c r="W63" i="5" s="1"/>
  <c r="V62" i="5"/>
  <c r="W62" i="5" s="1"/>
  <c r="V61" i="5"/>
  <c r="W61" i="5" s="1"/>
  <c r="V60" i="5"/>
  <c r="W60" i="5" s="1"/>
  <c r="V59" i="5"/>
  <c r="W59" i="5" s="1"/>
  <c r="V58" i="5"/>
  <c r="W58" i="5" s="1"/>
  <c r="V57" i="5"/>
  <c r="W57" i="5" s="1"/>
  <c r="V56" i="5"/>
  <c r="W56" i="5" s="1"/>
  <c r="V55" i="5"/>
  <c r="W55" i="5" s="1"/>
  <c r="V54" i="5"/>
  <c r="W54" i="5" s="1"/>
  <c r="V53" i="5"/>
  <c r="W53" i="5" s="1"/>
  <c r="V52" i="5"/>
  <c r="W52" i="5" s="1"/>
  <c r="V51" i="5"/>
  <c r="W51" i="5" s="1"/>
  <c r="V50" i="5"/>
  <c r="W50" i="5" s="1"/>
  <c r="V49" i="5"/>
  <c r="W49" i="5" s="1"/>
  <c r="V48" i="5"/>
  <c r="W48" i="5" s="1"/>
  <c r="V47" i="5"/>
  <c r="W47" i="5" s="1"/>
  <c r="V46" i="5"/>
  <c r="W46" i="5" s="1"/>
  <c r="V45" i="5"/>
  <c r="W45" i="5" s="1"/>
  <c r="V44" i="5"/>
  <c r="W44" i="5" s="1"/>
  <c r="V43" i="5"/>
  <c r="W43" i="5" s="1"/>
  <c r="V42" i="5"/>
  <c r="W42" i="5" s="1"/>
  <c r="V41" i="5"/>
  <c r="W41" i="5" s="1"/>
  <c r="V40" i="5"/>
  <c r="W40" i="5" s="1"/>
  <c r="V39" i="5"/>
  <c r="W39" i="5" s="1"/>
  <c r="V38" i="5"/>
  <c r="W38" i="5" s="1"/>
  <c r="V37" i="5"/>
  <c r="W37" i="5" s="1"/>
  <c r="V36" i="5"/>
  <c r="W36" i="5" s="1"/>
  <c r="V35" i="5"/>
  <c r="W35" i="5" s="1"/>
  <c r="V34" i="5"/>
  <c r="W34" i="5" s="1"/>
  <c r="V33" i="5"/>
  <c r="W33" i="5" s="1"/>
  <c r="V32" i="5"/>
  <c r="W32" i="5" s="1"/>
  <c r="V11" i="5"/>
  <c r="W11" i="5" s="1"/>
  <c r="V10" i="5"/>
  <c r="W10" i="5" s="1"/>
  <c r="V16" i="5"/>
  <c r="W16" i="5" s="1"/>
  <c r="V17" i="5"/>
  <c r="W17" i="5" s="1"/>
  <c r="V26" i="5"/>
  <c r="W26" i="5" s="1"/>
  <c r="V27" i="5"/>
  <c r="W27" i="5" s="1"/>
  <c r="V31" i="5"/>
  <c r="W31" i="5" s="1"/>
  <c r="V9" i="5"/>
  <c r="W9" i="5" s="1"/>
  <c r="V15" i="5"/>
  <c r="W15" i="5" s="1"/>
  <c r="V25" i="5"/>
  <c r="W25" i="5" s="1"/>
  <c r="V21" i="5"/>
  <c r="W21" i="5" s="1"/>
  <c r="V20" i="5"/>
  <c r="W20" i="5" s="1"/>
  <c r="V30" i="5"/>
  <c r="W30" i="5" s="1"/>
  <c r="V8" i="5"/>
  <c r="W8" i="5" s="1"/>
  <c r="V14" i="5"/>
  <c r="W14" i="5" s="1"/>
  <c r="V24" i="5"/>
  <c r="W24" i="5" s="1"/>
  <c r="V19" i="5"/>
  <c r="W19" i="5" s="1"/>
  <c r="V29" i="5"/>
  <c r="W29" i="5" s="1"/>
  <c r="V7" i="5"/>
  <c r="W7" i="5" s="1"/>
  <c r="V13" i="5"/>
  <c r="W13" i="5" s="1"/>
  <c r="V18" i="5"/>
  <c r="W18" i="5" s="1"/>
  <c r="P6" i="5"/>
  <c r="P7" i="5" s="1"/>
  <c r="V6" i="5"/>
  <c r="W6" i="5" s="1"/>
  <c r="V12" i="5"/>
  <c r="W12" i="5" s="1"/>
  <c r="V23" i="5"/>
  <c r="W23" i="5" s="1"/>
  <c r="V28" i="5"/>
  <c r="W28" i="5" s="1"/>
  <c r="B14" i="5"/>
  <c r="AB6" i="5"/>
  <c r="Q6" i="5"/>
  <c r="R6" i="5" s="1"/>
  <c r="Q7" i="5"/>
  <c r="X6" i="5"/>
  <c r="R7" i="5"/>
  <c r="P8" i="5" l="1"/>
  <c r="Y6" i="5"/>
  <c r="Z6" i="5" s="1"/>
  <c r="AC6" i="5"/>
  <c r="AD6" i="5" s="1"/>
  <c r="S7" i="5"/>
  <c r="Q8" i="5"/>
  <c r="R8" i="5"/>
  <c r="S6" i="5"/>
  <c r="X7" i="5"/>
  <c r="AB7" i="5"/>
  <c r="T7" i="5" l="1"/>
  <c r="P9" i="5"/>
  <c r="T6" i="5"/>
  <c r="U6" i="5" s="1"/>
  <c r="AC7" i="5"/>
  <c r="AD7" i="5" s="1"/>
  <c r="Y7" i="5"/>
  <c r="Z7" i="5" s="1"/>
  <c r="S8" i="5"/>
  <c r="X8" i="5"/>
  <c r="AB8" i="5"/>
  <c r="Q9" i="5"/>
  <c r="R9" i="5"/>
  <c r="U7" i="5" l="1"/>
  <c r="T8" i="5"/>
  <c r="P10" i="5"/>
  <c r="AC8" i="5"/>
  <c r="AD8" i="5" s="1"/>
  <c r="Y8" i="5"/>
  <c r="Z8" i="5" s="1"/>
  <c r="AB9" i="5"/>
  <c r="Q10" i="5"/>
  <c r="R10" i="5"/>
  <c r="X9" i="5"/>
  <c r="S9" i="5"/>
  <c r="U8" i="5" l="1"/>
  <c r="T9" i="5"/>
  <c r="P11" i="5"/>
  <c r="AC9" i="5"/>
  <c r="AD9" i="5" s="1"/>
  <c r="Y9" i="5"/>
  <c r="Z9" i="5" s="1"/>
  <c r="AB10" i="5"/>
  <c r="S10" i="5"/>
  <c r="X10" i="5"/>
  <c r="X11" i="5"/>
  <c r="Q11" i="5"/>
  <c r="AB11" i="5"/>
  <c r="R11" i="5"/>
  <c r="U9" i="5" l="1"/>
  <c r="T10" i="5"/>
  <c r="P12" i="5"/>
  <c r="AC10" i="5"/>
  <c r="AD10" i="5" s="1"/>
  <c r="AC11" i="5"/>
  <c r="Y10" i="5"/>
  <c r="Z10" i="5" s="1"/>
  <c r="Y11" i="5"/>
  <c r="X12" i="5"/>
  <c r="Q12" i="5"/>
  <c r="AB12" i="5"/>
  <c r="R12" i="5"/>
  <c r="S11" i="5"/>
  <c r="AD11" i="5" l="1"/>
  <c r="AD12" i="5" s="1"/>
  <c r="U10" i="5"/>
  <c r="Z11" i="5"/>
  <c r="T11" i="5"/>
  <c r="AC12" i="5"/>
  <c r="Y12" i="5"/>
  <c r="P13" i="5"/>
  <c r="S12" i="5"/>
  <c r="X13" i="5"/>
  <c r="AB13" i="5"/>
  <c r="Q13" i="5"/>
  <c r="R13" i="5"/>
  <c r="U11" i="5" l="1"/>
  <c r="U12" i="5" s="1"/>
  <c r="Z12" i="5"/>
  <c r="AC13" i="5"/>
  <c r="AD13" i="5" s="1"/>
  <c r="Y13" i="5"/>
  <c r="T12" i="5"/>
  <c r="P14" i="5"/>
  <c r="S13" i="5"/>
  <c r="X14" i="5"/>
  <c r="AB14" i="5"/>
  <c r="Q14" i="5"/>
  <c r="R14" i="5"/>
  <c r="Z13" i="5" l="1"/>
  <c r="AC14" i="5"/>
  <c r="AD14" i="5" s="1"/>
  <c r="Y14" i="5"/>
  <c r="T13" i="5"/>
  <c r="U13" i="5" s="1"/>
  <c r="P15" i="5"/>
  <c r="AB15" i="5"/>
  <c r="X15" i="5"/>
  <c r="Q15" i="5"/>
  <c r="R15" i="5"/>
  <c r="S14" i="5"/>
  <c r="Z14" i="5" l="1"/>
  <c r="Z15" i="5" s="1"/>
  <c r="T14" i="5"/>
  <c r="U14" i="5" s="1"/>
  <c r="Y15" i="5"/>
  <c r="AC15" i="5"/>
  <c r="AD15" i="5" s="1"/>
  <c r="P16" i="5"/>
  <c r="S15" i="5"/>
  <c r="AB16" i="5"/>
  <c r="X16" i="5"/>
  <c r="Q16" i="5"/>
  <c r="R16" i="5"/>
  <c r="Y16" i="5" l="1"/>
  <c r="Z16" i="5" s="1"/>
  <c r="AC16" i="5"/>
  <c r="AD16" i="5" s="1"/>
  <c r="T15" i="5"/>
  <c r="U15" i="5" s="1"/>
  <c r="P17" i="5"/>
  <c r="Q17" i="5"/>
  <c r="X17" i="5"/>
  <c r="AB17" i="5"/>
  <c r="R17" i="5"/>
  <c r="S16" i="5"/>
  <c r="T16" i="5" l="1"/>
  <c r="U16" i="5" s="1"/>
  <c r="AC17" i="5"/>
  <c r="AD17" i="5" s="1"/>
  <c r="Y17" i="5"/>
  <c r="Z17" i="5" s="1"/>
  <c r="P18" i="5"/>
  <c r="S17" i="5"/>
  <c r="X18" i="5"/>
  <c r="AB18" i="5"/>
  <c r="Q18" i="5"/>
  <c r="R18" i="5"/>
  <c r="AC18" i="5" l="1"/>
  <c r="AD18" i="5" s="1"/>
  <c r="Y18" i="5"/>
  <c r="Z18" i="5" s="1"/>
  <c r="T17" i="5"/>
  <c r="U17" i="5" s="1"/>
  <c r="P19" i="5"/>
  <c r="AB19" i="5"/>
  <c r="X19" i="5"/>
  <c r="Q19" i="5"/>
  <c r="R19" i="5"/>
  <c r="S18" i="5"/>
  <c r="T18" i="5" l="1"/>
  <c r="U18" i="5" s="1"/>
  <c r="Y19" i="5"/>
  <c r="Z19" i="5" s="1"/>
  <c r="AC19" i="5"/>
  <c r="AD19" i="5" s="1"/>
  <c r="P20" i="5"/>
  <c r="S19" i="5"/>
  <c r="X20" i="5"/>
  <c r="AB20" i="5"/>
  <c r="Q20" i="5"/>
  <c r="R20" i="5"/>
  <c r="AC20" i="5" l="1"/>
  <c r="AD20" i="5" s="1"/>
  <c r="Y20" i="5"/>
  <c r="T19" i="5"/>
  <c r="U19" i="5" s="1"/>
  <c r="Z20" i="5"/>
  <c r="P21" i="5"/>
  <c r="S20" i="5"/>
  <c r="X21" i="5"/>
  <c r="Q21" i="5"/>
  <c r="AB21" i="5"/>
  <c r="R21" i="5"/>
  <c r="AC21" i="5" l="1"/>
  <c r="AD21" i="5" s="1"/>
  <c r="Y21" i="5"/>
  <c r="Z21" i="5" s="1"/>
  <c r="T20" i="5"/>
  <c r="U20" i="5" s="1"/>
  <c r="P22" i="5"/>
  <c r="AB22" i="5"/>
  <c r="X22" i="5"/>
  <c r="Q22" i="5"/>
  <c r="R22" i="5"/>
  <c r="S21" i="5"/>
  <c r="T21" i="5" l="1"/>
  <c r="U21" i="5" s="1"/>
  <c r="Y22" i="5"/>
  <c r="AC22" i="5"/>
  <c r="AD22" i="5" s="1"/>
  <c r="Z22" i="5"/>
  <c r="P23" i="5"/>
  <c r="S22" i="5"/>
  <c r="Q23" i="5"/>
  <c r="AB23" i="5"/>
  <c r="X23" i="5"/>
  <c r="R23" i="5"/>
  <c r="Y23" i="5" l="1"/>
  <c r="Z23" i="5" s="1"/>
  <c r="AC23" i="5"/>
  <c r="AD23" i="5" s="1"/>
  <c r="T22" i="5"/>
  <c r="U22" i="5"/>
  <c r="P24" i="5"/>
  <c r="AB24" i="5"/>
  <c r="X24" i="5"/>
  <c r="Q24" i="5"/>
  <c r="R24" i="5"/>
  <c r="S23" i="5"/>
  <c r="T23" i="5" l="1"/>
  <c r="U23" i="5" s="1"/>
  <c r="Y24" i="5"/>
  <c r="AC24" i="5"/>
  <c r="AD24" i="5" s="1"/>
  <c r="Z24" i="5"/>
  <c r="P25" i="5"/>
  <c r="S24" i="5"/>
  <c r="AB25" i="5"/>
  <c r="X25" i="5"/>
  <c r="Q25" i="5"/>
  <c r="R25" i="5"/>
  <c r="Y25" i="5" l="1"/>
  <c r="Z25" i="5" s="1"/>
  <c r="AC25" i="5"/>
  <c r="AD25" i="5" s="1"/>
  <c r="T24" i="5"/>
  <c r="U24" i="5" s="1"/>
  <c r="P26" i="5"/>
  <c r="S25" i="5"/>
  <c r="X26" i="5"/>
  <c r="AB26" i="5"/>
  <c r="Q26" i="5"/>
  <c r="R26" i="5"/>
  <c r="AC26" i="5" l="1"/>
  <c r="AD26" i="5" s="1"/>
  <c r="Y26" i="5"/>
  <c r="Z26" i="5" s="1"/>
  <c r="T25" i="5"/>
  <c r="U25" i="5" s="1"/>
  <c r="P27" i="5"/>
  <c r="S26" i="5"/>
  <c r="Q27" i="5"/>
  <c r="X27" i="5"/>
  <c r="AB27" i="5"/>
  <c r="R27" i="5"/>
  <c r="AC27" i="5" l="1"/>
  <c r="AD27" i="5" s="1"/>
  <c r="Y27" i="5"/>
  <c r="Z27" i="5" s="1"/>
  <c r="T26" i="5"/>
  <c r="U26" i="5"/>
  <c r="P28" i="5"/>
  <c r="S27" i="5"/>
  <c r="AB28" i="5"/>
  <c r="Q28" i="5"/>
  <c r="X28" i="5"/>
  <c r="R28" i="5"/>
  <c r="Y28" i="5" l="1"/>
  <c r="Z28" i="5" s="1"/>
  <c r="AC28" i="5"/>
  <c r="AD28" i="5" s="1"/>
  <c r="T27" i="5"/>
  <c r="U27" i="5" s="1"/>
  <c r="P29" i="5"/>
  <c r="S28" i="5"/>
  <c r="X29" i="5"/>
  <c r="AB29" i="5"/>
  <c r="Q29" i="5"/>
  <c r="R29" i="5"/>
  <c r="AC29" i="5" l="1"/>
  <c r="Y29" i="5"/>
  <c r="Z29" i="5" s="1"/>
  <c r="T28" i="5"/>
  <c r="U28" i="5" s="1"/>
  <c r="AD29" i="5"/>
  <c r="P30" i="5"/>
  <c r="S29" i="5"/>
  <c r="AB30" i="5"/>
  <c r="X30" i="5"/>
  <c r="Q30" i="5"/>
  <c r="R30" i="5"/>
  <c r="Y30" i="5" l="1"/>
  <c r="Z30" i="5" s="1"/>
  <c r="AC30" i="5"/>
  <c r="AD30" i="5" s="1"/>
  <c r="T29" i="5"/>
  <c r="U29" i="5" s="1"/>
  <c r="P31" i="5"/>
  <c r="S30" i="5"/>
  <c r="X31" i="5"/>
  <c r="AB31" i="5"/>
  <c r="Q31" i="5"/>
  <c r="R31" i="5"/>
  <c r="AC31" i="5" l="1"/>
  <c r="AD31" i="5" s="1"/>
  <c r="Y31" i="5"/>
  <c r="Z31" i="5" s="1"/>
  <c r="T30" i="5"/>
  <c r="U30" i="5" s="1"/>
  <c r="P32" i="5"/>
  <c r="S31" i="5"/>
  <c r="X32" i="5"/>
  <c r="AB32" i="5"/>
  <c r="Q32" i="5"/>
  <c r="R32" i="5"/>
  <c r="AC32" i="5" l="1"/>
  <c r="AD32" i="5" s="1"/>
  <c r="Y32" i="5"/>
  <c r="T31" i="5"/>
  <c r="U31" i="5" s="1"/>
  <c r="P33" i="5"/>
  <c r="Z32" i="5"/>
  <c r="S32" i="5"/>
  <c r="AB33" i="5"/>
  <c r="X33" i="5"/>
  <c r="Q33" i="5"/>
  <c r="R33" i="5"/>
  <c r="Y33" i="5" l="1"/>
  <c r="Z33" i="5" s="1"/>
  <c r="AC33" i="5"/>
  <c r="AD33" i="5" s="1"/>
  <c r="T32" i="5"/>
  <c r="U32" i="5" s="1"/>
  <c r="P34" i="5"/>
  <c r="S33" i="5"/>
  <c r="X34" i="5"/>
  <c r="AB34" i="5"/>
  <c r="Q34" i="5"/>
  <c r="R34" i="5"/>
  <c r="AC34" i="5" l="1"/>
  <c r="AD34" i="5" s="1"/>
  <c r="Y34" i="5"/>
  <c r="Z34" i="5" s="1"/>
  <c r="T33" i="5"/>
  <c r="U33" i="5" s="1"/>
  <c r="P35" i="5"/>
  <c r="S34" i="5"/>
  <c r="AB35" i="5"/>
  <c r="X35" i="5"/>
  <c r="Q35" i="5"/>
  <c r="R35" i="5"/>
  <c r="Y35" i="5" l="1"/>
  <c r="Z35" i="5" s="1"/>
  <c r="AC35" i="5"/>
  <c r="AD35" i="5" s="1"/>
  <c r="T34" i="5"/>
  <c r="U34" i="5" s="1"/>
  <c r="P36" i="5"/>
  <c r="S35" i="5"/>
  <c r="AB36" i="5"/>
  <c r="X36" i="5"/>
  <c r="Q36" i="5"/>
  <c r="R36" i="5"/>
  <c r="Y36" i="5" l="1"/>
  <c r="Z36" i="5" s="1"/>
  <c r="AC36" i="5"/>
  <c r="AD36" i="5" s="1"/>
  <c r="T35" i="5"/>
  <c r="U35" i="5" s="1"/>
  <c r="P37" i="5"/>
  <c r="X37" i="5"/>
  <c r="AB37" i="5"/>
  <c r="Q37" i="5"/>
  <c r="R37" i="5"/>
  <c r="S36" i="5"/>
  <c r="T36" i="5" l="1"/>
  <c r="U36" i="5" s="1"/>
  <c r="AC37" i="5"/>
  <c r="AD37" i="5" s="1"/>
  <c r="Y37" i="5"/>
  <c r="Z37" i="5" s="1"/>
  <c r="P38" i="5"/>
  <c r="S37" i="5"/>
  <c r="AB38" i="5"/>
  <c r="X38" i="5"/>
  <c r="Q38" i="5"/>
  <c r="R38" i="5"/>
  <c r="Y38" i="5" l="1"/>
  <c r="Z38" i="5" s="1"/>
  <c r="AC38" i="5"/>
  <c r="AD38" i="5" s="1"/>
  <c r="T37" i="5"/>
  <c r="U37" i="5" s="1"/>
  <c r="P39" i="5"/>
  <c r="X39" i="5"/>
  <c r="AB39" i="5"/>
  <c r="Q39" i="5"/>
  <c r="R39" i="5"/>
  <c r="S38" i="5"/>
  <c r="T38" i="5" l="1"/>
  <c r="U38" i="5" s="1"/>
  <c r="AC39" i="5"/>
  <c r="AD39" i="5" s="1"/>
  <c r="Y39" i="5"/>
  <c r="Z39" i="5" s="1"/>
  <c r="P40" i="5"/>
  <c r="AB40" i="5"/>
  <c r="X40" i="5"/>
  <c r="Q40" i="5"/>
  <c r="R40" i="5"/>
  <c r="S39" i="5"/>
  <c r="T39" i="5" l="1"/>
  <c r="U39" i="5" s="1"/>
  <c r="Y40" i="5"/>
  <c r="Z40" i="5" s="1"/>
  <c r="AC40" i="5"/>
  <c r="AD40" i="5" s="1"/>
  <c r="P41" i="5"/>
  <c r="S40" i="5"/>
  <c r="AB41" i="5"/>
  <c r="X41" i="5"/>
  <c r="Q41" i="5"/>
  <c r="R41" i="5"/>
  <c r="Y41" i="5" l="1"/>
  <c r="Z41" i="5" s="1"/>
  <c r="AC41" i="5"/>
  <c r="AD41" i="5" s="1"/>
  <c r="T40" i="5"/>
  <c r="U40" i="5" s="1"/>
  <c r="P42" i="5"/>
  <c r="S41" i="5"/>
  <c r="AB42" i="5"/>
  <c r="X42" i="5"/>
  <c r="Q42" i="5"/>
  <c r="R42" i="5"/>
  <c r="Y42" i="5" l="1"/>
  <c r="Z42" i="5" s="1"/>
  <c r="AC42" i="5"/>
  <c r="AD42" i="5" s="1"/>
  <c r="T41" i="5"/>
  <c r="U41" i="5"/>
  <c r="P43" i="5"/>
  <c r="S42" i="5"/>
  <c r="AB43" i="5"/>
  <c r="X43" i="5"/>
  <c r="Q43" i="5"/>
  <c r="R43" i="5"/>
  <c r="Y43" i="5" l="1"/>
  <c r="Z43" i="5" s="1"/>
  <c r="AC43" i="5"/>
  <c r="AD43" i="5" s="1"/>
  <c r="T42" i="5"/>
  <c r="U42" i="5"/>
  <c r="P44" i="5"/>
  <c r="AB44" i="5"/>
  <c r="X44" i="5"/>
  <c r="Q44" i="5"/>
  <c r="R44" i="5"/>
  <c r="S43" i="5"/>
  <c r="T43" i="5" l="1"/>
  <c r="U43" i="5" s="1"/>
  <c r="Y44" i="5"/>
  <c r="Z44" i="5" s="1"/>
  <c r="AC44" i="5"/>
  <c r="AD44" i="5" s="1"/>
  <c r="P45" i="5"/>
  <c r="S44" i="5"/>
  <c r="X45" i="5"/>
  <c r="AB45" i="5"/>
  <c r="Q45" i="5"/>
  <c r="R45" i="5"/>
  <c r="AC45" i="5" l="1"/>
  <c r="AD45" i="5" s="1"/>
  <c r="Y45" i="5"/>
  <c r="Z45" i="5" s="1"/>
  <c r="T44" i="5"/>
  <c r="U44" i="5" s="1"/>
  <c r="P46" i="5"/>
  <c r="S45" i="5"/>
  <c r="X46" i="5"/>
  <c r="AB46" i="5"/>
  <c r="Q46" i="5"/>
  <c r="R46" i="5"/>
  <c r="AC46" i="5" l="1"/>
  <c r="AD46" i="5" s="1"/>
  <c r="Y46" i="5"/>
  <c r="Z46" i="5" s="1"/>
  <c r="T45" i="5"/>
  <c r="U45" i="5" s="1"/>
  <c r="P47" i="5"/>
  <c r="AB47" i="5"/>
  <c r="X47" i="5"/>
  <c r="Q47" i="5"/>
  <c r="R47" i="5"/>
  <c r="S46" i="5"/>
  <c r="T46" i="5" l="1"/>
  <c r="U46" i="5" s="1"/>
  <c r="Y47" i="5"/>
  <c r="Z47" i="5" s="1"/>
  <c r="AC47" i="5"/>
  <c r="AD47" i="5" s="1"/>
  <c r="P48" i="5"/>
  <c r="S47" i="5"/>
  <c r="AB48" i="5"/>
  <c r="X48" i="5"/>
  <c r="Q48" i="5"/>
  <c r="R48" i="5"/>
  <c r="Y48" i="5" l="1"/>
  <c r="Z48" i="5" s="1"/>
  <c r="AC48" i="5"/>
  <c r="AD48" i="5" s="1"/>
  <c r="T47" i="5"/>
  <c r="U47" i="5" s="1"/>
  <c r="P49" i="5"/>
  <c r="AB49" i="5"/>
  <c r="X49" i="5"/>
  <c r="Q49" i="5"/>
  <c r="R49" i="5"/>
  <c r="S48" i="5"/>
  <c r="T48" i="5" l="1"/>
  <c r="U48" i="5" s="1"/>
  <c r="Y49" i="5"/>
  <c r="Z49" i="5" s="1"/>
  <c r="AC49" i="5"/>
  <c r="AD49" i="5" s="1"/>
  <c r="P50" i="5"/>
  <c r="S49" i="5"/>
  <c r="AB50" i="5"/>
  <c r="X50" i="5"/>
  <c r="Q50" i="5"/>
  <c r="R50" i="5"/>
  <c r="Y50" i="5" l="1"/>
  <c r="Z50" i="5" s="1"/>
  <c r="AC50" i="5"/>
  <c r="AD50" i="5" s="1"/>
  <c r="T49" i="5"/>
  <c r="U49" i="5" s="1"/>
  <c r="P51" i="5"/>
  <c r="S50" i="5"/>
  <c r="AB51" i="5"/>
  <c r="X51" i="5"/>
  <c r="Q51" i="5"/>
  <c r="R51" i="5"/>
  <c r="Y51" i="5" l="1"/>
  <c r="Z51" i="5" s="1"/>
  <c r="AC51" i="5"/>
  <c r="AD51" i="5" s="1"/>
  <c r="T50" i="5"/>
  <c r="U50" i="5" s="1"/>
  <c r="P52" i="5"/>
  <c r="S51" i="5"/>
  <c r="AB52" i="5"/>
  <c r="X52" i="5"/>
  <c r="Q52" i="5"/>
  <c r="R52" i="5"/>
  <c r="Y52" i="5" l="1"/>
  <c r="Z52" i="5" s="1"/>
  <c r="AC52" i="5"/>
  <c r="AD52" i="5" s="1"/>
  <c r="T51" i="5"/>
  <c r="U51" i="5" s="1"/>
  <c r="P53" i="5"/>
  <c r="AB53" i="5"/>
  <c r="X53" i="5"/>
  <c r="Q53" i="5"/>
  <c r="R53" i="5"/>
  <c r="S52" i="5"/>
  <c r="T52" i="5" l="1"/>
  <c r="U52" i="5" s="1"/>
  <c r="Y53" i="5"/>
  <c r="Z53" i="5" s="1"/>
  <c r="AC53" i="5"/>
  <c r="AD53" i="5" s="1"/>
  <c r="P54" i="5"/>
  <c r="S53" i="5"/>
  <c r="AB54" i="5"/>
  <c r="X54" i="5"/>
  <c r="Q54" i="5"/>
  <c r="R54" i="5"/>
  <c r="Y54" i="5" l="1"/>
  <c r="Z54" i="5" s="1"/>
  <c r="AC54" i="5"/>
  <c r="AD54" i="5" s="1"/>
  <c r="T53" i="5"/>
  <c r="U53" i="5" s="1"/>
  <c r="P55" i="5"/>
  <c r="AB55" i="5"/>
  <c r="X55" i="5"/>
  <c r="Q55" i="5"/>
  <c r="R55" i="5"/>
  <c r="S54" i="5"/>
  <c r="T54" i="5" l="1"/>
  <c r="U54" i="5" s="1"/>
  <c r="Y55" i="5"/>
  <c r="Z55" i="5" s="1"/>
  <c r="AC55" i="5"/>
  <c r="AD55" i="5" s="1"/>
  <c r="P56" i="5"/>
  <c r="AB56" i="5"/>
  <c r="X56" i="5"/>
  <c r="Q56" i="5"/>
  <c r="R56" i="5"/>
  <c r="S55" i="5"/>
  <c r="T55" i="5" l="1"/>
  <c r="U55" i="5" s="1"/>
  <c r="Y56" i="5"/>
  <c r="Z56" i="5" s="1"/>
  <c r="AC56" i="5"/>
  <c r="AD56" i="5" s="1"/>
  <c r="P57" i="5"/>
  <c r="S56" i="5"/>
  <c r="AB57" i="5"/>
  <c r="X57" i="5"/>
  <c r="Q57" i="5"/>
  <c r="R57" i="5"/>
  <c r="Y57" i="5" l="1"/>
  <c r="Z57" i="5" s="1"/>
  <c r="AC57" i="5"/>
  <c r="AD57" i="5" s="1"/>
  <c r="T56" i="5"/>
  <c r="U56" i="5" s="1"/>
  <c r="P58" i="5"/>
  <c r="AB58" i="5"/>
  <c r="X58" i="5"/>
  <c r="Q58" i="5"/>
  <c r="R58" i="5"/>
  <c r="S57" i="5"/>
  <c r="T57" i="5" l="1"/>
  <c r="U57" i="5" s="1"/>
  <c r="Y58" i="5"/>
  <c r="Z58" i="5" s="1"/>
  <c r="AC58" i="5"/>
  <c r="AD58" i="5" s="1"/>
  <c r="P59" i="5"/>
  <c r="S58" i="5"/>
  <c r="AB59" i="5"/>
  <c r="X59" i="5"/>
  <c r="Q59" i="5"/>
  <c r="R59" i="5"/>
  <c r="Y59" i="5" l="1"/>
  <c r="Z59" i="5" s="1"/>
  <c r="AC59" i="5"/>
  <c r="AD59" i="5" s="1"/>
  <c r="T58" i="5"/>
  <c r="U58" i="5" s="1"/>
  <c r="P60" i="5"/>
  <c r="S59" i="5"/>
  <c r="AB60" i="5"/>
  <c r="X60" i="5"/>
  <c r="Q60" i="5"/>
  <c r="R60" i="5"/>
  <c r="Y60" i="5" l="1"/>
  <c r="Z60" i="5" s="1"/>
  <c r="AC60" i="5"/>
  <c r="AD60" i="5" s="1"/>
  <c r="T59" i="5"/>
  <c r="U59" i="5" s="1"/>
  <c r="P61" i="5"/>
  <c r="AB61" i="5"/>
  <c r="X61" i="5"/>
  <c r="Q61" i="5"/>
  <c r="R61" i="5"/>
  <c r="S60" i="5"/>
  <c r="T60" i="5" l="1"/>
  <c r="U60" i="5" s="1"/>
  <c r="Y61" i="5"/>
  <c r="Z61" i="5" s="1"/>
  <c r="AC61" i="5"/>
  <c r="AD61" i="5" s="1"/>
  <c r="P62" i="5"/>
  <c r="S61" i="5"/>
  <c r="AB62" i="5"/>
  <c r="X62" i="5"/>
  <c r="Q62" i="5"/>
  <c r="R62" i="5"/>
  <c r="Y62" i="5" l="1"/>
  <c r="Z62" i="5" s="1"/>
  <c r="AC62" i="5"/>
  <c r="AD62" i="5" s="1"/>
  <c r="T61" i="5"/>
  <c r="U61" i="5" s="1"/>
  <c r="P63" i="5"/>
  <c r="X63" i="5"/>
  <c r="AB63" i="5"/>
  <c r="Q63" i="5"/>
  <c r="R63" i="5"/>
  <c r="S62" i="5"/>
  <c r="T62" i="5" l="1"/>
  <c r="U62" i="5" s="1"/>
  <c r="AC63" i="5"/>
  <c r="AD63" i="5" s="1"/>
  <c r="Y63" i="5"/>
  <c r="Z63" i="5" s="1"/>
  <c r="P64" i="5"/>
  <c r="S63" i="5"/>
  <c r="AB64" i="5"/>
  <c r="X64" i="5"/>
  <c r="Q64" i="5"/>
  <c r="R64" i="5"/>
  <c r="Y64" i="5" l="1"/>
  <c r="Z64" i="5" s="1"/>
  <c r="AC64" i="5"/>
  <c r="AD64" i="5" s="1"/>
  <c r="T63" i="5"/>
  <c r="U63" i="5" s="1"/>
  <c r="P65" i="5"/>
  <c r="AB65" i="5"/>
  <c r="X65" i="5"/>
  <c r="Q65" i="5"/>
  <c r="R65" i="5"/>
  <c r="S64" i="5"/>
  <c r="T64" i="5" l="1"/>
  <c r="U64" i="5" s="1"/>
  <c r="Y65" i="5"/>
  <c r="Z65" i="5" s="1"/>
  <c r="AC65" i="5"/>
  <c r="AD65" i="5" s="1"/>
  <c r="P66" i="5"/>
  <c r="S65" i="5"/>
  <c r="X66" i="5"/>
  <c r="AB66" i="5"/>
  <c r="Q66" i="5"/>
  <c r="R66" i="5"/>
  <c r="AC66" i="5" l="1"/>
  <c r="AD66" i="5" s="1"/>
  <c r="Y66" i="5"/>
  <c r="Z66" i="5" s="1"/>
  <c r="T65" i="5"/>
  <c r="U65" i="5" s="1"/>
  <c r="P67" i="5"/>
  <c r="S66" i="5"/>
  <c r="X67" i="5"/>
  <c r="AB67" i="5"/>
  <c r="Q67" i="5"/>
  <c r="R67" i="5"/>
  <c r="AC67" i="5" l="1"/>
  <c r="AD67" i="5" s="1"/>
  <c r="Y67" i="5"/>
  <c r="Z67" i="5" s="1"/>
  <c r="T66" i="5"/>
  <c r="U66" i="5" s="1"/>
  <c r="P68" i="5"/>
  <c r="X68" i="5"/>
  <c r="AB68" i="5"/>
  <c r="Q68" i="5"/>
  <c r="R68" i="5"/>
  <c r="S67" i="5"/>
  <c r="T67" i="5" l="1"/>
  <c r="U67" i="5" s="1"/>
  <c r="AC68" i="5"/>
  <c r="AD68" i="5" s="1"/>
  <c r="Y68" i="5"/>
  <c r="Z68" i="5" s="1"/>
  <c r="P69" i="5"/>
  <c r="S68" i="5"/>
  <c r="AB69" i="5"/>
  <c r="X69" i="5"/>
  <c r="Q69" i="5"/>
  <c r="R69" i="5"/>
  <c r="Y69" i="5" l="1"/>
  <c r="Z69" i="5" s="1"/>
  <c r="AC69" i="5"/>
  <c r="AD69" i="5" s="1"/>
  <c r="T68" i="5"/>
  <c r="U68" i="5" s="1"/>
  <c r="P70" i="5"/>
  <c r="AB70" i="5"/>
  <c r="X70" i="5"/>
  <c r="Q70" i="5"/>
  <c r="R70" i="5"/>
  <c r="S69" i="5"/>
  <c r="T69" i="5" l="1"/>
  <c r="U69" i="5" s="1"/>
  <c r="Y70" i="5"/>
  <c r="Z70" i="5" s="1"/>
  <c r="AC70" i="5"/>
  <c r="AD70" i="5" s="1"/>
  <c r="P71" i="5"/>
  <c r="S70" i="5"/>
  <c r="AB71" i="5"/>
  <c r="X71" i="5"/>
  <c r="Q71" i="5"/>
  <c r="R71" i="5"/>
  <c r="Y71" i="5" l="1"/>
  <c r="Z71" i="5" s="1"/>
  <c r="AC71" i="5"/>
  <c r="AD71" i="5" s="1"/>
  <c r="T70" i="5"/>
  <c r="U70" i="5" s="1"/>
  <c r="P72" i="5"/>
  <c r="X72" i="5"/>
  <c r="AB72" i="5"/>
  <c r="Q72" i="5"/>
  <c r="R72" i="5"/>
  <c r="S71" i="5"/>
  <c r="T71" i="5" l="1"/>
  <c r="U71" i="5" s="1"/>
  <c r="AC72" i="5"/>
  <c r="AD72" i="5" s="1"/>
  <c r="Y72" i="5"/>
  <c r="Z72" i="5" s="1"/>
  <c r="P73" i="5"/>
  <c r="S72" i="5"/>
  <c r="X73" i="5"/>
  <c r="AB73" i="5"/>
  <c r="Q73" i="5"/>
  <c r="R73" i="5"/>
  <c r="AC73" i="5" l="1"/>
  <c r="AD73" i="5" s="1"/>
  <c r="Y73" i="5"/>
  <c r="Z73" i="5" s="1"/>
  <c r="T72" i="5"/>
  <c r="U72" i="5" s="1"/>
  <c r="P74" i="5"/>
  <c r="S73" i="5"/>
  <c r="AB74" i="5"/>
  <c r="X74" i="5"/>
  <c r="Q74" i="5"/>
  <c r="R74" i="5"/>
  <c r="Y74" i="5" l="1"/>
  <c r="Z74" i="5" s="1"/>
  <c r="AC74" i="5"/>
  <c r="AD74" i="5" s="1"/>
  <c r="T73" i="5"/>
  <c r="U73" i="5" s="1"/>
  <c r="P75" i="5"/>
  <c r="S74" i="5"/>
  <c r="AB75" i="5"/>
  <c r="X75" i="5"/>
  <c r="Q75" i="5"/>
  <c r="R75" i="5"/>
  <c r="Y75" i="5" l="1"/>
  <c r="Z75" i="5" s="1"/>
  <c r="AC75" i="5"/>
  <c r="AD75" i="5" s="1"/>
  <c r="T74" i="5"/>
  <c r="U74" i="5" s="1"/>
  <c r="P76" i="5"/>
  <c r="S75" i="5"/>
  <c r="X76" i="5"/>
  <c r="AB76" i="5"/>
  <c r="Q76" i="5"/>
  <c r="R76" i="5"/>
  <c r="AC76" i="5" l="1"/>
  <c r="AD76" i="5" s="1"/>
  <c r="Y76" i="5"/>
  <c r="Z76" i="5" s="1"/>
  <c r="T75" i="5"/>
  <c r="U75" i="5" s="1"/>
  <c r="P77" i="5"/>
  <c r="S76" i="5"/>
  <c r="AB77" i="5"/>
  <c r="X77" i="5"/>
  <c r="Q77" i="5"/>
  <c r="R77" i="5"/>
  <c r="Y77" i="5" l="1"/>
  <c r="Z77" i="5" s="1"/>
  <c r="AC77" i="5"/>
  <c r="AD77" i="5" s="1"/>
  <c r="T76" i="5"/>
  <c r="U76" i="5"/>
  <c r="P78" i="5"/>
  <c r="S77" i="5"/>
  <c r="AB78" i="5"/>
  <c r="X78" i="5"/>
  <c r="Q78" i="5"/>
  <c r="R78" i="5"/>
  <c r="Y78" i="5" l="1"/>
  <c r="Z78" i="5" s="1"/>
  <c r="AC78" i="5"/>
  <c r="AD78" i="5" s="1"/>
  <c r="T77" i="5"/>
  <c r="U77" i="5" s="1"/>
  <c r="P79" i="5"/>
  <c r="AB79" i="5"/>
  <c r="X79" i="5"/>
  <c r="Q79" i="5"/>
  <c r="R79" i="5"/>
  <c r="S78" i="5"/>
  <c r="T78" i="5" l="1"/>
  <c r="U78" i="5" s="1"/>
  <c r="Y79" i="5"/>
  <c r="Z79" i="5" s="1"/>
  <c r="AC79" i="5"/>
  <c r="AD79" i="5" s="1"/>
  <c r="P80" i="5"/>
  <c r="S79" i="5"/>
  <c r="X80" i="5"/>
  <c r="AB80" i="5"/>
  <c r="Q80" i="5"/>
  <c r="R80" i="5"/>
  <c r="AC80" i="5" l="1"/>
  <c r="AD80" i="5" s="1"/>
  <c r="Y80" i="5"/>
  <c r="Z80" i="5" s="1"/>
  <c r="T79" i="5"/>
  <c r="U79" i="5" s="1"/>
  <c r="P81" i="5"/>
  <c r="X81" i="5"/>
  <c r="AB81" i="5"/>
  <c r="Q81" i="5"/>
  <c r="R81" i="5"/>
  <c r="S80" i="5"/>
  <c r="T80" i="5" l="1"/>
  <c r="U80" i="5" s="1"/>
  <c r="AC81" i="5"/>
  <c r="AD81" i="5" s="1"/>
  <c r="Y81" i="5"/>
  <c r="Z81" i="5" s="1"/>
  <c r="P82" i="5"/>
  <c r="S81" i="5"/>
  <c r="AB82" i="5"/>
  <c r="X82" i="5"/>
  <c r="Q82" i="5"/>
  <c r="R82" i="5"/>
  <c r="Y82" i="5" l="1"/>
  <c r="Z82" i="5" s="1"/>
  <c r="AC82" i="5"/>
  <c r="AD82" i="5" s="1"/>
  <c r="T81" i="5"/>
  <c r="U81" i="5" s="1"/>
  <c r="P83" i="5"/>
  <c r="AB83" i="5"/>
  <c r="X83" i="5"/>
  <c r="Q83" i="5"/>
  <c r="R83" i="5"/>
  <c r="S82" i="5"/>
  <c r="T82" i="5" l="1"/>
  <c r="U82" i="5" s="1"/>
  <c r="Y83" i="5"/>
  <c r="Z83" i="5" s="1"/>
  <c r="AC83" i="5"/>
  <c r="AD83" i="5" s="1"/>
  <c r="P84" i="5"/>
  <c r="AB84" i="5"/>
  <c r="X84" i="5"/>
  <c r="Q84" i="5"/>
  <c r="R84" i="5"/>
  <c r="S83" i="5"/>
  <c r="T83" i="5" l="1"/>
  <c r="U83" i="5" s="1"/>
  <c r="Y84" i="5"/>
  <c r="Z84" i="5" s="1"/>
  <c r="AC84" i="5"/>
  <c r="AD84" i="5" s="1"/>
  <c r="P85" i="5"/>
  <c r="S84" i="5"/>
  <c r="AB85" i="5"/>
  <c r="X85" i="5"/>
  <c r="Q85" i="5"/>
  <c r="R85" i="5"/>
  <c r="Y85" i="5" l="1"/>
  <c r="Z85" i="5" s="1"/>
  <c r="AC85" i="5"/>
  <c r="AD85" i="5" s="1"/>
  <c r="T84" i="5"/>
  <c r="U84" i="5" s="1"/>
  <c r="P86" i="5"/>
  <c r="AB86" i="5"/>
  <c r="X86" i="5"/>
  <c r="Q86" i="5"/>
  <c r="R86" i="5"/>
  <c r="S85" i="5"/>
  <c r="T85" i="5" l="1"/>
  <c r="U85" i="5" s="1"/>
  <c r="Y86" i="5"/>
  <c r="Z86" i="5" s="1"/>
  <c r="AC86" i="5"/>
  <c r="AD86" i="5" s="1"/>
  <c r="P87" i="5"/>
  <c r="AB87" i="5"/>
  <c r="X87" i="5"/>
  <c r="Q87" i="5"/>
  <c r="R87" i="5"/>
  <c r="S86" i="5"/>
  <c r="T86" i="5" l="1"/>
  <c r="U86" i="5" s="1"/>
  <c r="Y87" i="5"/>
  <c r="Z87" i="5" s="1"/>
  <c r="AC87" i="5"/>
  <c r="AD87" i="5" s="1"/>
  <c r="P88" i="5"/>
  <c r="S87" i="5"/>
  <c r="X88" i="5"/>
  <c r="AB88" i="5"/>
  <c r="Q88" i="5"/>
  <c r="R88" i="5"/>
  <c r="AC88" i="5" l="1"/>
  <c r="AD88" i="5" s="1"/>
  <c r="Y88" i="5"/>
  <c r="Z88" i="5" s="1"/>
  <c r="T87" i="5"/>
  <c r="U87" i="5"/>
  <c r="P89" i="5"/>
  <c r="AB89" i="5"/>
  <c r="X89" i="5"/>
  <c r="Q89" i="5"/>
  <c r="R89" i="5"/>
  <c r="S88" i="5"/>
  <c r="T88" i="5" l="1"/>
  <c r="Y89" i="5"/>
  <c r="Z89" i="5" s="1"/>
  <c r="AC89" i="5"/>
  <c r="AD89" i="5" s="1"/>
  <c r="U88" i="5"/>
  <c r="P90" i="5"/>
  <c r="S89" i="5"/>
  <c r="AB90" i="5"/>
  <c r="X90" i="5"/>
  <c r="Q90" i="5"/>
  <c r="R90" i="5"/>
  <c r="Y90" i="5" l="1"/>
  <c r="Z90" i="5" s="1"/>
  <c r="AC90" i="5"/>
  <c r="AD90" i="5" s="1"/>
  <c r="T89" i="5"/>
  <c r="U89" i="5"/>
  <c r="P91" i="5"/>
  <c r="S90" i="5"/>
  <c r="AB91" i="5"/>
  <c r="X91" i="5"/>
  <c r="Q91" i="5"/>
  <c r="R91" i="5"/>
  <c r="Y91" i="5" l="1"/>
  <c r="Z91" i="5" s="1"/>
  <c r="AC91" i="5"/>
  <c r="AD91" i="5" s="1"/>
  <c r="T90" i="5"/>
  <c r="U90" i="5" s="1"/>
  <c r="P92" i="5"/>
  <c r="S91" i="5"/>
  <c r="AB92" i="5"/>
  <c r="X92" i="5"/>
  <c r="Q92" i="5"/>
  <c r="R92" i="5"/>
  <c r="Y92" i="5" l="1"/>
  <c r="Z92" i="5" s="1"/>
  <c r="AC92" i="5"/>
  <c r="AD92" i="5" s="1"/>
  <c r="T91" i="5"/>
  <c r="U91" i="5" s="1"/>
  <c r="P93" i="5"/>
  <c r="S92" i="5"/>
  <c r="AB93" i="5"/>
  <c r="X93" i="5"/>
  <c r="Q93" i="5"/>
  <c r="R93" i="5"/>
  <c r="Y93" i="5" l="1"/>
  <c r="Z93" i="5" s="1"/>
  <c r="AC93" i="5"/>
  <c r="AD93" i="5" s="1"/>
  <c r="T92" i="5"/>
  <c r="U92" i="5" s="1"/>
  <c r="P94" i="5"/>
  <c r="S93" i="5"/>
  <c r="AB94" i="5"/>
  <c r="X94" i="5"/>
  <c r="Q94" i="5"/>
  <c r="R94" i="5"/>
  <c r="Y94" i="5" l="1"/>
  <c r="Z94" i="5" s="1"/>
  <c r="AC94" i="5"/>
  <c r="AD94" i="5" s="1"/>
  <c r="T93" i="5"/>
  <c r="U93" i="5" s="1"/>
  <c r="P95" i="5"/>
  <c r="AB95" i="5"/>
  <c r="X95" i="5"/>
  <c r="Q95" i="5"/>
  <c r="R95" i="5"/>
  <c r="S94" i="5"/>
  <c r="T94" i="5" l="1"/>
  <c r="U94" i="5" s="1"/>
  <c r="Y95" i="5"/>
  <c r="Z95" i="5" s="1"/>
  <c r="AC95" i="5"/>
  <c r="AD95" i="5" s="1"/>
  <c r="P96" i="5"/>
  <c r="S95" i="5"/>
  <c r="X96" i="5"/>
  <c r="AB96" i="5"/>
  <c r="Q96" i="5"/>
  <c r="R96" i="5"/>
  <c r="AC96" i="5" l="1"/>
  <c r="AD96" i="5" s="1"/>
  <c r="Y96" i="5"/>
  <c r="Z96" i="5" s="1"/>
  <c r="T95" i="5"/>
  <c r="U95" i="5" s="1"/>
  <c r="P97" i="5"/>
  <c r="AB97" i="5"/>
  <c r="X97" i="5"/>
  <c r="Q97" i="5"/>
  <c r="R97" i="5"/>
  <c r="S96" i="5"/>
  <c r="T96" i="5" l="1"/>
  <c r="U96" i="5" s="1"/>
  <c r="Y97" i="5"/>
  <c r="Z97" i="5" s="1"/>
  <c r="AC97" i="5"/>
  <c r="AD97" i="5" s="1"/>
  <c r="P98" i="5"/>
  <c r="S97" i="5"/>
  <c r="X98" i="5"/>
  <c r="AB98" i="5"/>
  <c r="Q98" i="5"/>
  <c r="R98" i="5"/>
  <c r="AC98" i="5" l="1"/>
  <c r="AD98" i="5" s="1"/>
  <c r="Y98" i="5"/>
  <c r="Z98" i="5" s="1"/>
  <c r="T97" i="5"/>
  <c r="U97" i="5" s="1"/>
  <c r="P99" i="5"/>
  <c r="S98" i="5"/>
  <c r="AB99" i="5"/>
  <c r="X99" i="5"/>
  <c r="Q99" i="5"/>
  <c r="R99" i="5"/>
  <c r="Y99" i="5" l="1"/>
  <c r="Z99" i="5" s="1"/>
  <c r="AC99" i="5"/>
  <c r="AD99" i="5" s="1"/>
  <c r="T98" i="5"/>
  <c r="U98" i="5" s="1"/>
  <c r="P100" i="5"/>
  <c r="S99" i="5"/>
  <c r="AB100" i="5"/>
  <c r="X100" i="5"/>
  <c r="Q100" i="5"/>
  <c r="R100" i="5"/>
  <c r="Y100" i="5" l="1"/>
  <c r="Z100" i="5" s="1"/>
  <c r="AC100" i="5"/>
  <c r="AD100" i="5" s="1"/>
  <c r="T99" i="5"/>
  <c r="U99" i="5" s="1"/>
  <c r="P101" i="5"/>
  <c r="S100" i="5"/>
  <c r="AB101" i="5"/>
  <c r="X101" i="5"/>
  <c r="Q101" i="5"/>
  <c r="R101" i="5"/>
  <c r="Y101" i="5" l="1"/>
  <c r="Z101" i="5" s="1"/>
  <c r="AC101" i="5"/>
  <c r="AD101" i="5" s="1"/>
  <c r="T100" i="5"/>
  <c r="U100" i="5" s="1"/>
  <c r="P102" i="5"/>
  <c r="S101" i="5"/>
  <c r="AB102" i="5"/>
  <c r="X102" i="5"/>
  <c r="Q102" i="5"/>
  <c r="R102" i="5"/>
  <c r="Y102" i="5" l="1"/>
  <c r="Z102" i="5" s="1"/>
  <c r="AC102" i="5"/>
  <c r="AD102" i="5" s="1"/>
  <c r="T101" i="5"/>
  <c r="U101" i="5" s="1"/>
  <c r="P103" i="5"/>
  <c r="S102" i="5"/>
  <c r="AB103" i="5"/>
  <c r="X103" i="5"/>
  <c r="Q103" i="5"/>
  <c r="R103" i="5"/>
  <c r="Y103" i="5" l="1"/>
  <c r="Z103" i="5" s="1"/>
  <c r="AC103" i="5"/>
  <c r="AD103" i="5" s="1"/>
  <c r="T102" i="5"/>
  <c r="U102" i="5"/>
  <c r="P104" i="5"/>
  <c r="AB104" i="5"/>
  <c r="X104" i="5"/>
  <c r="Q104" i="5"/>
  <c r="R104" i="5"/>
  <c r="S103" i="5"/>
  <c r="T103" i="5" l="1"/>
  <c r="U103" i="5" s="1"/>
  <c r="Y104" i="5"/>
  <c r="Z104" i="5" s="1"/>
  <c r="AC104" i="5"/>
  <c r="AD104" i="5" s="1"/>
  <c r="P105" i="5"/>
  <c r="AB105" i="5"/>
  <c r="X105" i="5"/>
  <c r="Q105" i="5"/>
  <c r="R105" i="5"/>
  <c r="S104" i="5"/>
  <c r="T104" i="5" l="1"/>
  <c r="U104" i="5" s="1"/>
  <c r="Y105" i="5"/>
  <c r="Z105" i="5" s="1"/>
  <c r="AC105" i="5"/>
  <c r="AD105" i="5" s="1"/>
  <c r="P106" i="5"/>
  <c r="S105" i="5"/>
  <c r="AB106" i="5"/>
  <c r="X106" i="5"/>
  <c r="Q106" i="5"/>
  <c r="R106" i="5"/>
  <c r="Y106" i="5" l="1"/>
  <c r="Z106" i="5" s="1"/>
  <c r="AC106" i="5"/>
  <c r="AD106" i="5" s="1"/>
  <c r="T105" i="5"/>
  <c r="U105" i="5" s="1"/>
  <c r="P107" i="5"/>
  <c r="AB107" i="5"/>
  <c r="X107" i="5"/>
  <c r="Q107" i="5"/>
  <c r="R107" i="5"/>
  <c r="S106" i="5"/>
  <c r="T106" i="5" l="1"/>
  <c r="U106" i="5" s="1"/>
  <c r="Y107" i="5"/>
  <c r="Z107" i="5" s="1"/>
  <c r="AC107" i="5"/>
  <c r="AD107" i="5" s="1"/>
  <c r="P108" i="5"/>
  <c r="AB108" i="5"/>
  <c r="X108" i="5"/>
  <c r="Q108" i="5"/>
  <c r="R108" i="5"/>
  <c r="S107" i="5"/>
  <c r="T107" i="5" l="1"/>
  <c r="U107" i="5" s="1"/>
  <c r="Y108" i="5"/>
  <c r="Z108" i="5" s="1"/>
  <c r="AC108" i="5"/>
  <c r="AD108" i="5" s="1"/>
  <c r="P109" i="5"/>
  <c r="S108" i="5"/>
  <c r="AB109" i="5"/>
  <c r="X109" i="5"/>
  <c r="Q109" i="5"/>
  <c r="R109" i="5"/>
  <c r="Y109" i="5" l="1"/>
  <c r="Z109" i="5" s="1"/>
  <c r="AC109" i="5"/>
  <c r="AD109" i="5" s="1"/>
  <c r="T108" i="5"/>
  <c r="U108" i="5" s="1"/>
  <c r="P110" i="5"/>
  <c r="S109" i="5"/>
  <c r="AB110" i="5"/>
  <c r="X110" i="5"/>
  <c r="Q110" i="5"/>
  <c r="R110" i="5"/>
  <c r="Y110" i="5" l="1"/>
  <c r="Z110" i="5" s="1"/>
  <c r="AC110" i="5"/>
  <c r="AD110" i="5" s="1"/>
  <c r="T109" i="5"/>
  <c r="U109" i="5" s="1"/>
  <c r="P111" i="5"/>
  <c r="S110" i="5"/>
  <c r="X111" i="5"/>
  <c r="AB111" i="5"/>
  <c r="Q111" i="5"/>
  <c r="R111" i="5"/>
  <c r="AC111" i="5" l="1"/>
  <c r="AD111" i="5" s="1"/>
  <c r="Y111" i="5"/>
  <c r="Z111" i="5" s="1"/>
  <c r="T110" i="5"/>
  <c r="U110" i="5" s="1"/>
  <c r="P112" i="5"/>
  <c r="AB112" i="5"/>
  <c r="X112" i="5"/>
  <c r="Q112" i="5"/>
  <c r="R112" i="5"/>
  <c r="S111" i="5"/>
  <c r="T111" i="5" l="1"/>
  <c r="U111" i="5" s="1"/>
  <c r="Y112" i="5"/>
  <c r="Z112" i="5" s="1"/>
  <c r="AC112" i="5"/>
  <c r="AD112" i="5" s="1"/>
  <c r="P113" i="5"/>
  <c r="S112" i="5"/>
  <c r="AB113" i="5"/>
  <c r="X113" i="5"/>
  <c r="Q113" i="5"/>
  <c r="R113" i="5"/>
  <c r="Y113" i="5" l="1"/>
  <c r="Z113" i="5" s="1"/>
  <c r="AC113" i="5"/>
  <c r="AD113" i="5" s="1"/>
  <c r="T112" i="5"/>
  <c r="U112" i="5"/>
  <c r="P114" i="5"/>
  <c r="X114" i="5"/>
  <c r="AB114" i="5"/>
  <c r="Q114" i="5"/>
  <c r="R114" i="5"/>
  <c r="S113" i="5"/>
  <c r="T113" i="5" l="1"/>
  <c r="U113" i="5" s="1"/>
  <c r="AC114" i="5"/>
  <c r="AD114" i="5" s="1"/>
  <c r="Y114" i="5"/>
  <c r="Z114" i="5" s="1"/>
  <c r="P115" i="5"/>
  <c r="S114" i="5"/>
  <c r="AB115" i="5"/>
  <c r="X115" i="5"/>
  <c r="Q115" i="5"/>
  <c r="R115" i="5"/>
  <c r="Y115" i="5" l="1"/>
  <c r="Z115" i="5" s="1"/>
  <c r="AC115" i="5"/>
  <c r="AD115" i="5" s="1"/>
  <c r="T114" i="5"/>
  <c r="U114" i="5" s="1"/>
  <c r="P116" i="5"/>
  <c r="S115" i="5"/>
  <c r="AB116" i="5"/>
  <c r="X116" i="5"/>
  <c r="Q116" i="5"/>
  <c r="R116" i="5"/>
  <c r="Y116" i="5" l="1"/>
  <c r="Z116" i="5" s="1"/>
  <c r="AC116" i="5"/>
  <c r="AD116" i="5" s="1"/>
  <c r="T115" i="5"/>
  <c r="U115" i="5"/>
  <c r="P117" i="5"/>
  <c r="AB117" i="5"/>
  <c r="X117" i="5"/>
  <c r="Q117" i="5"/>
  <c r="R117" i="5"/>
  <c r="S116" i="5"/>
  <c r="T116" i="5" l="1"/>
  <c r="U116" i="5" s="1"/>
  <c r="Y117" i="5"/>
  <c r="Z117" i="5" s="1"/>
  <c r="AC117" i="5"/>
  <c r="AD117" i="5" s="1"/>
  <c r="P118" i="5"/>
  <c r="S117" i="5"/>
  <c r="X118" i="5"/>
  <c r="AB118" i="5"/>
  <c r="Q118" i="5"/>
  <c r="R118" i="5"/>
  <c r="AC118" i="5" l="1"/>
  <c r="AD118" i="5" s="1"/>
  <c r="Y118" i="5"/>
  <c r="Z118" i="5" s="1"/>
  <c r="T117" i="5"/>
  <c r="U117" i="5" s="1"/>
  <c r="P119" i="5"/>
  <c r="S118" i="5"/>
  <c r="AB119" i="5"/>
  <c r="X119" i="5"/>
  <c r="Q119" i="5"/>
  <c r="R119" i="5"/>
  <c r="Y119" i="5" l="1"/>
  <c r="Z119" i="5" s="1"/>
  <c r="AC119" i="5"/>
  <c r="AD119" i="5" s="1"/>
  <c r="T118" i="5"/>
  <c r="U118" i="5" s="1"/>
  <c r="P120" i="5"/>
  <c r="AB120" i="5"/>
  <c r="X120" i="5"/>
  <c r="Q120" i="5"/>
  <c r="R120" i="5"/>
  <c r="S119" i="5"/>
  <c r="T119" i="5" l="1"/>
  <c r="U119" i="5" s="1"/>
  <c r="Y120" i="5"/>
  <c r="Z120" i="5" s="1"/>
  <c r="AC120" i="5"/>
  <c r="AD120" i="5" s="1"/>
  <c r="P121" i="5"/>
  <c r="S120" i="5"/>
  <c r="AB121" i="5"/>
  <c r="X121" i="5"/>
  <c r="Q121" i="5"/>
  <c r="R121" i="5"/>
  <c r="Y121" i="5" l="1"/>
  <c r="Z121" i="5" s="1"/>
  <c r="AC121" i="5"/>
  <c r="AD121" i="5" s="1"/>
  <c r="T120" i="5"/>
  <c r="U120" i="5" s="1"/>
  <c r="P122" i="5"/>
  <c r="AB122" i="5"/>
  <c r="X122" i="5"/>
  <c r="Q122" i="5"/>
  <c r="R122" i="5"/>
  <c r="S121" i="5"/>
  <c r="T121" i="5" l="1"/>
  <c r="U121" i="5" s="1"/>
  <c r="Y122" i="5"/>
  <c r="Z122" i="5" s="1"/>
  <c r="AC122" i="5"/>
  <c r="AD122" i="5" s="1"/>
  <c r="P123" i="5"/>
  <c r="S122" i="5"/>
  <c r="AB123" i="5"/>
  <c r="X123" i="5"/>
  <c r="Q123" i="5"/>
  <c r="R123" i="5"/>
  <c r="Y123" i="5" l="1"/>
  <c r="Z123" i="5" s="1"/>
  <c r="AC123" i="5"/>
  <c r="AD123" i="5" s="1"/>
  <c r="T122" i="5"/>
  <c r="U122" i="5" s="1"/>
  <c r="P124" i="5"/>
  <c r="AB124" i="5"/>
  <c r="X124" i="5"/>
  <c r="Q124" i="5"/>
  <c r="R124" i="5"/>
  <c r="S123" i="5"/>
  <c r="T123" i="5" l="1"/>
  <c r="U123" i="5" s="1"/>
  <c r="Y124" i="5"/>
  <c r="Z124" i="5" s="1"/>
  <c r="AC124" i="5"/>
  <c r="AD124" i="5" s="1"/>
  <c r="P125" i="5"/>
  <c r="S124" i="5"/>
  <c r="AB125" i="5"/>
  <c r="X125" i="5"/>
  <c r="Q125" i="5"/>
  <c r="R125" i="5"/>
  <c r="Y125" i="5" l="1"/>
  <c r="Z125" i="5" s="1"/>
  <c r="AC125" i="5"/>
  <c r="AD125" i="5" s="1"/>
  <c r="T124" i="5"/>
  <c r="U124" i="5" s="1"/>
  <c r="P126" i="5"/>
  <c r="S125" i="5"/>
  <c r="AB126" i="5"/>
  <c r="X126" i="5"/>
  <c r="Q126" i="5"/>
  <c r="R126" i="5"/>
  <c r="Y126" i="5" l="1"/>
  <c r="Z126" i="5" s="1"/>
  <c r="AC126" i="5"/>
  <c r="AD126" i="5" s="1"/>
  <c r="T125" i="5"/>
  <c r="U125" i="5"/>
  <c r="P127" i="5"/>
  <c r="AB127" i="5"/>
  <c r="X127" i="5"/>
  <c r="Q127" i="5"/>
  <c r="R127" i="5"/>
  <c r="S126" i="5"/>
  <c r="T126" i="5" l="1"/>
  <c r="U126" i="5" s="1"/>
  <c r="Y127" i="5"/>
  <c r="Z127" i="5" s="1"/>
  <c r="AC127" i="5"/>
  <c r="AD127" i="5" s="1"/>
  <c r="P128" i="5"/>
  <c r="S127" i="5"/>
  <c r="AB128" i="5"/>
  <c r="X128" i="5"/>
  <c r="Q128" i="5"/>
  <c r="R128" i="5"/>
  <c r="Y128" i="5" l="1"/>
  <c r="Z128" i="5" s="1"/>
  <c r="AC128" i="5"/>
  <c r="AD128" i="5" s="1"/>
  <c r="T127" i="5"/>
  <c r="U127" i="5" s="1"/>
  <c r="P129" i="5"/>
  <c r="AB129" i="5"/>
  <c r="X129" i="5"/>
  <c r="Q129" i="5"/>
  <c r="R129" i="5"/>
  <c r="S128" i="5"/>
  <c r="T128" i="5" l="1"/>
  <c r="U128" i="5" s="1"/>
  <c r="Y129" i="5"/>
  <c r="Z129" i="5" s="1"/>
  <c r="AC129" i="5"/>
  <c r="AD129" i="5" s="1"/>
  <c r="P130" i="5"/>
  <c r="S129" i="5"/>
  <c r="X130" i="5"/>
  <c r="AB130" i="5"/>
  <c r="Q130" i="5"/>
  <c r="R130" i="5"/>
  <c r="AC130" i="5" l="1"/>
  <c r="AD130" i="5" s="1"/>
  <c r="Y130" i="5"/>
  <c r="Z130" i="5" s="1"/>
  <c r="T129" i="5"/>
  <c r="U129" i="5" s="1"/>
  <c r="P131" i="5"/>
  <c r="AB131" i="5"/>
  <c r="X131" i="5"/>
  <c r="Q131" i="5"/>
  <c r="R131" i="5"/>
  <c r="S130" i="5"/>
  <c r="T130" i="5" l="1"/>
  <c r="U130" i="5" s="1"/>
  <c r="Y131" i="5"/>
  <c r="Z131" i="5" s="1"/>
  <c r="AC131" i="5"/>
  <c r="AD131" i="5" s="1"/>
  <c r="P132" i="5"/>
  <c r="S131" i="5"/>
  <c r="AB132" i="5"/>
  <c r="X132" i="5"/>
  <c r="Q132" i="5"/>
  <c r="R132" i="5"/>
  <c r="Y132" i="5" l="1"/>
  <c r="Z132" i="5" s="1"/>
  <c r="AC132" i="5"/>
  <c r="AD132" i="5" s="1"/>
  <c r="T131" i="5"/>
  <c r="U131" i="5" s="1"/>
  <c r="P133" i="5"/>
  <c r="S132" i="5"/>
  <c r="AB133" i="5"/>
  <c r="X133" i="5"/>
  <c r="Q133" i="5"/>
  <c r="R133" i="5"/>
  <c r="Y133" i="5" l="1"/>
  <c r="Z133" i="5" s="1"/>
  <c r="AC133" i="5"/>
  <c r="AD133" i="5" s="1"/>
  <c r="T132" i="5"/>
  <c r="U132" i="5" s="1"/>
  <c r="P134" i="5"/>
  <c r="S133" i="5"/>
  <c r="AB134" i="5"/>
  <c r="X134" i="5"/>
  <c r="Q134" i="5"/>
  <c r="R134" i="5"/>
  <c r="Y134" i="5" l="1"/>
  <c r="Z134" i="5" s="1"/>
  <c r="AC134" i="5"/>
  <c r="AD134" i="5" s="1"/>
  <c r="T133" i="5"/>
  <c r="U133" i="5" s="1"/>
  <c r="P135" i="5"/>
  <c r="AB135" i="5"/>
  <c r="X135" i="5"/>
  <c r="Q135" i="5"/>
  <c r="R135" i="5"/>
  <c r="S134" i="5"/>
  <c r="T134" i="5" l="1"/>
  <c r="U134" i="5" s="1"/>
  <c r="Y135" i="5"/>
  <c r="Z135" i="5" s="1"/>
  <c r="AC135" i="5"/>
  <c r="AD135" i="5" s="1"/>
  <c r="P136" i="5"/>
  <c r="S135" i="5"/>
  <c r="AB136" i="5"/>
  <c r="X136" i="5"/>
  <c r="Q136" i="5"/>
  <c r="R136" i="5"/>
  <c r="Y136" i="5" l="1"/>
  <c r="Z136" i="5" s="1"/>
  <c r="AC136" i="5"/>
  <c r="AD136" i="5" s="1"/>
  <c r="T135" i="5"/>
  <c r="U135" i="5" s="1"/>
  <c r="P137" i="5"/>
  <c r="AB137" i="5"/>
  <c r="X137" i="5"/>
  <c r="Q137" i="5"/>
  <c r="R137" i="5"/>
  <c r="S136" i="5"/>
  <c r="T136" i="5" l="1"/>
  <c r="U136" i="5" s="1"/>
  <c r="Y137" i="5"/>
  <c r="Z137" i="5" s="1"/>
  <c r="AC137" i="5"/>
  <c r="AD137" i="5" s="1"/>
  <c r="P138" i="5"/>
  <c r="S137" i="5"/>
  <c r="AB138" i="5"/>
  <c r="X138" i="5"/>
  <c r="Q138" i="5"/>
  <c r="R138" i="5"/>
  <c r="Y138" i="5" l="1"/>
  <c r="Z138" i="5" s="1"/>
  <c r="AC138" i="5"/>
  <c r="AD138" i="5" s="1"/>
  <c r="T137" i="5"/>
  <c r="U137" i="5" s="1"/>
  <c r="P139" i="5"/>
  <c r="S138" i="5"/>
  <c r="AB139" i="5"/>
  <c r="X139" i="5"/>
  <c r="Q139" i="5"/>
  <c r="R139" i="5"/>
  <c r="Y139" i="5" l="1"/>
  <c r="Z139" i="5" s="1"/>
  <c r="AC139" i="5"/>
  <c r="AD139" i="5" s="1"/>
  <c r="T138" i="5"/>
  <c r="U138" i="5" s="1"/>
  <c r="P140" i="5"/>
  <c r="AB140" i="5"/>
  <c r="X140" i="5"/>
  <c r="Q140" i="5"/>
  <c r="R140" i="5"/>
  <c r="S139" i="5"/>
  <c r="T139" i="5" l="1"/>
  <c r="U139" i="5" s="1"/>
  <c r="Y140" i="5"/>
  <c r="Z140" i="5" s="1"/>
  <c r="AC140" i="5"/>
  <c r="AD140" i="5" s="1"/>
  <c r="P141" i="5"/>
  <c r="S140" i="5"/>
  <c r="X141" i="5"/>
  <c r="AB141" i="5"/>
  <c r="Q141" i="5"/>
  <c r="R141" i="5"/>
  <c r="AC141" i="5" l="1"/>
  <c r="AD141" i="5" s="1"/>
  <c r="Y141" i="5"/>
  <c r="Z141" i="5" s="1"/>
  <c r="T140" i="5"/>
  <c r="U140" i="5" s="1"/>
  <c r="P142" i="5"/>
  <c r="S141" i="5"/>
  <c r="X142" i="5"/>
  <c r="AB142" i="5"/>
  <c r="Q142" i="5"/>
  <c r="R142" i="5"/>
  <c r="AC142" i="5" l="1"/>
  <c r="AD142" i="5" s="1"/>
  <c r="Y142" i="5"/>
  <c r="Z142" i="5" s="1"/>
  <c r="T141" i="5"/>
  <c r="U141" i="5" s="1"/>
  <c r="P143" i="5"/>
  <c r="S142" i="5"/>
  <c r="X143" i="5"/>
  <c r="AB143" i="5"/>
  <c r="Q143" i="5"/>
  <c r="R143" i="5"/>
  <c r="AC143" i="5" l="1"/>
  <c r="AD143" i="5" s="1"/>
  <c r="Y143" i="5"/>
  <c r="Z143" i="5" s="1"/>
  <c r="T142" i="5"/>
  <c r="U142" i="5" s="1"/>
  <c r="P144" i="5"/>
  <c r="S143" i="5"/>
  <c r="AB144" i="5"/>
  <c r="X144" i="5"/>
  <c r="Q144" i="5"/>
  <c r="R144" i="5"/>
  <c r="Y144" i="5" l="1"/>
  <c r="Z144" i="5" s="1"/>
  <c r="AC144" i="5"/>
  <c r="AD144" i="5" s="1"/>
  <c r="T143" i="5"/>
  <c r="U143" i="5" s="1"/>
  <c r="P145" i="5"/>
  <c r="S144" i="5"/>
  <c r="AB145" i="5"/>
  <c r="X145" i="5"/>
  <c r="Q145" i="5"/>
  <c r="R145" i="5"/>
  <c r="Y145" i="5" l="1"/>
  <c r="Z145" i="5" s="1"/>
  <c r="AC145" i="5"/>
  <c r="AD145" i="5" s="1"/>
  <c r="T144" i="5"/>
  <c r="U144" i="5" s="1"/>
  <c r="P146" i="5"/>
  <c r="S145" i="5"/>
  <c r="AB146" i="5"/>
  <c r="X146" i="5"/>
  <c r="Q146" i="5"/>
  <c r="R146" i="5"/>
  <c r="Y146" i="5" l="1"/>
  <c r="Z146" i="5" s="1"/>
  <c r="AC146" i="5"/>
  <c r="AD146" i="5" s="1"/>
  <c r="T145" i="5"/>
  <c r="U145" i="5" s="1"/>
  <c r="P147" i="5"/>
  <c r="S146" i="5"/>
  <c r="AB147" i="5"/>
  <c r="X147" i="5"/>
  <c r="Q147" i="5"/>
  <c r="R147" i="5"/>
  <c r="Y147" i="5" l="1"/>
  <c r="Z147" i="5" s="1"/>
  <c r="AC147" i="5"/>
  <c r="AD147" i="5" s="1"/>
  <c r="T146" i="5"/>
  <c r="U146" i="5"/>
  <c r="P148" i="5"/>
  <c r="AB148" i="5"/>
  <c r="X148" i="5"/>
  <c r="Q148" i="5"/>
  <c r="R148" i="5"/>
  <c r="S147" i="5"/>
  <c r="T147" i="5" l="1"/>
  <c r="U147" i="5" s="1"/>
  <c r="Y148" i="5"/>
  <c r="Z148" i="5" s="1"/>
  <c r="AC148" i="5"/>
  <c r="AD148" i="5" s="1"/>
  <c r="P149" i="5"/>
  <c r="S148" i="5"/>
  <c r="X149" i="5"/>
  <c r="AB149" i="5"/>
  <c r="Q149" i="5"/>
  <c r="R149" i="5"/>
  <c r="AC149" i="5" l="1"/>
  <c r="AD149" i="5" s="1"/>
  <c r="Y149" i="5"/>
  <c r="Z149" i="5" s="1"/>
  <c r="T148" i="5"/>
  <c r="U148" i="5" s="1"/>
  <c r="P150" i="5"/>
  <c r="S149" i="5"/>
  <c r="X150" i="5"/>
  <c r="AB150" i="5"/>
  <c r="Q150" i="5"/>
  <c r="R150" i="5"/>
  <c r="AC150" i="5" l="1"/>
  <c r="AD150" i="5" s="1"/>
  <c r="Y150" i="5"/>
  <c r="Z150" i="5" s="1"/>
  <c r="T149" i="5"/>
  <c r="U149" i="5"/>
  <c r="P151" i="5"/>
  <c r="AB151" i="5"/>
  <c r="X151" i="5"/>
  <c r="Q151" i="5"/>
  <c r="R151" i="5"/>
  <c r="S150" i="5"/>
  <c r="T150" i="5" l="1"/>
  <c r="U150" i="5" s="1"/>
  <c r="Y151" i="5"/>
  <c r="Z151" i="5" s="1"/>
  <c r="AC151" i="5"/>
  <c r="AD151" i="5" s="1"/>
  <c r="P152" i="5"/>
  <c r="S151" i="5"/>
  <c r="AB152" i="5"/>
  <c r="X152" i="5"/>
  <c r="Q152" i="5"/>
  <c r="R152" i="5"/>
  <c r="Y152" i="5" l="1"/>
  <c r="Z152" i="5" s="1"/>
  <c r="AC152" i="5"/>
  <c r="AD152" i="5" s="1"/>
  <c r="T151" i="5"/>
  <c r="U151" i="5" s="1"/>
  <c r="P153" i="5"/>
  <c r="S152" i="5"/>
  <c r="AB153" i="5"/>
  <c r="X153" i="5"/>
  <c r="Q153" i="5"/>
  <c r="R153" i="5"/>
  <c r="Y153" i="5" l="1"/>
  <c r="Z153" i="5" s="1"/>
  <c r="AC153" i="5"/>
  <c r="AD153" i="5" s="1"/>
  <c r="T152" i="5"/>
  <c r="U152" i="5" s="1"/>
  <c r="P154" i="5"/>
  <c r="S153" i="5"/>
  <c r="AB154" i="5"/>
  <c r="X154" i="5"/>
  <c r="Q154" i="5"/>
  <c r="R154" i="5"/>
  <c r="Y154" i="5" l="1"/>
  <c r="Z154" i="5" s="1"/>
  <c r="AC154" i="5"/>
  <c r="AD154" i="5" s="1"/>
  <c r="T153" i="5"/>
  <c r="U153" i="5" s="1"/>
  <c r="P155" i="5"/>
  <c r="AB155" i="5"/>
  <c r="X155" i="5"/>
  <c r="Q155" i="5"/>
  <c r="R155" i="5"/>
  <c r="S154" i="5"/>
  <c r="T154" i="5" l="1"/>
  <c r="U154" i="5" s="1"/>
  <c r="Y155" i="5"/>
  <c r="Z155" i="5" s="1"/>
  <c r="AC155" i="5"/>
  <c r="AD155" i="5" s="1"/>
  <c r="P156" i="5"/>
  <c r="S155" i="5"/>
  <c r="AB156" i="5"/>
  <c r="X156" i="5"/>
  <c r="Q156" i="5"/>
  <c r="R156" i="5"/>
  <c r="Y156" i="5" l="1"/>
  <c r="Z156" i="5" s="1"/>
  <c r="AC156" i="5"/>
  <c r="AD156" i="5" s="1"/>
  <c r="T155" i="5"/>
  <c r="U155" i="5" s="1"/>
  <c r="P157" i="5"/>
  <c r="S156" i="5"/>
  <c r="AB157" i="5"/>
  <c r="X157" i="5"/>
  <c r="Q157" i="5"/>
  <c r="R157" i="5"/>
  <c r="Y157" i="5" l="1"/>
  <c r="Z157" i="5" s="1"/>
  <c r="AC157" i="5"/>
  <c r="AD157" i="5" s="1"/>
  <c r="T156" i="5"/>
  <c r="U156" i="5" s="1"/>
  <c r="P158" i="5"/>
  <c r="S157" i="5"/>
  <c r="AB158" i="5"/>
  <c r="X158" i="5"/>
  <c r="Q158" i="5"/>
  <c r="R158" i="5"/>
  <c r="Y158" i="5" l="1"/>
  <c r="Z158" i="5" s="1"/>
  <c r="AC158" i="5"/>
  <c r="AD158" i="5" s="1"/>
  <c r="T157" i="5"/>
  <c r="U157" i="5" s="1"/>
  <c r="P159" i="5"/>
  <c r="S158" i="5"/>
  <c r="AB159" i="5"/>
  <c r="X159" i="5"/>
  <c r="Q159" i="5"/>
  <c r="R159" i="5"/>
  <c r="Y159" i="5" l="1"/>
  <c r="Z159" i="5" s="1"/>
  <c r="AC159" i="5"/>
  <c r="AD159" i="5" s="1"/>
  <c r="T158" i="5"/>
  <c r="U158" i="5"/>
  <c r="P160" i="5"/>
  <c r="AB160" i="5"/>
  <c r="X160" i="5"/>
  <c r="Q160" i="5"/>
  <c r="R160" i="5"/>
  <c r="S159" i="5"/>
  <c r="T159" i="5" l="1"/>
  <c r="U159" i="5" s="1"/>
  <c r="Y160" i="5"/>
  <c r="Z160" i="5" s="1"/>
  <c r="AC160" i="5"/>
  <c r="AD160" i="5" s="1"/>
  <c r="P161" i="5"/>
  <c r="S160" i="5"/>
  <c r="AB161" i="5"/>
  <c r="X161" i="5"/>
  <c r="Q161" i="5"/>
  <c r="R161" i="5"/>
  <c r="Y161" i="5" l="1"/>
  <c r="Z161" i="5" s="1"/>
  <c r="AC161" i="5"/>
  <c r="AD161" i="5" s="1"/>
  <c r="T160" i="5"/>
  <c r="U160" i="5"/>
  <c r="P162" i="5"/>
  <c r="S161" i="5"/>
  <c r="AB162" i="5"/>
  <c r="X162" i="5"/>
  <c r="Q162" i="5"/>
  <c r="R162" i="5"/>
  <c r="Y162" i="5" l="1"/>
  <c r="Z162" i="5" s="1"/>
  <c r="AC162" i="5"/>
  <c r="AD162" i="5" s="1"/>
  <c r="T161" i="5"/>
  <c r="U161" i="5"/>
  <c r="P163" i="5"/>
  <c r="S162" i="5"/>
  <c r="AB163" i="5"/>
  <c r="X163" i="5"/>
  <c r="Q163" i="5"/>
  <c r="R163" i="5"/>
  <c r="Y163" i="5" l="1"/>
  <c r="Z163" i="5" s="1"/>
  <c r="AC163" i="5"/>
  <c r="AD163" i="5" s="1"/>
  <c r="T162" i="5"/>
  <c r="U162" i="5" s="1"/>
  <c r="P164" i="5"/>
  <c r="AB164" i="5"/>
  <c r="X164" i="5"/>
  <c r="Q164" i="5"/>
  <c r="R164" i="5"/>
  <c r="S163" i="5"/>
  <c r="T163" i="5" l="1"/>
  <c r="U163" i="5" s="1"/>
  <c r="Y164" i="5"/>
  <c r="Z164" i="5" s="1"/>
  <c r="AC164" i="5"/>
  <c r="AD164" i="5" s="1"/>
  <c r="P165" i="5"/>
  <c r="AB165" i="5"/>
  <c r="X165" i="5"/>
  <c r="Q165" i="5"/>
  <c r="R165" i="5"/>
  <c r="S164" i="5"/>
  <c r="T164" i="5" l="1"/>
  <c r="U164" i="5" s="1"/>
  <c r="Y165" i="5"/>
  <c r="Z165" i="5" s="1"/>
  <c r="AC165" i="5"/>
  <c r="AD165" i="5" s="1"/>
  <c r="P166" i="5"/>
  <c r="S165" i="5"/>
  <c r="X166" i="5"/>
  <c r="AB166" i="5"/>
  <c r="Q166" i="5"/>
  <c r="R166" i="5"/>
  <c r="AC166" i="5" l="1"/>
  <c r="AD166" i="5" s="1"/>
  <c r="Y166" i="5"/>
  <c r="Z166" i="5" s="1"/>
  <c r="T165" i="5"/>
  <c r="U165" i="5" s="1"/>
  <c r="P167" i="5"/>
  <c r="AB167" i="5"/>
  <c r="X167" i="5"/>
  <c r="Q167" i="5"/>
  <c r="R167" i="5"/>
  <c r="S166" i="5"/>
  <c r="T166" i="5" l="1"/>
  <c r="U166" i="5" s="1"/>
  <c r="Y167" i="5"/>
  <c r="Z167" i="5" s="1"/>
  <c r="AC167" i="5"/>
  <c r="AD167" i="5" s="1"/>
  <c r="P168" i="5"/>
  <c r="S167" i="5"/>
  <c r="AB168" i="5"/>
  <c r="X168" i="5"/>
  <c r="Q168" i="5"/>
  <c r="R168" i="5"/>
  <c r="Y168" i="5" l="1"/>
  <c r="Z168" i="5" s="1"/>
  <c r="AC168" i="5"/>
  <c r="AD168" i="5" s="1"/>
  <c r="T167" i="5"/>
  <c r="U167" i="5"/>
  <c r="P169" i="5"/>
  <c r="AB169" i="5"/>
  <c r="X169" i="5"/>
  <c r="Q169" i="5"/>
  <c r="R169" i="5"/>
  <c r="S168" i="5"/>
  <c r="T168" i="5" l="1"/>
  <c r="U168" i="5" s="1"/>
  <c r="Y169" i="5"/>
  <c r="Z169" i="5" s="1"/>
  <c r="AC169" i="5"/>
  <c r="AD169" i="5" s="1"/>
  <c r="P170" i="5"/>
  <c r="S169" i="5"/>
  <c r="AB170" i="5"/>
  <c r="X170" i="5"/>
  <c r="Q170" i="5"/>
  <c r="R170" i="5"/>
  <c r="Y170" i="5" l="1"/>
  <c r="Z170" i="5" s="1"/>
  <c r="AC170" i="5"/>
  <c r="AD170" i="5" s="1"/>
  <c r="T169" i="5"/>
  <c r="U169" i="5" s="1"/>
  <c r="P171" i="5"/>
  <c r="S170" i="5"/>
  <c r="X171" i="5"/>
  <c r="AB171" i="5"/>
  <c r="Q171" i="5"/>
  <c r="R171" i="5"/>
  <c r="AC171" i="5" l="1"/>
  <c r="AD171" i="5" s="1"/>
  <c r="Y171" i="5"/>
  <c r="Z171" i="5" s="1"/>
  <c r="T170" i="5"/>
  <c r="U170" i="5" s="1"/>
  <c r="P172" i="5"/>
  <c r="S171" i="5"/>
  <c r="AB172" i="5"/>
  <c r="X172" i="5"/>
  <c r="Q172" i="5"/>
  <c r="R172" i="5"/>
  <c r="Y172" i="5" l="1"/>
  <c r="Z172" i="5" s="1"/>
  <c r="AC172" i="5"/>
  <c r="AD172" i="5" s="1"/>
  <c r="T171" i="5"/>
  <c r="U171" i="5" s="1"/>
  <c r="P173" i="5"/>
  <c r="X173" i="5"/>
  <c r="AB173" i="5"/>
  <c r="Q173" i="5"/>
  <c r="R173" i="5"/>
  <c r="S172" i="5"/>
  <c r="T172" i="5" l="1"/>
  <c r="U172" i="5" s="1"/>
  <c r="AC173" i="5"/>
  <c r="AD173" i="5" s="1"/>
  <c r="Y173" i="5"/>
  <c r="Z173" i="5" s="1"/>
  <c r="P174" i="5"/>
  <c r="S173" i="5"/>
  <c r="X174" i="5"/>
  <c r="AB174" i="5"/>
  <c r="Q174" i="5"/>
  <c r="R174" i="5"/>
  <c r="AC174" i="5" l="1"/>
  <c r="AD174" i="5" s="1"/>
  <c r="Y174" i="5"/>
  <c r="Z174" i="5" s="1"/>
  <c r="T173" i="5"/>
  <c r="U173" i="5"/>
  <c r="P175" i="5"/>
  <c r="S174" i="5"/>
  <c r="AB175" i="5"/>
  <c r="X175" i="5"/>
  <c r="Q175" i="5"/>
  <c r="R175" i="5"/>
  <c r="Y175" i="5" l="1"/>
  <c r="Z175" i="5" s="1"/>
  <c r="AC175" i="5"/>
  <c r="AD175" i="5" s="1"/>
  <c r="T174" i="5"/>
  <c r="U174" i="5"/>
  <c r="P176" i="5"/>
  <c r="S175" i="5"/>
  <c r="AB176" i="5"/>
  <c r="X176" i="5"/>
  <c r="Q176" i="5"/>
  <c r="R176" i="5"/>
  <c r="Y176" i="5" l="1"/>
  <c r="Z176" i="5" s="1"/>
  <c r="AC176" i="5"/>
  <c r="AD176" i="5" s="1"/>
  <c r="T175" i="5"/>
  <c r="U175" i="5" s="1"/>
  <c r="P177" i="5"/>
  <c r="AB177" i="5"/>
  <c r="X177" i="5"/>
  <c r="Q177" i="5"/>
  <c r="R177" i="5"/>
  <c r="S176" i="5"/>
  <c r="T176" i="5" l="1"/>
  <c r="U176" i="5" s="1"/>
  <c r="Y177" i="5"/>
  <c r="Z177" i="5" s="1"/>
  <c r="AC177" i="5"/>
  <c r="AD177" i="5" s="1"/>
  <c r="P178" i="5"/>
  <c r="AB178" i="5"/>
  <c r="X178" i="5"/>
  <c r="Q178" i="5"/>
  <c r="R178" i="5"/>
  <c r="S177" i="5"/>
  <c r="T177" i="5" l="1"/>
  <c r="U177" i="5" s="1"/>
  <c r="Y178" i="5"/>
  <c r="Z178" i="5" s="1"/>
  <c r="AC178" i="5"/>
  <c r="AD178" i="5" s="1"/>
  <c r="P179" i="5"/>
  <c r="AB179" i="5"/>
  <c r="X179" i="5"/>
  <c r="Q179" i="5"/>
  <c r="R179" i="5"/>
  <c r="S178" i="5"/>
  <c r="T178" i="5" l="1"/>
  <c r="U178" i="5" s="1"/>
  <c r="Y179" i="5"/>
  <c r="Z179" i="5" s="1"/>
  <c r="AC179" i="5"/>
  <c r="AD179" i="5" s="1"/>
  <c r="P180" i="5"/>
  <c r="S179" i="5"/>
  <c r="AB180" i="5"/>
  <c r="X180" i="5"/>
  <c r="Q180" i="5"/>
  <c r="R180" i="5"/>
  <c r="Y180" i="5" l="1"/>
  <c r="Z180" i="5" s="1"/>
  <c r="AC180" i="5"/>
  <c r="AD180" i="5" s="1"/>
  <c r="T179" i="5"/>
  <c r="U179" i="5" s="1"/>
  <c r="P181" i="5"/>
  <c r="AB181" i="5"/>
  <c r="X181" i="5"/>
  <c r="Q181" i="5"/>
  <c r="R181" i="5"/>
  <c r="S180" i="5"/>
  <c r="T180" i="5" l="1"/>
  <c r="U180" i="5" s="1"/>
  <c r="Y181" i="5"/>
  <c r="Z181" i="5" s="1"/>
  <c r="AC181" i="5"/>
  <c r="AD181" i="5" s="1"/>
  <c r="P182" i="5"/>
  <c r="S181" i="5"/>
  <c r="AB182" i="5"/>
  <c r="X182" i="5"/>
  <c r="Q182" i="5"/>
  <c r="R182" i="5"/>
  <c r="Y182" i="5" l="1"/>
  <c r="Z182" i="5" s="1"/>
  <c r="AC182" i="5"/>
  <c r="AD182" i="5" s="1"/>
  <c r="T181" i="5"/>
  <c r="U181" i="5"/>
  <c r="P183" i="5"/>
  <c r="X183" i="5"/>
  <c r="AB183" i="5"/>
  <c r="Q183" i="5"/>
  <c r="R183" i="5"/>
  <c r="S182" i="5"/>
  <c r="T182" i="5" l="1"/>
  <c r="U182" i="5" s="1"/>
  <c r="AC183" i="5"/>
  <c r="AD183" i="5" s="1"/>
  <c r="Y183" i="5"/>
  <c r="Z183" i="5" s="1"/>
  <c r="P184" i="5"/>
  <c r="S183" i="5"/>
  <c r="AB184" i="5"/>
  <c r="X184" i="5"/>
  <c r="Q184" i="5"/>
  <c r="R184" i="5"/>
  <c r="Y184" i="5" l="1"/>
  <c r="Z184" i="5" s="1"/>
  <c r="AC184" i="5"/>
  <c r="AD184" i="5" s="1"/>
  <c r="T183" i="5"/>
  <c r="U183" i="5" s="1"/>
  <c r="P185" i="5"/>
  <c r="AB185" i="5"/>
  <c r="X185" i="5"/>
  <c r="Q185" i="5"/>
  <c r="R185" i="5"/>
  <c r="S184" i="5"/>
  <c r="T184" i="5" l="1"/>
  <c r="U184" i="5" s="1"/>
  <c r="Y185" i="5"/>
  <c r="Z185" i="5" s="1"/>
  <c r="AC185" i="5"/>
  <c r="AD185" i="5" s="1"/>
  <c r="P186" i="5"/>
  <c r="S185" i="5"/>
  <c r="AB186" i="5"/>
  <c r="X186" i="5"/>
  <c r="Q186" i="5"/>
  <c r="R186" i="5"/>
  <c r="Y186" i="5" l="1"/>
  <c r="Z186" i="5" s="1"/>
  <c r="AC186" i="5"/>
  <c r="AD186" i="5" s="1"/>
  <c r="T185" i="5"/>
  <c r="U185" i="5"/>
  <c r="P187" i="5"/>
  <c r="AB187" i="5"/>
  <c r="X187" i="5"/>
  <c r="Q187" i="5"/>
  <c r="R187" i="5"/>
  <c r="S186" i="5"/>
  <c r="T186" i="5" l="1"/>
  <c r="U186" i="5" s="1"/>
  <c r="Y187" i="5"/>
  <c r="Z187" i="5" s="1"/>
  <c r="AC187" i="5"/>
  <c r="AD187" i="5" s="1"/>
  <c r="P188" i="5"/>
  <c r="S187" i="5"/>
  <c r="AB188" i="5"/>
  <c r="X188" i="5"/>
  <c r="Q188" i="5"/>
  <c r="R188" i="5"/>
  <c r="Y188" i="5" l="1"/>
  <c r="Z188" i="5" s="1"/>
  <c r="AC188" i="5"/>
  <c r="AD188" i="5" s="1"/>
  <c r="T187" i="5"/>
  <c r="U187" i="5" s="1"/>
  <c r="P189" i="5"/>
  <c r="X189" i="5"/>
  <c r="AB189" i="5"/>
  <c r="Q189" i="5"/>
  <c r="R189" i="5"/>
  <c r="S188" i="5"/>
  <c r="T188" i="5" l="1"/>
  <c r="AC189" i="5"/>
  <c r="AD189" i="5" s="1"/>
  <c r="Y189" i="5"/>
  <c r="Z189" i="5" s="1"/>
  <c r="U188" i="5"/>
  <c r="P190" i="5"/>
  <c r="S189" i="5"/>
  <c r="AB190" i="5"/>
  <c r="X190" i="5"/>
  <c r="Q190" i="5"/>
  <c r="R190" i="5"/>
  <c r="Y190" i="5" l="1"/>
  <c r="Z190" i="5" s="1"/>
  <c r="AC190" i="5"/>
  <c r="AD190" i="5" s="1"/>
  <c r="T189" i="5"/>
  <c r="U189" i="5" s="1"/>
  <c r="P191" i="5"/>
  <c r="AB191" i="5"/>
  <c r="X191" i="5"/>
  <c r="Q191" i="5"/>
  <c r="R191" i="5"/>
  <c r="S190" i="5"/>
  <c r="T190" i="5" l="1"/>
  <c r="U190" i="5" s="1"/>
  <c r="Y191" i="5"/>
  <c r="Z191" i="5" s="1"/>
  <c r="AC191" i="5"/>
  <c r="AD191" i="5" s="1"/>
  <c r="P192" i="5"/>
  <c r="S191" i="5"/>
  <c r="X192" i="5"/>
  <c r="AB192" i="5"/>
  <c r="Q192" i="5"/>
  <c r="R192" i="5"/>
  <c r="AC192" i="5" l="1"/>
  <c r="AD192" i="5" s="1"/>
  <c r="Y192" i="5"/>
  <c r="Z192" i="5" s="1"/>
  <c r="T191" i="5"/>
  <c r="U191" i="5"/>
  <c r="P193" i="5"/>
  <c r="AB193" i="5"/>
  <c r="X193" i="5"/>
  <c r="Q193" i="5"/>
  <c r="R193" i="5"/>
  <c r="S192" i="5"/>
  <c r="T192" i="5" l="1"/>
  <c r="U192" i="5" s="1"/>
  <c r="Y193" i="5"/>
  <c r="Z193" i="5" s="1"/>
  <c r="AC193" i="5"/>
  <c r="AD193" i="5" s="1"/>
  <c r="P194" i="5"/>
  <c r="S193" i="5"/>
  <c r="AB194" i="5"/>
  <c r="X194" i="5"/>
  <c r="Q194" i="5"/>
  <c r="R194" i="5"/>
  <c r="Y194" i="5" l="1"/>
  <c r="Z194" i="5" s="1"/>
  <c r="AC194" i="5"/>
  <c r="AD194" i="5" s="1"/>
  <c r="T193" i="5"/>
  <c r="U193" i="5" s="1"/>
  <c r="P195" i="5"/>
  <c r="S194" i="5"/>
  <c r="X195" i="5"/>
  <c r="AB195" i="5"/>
  <c r="Q195" i="5"/>
  <c r="R195" i="5"/>
  <c r="AC195" i="5" l="1"/>
  <c r="AD195" i="5" s="1"/>
  <c r="Y195" i="5"/>
  <c r="Z195" i="5" s="1"/>
  <c r="T194" i="5"/>
  <c r="U194" i="5"/>
  <c r="P196" i="5"/>
  <c r="AB196" i="5"/>
  <c r="X196" i="5"/>
  <c r="Q196" i="5"/>
  <c r="R196" i="5"/>
  <c r="S195" i="5"/>
  <c r="T195" i="5" l="1"/>
  <c r="U195" i="5" s="1"/>
  <c r="Y196" i="5"/>
  <c r="Z196" i="5" s="1"/>
  <c r="AC196" i="5"/>
  <c r="AD196" i="5" s="1"/>
  <c r="P197" i="5"/>
  <c r="S196" i="5"/>
  <c r="AB197" i="5"/>
  <c r="X197" i="5"/>
  <c r="Q197" i="5"/>
  <c r="R197" i="5"/>
  <c r="Y197" i="5" l="1"/>
  <c r="Z197" i="5" s="1"/>
  <c r="AC197" i="5"/>
  <c r="AD197" i="5" s="1"/>
  <c r="T196" i="5"/>
  <c r="U196" i="5"/>
  <c r="P198" i="5"/>
  <c r="S197" i="5"/>
  <c r="X198" i="5"/>
  <c r="AB198" i="5"/>
  <c r="Q198" i="5"/>
  <c r="R198" i="5"/>
  <c r="AC198" i="5" l="1"/>
  <c r="AD198" i="5" s="1"/>
  <c r="Y198" i="5"/>
  <c r="Z198" i="5" s="1"/>
  <c r="T197" i="5"/>
  <c r="U197" i="5" s="1"/>
  <c r="P199" i="5"/>
  <c r="AB199" i="5"/>
  <c r="X199" i="5"/>
  <c r="Q199" i="5"/>
  <c r="R199" i="5"/>
  <c r="S198" i="5"/>
  <c r="T198" i="5" l="1"/>
  <c r="U198" i="5" s="1"/>
  <c r="Y199" i="5"/>
  <c r="Z199" i="5" s="1"/>
  <c r="AC199" i="5"/>
  <c r="AD199" i="5" s="1"/>
  <c r="P200" i="5"/>
  <c r="S199" i="5"/>
  <c r="AB200" i="5"/>
  <c r="X200" i="5"/>
  <c r="Q200" i="5"/>
  <c r="R200" i="5"/>
  <c r="Y200" i="5" l="1"/>
  <c r="Z200" i="5" s="1"/>
  <c r="AC200" i="5"/>
  <c r="AD200" i="5" s="1"/>
  <c r="T199" i="5"/>
  <c r="U199" i="5" s="1"/>
  <c r="P201" i="5"/>
  <c r="S200" i="5"/>
  <c r="X201" i="5"/>
  <c r="AB201" i="5"/>
  <c r="Q201" i="5"/>
  <c r="R201" i="5"/>
  <c r="AC201" i="5" l="1"/>
  <c r="AD201" i="5" s="1"/>
  <c r="Y201" i="5"/>
  <c r="Z201" i="5" s="1"/>
  <c r="T200" i="5"/>
  <c r="U200" i="5" s="1"/>
  <c r="P202" i="5"/>
  <c r="S201" i="5"/>
  <c r="X202" i="5"/>
  <c r="AB202" i="5"/>
  <c r="Q202" i="5"/>
  <c r="R202" i="5"/>
  <c r="AC202" i="5" l="1"/>
  <c r="AD202" i="5" s="1"/>
  <c r="Y202" i="5"/>
  <c r="Z202" i="5" s="1"/>
  <c r="T201" i="5"/>
  <c r="U201" i="5" s="1"/>
  <c r="P203" i="5"/>
  <c r="X203" i="5"/>
  <c r="AB203" i="5"/>
  <c r="Q203" i="5"/>
  <c r="R203" i="5"/>
  <c r="S202" i="5"/>
  <c r="T202" i="5" l="1"/>
  <c r="U202" i="5" s="1"/>
  <c r="AC203" i="5"/>
  <c r="AD203" i="5" s="1"/>
  <c r="Y203" i="5"/>
  <c r="Z203" i="5" s="1"/>
  <c r="P204" i="5"/>
  <c r="S203" i="5"/>
  <c r="AB204" i="5"/>
  <c r="X204" i="5"/>
  <c r="Q204" i="5"/>
  <c r="R204" i="5"/>
  <c r="Y204" i="5" l="1"/>
  <c r="Z204" i="5" s="1"/>
  <c r="AC204" i="5"/>
  <c r="AD204" i="5" s="1"/>
  <c r="T203" i="5"/>
  <c r="U203" i="5" s="1"/>
  <c r="P205" i="5"/>
  <c r="S204" i="5"/>
  <c r="AB205" i="5"/>
  <c r="X205" i="5"/>
  <c r="Q205" i="5"/>
  <c r="R205" i="5"/>
  <c r="Y205" i="5" l="1"/>
  <c r="Z205" i="5" s="1"/>
  <c r="AC205" i="5"/>
  <c r="AD205" i="5" s="1"/>
  <c r="T204" i="5"/>
  <c r="U204" i="5" s="1"/>
  <c r="P206" i="5"/>
  <c r="S205" i="5"/>
  <c r="X206" i="5"/>
  <c r="AB206" i="5"/>
  <c r="Q206" i="5"/>
  <c r="R206" i="5"/>
  <c r="AC206" i="5" l="1"/>
  <c r="AD206" i="5" s="1"/>
  <c r="Y206" i="5"/>
  <c r="Z206" i="5" s="1"/>
  <c r="T205" i="5"/>
  <c r="U205" i="5" s="1"/>
  <c r="P207" i="5"/>
  <c r="AB207" i="5"/>
  <c r="X207" i="5"/>
  <c r="Q207" i="5"/>
  <c r="R207" i="5"/>
  <c r="S206" i="5"/>
  <c r="T206" i="5" l="1"/>
  <c r="U206" i="5" s="1"/>
  <c r="Y207" i="5"/>
  <c r="Z207" i="5" s="1"/>
  <c r="AC207" i="5"/>
  <c r="AD207" i="5" s="1"/>
  <c r="P208" i="5"/>
  <c r="S207" i="5"/>
  <c r="AB208" i="5"/>
  <c r="X208" i="5"/>
  <c r="Q208" i="5"/>
  <c r="R208" i="5"/>
  <c r="Y208" i="5" l="1"/>
  <c r="Z208" i="5" s="1"/>
  <c r="AC208" i="5"/>
  <c r="AD208" i="5" s="1"/>
  <c r="T207" i="5"/>
  <c r="U207" i="5" s="1"/>
  <c r="P209" i="5"/>
  <c r="AB209" i="5"/>
  <c r="X209" i="5"/>
  <c r="Q209" i="5"/>
  <c r="R209" i="5"/>
  <c r="S208" i="5"/>
  <c r="T208" i="5" l="1"/>
  <c r="U208" i="5" s="1"/>
  <c r="Y209" i="5"/>
  <c r="Z209" i="5" s="1"/>
  <c r="AC209" i="5"/>
  <c r="AD209" i="5" s="1"/>
  <c r="P210" i="5"/>
  <c r="S209" i="5"/>
  <c r="AB210" i="5"/>
  <c r="X210" i="5"/>
  <c r="Q210" i="5"/>
  <c r="R210" i="5"/>
  <c r="Y210" i="5" l="1"/>
  <c r="Z210" i="5" s="1"/>
  <c r="AC210" i="5"/>
  <c r="AD210" i="5" s="1"/>
  <c r="T209" i="5"/>
  <c r="U209" i="5" s="1"/>
  <c r="P211" i="5"/>
  <c r="S210" i="5"/>
  <c r="X211" i="5"/>
  <c r="AB211" i="5"/>
  <c r="Q211" i="5"/>
  <c r="R211" i="5"/>
  <c r="AC211" i="5" l="1"/>
  <c r="AD211" i="5" s="1"/>
  <c r="Y211" i="5"/>
  <c r="Z211" i="5" s="1"/>
  <c r="T210" i="5"/>
  <c r="U210" i="5" s="1"/>
  <c r="P212" i="5"/>
  <c r="X212" i="5"/>
  <c r="AB212" i="5"/>
  <c r="Q212" i="5"/>
  <c r="R212" i="5"/>
  <c r="S211" i="5"/>
  <c r="T211" i="5" l="1"/>
  <c r="U211" i="5" s="1"/>
  <c r="AC212" i="5"/>
  <c r="AD212" i="5" s="1"/>
  <c r="Y212" i="5"/>
  <c r="Z212" i="5" s="1"/>
  <c r="P213" i="5"/>
  <c r="S212" i="5"/>
  <c r="X213" i="5"/>
  <c r="AB213" i="5"/>
  <c r="Q213" i="5"/>
  <c r="R213" i="5"/>
  <c r="AC213" i="5" l="1"/>
  <c r="AD213" i="5" s="1"/>
  <c r="Y213" i="5"/>
  <c r="Z213" i="5" s="1"/>
  <c r="T212" i="5"/>
  <c r="U212" i="5" s="1"/>
  <c r="P214" i="5"/>
  <c r="S213" i="5"/>
  <c r="AB214" i="5"/>
  <c r="X214" i="5"/>
  <c r="Q214" i="5"/>
  <c r="R214" i="5"/>
  <c r="Y214" i="5" l="1"/>
  <c r="Z214" i="5" s="1"/>
  <c r="AC214" i="5"/>
  <c r="AD214" i="5" s="1"/>
  <c r="T213" i="5"/>
  <c r="U213" i="5" s="1"/>
  <c r="P215" i="5"/>
  <c r="S214" i="5"/>
  <c r="X215" i="5"/>
  <c r="AB215" i="5"/>
  <c r="Q215" i="5"/>
  <c r="R215" i="5"/>
  <c r="AC215" i="5" l="1"/>
  <c r="AD215" i="5" s="1"/>
  <c r="Y215" i="5"/>
  <c r="Z215" i="5" s="1"/>
  <c r="T214" i="5"/>
  <c r="U214" i="5" s="1"/>
  <c r="P216" i="5"/>
  <c r="S215" i="5"/>
  <c r="AB216" i="5"/>
  <c r="X216" i="5"/>
  <c r="Q216" i="5"/>
  <c r="R216" i="5"/>
  <c r="Y216" i="5" l="1"/>
  <c r="Z216" i="5" s="1"/>
  <c r="AC216" i="5"/>
  <c r="AD216" i="5" s="1"/>
  <c r="T215" i="5"/>
  <c r="U215" i="5" s="1"/>
  <c r="P217" i="5"/>
  <c r="S216" i="5"/>
  <c r="AB217" i="5"/>
  <c r="X217" i="5"/>
  <c r="Q217" i="5"/>
  <c r="R217" i="5"/>
  <c r="Y217" i="5" l="1"/>
  <c r="Z217" i="5" s="1"/>
  <c r="AC217" i="5"/>
  <c r="AD217" i="5" s="1"/>
  <c r="T216" i="5"/>
  <c r="U216" i="5" s="1"/>
  <c r="P218" i="5"/>
  <c r="AB218" i="5"/>
  <c r="X218" i="5"/>
  <c r="Q218" i="5"/>
  <c r="R218" i="5"/>
  <c r="S217" i="5"/>
  <c r="T217" i="5" l="1"/>
  <c r="U217" i="5" s="1"/>
  <c r="Y218" i="5"/>
  <c r="Z218" i="5" s="1"/>
  <c r="AC218" i="5"/>
  <c r="AD218" i="5" s="1"/>
  <c r="P219" i="5"/>
  <c r="AB219" i="5"/>
  <c r="X219" i="5"/>
  <c r="Q219" i="5"/>
  <c r="R219" i="5"/>
  <c r="S218" i="5"/>
  <c r="T218" i="5" l="1"/>
  <c r="U218" i="5" s="1"/>
  <c r="Y219" i="5"/>
  <c r="Z219" i="5" s="1"/>
  <c r="AC219" i="5"/>
  <c r="AD219" i="5" s="1"/>
  <c r="P220" i="5"/>
  <c r="S219" i="5"/>
  <c r="AB220" i="5"/>
  <c r="X220" i="5"/>
  <c r="Q220" i="5"/>
  <c r="R220" i="5"/>
  <c r="Y220" i="5" l="1"/>
  <c r="Z220" i="5" s="1"/>
  <c r="AC220" i="5"/>
  <c r="AD220" i="5" s="1"/>
  <c r="T219" i="5"/>
  <c r="U219" i="5"/>
  <c r="P221" i="5"/>
  <c r="AB221" i="5"/>
  <c r="X221" i="5"/>
  <c r="Q221" i="5"/>
  <c r="R221" i="5"/>
  <c r="S220" i="5"/>
  <c r="T220" i="5" l="1"/>
  <c r="U220" i="5" s="1"/>
  <c r="Y221" i="5"/>
  <c r="Z221" i="5" s="1"/>
  <c r="AC221" i="5"/>
  <c r="AD221" i="5" s="1"/>
  <c r="P222" i="5"/>
  <c r="S221" i="5"/>
  <c r="X222" i="5"/>
  <c r="AB222" i="5"/>
  <c r="Q222" i="5"/>
  <c r="R222" i="5"/>
  <c r="AC222" i="5" l="1"/>
  <c r="AD222" i="5" s="1"/>
  <c r="Y222" i="5"/>
  <c r="Z222" i="5" s="1"/>
  <c r="T221" i="5"/>
  <c r="U221" i="5" s="1"/>
  <c r="P223" i="5"/>
  <c r="AB223" i="5"/>
  <c r="X223" i="5"/>
  <c r="Q223" i="5"/>
  <c r="R223" i="5"/>
  <c r="S222" i="5"/>
  <c r="T222" i="5" l="1"/>
  <c r="U222" i="5" s="1"/>
  <c r="Y223" i="5"/>
  <c r="Z223" i="5" s="1"/>
  <c r="AC223" i="5"/>
  <c r="AD223" i="5" s="1"/>
  <c r="P224" i="5"/>
  <c r="S223" i="5"/>
  <c r="AB224" i="5"/>
  <c r="X224" i="5"/>
  <c r="Q224" i="5"/>
  <c r="R224" i="5"/>
  <c r="Y224" i="5" l="1"/>
  <c r="Z224" i="5" s="1"/>
  <c r="AC224" i="5"/>
  <c r="AD224" i="5" s="1"/>
  <c r="T223" i="5"/>
  <c r="U223" i="5" s="1"/>
  <c r="P225" i="5"/>
  <c r="X225" i="5"/>
  <c r="AB225" i="5"/>
  <c r="Q225" i="5"/>
  <c r="R225" i="5"/>
  <c r="S224" i="5"/>
  <c r="T224" i="5" l="1"/>
  <c r="U224" i="5" s="1"/>
  <c r="AC225" i="5"/>
  <c r="AD225" i="5" s="1"/>
  <c r="Y225" i="5"/>
  <c r="Z225" i="5" s="1"/>
  <c r="P226" i="5"/>
  <c r="S225" i="5"/>
  <c r="X226" i="5"/>
  <c r="AB226" i="5"/>
  <c r="Q226" i="5"/>
  <c r="R226" i="5"/>
  <c r="AC226" i="5" l="1"/>
  <c r="AD226" i="5" s="1"/>
  <c r="Y226" i="5"/>
  <c r="Z226" i="5" s="1"/>
  <c r="T225" i="5"/>
  <c r="U225" i="5" s="1"/>
  <c r="P227" i="5"/>
  <c r="S226" i="5"/>
  <c r="X227" i="5"/>
  <c r="AB227" i="5"/>
  <c r="Q227" i="5"/>
  <c r="R227" i="5"/>
  <c r="AC227" i="5" l="1"/>
  <c r="AD227" i="5" s="1"/>
  <c r="Y227" i="5"/>
  <c r="Z227" i="5" s="1"/>
  <c r="T226" i="5"/>
  <c r="U226" i="5" s="1"/>
  <c r="P228" i="5"/>
  <c r="S227" i="5"/>
  <c r="X228" i="5"/>
  <c r="AB228" i="5"/>
  <c r="Q228" i="5"/>
  <c r="R228" i="5"/>
  <c r="AC228" i="5" l="1"/>
  <c r="AD228" i="5" s="1"/>
  <c r="Y228" i="5"/>
  <c r="Z228" i="5" s="1"/>
  <c r="T227" i="5"/>
  <c r="U227" i="5"/>
  <c r="P229" i="5"/>
  <c r="S228" i="5"/>
  <c r="X229" i="5"/>
  <c r="AB229" i="5"/>
  <c r="Q229" i="5"/>
  <c r="R229" i="5"/>
  <c r="AC229" i="5" l="1"/>
  <c r="AD229" i="5" s="1"/>
  <c r="Y229" i="5"/>
  <c r="Z229" i="5" s="1"/>
  <c r="T228" i="5"/>
  <c r="U228" i="5"/>
  <c r="P230" i="5"/>
  <c r="S229" i="5"/>
  <c r="X230" i="5"/>
  <c r="AB230" i="5"/>
  <c r="Q230" i="5"/>
  <c r="R230" i="5"/>
  <c r="AC230" i="5" l="1"/>
  <c r="AD230" i="5" s="1"/>
  <c r="Y230" i="5"/>
  <c r="Z230" i="5" s="1"/>
  <c r="T229" i="5"/>
  <c r="U229" i="5"/>
  <c r="P231" i="5"/>
  <c r="S230" i="5"/>
  <c r="X231" i="5"/>
  <c r="AB231" i="5"/>
  <c r="Q231" i="5"/>
  <c r="R231" i="5"/>
  <c r="AC231" i="5" l="1"/>
  <c r="AD231" i="5" s="1"/>
  <c r="Y231" i="5"/>
  <c r="Z231" i="5" s="1"/>
  <c r="T230" i="5"/>
  <c r="U230" i="5" s="1"/>
  <c r="P232" i="5"/>
  <c r="S231" i="5"/>
  <c r="X232" i="5"/>
  <c r="AB232" i="5"/>
  <c r="Q232" i="5"/>
  <c r="R232" i="5"/>
  <c r="AC232" i="5" l="1"/>
  <c r="AD232" i="5" s="1"/>
  <c r="Y232" i="5"/>
  <c r="Z232" i="5" s="1"/>
  <c r="T231" i="5"/>
  <c r="U231" i="5" s="1"/>
  <c r="P233" i="5"/>
  <c r="S232" i="5"/>
  <c r="X233" i="5"/>
  <c r="AB233" i="5"/>
  <c r="Q233" i="5"/>
  <c r="R233" i="5"/>
  <c r="AC233" i="5" l="1"/>
  <c r="AD233" i="5" s="1"/>
  <c r="Y233" i="5"/>
  <c r="Z233" i="5" s="1"/>
  <c r="T232" i="5"/>
  <c r="U232" i="5" s="1"/>
  <c r="P234" i="5"/>
  <c r="S233" i="5"/>
  <c r="AB234" i="5"/>
  <c r="X234" i="5"/>
  <c r="Q234" i="5"/>
  <c r="R234" i="5"/>
  <c r="Y234" i="5" l="1"/>
  <c r="Z234" i="5" s="1"/>
  <c r="AC234" i="5"/>
  <c r="AD234" i="5" s="1"/>
  <c r="T233" i="5"/>
  <c r="U233" i="5" s="1"/>
  <c r="P235" i="5"/>
  <c r="S234" i="5"/>
  <c r="AB235" i="5"/>
  <c r="X235" i="5"/>
  <c r="Q235" i="5"/>
  <c r="R235" i="5"/>
  <c r="Y235" i="5" l="1"/>
  <c r="Z235" i="5" s="1"/>
  <c r="AC235" i="5"/>
  <c r="AD235" i="5" s="1"/>
  <c r="T234" i="5"/>
  <c r="U234" i="5" s="1"/>
  <c r="P236" i="5"/>
  <c r="AB236" i="5"/>
  <c r="X236" i="5"/>
  <c r="Q236" i="5"/>
  <c r="R236" i="5"/>
  <c r="S235" i="5"/>
  <c r="T235" i="5" l="1"/>
  <c r="U235" i="5" s="1"/>
  <c r="Y236" i="5"/>
  <c r="Z236" i="5" s="1"/>
  <c r="AC236" i="5"/>
  <c r="AD236" i="5" s="1"/>
  <c r="P237" i="5"/>
  <c r="S236" i="5"/>
  <c r="X237" i="5"/>
  <c r="AB237" i="5"/>
  <c r="Q237" i="5"/>
  <c r="R237" i="5"/>
  <c r="AC237" i="5" l="1"/>
  <c r="AD237" i="5" s="1"/>
  <c r="Y237" i="5"/>
  <c r="Z237" i="5" s="1"/>
  <c r="T236" i="5"/>
  <c r="U236" i="5" s="1"/>
  <c r="P238" i="5"/>
  <c r="S237" i="5"/>
  <c r="AB238" i="5"/>
  <c r="X238" i="5"/>
  <c r="Q238" i="5"/>
  <c r="R238" i="5"/>
  <c r="Y238" i="5" l="1"/>
  <c r="Z238" i="5" s="1"/>
  <c r="AC238" i="5"/>
  <c r="AD238" i="5" s="1"/>
  <c r="T237" i="5"/>
  <c r="U237" i="5" s="1"/>
  <c r="P239" i="5"/>
  <c r="S238" i="5"/>
  <c r="AB239" i="5"/>
  <c r="X239" i="5"/>
  <c r="Q239" i="5"/>
  <c r="R239" i="5"/>
  <c r="Y239" i="5" l="1"/>
  <c r="Z239" i="5" s="1"/>
  <c r="AC239" i="5"/>
  <c r="AD239" i="5" s="1"/>
  <c r="T238" i="5"/>
  <c r="U238" i="5" s="1"/>
  <c r="P240" i="5"/>
  <c r="S239" i="5"/>
  <c r="AB240" i="5"/>
  <c r="X240" i="5"/>
  <c r="Q240" i="5"/>
  <c r="R240" i="5"/>
  <c r="Y240" i="5" l="1"/>
  <c r="Z240" i="5" s="1"/>
  <c r="AC240" i="5"/>
  <c r="AD240" i="5" s="1"/>
  <c r="T239" i="5"/>
  <c r="U239" i="5" s="1"/>
  <c r="P241" i="5"/>
  <c r="S240" i="5"/>
  <c r="AB241" i="5"/>
  <c r="X241" i="5"/>
  <c r="Q241" i="5"/>
  <c r="R241" i="5"/>
  <c r="Y241" i="5" l="1"/>
  <c r="Z241" i="5" s="1"/>
  <c r="AC241" i="5"/>
  <c r="AD241" i="5" s="1"/>
  <c r="T240" i="5"/>
  <c r="U240" i="5" s="1"/>
  <c r="P242" i="5"/>
  <c r="S241" i="5"/>
  <c r="AB242" i="5"/>
  <c r="X242" i="5"/>
  <c r="Q242" i="5"/>
  <c r="R242" i="5"/>
  <c r="Y242" i="5" l="1"/>
  <c r="Z242" i="5" s="1"/>
  <c r="AC242" i="5"/>
  <c r="AD242" i="5" s="1"/>
  <c r="T241" i="5"/>
  <c r="U241" i="5" s="1"/>
  <c r="P243" i="5"/>
  <c r="S242" i="5"/>
  <c r="AB243" i="5"/>
  <c r="X243" i="5"/>
  <c r="Q243" i="5"/>
  <c r="R243" i="5"/>
  <c r="Y243" i="5" l="1"/>
  <c r="Z243" i="5" s="1"/>
  <c r="AC243" i="5"/>
  <c r="AD243" i="5" s="1"/>
  <c r="T242" i="5"/>
  <c r="U242" i="5" s="1"/>
  <c r="P244" i="5"/>
  <c r="S243" i="5"/>
  <c r="AB244" i="5"/>
  <c r="X244" i="5"/>
  <c r="Q244" i="5"/>
  <c r="R244" i="5"/>
  <c r="Y244" i="5" l="1"/>
  <c r="Z244" i="5" s="1"/>
  <c r="AC244" i="5"/>
  <c r="AD244" i="5" s="1"/>
  <c r="T243" i="5"/>
  <c r="U243" i="5" s="1"/>
  <c r="P245" i="5"/>
  <c r="S244" i="5"/>
  <c r="X245" i="5"/>
  <c r="AB245" i="5"/>
  <c r="Q245" i="5"/>
  <c r="R245" i="5"/>
  <c r="AC245" i="5" l="1"/>
  <c r="AD245" i="5" s="1"/>
  <c r="Y245" i="5"/>
  <c r="Z245" i="5" s="1"/>
  <c r="T244" i="5"/>
  <c r="U244" i="5" s="1"/>
  <c r="P246" i="5"/>
  <c r="S245" i="5"/>
  <c r="AB246" i="5"/>
  <c r="X246" i="5"/>
  <c r="Q246" i="5"/>
  <c r="R246" i="5"/>
  <c r="Y246" i="5" l="1"/>
  <c r="Z246" i="5" s="1"/>
  <c r="AC246" i="5"/>
  <c r="AD246" i="5" s="1"/>
  <c r="T245" i="5"/>
  <c r="U245" i="5" s="1"/>
  <c r="P247" i="5"/>
  <c r="S246" i="5"/>
  <c r="X247" i="5"/>
  <c r="AB247" i="5"/>
  <c r="Q247" i="5"/>
  <c r="R247" i="5"/>
  <c r="AC247" i="5" l="1"/>
  <c r="AD247" i="5" s="1"/>
  <c r="Y247" i="5"/>
  <c r="Z247" i="5" s="1"/>
  <c r="T246" i="5"/>
  <c r="U246" i="5" s="1"/>
  <c r="P248" i="5"/>
  <c r="S247" i="5"/>
  <c r="AB248" i="5"/>
  <c r="X248" i="5"/>
  <c r="Q248" i="5"/>
  <c r="R248" i="5"/>
  <c r="Y248" i="5" l="1"/>
  <c r="Z248" i="5" s="1"/>
  <c r="AC248" i="5"/>
  <c r="AD248" i="5" s="1"/>
  <c r="T247" i="5"/>
  <c r="U247" i="5" s="1"/>
  <c r="P249" i="5"/>
  <c r="S248" i="5"/>
  <c r="AB249" i="5"/>
  <c r="X249" i="5"/>
  <c r="Q249" i="5"/>
  <c r="R249" i="5"/>
  <c r="Y249" i="5" l="1"/>
  <c r="Z249" i="5" s="1"/>
  <c r="AC249" i="5"/>
  <c r="AD249" i="5" s="1"/>
  <c r="T248" i="5"/>
  <c r="U248" i="5" s="1"/>
  <c r="P250" i="5"/>
  <c r="S249" i="5"/>
  <c r="AB250" i="5"/>
  <c r="X250" i="5"/>
  <c r="Q250" i="5"/>
  <c r="R250" i="5"/>
  <c r="Y250" i="5" l="1"/>
  <c r="Z250" i="5" s="1"/>
  <c r="AC250" i="5"/>
  <c r="AD250" i="5" s="1"/>
  <c r="T249" i="5"/>
  <c r="U249" i="5" s="1"/>
  <c r="P251" i="5"/>
  <c r="X251" i="5"/>
  <c r="AB251" i="5"/>
  <c r="Q251" i="5"/>
  <c r="R251" i="5"/>
  <c r="S250" i="5"/>
  <c r="T250" i="5" l="1"/>
  <c r="U250" i="5" s="1"/>
  <c r="AC251" i="5"/>
  <c r="AD251" i="5" s="1"/>
  <c r="Y251" i="5"/>
  <c r="Z251" i="5" s="1"/>
  <c r="P252" i="5"/>
  <c r="S251" i="5"/>
  <c r="AB252" i="5"/>
  <c r="X252" i="5"/>
  <c r="Q252" i="5"/>
  <c r="R252" i="5"/>
  <c r="Y252" i="5" l="1"/>
  <c r="Z252" i="5" s="1"/>
  <c r="AC252" i="5"/>
  <c r="AD252" i="5" s="1"/>
  <c r="T251" i="5"/>
  <c r="U251" i="5" s="1"/>
  <c r="P253" i="5"/>
  <c r="S252" i="5"/>
  <c r="AB253" i="5"/>
  <c r="X253" i="5"/>
  <c r="Q253" i="5"/>
  <c r="R253" i="5"/>
  <c r="Y253" i="5" l="1"/>
  <c r="Z253" i="5" s="1"/>
  <c r="AC253" i="5"/>
  <c r="AD253" i="5" s="1"/>
  <c r="T252" i="5"/>
  <c r="U252" i="5" s="1"/>
  <c r="P254" i="5"/>
  <c r="AB254" i="5"/>
  <c r="X254" i="5"/>
  <c r="Q254" i="5"/>
  <c r="R254" i="5"/>
  <c r="S253" i="5"/>
  <c r="T253" i="5" l="1"/>
  <c r="U253" i="5" s="1"/>
  <c r="Y254" i="5"/>
  <c r="Z254" i="5" s="1"/>
  <c r="AC254" i="5"/>
  <c r="AD254" i="5" s="1"/>
  <c r="S254" i="5"/>
  <c r="T254" i="5" l="1"/>
  <c r="U254" i="5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<sst xmlns="http://schemas.openxmlformats.org/spreadsheetml/2006/main" count="58" uniqueCount="49">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</sst>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"/>
    <numFmt numFmtId="173" formatCode="0.000000000000000"/>
    <numFmt numFmtId="176" formatCode="0.000000000000000000"/>
    <numFmt numFmtId="177" formatCode="0.000000000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1" fillId="2" borderId="1" xfId="0" applyFont="1" applyFill="1" applyBorder="1" applyAlignment="1">
      <alignment horizontal="center"/>
    </xf>
    <xf numFmtId="173" fontId="0" fillId="0" borderId="1" xfId="0" applyNumberFormat="1" applyBorder="1"/>
    <xf numFmtId="176" fontId="0" fillId="0" borderId="1" xfId="0" applyNumberFormat="1" applyBorder="1"/>
    <xf numFmtId="177" fontId="0" fillId="0" borderId="1" xfId="0" applyNumberFormat="1" applyBorder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-7.1890604504653552</c:v>
                </c:pt>
                <c:pt idx="2">
                  <c:v>5.8988427755615973</c:v>
                </c:pt>
                <c:pt idx="3">
                  <c:v>12.190786607402568</c:v>
                </c:pt>
                <c:pt idx="4">
                  <c:v>17.920446234839645</c:v>
                </c:pt>
                <c:pt idx="5">
                  <c:v>18.510288114057069</c:v>
                </c:pt>
                <c:pt idx="6">
                  <c:v>17.9297469565605</c:v>
                </c:pt>
                <c:pt idx="7">
                  <c:v>18.597608429921308</c:v>
                </c:pt>
                <c:pt idx="8">
                  <c:v>17.382152729610372</c:v>
                </c:pt>
                <c:pt idx="9">
                  <c:v>8.1618602553319093</c:v>
                </c:pt>
                <c:pt idx="10">
                  <c:v>-1.1631448406820244</c:v>
                </c:pt>
                <c:pt idx="11">
                  <c:v>13.587718165727802</c:v>
                </c:pt>
                <c:pt idx="12">
                  <c:v>8.293000120782855</c:v>
                </c:pt>
                <c:pt idx="13">
                  <c:v>12.614516371529961</c:v>
                </c:pt>
                <c:pt idx="14">
                  <c:v>16.582071057629804</c:v>
                </c:pt>
                <c:pt idx="15">
                  <c:v>17.447729571508752</c:v>
                </c:pt>
                <c:pt idx="16">
                  <c:v>17.104291534159429</c:v>
                </c:pt>
                <c:pt idx="17">
                  <c:v>12.95772874584322</c:v>
                </c:pt>
                <c:pt idx="18">
                  <c:v>6.9502223997935815</c:v>
                </c:pt>
                <c:pt idx="19">
                  <c:v>5.7322107975715388</c:v>
                </c:pt>
                <c:pt idx="20">
                  <c:v>7.8721063124912973</c:v>
                </c:pt>
                <c:pt idx="21">
                  <c:v>7.5975595643693552</c:v>
                </c:pt>
                <c:pt idx="22">
                  <c:v>11.596717315876305</c:v>
                </c:pt>
                <c:pt idx="23">
                  <c:v>13.734034034282351</c:v>
                </c:pt>
                <c:pt idx="24">
                  <c:v>15.539451704652215</c:v>
                </c:pt>
                <c:pt idx="25">
                  <c:v>16.54814175332525</c:v>
                </c:pt>
                <c:pt idx="26">
                  <c:v>16.856901933477172</c:v>
                </c:pt>
                <c:pt idx="27">
                  <c:v>16.794509425902397</c:v>
                </c:pt>
                <c:pt idx="28">
                  <c:v>16.762976337718669</c:v>
                </c:pt>
                <c:pt idx="29">
                  <c:v>15.73519139809331</c:v>
                </c:pt>
                <c:pt idx="30">
                  <c:v>16.643445456770412</c:v>
                </c:pt>
                <c:pt idx="31">
                  <c:v>16.615627259046544</c:v>
                </c:pt>
                <c:pt idx="32">
                  <c:v>16.581295208182247</c:v>
                </c:pt>
                <c:pt idx="33">
                  <c:v>16.499345238077964</c:v>
                </c:pt>
                <c:pt idx="34">
                  <c:v>15.902763968472076</c:v>
                </c:pt>
                <c:pt idx="35">
                  <c:v>16.411018128825315</c:v>
                </c:pt>
                <c:pt idx="36">
                  <c:v>15.684682983274008</c:v>
                </c:pt>
                <c:pt idx="37">
                  <c:v>16.308361711673779</c:v>
                </c:pt>
                <c:pt idx="38">
                  <c:v>16.30128777623575</c:v>
                </c:pt>
                <c:pt idx="39">
                  <c:v>15.97040765930568</c:v>
                </c:pt>
                <c:pt idx="40">
                  <c:v>15.702840234692557</c:v>
                </c:pt>
                <c:pt idx="41">
                  <c:v>15.744026413202532</c:v>
                </c:pt>
                <c:pt idx="42">
                  <c:v>14.941207431759159</c:v>
                </c:pt>
                <c:pt idx="43">
                  <c:v>15.555687908640312</c:v>
                </c:pt>
                <c:pt idx="44">
                  <c:v>14.762247961784128</c:v>
                </c:pt>
                <c:pt idx="45">
                  <c:v>14.109564469556945</c:v>
                </c:pt>
                <c:pt idx="46">
                  <c:v>11.942052683492424</c:v>
                </c:pt>
                <c:pt idx="47">
                  <c:v>11.658165012835575</c:v>
                </c:pt>
                <c:pt idx="48">
                  <c:v>11.610706367065628</c:v>
                </c:pt>
                <c:pt idx="49">
                  <c:v>11.687023891421786</c:v>
                </c:pt>
                <c:pt idx="50">
                  <c:v>10.941005067257009</c:v>
                </c:pt>
                <c:pt idx="51">
                  <c:v>11.514522909373373</c:v>
                </c:pt>
                <c:pt idx="52">
                  <c:v>12.711353183072154</c:v>
                </c:pt>
                <c:pt idx="53">
                  <c:v>12.713452035497552</c:v>
                </c:pt>
                <c:pt idx="54">
                  <c:v>14.02516958960881</c:v>
                </c:pt>
                <c:pt idx="55">
                  <c:v>14.455866812071742</c:v>
                </c:pt>
                <c:pt idx="56">
                  <c:v>15.221380554266512</c:v>
                </c:pt>
                <c:pt idx="57">
                  <c:v>13.50289856980706</c:v>
                </c:pt>
                <c:pt idx="58">
                  <c:v>12.414030241236343</c:v>
                </c:pt>
                <c:pt idx="59">
                  <c:v>12.558641016068647</c:v>
                </c:pt>
                <c:pt idx="60">
                  <c:v>11.818445572208221</c:v>
                </c:pt>
                <c:pt idx="61">
                  <c:v>10.913398705909666</c:v>
                </c:pt>
                <c:pt idx="62">
                  <c:v>10.771393512809521</c:v>
                </c:pt>
                <c:pt idx="63">
                  <c:v>10.435090519852082</c:v>
                </c:pt>
                <c:pt idx="64">
                  <c:v>10.221843047429321</c:v>
                </c:pt>
                <c:pt idx="65">
                  <c:v>10.119709792813467</c:v>
                </c:pt>
                <c:pt idx="66">
                  <c:v>11.175343936384472</c:v>
                </c:pt>
                <c:pt idx="67">
                  <c:v>10.668656786269635</c:v>
                </c:pt>
                <c:pt idx="68">
                  <c:v>9.8845188140863023</c:v>
                </c:pt>
                <c:pt idx="69">
                  <c:v>9.9556677475453164</c:v>
                </c:pt>
                <c:pt idx="70">
                  <c:v>9.712005789903742</c:v>
                </c:pt>
                <c:pt idx="71">
                  <c:v>10.448612269698975</c:v>
                </c:pt>
                <c:pt idx="72">
                  <c:v>10.574364141400219</c:v>
                </c:pt>
                <c:pt idx="73">
                  <c:v>9.910041608302107</c:v>
                </c:pt>
                <c:pt idx="74">
                  <c:v>9.9841637653608899</c:v>
                </c:pt>
                <c:pt idx="75">
                  <c:v>10.24552655255053</c:v>
                </c:pt>
                <c:pt idx="76">
                  <c:v>9.0144228758062148</c:v>
                </c:pt>
                <c:pt idx="77">
                  <c:v>8.0314715630609665</c:v>
                </c:pt>
                <c:pt idx="78">
                  <c:v>8.4074515536124501</c:v>
                </c:pt>
                <c:pt idx="79">
                  <c:v>8.1231646337532872</c:v>
                </c:pt>
                <c:pt idx="80">
                  <c:v>7.9742433114016897</c:v>
                </c:pt>
                <c:pt idx="81">
                  <c:v>7.4109773630342648</c:v>
                </c:pt>
                <c:pt idx="82">
                  <c:v>7.3694225187140177</c:v>
                </c:pt>
                <c:pt idx="83">
                  <c:v>7.2971146503744428</c:v>
                </c:pt>
                <c:pt idx="84">
                  <c:v>6.9239282175724837</c:v>
                </c:pt>
                <c:pt idx="85">
                  <c:v>6.5684388481144085</c:v>
                </c:pt>
                <c:pt idx="86">
                  <c:v>6.4587889342438674</c:v>
                </c:pt>
                <c:pt idx="87">
                  <c:v>6.0870405572573105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-25.261497604190126</c:v>
                </c:pt>
                <c:pt idx="1">
                  <c:v>19.401590103864848</c:v>
                </c:pt>
                <c:pt idx="2">
                  <c:v>-5.1970058243935675</c:v>
                </c:pt>
                <c:pt idx="3">
                  <c:v>-14.543167251551088</c:v>
                </c:pt>
                <c:pt idx="4">
                  <c:v>-19.054174764731101</c:v>
                </c:pt>
                <c:pt idx="5">
                  <c:v>-19.839526052301423</c:v>
                </c:pt>
                <c:pt idx="6">
                  <c:v>-23.792408669000331</c:v>
                </c:pt>
                <c:pt idx="7">
                  <c:v>-30.234228697044884</c:v>
                </c:pt>
                <c:pt idx="8">
                  <c:v>-17.874627529420557</c:v>
                </c:pt>
                <c:pt idx="9">
                  <c:v>-22.451551343980348</c:v>
                </c:pt>
                <c:pt idx="10">
                  <c:v>-35.258153644770914</c:v>
                </c:pt>
                <c:pt idx="11">
                  <c:v>-34.510086299975562</c:v>
                </c:pt>
                <c:pt idx="12">
                  <c:v>-26.228015703401038</c:v>
                </c:pt>
                <c:pt idx="13">
                  <c:v>-6.6322710387905346</c:v>
                </c:pt>
                <c:pt idx="14">
                  <c:v>-2.1420413523250268</c:v>
                </c:pt>
                <c:pt idx="15">
                  <c:v>-35.971213107815728</c:v>
                </c:pt>
                <c:pt idx="16">
                  <c:v>2.9897560138791306</c:v>
                </c:pt>
                <c:pt idx="17">
                  <c:v>-15.49496786549015</c:v>
                </c:pt>
                <c:pt idx="18">
                  <c:v>-19.336784747643414</c:v>
                </c:pt>
                <c:pt idx="19">
                  <c:v>-9.2188716223103331</c:v>
                </c:pt>
                <c:pt idx="20">
                  <c:v>-3.4919342660209107</c:v>
                </c:pt>
                <c:pt idx="21">
                  <c:v>-14.572305727453822</c:v>
                </c:pt>
                <c:pt idx="22">
                  <c:v>17.122528637921256</c:v>
                </c:pt>
                <c:pt idx="23">
                  <c:v>20.573553002047568</c:v>
                </c:pt>
                <c:pt idx="24">
                  <c:v>-25.239395574928892</c:v>
                </c:pt>
                <c:pt idx="25">
                  <c:v>-35.835552236136792</c:v>
                </c:pt>
                <c:pt idx="26">
                  <c:v>-15.082844610328383</c:v>
                </c:pt>
                <c:pt idx="27">
                  <c:v>-0.33987100203772691</c:v>
                </c:pt>
                <c:pt idx="28">
                  <c:v>-28.946117254575363</c:v>
                </c:pt>
                <c:pt idx="29">
                  <c:v>-38.425831102679531</c:v>
                </c:pt>
                <c:pt idx="30">
                  <c:v>-26.108618203933272</c:v>
                </c:pt>
                <c:pt idx="31">
                  <c:v>21.640220491234889</c:v>
                </c:pt>
                <c:pt idx="32">
                  <c:v>20.727074262328411</c:v>
                </c:pt>
                <c:pt idx="33">
                  <c:v>-9.5826274040472228</c:v>
                </c:pt>
                <c:pt idx="34">
                  <c:v>-27.035191087314658</c:v>
                </c:pt>
                <c:pt idx="35">
                  <c:v>-28.093442980727481</c:v>
                </c:pt>
                <c:pt idx="36">
                  <c:v>-29.087483570913353</c:v>
                </c:pt>
                <c:pt idx="37">
                  <c:v>-13.499292608314558</c:v>
                </c:pt>
                <c:pt idx="38">
                  <c:v>-14.538069968441846</c:v>
                </c:pt>
                <c:pt idx="39">
                  <c:v>2.2424638131931651</c:v>
                </c:pt>
                <c:pt idx="40">
                  <c:v>6.7750325363241526</c:v>
                </c:pt>
                <c:pt idx="41">
                  <c:v>-13.087329384533701</c:v>
                </c:pt>
                <c:pt idx="42">
                  <c:v>-23.338850161579366</c:v>
                </c:pt>
                <c:pt idx="43">
                  <c:v>-22.136823746998704</c:v>
                </c:pt>
                <c:pt idx="44">
                  <c:v>17.067652553678055</c:v>
                </c:pt>
                <c:pt idx="45">
                  <c:v>-19.43280201448319</c:v>
                </c:pt>
                <c:pt idx="46">
                  <c:v>-23.668125479224461</c:v>
                </c:pt>
                <c:pt idx="47">
                  <c:v>14.718284804889809</c:v>
                </c:pt>
                <c:pt idx="48">
                  <c:v>14.775286678360137</c:v>
                </c:pt>
                <c:pt idx="49">
                  <c:v>-5.5170941593566862</c:v>
                </c:pt>
                <c:pt idx="50">
                  <c:v>-16.958286764749403</c:v>
                </c:pt>
                <c:pt idx="51">
                  <c:v>-2.0897129879583716</c:v>
                </c:pt>
                <c:pt idx="52">
                  <c:v>-16.426609968410617</c:v>
                </c:pt>
                <c:pt idx="53">
                  <c:v>-17.507343654626045</c:v>
                </c:pt>
                <c:pt idx="54">
                  <c:v>-9.2915989430541259</c:v>
                </c:pt>
                <c:pt idx="55">
                  <c:v>3.1018364993314336</c:v>
                </c:pt>
                <c:pt idx="56">
                  <c:v>-31.175145529275184</c:v>
                </c:pt>
                <c:pt idx="57">
                  <c:v>-4.2361080212871478</c:v>
                </c:pt>
                <c:pt idx="58">
                  <c:v>-15.979476967606523</c:v>
                </c:pt>
                <c:pt idx="59">
                  <c:v>-8.9684111053676752</c:v>
                </c:pt>
                <c:pt idx="60">
                  <c:v>14.587454679793339</c:v>
                </c:pt>
                <c:pt idx="61">
                  <c:v>-3.5798750593144675</c:v>
                </c:pt>
                <c:pt idx="62">
                  <c:v>13.937715883258893</c:v>
                </c:pt>
                <c:pt idx="63">
                  <c:v>13.779272711688984</c:v>
                </c:pt>
                <c:pt idx="64">
                  <c:v>13.674696072613706</c:v>
                </c:pt>
                <c:pt idx="65">
                  <c:v>-15.473810014180991</c:v>
                </c:pt>
                <c:pt idx="66">
                  <c:v>-21.53305597051925</c:v>
                </c:pt>
                <c:pt idx="67">
                  <c:v>11.550498377095572</c:v>
                </c:pt>
                <c:pt idx="68">
                  <c:v>-8.3088754819656359</c:v>
                </c:pt>
                <c:pt idx="69">
                  <c:v>11.326685703277327</c:v>
                </c:pt>
                <c:pt idx="70">
                  <c:v>-12.589893995421669</c:v>
                </c:pt>
                <c:pt idx="71">
                  <c:v>-2.416188103398536</c:v>
                </c:pt>
                <c:pt idx="72">
                  <c:v>-6.6093276529816585</c:v>
                </c:pt>
                <c:pt idx="73">
                  <c:v>-5.717160960140105</c:v>
                </c:pt>
                <c:pt idx="74">
                  <c:v>12.898274859341456</c:v>
                </c:pt>
                <c:pt idx="75">
                  <c:v>-20.775296625961921</c:v>
                </c:pt>
                <c:pt idx="76">
                  <c:v>9.7836283909855872</c:v>
                </c:pt>
                <c:pt idx="77">
                  <c:v>-18.884223438739401</c:v>
                </c:pt>
                <c:pt idx="78">
                  <c:v>-2.1983083879965903</c:v>
                </c:pt>
                <c:pt idx="79">
                  <c:v>9.7153427599386255</c:v>
                </c:pt>
                <c:pt idx="80">
                  <c:v>6.1323679549431045</c:v>
                </c:pt>
                <c:pt idx="81">
                  <c:v>2.035150533575103</c:v>
                </c:pt>
                <c:pt idx="82">
                  <c:v>9.0373766775568498</c:v>
                </c:pt>
                <c:pt idx="83">
                  <c:v>8.2911705362567947</c:v>
                </c:pt>
                <c:pt idx="84">
                  <c:v>8.3057576591544002</c:v>
                </c:pt>
                <c:pt idx="85">
                  <c:v>8.1876992540238422</c:v>
                </c:pt>
                <c:pt idx="86">
                  <c:v>7.6262411326563742</c:v>
                </c:pt>
                <c:pt idx="87">
                  <c:v>-13.910577943529812</c:v>
                </c:pt>
                <c:pt idx="88">
                  <c:v>-32.357424443897457</c:v>
                </c:pt>
                <c:pt idx="89">
                  <c:v>-22.635241892614893</c:v>
                </c:pt>
                <c:pt idx="90">
                  <c:v>-17.281365662812238</c:v>
                </c:pt>
                <c:pt idx="91">
                  <c:v>-6.0410011305820639</c:v>
                </c:pt>
                <c:pt idx="92">
                  <c:v>6.0409682913805973</c:v>
                </c:pt>
                <c:pt idx="93">
                  <c:v>7.0457323378349646</c:v>
                </c:pt>
                <c:pt idx="94">
                  <c:v>-8.4010232046585802</c:v>
                </c:pt>
                <c:pt idx="95">
                  <c:v>-1.8274711628416895</c:v>
                </c:pt>
                <c:pt idx="96">
                  <c:v>-32.600511969903764</c:v>
                </c:pt>
                <c:pt idx="97">
                  <c:v>-17.338482528608541</c:v>
                </c:pt>
                <c:pt idx="98">
                  <c:v>-11.600099853266265</c:v>
                </c:pt>
                <c:pt idx="99">
                  <c:v>-9.982381439307467</c:v>
                </c:pt>
                <c:pt idx="100">
                  <c:v>-11.61130777860868</c:v>
                </c:pt>
                <c:pt idx="101">
                  <c:v>-17.319015350530751</c:v>
                </c:pt>
                <c:pt idx="102">
                  <c:v>-7.7477506303406933</c:v>
                </c:pt>
                <c:pt idx="103">
                  <c:v>-4.0682848420517281</c:v>
                </c:pt>
                <c:pt idx="104">
                  <c:v>-5.6466971122635012</c:v>
                </c:pt>
                <c:pt idx="105">
                  <c:v>-27.716420116812735</c:v>
                </c:pt>
                <c:pt idx="106">
                  <c:v>1.7822595978906683</c:v>
                </c:pt>
                <c:pt idx="107">
                  <c:v>-35.897401763508867</c:v>
                </c:pt>
                <c:pt idx="108">
                  <c:v>-31.732181577275902</c:v>
                </c:pt>
                <c:pt idx="109">
                  <c:v>1.5232545858947688</c:v>
                </c:pt>
                <c:pt idx="110">
                  <c:v>3.1514836543209981</c:v>
                </c:pt>
                <c:pt idx="111">
                  <c:v>2.9913846011258447</c:v>
                </c:pt>
                <c:pt idx="112">
                  <c:v>-20.487059597468267</c:v>
                </c:pt>
                <c:pt idx="113">
                  <c:v>-12.827750428125217</c:v>
                </c:pt>
                <c:pt idx="114">
                  <c:v>-16.241984519598144</c:v>
                </c:pt>
                <c:pt idx="115">
                  <c:v>0.24224718151242897</c:v>
                </c:pt>
                <c:pt idx="116">
                  <c:v>-13.165098310106147</c:v>
                </c:pt>
                <c:pt idx="117">
                  <c:v>-8.5808752032044318</c:v>
                </c:pt>
                <c:pt idx="118">
                  <c:v>-25.477350692212148</c:v>
                </c:pt>
                <c:pt idx="119">
                  <c:v>-34.347976685007211</c:v>
                </c:pt>
                <c:pt idx="120">
                  <c:v>-31.630131654302879</c:v>
                </c:pt>
                <c:pt idx="121">
                  <c:v>-21.711544392542976</c:v>
                </c:pt>
                <c:pt idx="122">
                  <c:v>-4.1014612604107228</c:v>
                </c:pt>
                <c:pt idx="123">
                  <c:v>-1.2403529832203652</c:v>
                </c:pt>
                <c:pt idx="124">
                  <c:v>-0.85184008004605183</c:v>
                </c:pt>
                <c:pt idx="125">
                  <c:v>-1.0114358714741958</c:v>
                </c:pt>
                <c:pt idx="126">
                  <c:v>-1.3315336365965023</c:v>
                </c:pt>
                <c:pt idx="127">
                  <c:v>-1.7646093123290401</c:v>
                </c:pt>
                <c:pt idx="128">
                  <c:v>-1.4351672815765535</c:v>
                </c:pt>
                <c:pt idx="129">
                  <c:v>-1.5924430314525957</c:v>
                </c:pt>
                <c:pt idx="130">
                  <c:v>-9.6082209785916071</c:v>
                </c:pt>
                <c:pt idx="131">
                  <c:v>-0.63116398193754186</c:v>
                </c:pt>
                <c:pt idx="132">
                  <c:v>-0.32366439521601187</c:v>
                </c:pt>
                <c:pt idx="133">
                  <c:v>-5.3242283649981681E-2</c:v>
                </c:pt>
                <c:pt idx="134">
                  <c:v>-23.459404767079288</c:v>
                </c:pt>
                <c:pt idx="135">
                  <c:v>-16.157470206578601</c:v>
                </c:pt>
                <c:pt idx="136">
                  <c:v>-1.3325121684499841</c:v>
                </c:pt>
                <c:pt idx="137">
                  <c:v>-1.3398464385350788</c:v>
                </c:pt>
                <c:pt idx="138">
                  <c:v>-5.3198086261076609</c:v>
                </c:pt>
                <c:pt idx="139">
                  <c:v>-1.9956210776893504</c:v>
                </c:pt>
                <c:pt idx="140">
                  <c:v>-14.113206230251318</c:v>
                </c:pt>
                <c:pt idx="141">
                  <c:v>-34.091975782318393</c:v>
                </c:pt>
                <c:pt idx="142">
                  <c:v>-19.511934136980774</c:v>
                </c:pt>
                <c:pt idx="143">
                  <c:v>-15.102992533686169</c:v>
                </c:pt>
                <c:pt idx="144">
                  <c:v>-1.3739819288564625</c:v>
                </c:pt>
                <c:pt idx="145">
                  <c:v>-7.0905510797629745E-3</c:v>
                </c:pt>
                <c:pt idx="146">
                  <c:v>0.3239020986594241</c:v>
                </c:pt>
                <c:pt idx="147">
                  <c:v>-2.0956166954821063</c:v>
                </c:pt>
                <c:pt idx="148">
                  <c:v>-13.512759826698129</c:v>
                </c:pt>
                <c:pt idx="149">
                  <c:v>1.1943595243846339</c:v>
                </c:pt>
                <c:pt idx="150">
                  <c:v>1.1684989439331979</c:v>
                </c:pt>
                <c:pt idx="151">
                  <c:v>1.0511285758870395</c:v>
                </c:pt>
                <c:pt idx="152">
                  <c:v>-3.0884089385056841</c:v>
                </c:pt>
                <c:pt idx="153">
                  <c:v>-0.5180689560983649</c:v>
                </c:pt>
                <c:pt idx="154">
                  <c:v>-21.39933702460679</c:v>
                </c:pt>
                <c:pt idx="155">
                  <c:v>-23.366009614055798</c:v>
                </c:pt>
                <c:pt idx="156">
                  <c:v>-3.0075023323029129</c:v>
                </c:pt>
                <c:pt idx="157">
                  <c:v>-18.728566636301167</c:v>
                </c:pt>
                <c:pt idx="158">
                  <c:v>-26.201378037495093</c:v>
                </c:pt>
                <c:pt idx="159">
                  <c:v>1.4978821111770664</c:v>
                </c:pt>
                <c:pt idx="160">
                  <c:v>-30.295494044636566</c:v>
                </c:pt>
                <c:pt idx="161">
                  <c:v>-2.0098712747922391</c:v>
                </c:pt>
                <c:pt idx="162">
                  <c:v>-22.485373338862932</c:v>
                </c:pt>
                <c:pt idx="163">
                  <c:v>-21.028417225476808</c:v>
                </c:pt>
                <c:pt idx="164">
                  <c:v>-27.579309936067414</c:v>
                </c:pt>
                <c:pt idx="165">
                  <c:v>6.4670142088480986E-2</c:v>
                </c:pt>
                <c:pt idx="166">
                  <c:v>-27.530843317915661</c:v>
                </c:pt>
                <c:pt idx="167">
                  <c:v>-9.5746469534874947</c:v>
                </c:pt>
                <c:pt idx="168">
                  <c:v>-2.6343632494492217</c:v>
                </c:pt>
                <c:pt idx="169">
                  <c:v>-1.0386073319397375</c:v>
                </c:pt>
                <c:pt idx="170">
                  <c:v>-0.11423322763154603</c:v>
                </c:pt>
                <c:pt idx="171">
                  <c:v>-20.219584064120184</c:v>
                </c:pt>
                <c:pt idx="172">
                  <c:v>-17.287754928100764</c:v>
                </c:pt>
                <c:pt idx="173">
                  <c:v>-8.5429073180073178</c:v>
                </c:pt>
                <c:pt idx="174">
                  <c:v>-19.40877236853666</c:v>
                </c:pt>
                <c:pt idx="175">
                  <c:v>-10.424514722649123</c:v>
                </c:pt>
                <c:pt idx="176">
                  <c:v>4.4536132102317314</c:v>
                </c:pt>
                <c:pt idx="177">
                  <c:v>0.70861460125562514</c:v>
                </c:pt>
                <c:pt idx="178">
                  <c:v>-0.72165986258290826</c:v>
                </c:pt>
                <c:pt idx="179">
                  <c:v>5.1513328391623299</c:v>
                </c:pt>
                <c:pt idx="180">
                  <c:v>-10.572387060775675</c:v>
                </c:pt>
                <c:pt idx="181">
                  <c:v>3.8109041406572555</c:v>
                </c:pt>
                <c:pt idx="182">
                  <c:v>-0.91423496673657834</c:v>
                </c:pt>
                <c:pt idx="183">
                  <c:v>3.964918381421989</c:v>
                </c:pt>
                <c:pt idx="184">
                  <c:v>0.74310376750574747</c:v>
                </c:pt>
                <c:pt idx="185">
                  <c:v>-12.595090715328105</c:v>
                </c:pt>
                <c:pt idx="186">
                  <c:v>-17.356791312379027</c:v>
                </c:pt>
                <c:pt idx="187">
                  <c:v>-13.309143751121283</c:v>
                </c:pt>
                <c:pt idx="188">
                  <c:v>-4.2958752096607995</c:v>
                </c:pt>
                <c:pt idx="189">
                  <c:v>3.8865728336524139</c:v>
                </c:pt>
                <c:pt idx="190">
                  <c:v>3.8874430925990158</c:v>
                </c:pt>
                <c:pt idx="191">
                  <c:v>-6.2485773860585905</c:v>
                </c:pt>
                <c:pt idx="192">
                  <c:v>-5.4223363043164232</c:v>
                </c:pt>
                <c:pt idx="193">
                  <c:v>4.1114561864905541</c:v>
                </c:pt>
                <c:pt idx="194">
                  <c:v>-5.4619585042415038</c:v>
                </c:pt>
                <c:pt idx="195">
                  <c:v>-21.144988786116006</c:v>
                </c:pt>
                <c:pt idx="196">
                  <c:v>0.15024558538173949</c:v>
                </c:pt>
                <c:pt idx="197">
                  <c:v>3.8080973335578512</c:v>
                </c:pt>
                <c:pt idx="198">
                  <c:v>3.7778101921480691</c:v>
                </c:pt>
                <c:pt idx="199">
                  <c:v>1.7011233372769394</c:v>
                </c:pt>
                <c:pt idx="200">
                  <c:v>2.2121486085324564</c:v>
                </c:pt>
                <c:pt idx="201">
                  <c:v>3.223220821323233</c:v>
                </c:pt>
                <c:pt idx="202">
                  <c:v>3.2134215142796112</c:v>
                </c:pt>
                <c:pt idx="203">
                  <c:v>-5.482207225433914</c:v>
                </c:pt>
                <c:pt idx="204">
                  <c:v>-2.5917541116970821</c:v>
                </c:pt>
                <c:pt idx="205">
                  <c:v>2.3062956257102072</c:v>
                </c:pt>
                <c:pt idx="206">
                  <c:v>-3.1206219664502126</c:v>
                </c:pt>
                <c:pt idx="207">
                  <c:v>-11.428369900414644</c:v>
                </c:pt>
                <c:pt idx="208">
                  <c:v>1.6927135052691149</c:v>
                </c:pt>
                <c:pt idx="209">
                  <c:v>-9.3966844839234547</c:v>
                </c:pt>
                <c:pt idx="210">
                  <c:v>-10.285680609123261</c:v>
                </c:pt>
                <c:pt idx="211">
                  <c:v>1.4090025351969384</c:v>
                </c:pt>
                <c:pt idx="212">
                  <c:v>5.6029880515435782E-3</c:v>
                </c:pt>
                <c:pt idx="213">
                  <c:v>2.0025880037365864</c:v>
                </c:pt>
                <c:pt idx="214">
                  <c:v>2.2463309864090055</c:v>
                </c:pt>
                <c:pt idx="215">
                  <c:v>0.70257097522233747</c:v>
                </c:pt>
                <c:pt idx="216">
                  <c:v>0.78145555857991489</c:v>
                </c:pt>
                <c:pt idx="217">
                  <c:v>-15.352795312963007</c:v>
                </c:pt>
                <c:pt idx="218">
                  <c:v>0.29348078019252632</c:v>
                </c:pt>
                <c:pt idx="219">
                  <c:v>1.7360457261822702</c:v>
                </c:pt>
                <c:pt idx="220">
                  <c:v>1.438709548614115</c:v>
                </c:pt>
                <c:pt idx="221">
                  <c:v>1.1810085308134064</c:v>
                </c:pt>
                <c:pt idx="222">
                  <c:v>1.0177638388245556</c:v>
                </c:pt>
                <c:pt idx="223">
                  <c:v>0.71149919539275985</c:v>
                </c:pt>
                <c:pt idx="224">
                  <c:v>-9.7403209585989288</c:v>
                </c:pt>
                <c:pt idx="225">
                  <c:v>-14.475651315288005</c:v>
                </c:pt>
                <c:pt idx="226">
                  <c:v>-7.3323485303311626</c:v>
                </c:pt>
                <c:pt idx="227">
                  <c:v>-3.9303933390306098</c:v>
                </c:pt>
                <c:pt idx="228">
                  <c:v>-19.000410741031629</c:v>
                </c:pt>
                <c:pt idx="229">
                  <c:v>-1.6227294987820322</c:v>
                </c:pt>
                <c:pt idx="230">
                  <c:v>0.60826277243108962</c:v>
                </c:pt>
                <c:pt idx="231">
                  <c:v>0.35411112380683135</c:v>
                </c:pt>
                <c:pt idx="232">
                  <c:v>0.17256747191295477</c:v>
                </c:pt>
                <c:pt idx="233">
                  <c:v>-2.198559960340579</c:v>
                </c:pt>
                <c:pt idx="234">
                  <c:v>-0.38213573608065698</c:v>
                </c:pt>
                <c:pt idx="235">
                  <c:v>0.11357083128517209</c:v>
                </c:pt>
                <c:pt idx="236">
                  <c:v>0.15290092364393532</c:v>
                </c:pt>
                <c:pt idx="237">
                  <c:v>-9.5519188679371064E-2</c:v>
                </c:pt>
                <c:pt idx="238">
                  <c:v>-0.19360506247808182</c:v>
                </c:pt>
                <c:pt idx="239">
                  <c:v>-0.36187421614242221</c:v>
                </c:pt>
                <c:pt idx="240">
                  <c:v>-0.69771780834917263</c:v>
                </c:pt>
                <c:pt idx="241">
                  <c:v>-0.96879569769485208</c:v>
                </c:pt>
                <c:pt idx="242">
                  <c:v>-1.1161561837099194</c:v>
                </c:pt>
                <c:pt idx="243">
                  <c:v>-1.1421967740727299</c:v>
                </c:pt>
                <c:pt idx="244">
                  <c:v>-1.2215916618587388</c:v>
                </c:pt>
                <c:pt idx="245">
                  <c:v>-1.2809603012997999</c:v>
                </c:pt>
                <c:pt idx="246">
                  <c:v>-1.3096988791091209</c:v>
                </c:pt>
                <c:pt idx="247">
                  <c:v>-1.3228332617330383</c:v>
                </c:pt>
                <c:pt idx="248">
                  <c:v>-1.325032990129188</c:v>
                </c:pt>
              </c:numCache>
            </c:numRef>
          </c:val>
          <c:smooth val="0"/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-22.113442894996339</c:v>
                </c:pt>
                <c:pt idx="1">
                  <c:v>-7.2449197199226276</c:v>
                </c:pt>
                <c:pt idx="2">
                  <c:v>5.7345249993538978</c:v>
                </c:pt>
                <c:pt idx="3">
                  <c:v>12.020252349134232</c:v>
                </c:pt>
                <c:pt idx="4">
                  <c:v>17.772103757248878</c:v>
                </c:pt>
                <c:pt idx="5">
                  <c:v>18.391327772527756</c:v>
                </c:pt>
                <c:pt idx="6">
                  <c:v>17.799549960549946</c:v>
                </c:pt>
                <c:pt idx="7">
                  <c:v>18.503395966813027</c:v>
                </c:pt>
                <c:pt idx="8">
                  <c:v>17.222124937545519</c:v>
                </c:pt>
                <c:pt idx="9">
                  <c:v>7.9905250784610438</c:v>
                </c:pt>
                <c:pt idx="10">
                  <c:v>-1.2982986405010237</c:v>
                </c:pt>
                <c:pt idx="11">
                  <c:v>13.376260705333735</c:v>
                </c:pt>
                <c:pt idx="12">
                  <c:v>8.1020298841768792</c:v>
                </c:pt>
                <c:pt idx="13">
                  <c:v>12.420198479598382</c:v>
                </c:pt>
                <c:pt idx="14">
                  <c:v>16.438865279989624</c:v>
                </c:pt>
                <c:pt idx="15">
                  <c:v>17.381398120505494</c:v>
                </c:pt>
                <c:pt idx="16">
                  <c:v>16.983262195720272</c:v>
                </c:pt>
                <c:pt idx="17">
                  <c:v>12.809609847810187</c:v>
                </c:pt>
                <c:pt idx="18">
                  <c:v>6.8145075972884213</c:v>
                </c:pt>
                <c:pt idx="19">
                  <c:v>5.5993613344180542</c:v>
                </c:pt>
                <c:pt idx="20">
                  <c:v>7.7324953417038822</c:v>
                </c:pt>
                <c:pt idx="21">
                  <c:v>7.4654871392426871</c:v>
                </c:pt>
                <c:pt idx="22">
                  <c:v>11.440284846393393</c:v>
                </c:pt>
                <c:pt idx="23">
                  <c:v>13.617959502564043</c:v>
                </c:pt>
                <c:pt idx="24">
                  <c:v>15.431007559513933</c:v>
                </c:pt>
                <c:pt idx="25">
                  <c:v>16.506882339007639</c:v>
                </c:pt>
                <c:pt idx="26">
                  <c:v>16.799526453630676</c:v>
                </c:pt>
                <c:pt idx="27">
                  <c:v>16.737827193903083</c:v>
                </c:pt>
                <c:pt idx="28">
                  <c:v>16.702642834792517</c:v>
                </c:pt>
                <c:pt idx="29">
                  <c:v>15.708654944754702</c:v>
                </c:pt>
                <c:pt idx="30">
                  <c:v>16.580026179434416</c:v>
                </c:pt>
                <c:pt idx="31">
                  <c:v>16.557033043553737</c:v>
                </c:pt>
                <c:pt idx="32">
                  <c:v>16.526178758668014</c:v>
                </c:pt>
                <c:pt idx="33">
                  <c:v>16.444440894380165</c:v>
                </c:pt>
                <c:pt idx="34">
                  <c:v>15.870491042374208</c:v>
                </c:pt>
                <c:pt idx="35">
                  <c:v>16.358334525744809</c:v>
                </c:pt>
                <c:pt idx="36">
                  <c:v>15.654232289959936</c:v>
                </c:pt>
                <c:pt idx="37">
                  <c:v>16.256862351445069</c:v>
                </c:pt>
                <c:pt idx="38">
                  <c:v>16.247103331516819</c:v>
                </c:pt>
                <c:pt idx="39">
                  <c:v>15.931368314425141</c:v>
                </c:pt>
                <c:pt idx="40">
                  <c:v>15.668034213663699</c:v>
                </c:pt>
                <c:pt idx="41">
                  <c:v>15.709620679458258</c:v>
                </c:pt>
                <c:pt idx="42">
                  <c:v>14.91851971643228</c:v>
                </c:pt>
                <c:pt idx="43">
                  <c:v>15.525840825779008</c:v>
                </c:pt>
                <c:pt idx="44">
                  <c:v>14.739993709414884</c:v>
                </c:pt>
                <c:pt idx="45">
                  <c:v>14.090452550816241</c:v>
                </c:pt>
                <c:pt idx="46">
                  <c:v>11.925223376675961</c:v>
                </c:pt>
                <c:pt idx="47">
                  <c:v>11.641357407838276</c:v>
                </c:pt>
                <c:pt idx="48">
                  <c:v>11.593906046331153</c:v>
                </c:pt>
                <c:pt idx="49">
                  <c:v>11.670217218191677</c:v>
                </c:pt>
                <c:pt idx="50">
                  <c:v>10.924220804171647</c:v>
                </c:pt>
                <c:pt idx="51">
                  <c:v>11.497722659845468</c:v>
                </c:pt>
                <c:pt idx="52">
                  <c:v>12.694219345963385</c:v>
                </c:pt>
                <c:pt idx="53">
                  <c:v>12.696296724097472</c:v>
                </c:pt>
                <c:pt idx="54">
                  <c:v>14.005287222719419</c:v>
                </c:pt>
                <c:pt idx="55">
                  <c:v>14.432510459183296</c:v>
                </c:pt>
                <c:pt idx="56">
                  <c:v>15.186751019918979</c:v>
                </c:pt>
                <c:pt idx="57">
                  <c:v>13.483735174189617</c:v>
                </c:pt>
                <c:pt idx="58">
                  <c:v>12.396420105415503</c:v>
                </c:pt>
                <c:pt idx="59">
                  <c:v>12.540862203176598</c:v>
                </c:pt>
                <c:pt idx="60">
                  <c:v>11.801029617796791</c:v>
                </c:pt>
                <c:pt idx="61">
                  <c:v>10.896070150628205</c:v>
                </c:pt>
                <c:pt idx="62">
                  <c:v>10.754068057946778</c:v>
                </c:pt>
                <c:pt idx="63">
                  <c:v>10.417771230657561</c:v>
                </c:pt>
                <c:pt idx="64">
                  <c:v>10.204526263602007</c:v>
                </c:pt>
                <c:pt idx="65">
                  <c:v>10.102393392490193</c:v>
                </c:pt>
                <c:pt idx="66">
                  <c:v>11.157994742691905</c:v>
                </c:pt>
                <c:pt idx="67">
                  <c:v>10.651331744482977</c:v>
                </c:pt>
                <c:pt idx="68">
                  <c:v>9.8672026510474957</c:v>
                </c:pt>
                <c:pt idx="69">
                  <c:v>9.9383511783034546</c:v>
                </c:pt>
                <c:pt idx="70">
                  <c:v>9.694689865869357</c:v>
                </c:pt>
                <c:pt idx="71">
                  <c:v>10.431287991972498</c:v>
                </c:pt>
                <c:pt idx="72">
                  <c:v>10.557035002128487</c:v>
                </c:pt>
                <c:pt idx="73">
                  <c:v>9.8927241849776664</c:v>
                </c:pt>
                <c:pt idx="74">
                  <c:v>9.966845353792456</c:v>
                </c:pt>
                <c:pt idx="75">
                  <c:v>10.228204039326526</c:v>
                </c:pt>
                <c:pt idx="76">
                  <c:v>8.9971073508013983</c:v>
                </c:pt>
                <c:pt idx="77">
                  <c:v>8.0141561604011358</c:v>
                </c:pt>
                <c:pt idx="78">
                  <c:v>8.3901361355512734</c:v>
                </c:pt>
                <c:pt idx="79">
                  <c:v>8.1058492279176324</c:v>
                </c:pt>
                <c:pt idx="80">
                  <c:v>7.9569279084255271</c:v>
                </c:pt>
                <c:pt idx="81">
                  <c:v>7.3936619637154815</c:v>
                </c:pt>
                <c:pt idx="82">
                  <c:v>7.3521071194011469</c:v>
                </c:pt>
                <c:pt idx="83">
                  <c:v>7.2797992511273479</c:v>
                </c:pt>
                <c:pt idx="84">
                  <c:v>6.9066128185571971</c:v>
                </c:pt>
                <c:pt idx="85">
                  <c:v>6.5511234491438994</c:v>
                </c:pt>
                <c:pt idx="86">
                  <c:v>6.441473535278079</c:v>
                </c:pt>
                <c:pt idx="87">
                  <c:v>6.0697251582968841</c:v>
                </c:pt>
                <c:pt idx="88">
                  <c:v>4.6355006892488042</c:v>
                </c:pt>
                <c:pt idx="89">
                  <c:v>5.4564643414881502</c:v>
                </c:pt>
                <c:pt idx="90">
                  <c:v>4.7860085775119465</c:v>
                </c:pt>
                <c:pt idx="91">
                  <c:v>5.2662315154468784</c:v>
                </c:pt>
                <c:pt idx="92">
                  <c:v>5.0318005936090149</c:v>
                </c:pt>
                <c:pt idx="93">
                  <c:v>5.1463757718987093</c:v>
                </c:pt>
                <c:pt idx="94">
                  <c:v>5.0531273540077919</c:v>
                </c:pt>
                <c:pt idx="95">
                  <c:v>4.1332419088871459</c:v>
                </c:pt>
                <c:pt idx="96">
                  <c:v>2.7749506963772914</c:v>
                </c:pt>
                <c:pt idx="97">
                  <c:v>3.4502011037283919</c:v>
                </c:pt>
                <c:pt idx="98">
                  <c:v>3.0500862974233725</c:v>
                </c:pt>
                <c:pt idx="99">
                  <c:v>1.880749859274867</c:v>
                </c:pt>
                <c:pt idx="100">
                  <c:v>1.5601389216082309</c:v>
                </c:pt>
                <c:pt idx="101">
                  <c:v>1.9336408068133535</c:v>
                </c:pt>
                <c:pt idx="102">
                  <c:v>1.3167198766891017</c:v>
                </c:pt>
                <c:pt idx="103">
                  <c:v>1.3497060306940964</c:v>
                </c:pt>
                <c:pt idx="104">
                  <c:v>1.8440286897661151</c:v>
                </c:pt>
                <c:pt idx="105">
                  <c:v>3.024222262959479</c:v>
                </c:pt>
                <c:pt idx="106">
                  <c:v>2.6728155251146672</c:v>
                </c:pt>
                <c:pt idx="107">
                  <c:v>2.1845517159157835</c:v>
                </c:pt>
                <c:pt idx="108">
                  <c:v>3.7584216351695927</c:v>
                </c:pt>
                <c:pt idx="109">
                  <c:v>3.5619832825814326</c:v>
                </c:pt>
                <c:pt idx="110">
                  <c:v>3.7490139578656523</c:v>
                </c:pt>
                <c:pt idx="111">
                  <c:v>3.6615965016333929</c:v>
                </c:pt>
                <c:pt idx="112">
                  <c:v>3.3511448621033919</c:v>
                </c:pt>
                <c:pt idx="113">
                  <c:v>4.1547541366811442</c:v>
                </c:pt>
                <c:pt idx="114">
                  <c:v>4.1048036547339377</c:v>
                </c:pt>
                <c:pt idx="115">
                  <c:v>3.091859818549902</c:v>
                </c:pt>
                <c:pt idx="116">
                  <c:v>1.9482573517459327</c:v>
                </c:pt>
                <c:pt idx="117">
                  <c:v>1.6546900555498665</c:v>
                </c:pt>
                <c:pt idx="118">
                  <c:v>1.970759037285748</c:v>
                </c:pt>
                <c:pt idx="119">
                  <c:v>1.0115764610038367</c:v>
                </c:pt>
                <c:pt idx="120">
                  <c:v>1.8040684917795131</c:v>
                </c:pt>
                <c:pt idx="121">
                  <c:v>0.99319199237960287</c:v>
                </c:pt>
                <c:pt idx="122">
                  <c:v>1.2181406798657646</c:v>
                </c:pt>
                <c:pt idx="123">
                  <c:v>1.0618783898877622</c:v>
                </c:pt>
                <c:pt idx="124">
                  <c:v>1.1771440263258155</c:v>
                </c:pt>
                <c:pt idx="125">
                  <c:v>1.0312938537176448</c:v>
                </c:pt>
                <c:pt idx="126">
                  <c:v>0.73645900399721409</c:v>
                </c:pt>
                <c:pt idx="127">
                  <c:v>0.41636042537951834</c:v>
                </c:pt>
                <c:pt idx="128">
                  <c:v>0.40129419934117561</c:v>
                </c:pt>
                <c:pt idx="129">
                  <c:v>0.31342153479134094</c:v>
                </c:pt>
                <c:pt idx="130">
                  <c:v>0.15614578491534115</c:v>
                </c:pt>
                <c:pt idx="131">
                  <c:v>0.52550642920432988</c:v>
                </c:pt>
                <c:pt idx="132">
                  <c:v>0.9355477333240243</c:v>
                </c:pt>
                <c:pt idx="133">
                  <c:v>1.2430473200542194</c:v>
                </c:pt>
                <c:pt idx="134">
                  <c:v>1.5134694316114645</c:v>
                </c:pt>
                <c:pt idx="135">
                  <c:v>0.62398213172743322</c:v>
                </c:pt>
                <c:pt idx="136">
                  <c:v>0.57498293222335928</c:v>
                </c:pt>
                <c:pt idx="137">
                  <c:v>0.3646243753131797</c:v>
                </c:pt>
                <c:pt idx="138">
                  <c:v>0.38244973769995294</c:v>
                </c:pt>
                <c:pt idx="139">
                  <c:v>-2.84433191908251E-2</c:v>
                </c:pt>
                <c:pt idx="140">
                  <c:v>-0.16458699017158285</c:v>
                </c:pt>
                <c:pt idx="141">
                  <c:v>-0.94708071294609386</c:v>
                </c:pt>
                <c:pt idx="142">
                  <c:v>-0.31795065899046637</c:v>
                </c:pt>
                <c:pt idx="143">
                  <c:v>-0.46093527870115469</c:v>
                </c:pt>
                <c:pt idx="144">
                  <c:v>4.1499281043217984E-2</c:v>
                </c:pt>
                <c:pt idx="145">
                  <c:v>0.31049539121726166</c:v>
                </c:pt>
                <c:pt idx="146">
                  <c:v>0.589751656498545</c:v>
                </c:pt>
                <c:pt idx="147">
                  <c:v>0.92074430623773207</c:v>
                </c:pt>
                <c:pt idx="148">
                  <c:v>1.7013185880131045</c:v>
                </c:pt>
                <c:pt idx="149">
                  <c:v>1.6842258604098488</c:v>
                </c:pt>
                <c:pt idx="150">
                  <c:v>1.7160814546539411</c:v>
                </c:pt>
                <c:pt idx="151">
                  <c:v>1.6902208742025051</c:v>
                </c:pt>
                <c:pt idx="152">
                  <c:v>1.5728505075966792</c:v>
                </c:pt>
                <c:pt idx="153">
                  <c:v>0.97080238357886639</c:v>
                </c:pt>
                <c:pt idx="154">
                  <c:v>0.74216167032842417</c:v>
                </c:pt>
                <c:pt idx="155">
                  <c:v>1.5076589963718261</c:v>
                </c:pt>
                <c:pt idx="156">
                  <c:v>1.1406997583011345</c:v>
                </c:pt>
                <c:pt idx="157">
                  <c:v>1.2247453374598605</c:v>
                </c:pt>
                <c:pt idx="158">
                  <c:v>0.33671874005237168</c:v>
                </c:pt>
                <c:pt idx="159">
                  <c:v>0.72774037946914927</c:v>
                </c:pt>
                <c:pt idx="160">
                  <c:v>1.2479293982626087</c:v>
                </c:pt>
                <c:pt idx="161">
                  <c:v>7.9376246918950066E-2</c:v>
                </c:pt>
                <c:pt idx="162">
                  <c:v>-0.56820455325766961</c:v>
                </c:pt>
                <c:pt idx="163">
                  <c:v>-0.25327953621696953</c:v>
                </c:pt>
                <c:pt idx="164">
                  <c:v>-0.84898243805416929</c:v>
                </c:pt>
                <c:pt idx="165">
                  <c:v>-0.33956041099503853</c:v>
                </c:pt>
                <c:pt idx="166">
                  <c:v>0.62709037591724393</c:v>
                </c:pt>
                <c:pt idx="167">
                  <c:v>0.25740594721819843</c:v>
                </c:pt>
                <c:pt idx="168">
                  <c:v>0.51832332422517435</c:v>
                </c:pt>
                <c:pt idx="169">
                  <c:v>0.32378095276615237</c:v>
                </c:pt>
                <c:pt idx="170">
                  <c:v>0.53612538307050794</c:v>
                </c:pt>
                <c:pt idx="171">
                  <c:v>1.1520324723829232</c:v>
                </c:pt>
                <c:pt idx="172">
                  <c:v>0.66782873017536826</c:v>
                </c:pt>
                <c:pt idx="173">
                  <c:v>1.1439953570930994</c:v>
                </c:pt>
                <c:pt idx="174">
                  <c:v>0.94777213068408184</c:v>
                </c:pt>
                <c:pt idx="175">
                  <c:v>1.7669857719480673</c:v>
                </c:pt>
                <c:pt idx="176">
                  <c:v>1.9018836355116475</c:v>
                </c:pt>
                <c:pt idx="177">
                  <c:v>2.2314017957637402</c:v>
                </c:pt>
                <c:pt idx="178">
                  <c:v>2.1145634104068405</c:v>
                </c:pt>
                <c:pt idx="179">
                  <c:v>2.4854971957462721</c:v>
                </c:pt>
                <c:pt idx="180">
                  <c:v>2.8017473697091142</c:v>
                </c:pt>
                <c:pt idx="181">
                  <c:v>2.2813260208356168</c:v>
                </c:pt>
                <c:pt idx="182">
                  <c:v>1.7178444839471849</c:v>
                </c:pt>
                <c:pt idx="183">
                  <c:v>1.6685383454067688</c:v>
                </c:pt>
                <c:pt idx="184">
                  <c:v>1.8681085270654689</c:v>
                </c:pt>
                <c:pt idx="185">
                  <c:v>1.6283888376966571</c:v>
                </c:pt>
                <c:pt idx="186">
                  <c:v>2.1962810095019263</c:v>
                </c:pt>
                <c:pt idx="187">
                  <c:v>1.7180638944178197</c:v>
                </c:pt>
                <c:pt idx="188">
                  <c:v>2.073993145088262</c:v>
                </c:pt>
                <c:pt idx="189">
                  <c:v>1.8443386108518878</c:v>
                </c:pt>
                <c:pt idx="190">
                  <c:v>1.6820481427909142</c:v>
                </c:pt>
                <c:pt idx="191">
                  <c:v>1.6831017872774749</c:v>
                </c:pt>
                <c:pt idx="192">
                  <c:v>2.3212792275218375</c:v>
                </c:pt>
                <c:pt idx="193">
                  <c:v>2.3641850162001057</c:v>
                </c:pt>
                <c:pt idx="194">
                  <c:v>2.1179323080622892</c:v>
                </c:pt>
                <c:pt idx="195">
                  <c:v>1.2326074887461074</c:v>
                </c:pt>
                <c:pt idx="196">
                  <c:v>1.5723761825209079</c:v>
                </c:pt>
                <c:pt idx="197">
                  <c:v>1.431496459442978</c:v>
                </c:pt>
                <c:pt idx="198">
                  <c:v>1.4924376088789684</c:v>
                </c:pt>
                <c:pt idx="199">
                  <c:v>1.4615510229604736</c:v>
                </c:pt>
                <c:pt idx="200">
                  <c:v>1.0180430830252432</c:v>
                </c:pt>
                <c:pt idx="201">
                  <c:v>0.94333646986688802</c:v>
                </c:pt>
                <c:pt idx="202">
                  <c:v>0.90340229571776387</c:v>
                </c:pt>
                <c:pt idx="203">
                  <c:v>0.89360298867414212</c:v>
                </c:pt>
                <c:pt idx="204">
                  <c:v>0.26599229007949088</c:v>
                </c:pt>
                <c:pt idx="205">
                  <c:v>0.16405021986029578</c:v>
                </c:pt>
                <c:pt idx="206">
                  <c:v>2.5774653752490551E-3</c:v>
                </c:pt>
                <c:pt idx="207">
                  <c:v>0.3409741974027396</c:v>
                </c:pt>
                <c:pt idx="208">
                  <c:v>-0.13108454297168226</c:v>
                </c:pt>
                <c:pt idx="209">
                  <c:v>-0.4079218057336691</c:v>
                </c:pt>
                <c:pt idx="210">
                  <c:v>-2.6896749122163222E-2</c:v>
                </c:pt>
                <c:pt idx="211">
                  <c:v>-0.37487393620005083</c:v>
                </c:pt>
                <c:pt idx="212">
                  <c:v>-0.53419216091689226</c:v>
                </c:pt>
                <c:pt idx="213">
                  <c:v>-0.3250869265822347</c:v>
                </c:pt>
                <c:pt idx="214">
                  <c:v>2.65968467652824E-2</c:v>
                </c:pt>
                <c:pt idx="215">
                  <c:v>0.27034248662776417</c:v>
                </c:pt>
                <c:pt idx="216">
                  <c:v>0.14523486260463425</c:v>
                </c:pt>
                <c:pt idx="217">
                  <c:v>-0.32702318490297433</c:v>
                </c:pt>
                <c:pt idx="218">
                  <c:v>3.5924065362688218E-2</c:v>
                </c:pt>
                <c:pt idx="219">
                  <c:v>3.4405560573996574E-2</c:v>
                </c:pt>
                <c:pt idx="220">
                  <c:v>-0.23536488336578021</c:v>
                </c:pt>
                <c:pt idx="221">
                  <c:v>-0.60009194432297353</c:v>
                </c:pt>
                <c:pt idx="222">
                  <c:v>-0.85779296212412692</c:v>
                </c:pt>
                <c:pt idx="223">
                  <c:v>-1.0210376541129778</c:v>
                </c:pt>
                <c:pt idx="224">
                  <c:v>-1.3273001088654341</c:v>
                </c:pt>
                <c:pt idx="225">
                  <c:v>-1.0159386119708147</c:v>
                </c:pt>
                <c:pt idx="226">
                  <c:v>-1.5379015439785819</c:v>
                </c:pt>
                <c:pt idx="227">
                  <c:v>-1.4861741555650996</c:v>
                </c:pt>
                <c:pt idx="228">
                  <c:v>-0.96550737234271811</c:v>
                </c:pt>
                <c:pt idx="229">
                  <c:v>-1.4427175952898823</c:v>
                </c:pt>
                <c:pt idx="230">
                  <c:v>-1.4955683654331482</c:v>
                </c:pt>
                <c:pt idx="231">
                  <c:v>-1.5909443903730862</c:v>
                </c:pt>
                <c:pt idx="232">
                  <c:v>-1.8450557973101711</c:v>
                </c:pt>
                <c:pt idx="233">
                  <c:v>-2.0266395583834127</c:v>
                </c:pt>
                <c:pt idx="234">
                  <c:v>-1.8374362289970394</c:v>
                </c:pt>
                <c:pt idx="235">
                  <c:v>-1.9562982626495584</c:v>
                </c:pt>
                <c:pt idx="236">
                  <c:v>-2.089128462722134</c:v>
                </c:pt>
                <c:pt idx="237">
                  <c:v>-2.0483011113163387</c:v>
                </c:pt>
                <c:pt idx="238">
                  <c:v>-2.2508346943872413</c:v>
                </c:pt>
                <c:pt idx="239">
                  <c:v>-2.3963191291541124</c:v>
                </c:pt>
                <c:pt idx="240">
                  <c:v>-2.5645882828184527</c:v>
                </c:pt>
                <c:pt idx="241">
                  <c:v>-2.8964922719217627</c:v>
                </c:pt>
                <c:pt idx="242">
                  <c:v>-3.1714319814055516</c:v>
                </c:pt>
                <c:pt idx="243">
                  <c:v>-3.2455824157533515</c:v>
                </c:pt>
                <c:pt idx="244">
                  <c:v>-3.3446601567430649</c:v>
                </c:pt>
                <c:pt idx="245">
                  <c:v>-3.4240550445290738</c:v>
                </c:pt>
                <c:pt idx="246">
                  <c:v>-3.4834236839701349</c:v>
                </c:pt>
                <c:pt idx="247">
                  <c:v>-3.5121622617794559</c:v>
                </c:pt>
                <c:pt idx="248">
                  <c:v>-3.5252966444033733</c:v>
                </c:pt>
                <c:pt idx="249">
                  <c:v>-3.527496372799523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032640"/>
        <c:axId val="219162880"/>
      </c:lineChart>
      <c:catAx>
        <c:axId val="2420326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9162880"/>
        <c:crosses val="autoZero"/>
        <c:auto val="1"/>
        <c:lblAlgn val="ctr"/>
        <c:lblOffset val="100"/>
        <c:noMultiLvlLbl val="0"/>
      </c:catAx>
      <c:valAx>
        <c:axId val="21916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0326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ative_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Simulation"/>
      <sheetName val="Graph"/>
    </sheetNames>
    <sheetDataSet>
      <sheetData sheetId="0" refreshError="1">
        <row r="4">
          <cell r="C4">
            <v>3.5400000000000001E-2</v>
          </cell>
          <cell r="H4">
            <v>15.811388300841896</v>
          </cell>
        </row>
        <row r="5">
          <cell r="C5">
            <v>3.5400000000000001E-2</v>
          </cell>
        </row>
        <row r="6">
          <cell r="C6">
            <v>0.38769999999999999</v>
          </cell>
        </row>
        <row r="7">
          <cell r="C7">
            <v>-0.71650000000000003</v>
          </cell>
        </row>
        <row r="8">
          <cell r="C8">
            <v>1.3252999999999999</v>
          </cell>
        </row>
        <row r="9">
          <cell r="C9">
            <v>0</v>
          </cell>
        </row>
        <row r="10">
          <cell r="C10">
            <v>0</v>
          </cell>
        </row>
        <row r="12">
          <cell r="C12">
            <v>100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2"/>
  <sheetViews>
    <sheetView workbookViewId="0">
      <selection activeCell="H4" sqref="H4"/>
    </sheetView>
  </sheetViews>
  <sheetFormatPr defaultRowHeight="15" x14ac:dyDescent="0.25"/>
  <cols>
    <col min="3" max="3" width="7.7109375" bestFit="1" customWidth="1"/>
    <col min="4" max="4" width="9.28515625" customWidth="1"/>
  </cols>
  <sheetData>
    <row r="2" spans="2:8" ht="18.75" x14ac:dyDescent="0.3">
      <c r="B2" s="1" t="s">
        <v>0</v>
      </c>
      <c r="H2" s="2"/>
    </row>
    <row r="3" spans="2:8" ht="15.75" x14ac:dyDescent="0.25">
      <c r="B3" s="3" t="s">
        <v>1</v>
      </c>
      <c r="C3" s="4">
        <v>1.7399999999999999E-2</v>
      </c>
      <c r="D3" t="s">
        <v>2</v>
      </c>
    </row>
    <row r="4" spans="2:8" ht="15.75" x14ac:dyDescent="0.2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 x14ac:dyDescent="0.25">
      <c r="B5" s="3" t="s">
        <v>6</v>
      </c>
      <c r="C5" s="4">
        <f>C4</f>
        <v>3.5400000000000001E-2</v>
      </c>
    </row>
    <row r="6" spans="2:8" ht="15.75" x14ac:dyDescent="0.25">
      <c r="B6" s="3" t="s">
        <v>7</v>
      </c>
      <c r="C6" s="4">
        <v>0.38769999999999999</v>
      </c>
      <c r="D6" t="s">
        <v>8</v>
      </c>
    </row>
    <row r="7" spans="2:8" ht="15.75" x14ac:dyDescent="0.25">
      <c r="B7" s="5" t="s">
        <v>9</v>
      </c>
      <c r="C7" s="4">
        <v>-0.71650000000000003</v>
      </c>
    </row>
    <row r="8" spans="2:8" ht="15.75" x14ac:dyDescent="0.25">
      <c r="B8" s="3" t="s">
        <v>10</v>
      </c>
      <c r="C8" s="4">
        <v>1.3252999999999999</v>
      </c>
      <c r="D8" t="s">
        <v>11</v>
      </c>
    </row>
    <row r="9" spans="2:8" ht="15.75" x14ac:dyDescent="0.25">
      <c r="B9" s="3" t="s">
        <v>12</v>
      </c>
      <c r="C9" s="4">
        <v>0</v>
      </c>
    </row>
    <row r="10" spans="2:8" ht="15.75" x14ac:dyDescent="0.25">
      <c r="B10" s="3" t="s">
        <v>13</v>
      </c>
      <c r="C10" s="4">
        <v>0</v>
      </c>
    </row>
    <row r="11" spans="2:8" ht="15.75" x14ac:dyDescent="0.25">
      <c r="B11" s="3" t="s">
        <v>14</v>
      </c>
      <c r="C11" s="4">
        <v>100</v>
      </c>
    </row>
    <row r="12" spans="2:8" ht="15.75" x14ac:dyDescent="0.2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54"/>
  <sheetViews>
    <sheetView tabSelected="1" topLeftCell="I1" workbookViewId="0">
      <pane ySplit="3" topLeftCell="A4" activePane="bottomLeft" state="frozen"/>
      <selection pane="bottomLeft" activeCell="V5" sqref="V5"/>
    </sheetView>
  </sheetViews>
  <sheetFormatPr defaultRowHeight="15" x14ac:dyDescent="0.25"/>
  <cols>
    <col min="1" max="1" width="17.5703125" bestFit="1" customWidth="1"/>
    <col min="8" max="8" width="20.85546875" bestFit="1" customWidth="1"/>
    <col min="9" max="9" width="22" bestFit="1" customWidth="1"/>
    <col min="10" max="11" width="18.5703125" bestFit="1" customWidth="1"/>
    <col min="14" max="14" width="13.5703125" customWidth="1"/>
    <col min="15" max="15" width="9.42578125" customWidth="1"/>
    <col min="17" max="17" width="12.5703125" customWidth="1"/>
    <col min="22" max="22" width="12" customWidth="1"/>
  </cols>
  <sheetData>
    <row r="1" spans="1:30" x14ac:dyDescent="0.25">
      <c r="A1" s="8"/>
      <c r="B1" s="8"/>
      <c r="C1" s="8"/>
      <c r="G1" s="24" t="s">
        <v>16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</row>
    <row r="2" spans="1:30" x14ac:dyDescent="0.25">
      <c r="A2" s="8"/>
      <c r="B2" s="8"/>
      <c r="C2" s="8"/>
      <c r="G2" s="24" t="s">
        <v>17</v>
      </c>
      <c r="H2" s="24"/>
      <c r="I2" s="24"/>
      <c r="J2" s="24"/>
      <c r="K2" s="24"/>
      <c r="L2" s="24"/>
      <c r="M2" s="24"/>
      <c r="N2" s="24" t="s">
        <v>18</v>
      </c>
      <c r="O2" s="24"/>
      <c r="P2" s="24"/>
      <c r="Q2" s="9" t="s">
        <v>19</v>
      </c>
      <c r="R2" s="24" t="s">
        <v>20</v>
      </c>
      <c r="S2" s="24"/>
      <c r="T2" s="24"/>
      <c r="U2" s="24"/>
      <c r="V2" s="24" t="s">
        <v>21</v>
      </c>
      <c r="W2" s="24"/>
      <c r="X2" s="24"/>
      <c r="Y2" s="24"/>
      <c r="Z2" s="24"/>
      <c r="AA2" s="24" t="s">
        <v>22</v>
      </c>
      <c r="AB2" s="24"/>
      <c r="AC2" s="24"/>
      <c r="AD2" s="24"/>
    </row>
    <row r="3" spans="1:30" ht="45" x14ac:dyDescent="0.2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 x14ac:dyDescent="0.25">
      <c r="A4" s="11" t="s">
        <v>44</v>
      </c>
      <c r="B4" s="11" t="s">
        <v>45</v>
      </c>
      <c r="C4" s="13" t="s">
        <v>46</v>
      </c>
      <c r="F4">
        <f ca="1">Variance_T0*AnnualVarConvtr</f>
        <v>0.55972314584980309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 x14ac:dyDescent="0.25">
      <c r="A5" s="11" t="s">
        <v>45</v>
      </c>
      <c r="B5" s="18">
        <v>1</v>
      </c>
      <c r="C5" s="18"/>
      <c r="G5" s="19">
        <v>250</v>
      </c>
      <c r="H5" s="26">
        <f ca="1">RAND()</f>
        <v>0.81773464551625297</v>
      </c>
      <c r="I5" s="27">
        <f ca="1">RAND()</f>
        <v>0.38669023774183309</v>
      </c>
      <c r="J5" s="25">
        <f ca="1">SQRT(-2*LN(H5))*COS(2*PI()*I5)</f>
        <v>-0.4802819956612614</v>
      </c>
      <c r="K5" s="25">
        <f ca="1">SQRT(-2*LN(H5))*SIN(2*PI()*I5)</f>
        <v>0.41444418577851683</v>
      </c>
      <c r="L5" s="19">
        <f t="array" aca="1" ref="L5:M5" ca="1">MMULT(J5:K5,TRANSPOSE($B$10:$C$11))</f>
        <v>-0.4802819956612614</v>
      </c>
      <c r="M5" s="19">
        <f ca="1"/>
        <v>0.6332329639700558</v>
      </c>
      <c r="N5" s="20">
        <f>Variance_T0</f>
        <v>3.5400000000000001E-2</v>
      </c>
      <c r="O5" s="20">
        <v>0</v>
      </c>
      <c r="P5" s="19">
        <v>100</v>
      </c>
      <c r="Q5" s="19">
        <f>HCTrans(P5,Strike,RiskFreeRate,Dividend,Variance_T0*AnnualVarConvtr,(Simulation!G5)/250,0.5,Variance_Avg*AnnualVarConvtr,Lambda,SQRT(Simulation!N5),Rho,1,"Call")</f>
        <v>28.818569228825197</v>
      </c>
      <c r="R5" s="19">
        <f>BSvol(1,P5,Strike,Q5,Dividend,RiskFreeRate,G5/250)</f>
        <v>0.73884103340948371</v>
      </c>
      <c r="S5" s="19">
        <f ca="1">BSdelta(1,P5,Strike,R5/AnnualVarConvtr,Dividend,RiskFreeRate,G5/250)</f>
        <v>0.50932012123821535</v>
      </c>
      <c r="T5" s="19">
        <f ca="1">(S5)*P5</f>
        <v>50.932012123821536</v>
      </c>
      <c r="U5" s="19">
        <f ca="1">Q5-T5</f>
        <v>-22.113442894996339</v>
      </c>
      <c r="V5" s="21">
        <f>(O5-O4)^2</f>
        <v>0</v>
      </c>
      <c r="W5">
        <f>SQRT(V5)</f>
        <v>0</v>
      </c>
      <c r="X5">
        <v>0</v>
      </c>
      <c r="AA5">
        <f>$R$5</f>
        <v>0.73884103340948371</v>
      </c>
      <c r="AB5">
        <f t="shared" ref="AB5" si="0">BSdelta(1,P5,Strike,AA5/AnnualVarConvtr,Dividend,RiskFreeRate,G5/250)</f>
        <v>0.50932012123821535</v>
      </c>
      <c r="AC5">
        <f>AB5*P5</f>
        <v>50.932012123821536</v>
      </c>
      <c r="AD5">
        <f>Q5-AC5</f>
        <v>-22.113442894996339</v>
      </c>
    </row>
    <row r="6" spans="1:30" x14ac:dyDescent="0.25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1">RAND()</f>
        <v>1.412155138518445E-2</v>
      </c>
      <c r="I6" s="19">
        <f t="shared" ca="1" si="1"/>
        <v>0.33068094126626513</v>
      </c>
      <c r="J6" s="19">
        <f t="shared" ref="J6:J69" ca="1" si="2">SQRT(-2*LN(H6))*COS(2*PI()*I6)</f>
        <v>-1.4171323536336959</v>
      </c>
      <c r="K6" s="19">
        <f t="shared" ref="K6:K69" ca="1" si="3">SQRT(-2*LN(H6))*SIN(2*PI()*I6)</f>
        <v>2.5518311572761991</v>
      </c>
      <c r="L6" s="19">
        <f t="array" aca="1" ref="L6:M6" ca="1">MMULT(J6:K6,TRANSPOSE($B$10:$C$11))</f>
        <v>-1.4171323536336959</v>
      </c>
      <c r="M6" s="19">
        <f ca="1"/>
        <v>2.7954998059659482</v>
      </c>
      <c r="N6" s="20">
        <f t="shared" ref="N6" ca="1" si="4">GetVariance(N5,Variance_Avg,Lambda,Eta,M6,"Daily")</f>
        <v>4.9321290637021016E-2</v>
      </c>
      <c r="O6" s="20">
        <f t="shared" ref="O6:O69" ca="1" si="5">GetStockReturns(0,RiskFreeRate,N6,L6,"Daily")</f>
        <v>-1.9904791155149343E-2</v>
      </c>
      <c r="P6" s="19">
        <f ca="1">P5*EXP(O6)</f>
        <v>98.029200133292122</v>
      </c>
      <c r="Q6" s="19">
        <f ca="1">HCTrans(P6,Strike,RiskFreeRate,Dividend,Variance_T0*AnnualVarConvtr,(Simulation!G6)/250,0.5,Variance_Avg*AnnualVarConvtr,Lambda,SQRT(Simulation!N6),Rho,1,"Call")</f>
        <v>27.411143412991848</v>
      </c>
      <c r="R6" s="19">
        <f t="shared" ref="R6:R69" ca="1" si="6">BSvol(1,P6,Strike,Q6,Dividend,RiskFreeRate,G6/250)</f>
        <v>0.73630527029081794</v>
      </c>
      <c r="S6" s="19">
        <f t="shared" ref="S6:S69" ca="1" si="7">BSdelta(1,P6,Strike,R6/AnnualVarConvtr,Dividend,RiskFreeRate,G6/250)</f>
        <v>0.3427186572034413</v>
      </c>
      <c r="T6" s="19">
        <f ca="1">(S6-S5)*P6</f>
        <v>-16.331808260364333</v>
      </c>
      <c r="U6" s="19">
        <f ca="1">(Q6-Q5)+U5-T6</f>
        <v>-7.1890604504653552</v>
      </c>
      <c r="V6" s="21">
        <f ca="1">(O6-O5)^2</f>
        <v>3.9620071093011153E-4</v>
      </c>
      <c r="W6">
        <f ca="1">SQRT(V6)</f>
        <v>1.9904791155149343E-2</v>
      </c>
      <c r="X6" s="22">
        <f t="shared" ref="X6" ca="1" si="8">BSdelta(1,P6,Strike,W6*AnnualVarConvtr,Dividend,RiskFreeRate,G6/250)</f>
        <v>0.53731582982990789</v>
      </c>
      <c r="Y6" s="22">
        <f ca="1">X6*P6</f>
        <v>52.672641017181974</v>
      </c>
      <c r="Z6" s="22">
        <f ca="1">Q6-Y6</f>
        <v>-25.261497604190126</v>
      </c>
      <c r="AA6">
        <f t="shared" ref="AA6:AA69" si="9">$R$5</f>
        <v>0.73884103340948371</v>
      </c>
      <c r="AB6">
        <f t="shared" ref="AB6" ca="1" si="10">BSdelta(1,P6,Strike,AA6/AnnualVarConvtr,Dividend,RiskFreeRate,G6/250)</f>
        <v>0.34328847996422401</v>
      </c>
      <c r="AC6">
        <f ca="1">(AB6-AB5)*P6</f>
        <v>-16.275948990907061</v>
      </c>
      <c r="AD6">
        <f ca="1">(Q6-Q5)+AD5-AC6</f>
        <v>-7.2449197199226276</v>
      </c>
    </row>
    <row r="7" spans="1:30" x14ac:dyDescent="0.25">
      <c r="G7" s="19">
        <v>248</v>
      </c>
      <c r="H7" s="19">
        <f t="shared" ca="1" si="1"/>
        <v>6.8411729243326391E-2</v>
      </c>
      <c r="I7" s="19">
        <f t="shared" ca="1" si="1"/>
        <v>0.35032262624854282</v>
      </c>
      <c r="J7" s="19">
        <f t="shared" ca="1" si="2"/>
        <v>-1.3651780457234399</v>
      </c>
      <c r="K7" s="19">
        <f t="shared" ca="1" si="3"/>
        <v>1.871018674747235</v>
      </c>
      <c r="L7" s="19">
        <f t="array" aca="1" ref="L7:M7" ca="1">MMULT(J7:K7,TRANSPOSE($B$10:$C$11))</f>
        <v>-1.3651780457234399</v>
      </c>
      <c r="M7" s="19">
        <f ca="1"/>
        <v>2.2833485449149551</v>
      </c>
      <c r="N7" s="20">
        <f t="shared" ref="N7" ca="1" si="11">GetVariance(N6,Variance_Avg,Lambda,Eta,M7,"Daily")</f>
        <v>6.2314979683537719E-2</v>
      </c>
      <c r="O7" s="20">
        <f t="shared" ca="1" si="5"/>
        <v>-2.1553386658802003E-2</v>
      </c>
      <c r="P7" s="19">
        <f t="shared" ref="P7:P70" ca="1" si="12">P6*EXP(O7)</f>
        <v>95.93894582668689</v>
      </c>
      <c r="Q7" s="19">
        <f ca="1">HCTrans(P7,Strike,RiskFreeRate,Dividend,Variance_T0*AnnualVarConvtr,(Simulation!G7)/250,0.5,Variance_Avg*AnnualVarConvtr,Lambda,SQRT(Simulation!N7),Rho,1,"Call")</f>
        <v>25.955744304519797</v>
      </c>
      <c r="R7" s="19">
        <f t="shared" ca="1" si="6"/>
        <v>0.73384160217767747</v>
      </c>
      <c r="S7" s="19">
        <f t="shared" ca="1" si="7"/>
        <v>0.19112951674351392</v>
      </c>
      <c r="T7" s="19">
        <f t="shared" ref="T7:T70" ca="1" si="13">(S7-S6)*P7</f>
        <v>-14.543302334499003</v>
      </c>
      <c r="U7" s="19">
        <f t="shared" ref="U7:U70" ca="1" si="14">(Q7-Q6)+U6-T7</f>
        <v>5.8988427755615973</v>
      </c>
      <c r="V7" s="21">
        <f t="shared" ref="V7:V70" ca="1" si="15">(O7-O6)^2</f>
        <v>2.7178671346637692E-6</v>
      </c>
      <c r="W7">
        <f t="shared" ref="W7:W70" ca="1" si="16">SQRT(V7)</f>
        <v>1.6485955036526605E-3</v>
      </c>
      <c r="X7" s="22">
        <f t="shared" ref="X7" ca="1" si="17">BSdelta(1,P7,Strike,W7*AnnualVarConvtr,Dividend,RiskFreeRate,G7/250)</f>
        <v>5.6609205224715936E-2</v>
      </c>
      <c r="Y7" s="22">
        <f ca="1">(X7-X6)*P7</f>
        <v>-46.118486816527025</v>
      </c>
      <c r="Z7" s="22">
        <f ca="1">(Q7-Q6)+Z6-Y7</f>
        <v>19.401590103864848</v>
      </c>
      <c r="AA7">
        <f t="shared" si="9"/>
        <v>0.73884103340948371</v>
      </c>
      <c r="AB7">
        <f t="shared" ref="AB7" ca="1" si="18">BSdelta(1,P7,Strike,AA7/AnnualVarConvtr,Dividend,RiskFreeRate,G7/250)</f>
        <v>0.19282983458964348</v>
      </c>
      <c r="AC7">
        <f t="shared" ref="AC7:AC70" ca="1" si="19">(AB7-AB6)*P7</f>
        <v>-14.434843827748576</v>
      </c>
      <c r="AD7">
        <f t="shared" ref="AD7:AD70" ca="1" si="20">(Q7-Q6)+AD6-AC7</f>
        <v>5.7345249993538978</v>
      </c>
    </row>
    <row r="8" spans="1:30" x14ac:dyDescent="0.25">
      <c r="G8" s="19">
        <v>247</v>
      </c>
      <c r="H8" s="19">
        <f t="shared" ca="1" si="1"/>
        <v>0.2682039484887796</v>
      </c>
      <c r="I8" s="19">
        <f t="shared" ca="1" si="1"/>
        <v>0.64828296193868784</v>
      </c>
      <c r="J8" s="19">
        <f t="shared" ca="1" si="2"/>
        <v>-0.96769679406152764</v>
      </c>
      <c r="K8" s="19">
        <f t="shared" ca="1" si="3"/>
        <v>-1.3021436506346475</v>
      </c>
      <c r="L8" s="19">
        <f t="array" aca="1" ref="L8:M8" ca="1">MMULT(J8:K8,TRANSPOSE($B$10:$C$11))</f>
        <v>-0.96769679406152764</v>
      </c>
      <c r="M8" s="19">
        <f ca="1"/>
        <v>-0.21500384880406698</v>
      </c>
      <c r="N8" s="20">
        <f t="shared" ref="N8" ca="1" si="21">GetVariance(N7,Variance_Avg,Lambda,Eta,M8,"Daily")</f>
        <v>6.0712897605412104E-2</v>
      </c>
      <c r="O8" s="20">
        <f t="shared" ca="1" si="5"/>
        <v>-1.5080292950722414E-2</v>
      </c>
      <c r="P8" s="19">
        <f t="shared" ca="1" si="12"/>
        <v>94.503012776416071</v>
      </c>
      <c r="Q8" s="19">
        <f ca="1">HCTrans(P8,Strike,RiskFreeRate,Dividend,Variance_T0*AnnualVarConvtr,(Simulation!G8)/250,0.5,Variance_Avg*AnnualVarConvtr,Lambda,SQRT(Simulation!N8),Rho,1,"Call")</f>
        <v>25.002668879661371</v>
      </c>
      <c r="R8" s="19">
        <f t="shared" ca="1" si="6"/>
        <v>0.73347186849009183</v>
      </c>
      <c r="S8" s="19">
        <f t="shared" ca="1" si="7"/>
        <v>0.11446509045860456</v>
      </c>
      <c r="T8" s="19">
        <f t="shared" ca="1" si="13"/>
        <v>-7.2450192566993969</v>
      </c>
      <c r="U8" s="19">
        <f t="shared" ca="1" si="14"/>
        <v>12.190786607402568</v>
      </c>
      <c r="V8" s="21">
        <f t="shared" ca="1" si="15"/>
        <v>4.1900942153579561E-5</v>
      </c>
      <c r="W8">
        <f t="shared" ca="1" si="16"/>
        <v>6.473093708079589E-3</v>
      </c>
      <c r="X8" s="22">
        <f t="shared" ref="X8" ca="1" si="22">BSdelta(1,P8,Strike,W8*AnnualVarConvtr,Dividend,RiskFreeRate,G8/250)</f>
        <v>0.30681837643222798</v>
      </c>
      <c r="Y8" s="22">
        <f t="shared" ref="Y8:Y71" ca="1" si="23">(X8-X7)*P8</f>
        <v>23.64552050339999</v>
      </c>
      <c r="Z8" s="22">
        <f t="shared" ref="Z8:Z71" ca="1" si="24">(Q8-Q7)+Z7-Y8</f>
        <v>-5.1970058243935675</v>
      </c>
      <c r="AA8">
        <f t="shared" si="9"/>
        <v>0.73884103340948371</v>
      </c>
      <c r="AB8">
        <f t="shared" ref="AB8" ca="1" si="25">BSdelta(1,P8,Strike,AA8/AnnualVarConvtr,Dividend,RiskFreeRate,G8/250)</f>
        <v>0.11623118908651031</v>
      </c>
      <c r="AC8">
        <f t="shared" ca="1" si="19"/>
        <v>-7.2388027746387591</v>
      </c>
      <c r="AD8">
        <f t="shared" ca="1" si="20"/>
        <v>12.020252349134232</v>
      </c>
    </row>
    <row r="9" spans="1:30" x14ac:dyDescent="0.25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1"/>
        <v>0.16317543805218704</v>
      </c>
      <c r="I9" s="19">
        <f t="shared" ca="1" si="1"/>
        <v>0.42809167720366215</v>
      </c>
      <c r="J9" s="19">
        <f t="shared" ca="1" si="2"/>
        <v>-1.7130985561068524</v>
      </c>
      <c r="K9" s="19">
        <f t="shared" ca="1" si="3"/>
        <v>0.83135554180173521</v>
      </c>
      <c r="L9" s="19">
        <f t="array" aca="1" ref="L9:M9" ca="1">MMULT(J9:K9,TRANSPOSE($B$10:$C$11))</f>
        <v>-1.7130985561068524</v>
      </c>
      <c r="M9" s="19">
        <f ca="1"/>
        <v>1.8073780097229184</v>
      </c>
      <c r="N9" s="20">
        <f t="shared" ref="N9" ca="1" si="26">GetVariance(N8,Variance_Avg,Lambda,Eta,M9,"Daily")</f>
        <v>7.1839221491038607E-2</v>
      </c>
      <c r="O9" s="20">
        <f t="shared" ca="1" si="5"/>
        <v>-2.9039768729784449E-2</v>
      </c>
      <c r="P9" s="19">
        <f t="shared" ca="1" si="12"/>
        <v>91.7981317850181</v>
      </c>
      <c r="Q9" s="19">
        <f ca="1">HCTrans(P9,Strike,RiskFreeRate,Dividend,Variance_T0*AnnualVarConvtr,(Simulation!G9)/250,0.5,Variance_Avg*AnnualVarConvtr,Lambda,SQRT(Simulation!N9),Rho,1,"Call")</f>
        <v>23.219434252356692</v>
      </c>
      <c r="R9" s="19">
        <f t="shared" ca="1" si="6"/>
        <v>0.73082134062684112</v>
      </c>
      <c r="S9" s="19">
        <f t="shared" ca="1" si="7"/>
        <v>3.2623618212348063E-2</v>
      </c>
      <c r="T9" s="19">
        <f t="shared" ca="1" si="13"/>
        <v>-7.5128942547417559</v>
      </c>
      <c r="U9" s="19">
        <f t="shared" ca="1" si="14"/>
        <v>17.920446234839645</v>
      </c>
      <c r="V9" s="21">
        <f t="shared" ca="1" si="15"/>
        <v>1.9486696402621958E-4</v>
      </c>
      <c r="W9">
        <f t="shared" ca="1" si="16"/>
        <v>1.3959475779062034E-2</v>
      </c>
      <c r="X9" s="22">
        <f t="shared" ref="X9" ca="1" si="27">BSdelta(1,P9,Strike,W9*AnnualVarConvtr,Dividend,RiskFreeRate,G9/250)</f>
        <v>0.38920487660158271</v>
      </c>
      <c r="Y9" s="22">
        <f t="shared" ca="1" si="23"/>
        <v>7.5629267998528409</v>
      </c>
      <c r="Z9" s="22">
        <f t="shared" ca="1" si="24"/>
        <v>-14.543167251551088</v>
      </c>
      <c r="AA9">
        <f t="shared" si="9"/>
        <v>0.73884103340948371</v>
      </c>
      <c r="AB9">
        <f t="shared" ref="AB9" ca="1" si="28">BSdelta(1,P9,Strike,AA9/AnnualVarConvtr,Dividend,RiskFreeRate,G9/250)</f>
        <v>3.414797139025337E-2</v>
      </c>
      <c r="AC9">
        <f t="shared" ca="1" si="19"/>
        <v>-7.5350860354193241</v>
      </c>
      <c r="AD9">
        <f t="shared" ca="1" si="20"/>
        <v>17.772103757248878</v>
      </c>
    </row>
    <row r="10" spans="1:30" x14ac:dyDescent="0.25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1"/>
        <v>0.84155183504571418</v>
      </c>
      <c r="I10" s="19">
        <f t="shared" ca="1" si="1"/>
        <v>0.52398141099098983</v>
      </c>
      <c r="J10" s="19">
        <f t="shared" ca="1" si="2"/>
        <v>-0.58072462577941009</v>
      </c>
      <c r="K10" s="19">
        <f t="shared" ca="1" si="3"/>
        <v>-8.8171688930546346E-2</v>
      </c>
      <c r="L10" s="19">
        <f t="array" aca="1" ref="L10:M10" ca="1">MMULT(J10:K10,TRANSPOSE($B$10:$C$11))</f>
        <v>-0.58072462577941009</v>
      </c>
      <c r="M10" s="19">
        <f ca="1"/>
        <v>0.35458176235161776</v>
      </c>
      <c r="N10" s="20">
        <f t="shared" ref="N10:N73" ca="1" si="29">GetVariance(N9,Variance_Avg,Lambda,Eta,M10,"Daily")</f>
        <v>7.3844996877595478E-2</v>
      </c>
      <c r="O10" s="20">
        <f t="shared" ca="1" si="5"/>
        <v>-9.9806948276971209E-3</v>
      </c>
      <c r="P10" s="19">
        <f t="shared" ca="1" si="12"/>
        <v>90.886479674455387</v>
      </c>
      <c r="Q10" s="19">
        <f ca="1">HCTrans(P10,Strike,RiskFreeRate,Dividend,Variance_T0*AnnualVarConvtr,(Simulation!G10)/250,0.5,Variance_Avg*AnnualVarConvtr,Lambda,SQRT(Simulation!N10),Rho,1,"Call")</f>
        <v>22.602343270566251</v>
      </c>
      <c r="R10" s="19">
        <f t="shared" ca="1" si="6"/>
        <v>0.73014659092715284</v>
      </c>
      <c r="S10" s="19">
        <f t="shared" ca="1" si="7"/>
        <v>1.9344053800447018E-2</v>
      </c>
      <c r="T10" s="19">
        <f t="shared" ca="1" si="13"/>
        <v>-1.2069328610078653</v>
      </c>
      <c r="U10" s="19">
        <f t="shared" ca="1" si="14"/>
        <v>18.510288114057069</v>
      </c>
      <c r="V10" s="21">
        <f t="shared" ca="1" si="15"/>
        <v>3.6324829800522628E-4</v>
      </c>
      <c r="W10">
        <f t="shared" ca="1" si="16"/>
        <v>1.9059073902087328E-2</v>
      </c>
      <c r="X10" s="22">
        <f t="shared" ref="X10" ca="1" si="30">BSdelta(1,P10,Strike,W10*AnnualVarConvtr,Dividend,RiskFreeRate,G10/250)</f>
        <v>0.43204861469482958</v>
      </c>
      <c r="Y10" s="22">
        <f t="shared" ca="1" si="23"/>
        <v>3.8939165313895723</v>
      </c>
      <c r="Z10" s="22">
        <f t="shared" ca="1" si="24"/>
        <v>-19.054174764731101</v>
      </c>
      <c r="AA10">
        <f t="shared" si="9"/>
        <v>0.73884103340948371</v>
      </c>
      <c r="AB10">
        <f t="shared" ref="AB10" ca="1" si="31">BSdelta(1,P10,Strike,AA10/AnnualVarConvtr,Dividend,RiskFreeRate,G10/250)</f>
        <v>2.0545123073345824E-2</v>
      </c>
      <c r="AC10">
        <f t="shared" ca="1" si="19"/>
        <v>-1.2363149970693175</v>
      </c>
      <c r="AD10">
        <f t="shared" ca="1" si="20"/>
        <v>18.391327772527756</v>
      </c>
    </row>
    <row r="11" spans="1:30" x14ac:dyDescent="0.25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1"/>
        <v>0.44214647650534589</v>
      </c>
      <c r="I11" s="19">
        <f t="shared" ca="1" si="1"/>
        <v>0.82425687644538881</v>
      </c>
      <c r="J11" s="19">
        <f t="shared" ca="1" si="2"/>
        <v>0.57469087188064805</v>
      </c>
      <c r="K11" s="19">
        <f t="shared" ca="1" si="3"/>
        <v>-1.1410339678411201</v>
      </c>
      <c r="L11" s="19">
        <f t="array" aca="1" ref="L11:M11" ca="1">MMULT(J11:K11,TRANSPOSE($B$10:$C$11))</f>
        <v>0.57469087188064805</v>
      </c>
      <c r="M11" s="19">
        <f ca="1"/>
        <v>-1.2077365764454742</v>
      </c>
      <c r="N11" s="20">
        <f t="shared" ca="1" si="29"/>
        <v>6.566267422394699E-2</v>
      </c>
      <c r="O11" s="20">
        <f t="shared" ca="1" si="5"/>
        <v>9.3137285840176245E-3</v>
      </c>
      <c r="P11" s="19">
        <f t="shared" ca="1" si="12"/>
        <v>91.736925943268744</v>
      </c>
      <c r="Q11" s="19">
        <f ca="1">HCTrans(P11,Strike,RiskFreeRate,Dividend,Variance_T0*AnnualVarConvtr,(Simulation!G11)/250,0.5,Variance_Avg*AnnualVarConvtr,Lambda,SQRT(Simulation!N11),Rho,1,"Call")</f>
        <v>23.108041498365552</v>
      </c>
      <c r="R11" s="19">
        <f t="shared" ca="1" si="6"/>
        <v>0.73167708616073235</v>
      </c>
      <c r="S11" s="19">
        <f t="shared" ca="1" si="7"/>
        <v>3.1184862440226536E-2</v>
      </c>
      <c r="T11" s="19">
        <f t="shared" ca="1" si="13"/>
        <v>1.0862393852958705</v>
      </c>
      <c r="U11" s="19">
        <f t="shared" ca="1" si="14"/>
        <v>17.9297469565605</v>
      </c>
      <c r="V11" s="21">
        <f t="shared" ca="1" si="15"/>
        <v>3.7227477479052603E-4</v>
      </c>
      <c r="W11">
        <f t="shared" ca="1" si="16"/>
        <v>1.9294423411714744E-2</v>
      </c>
      <c r="X11" s="22">
        <f t="shared" ref="X11" ca="1" si="32">BSdelta(1,P11,Strike,W11*AnnualVarConvtr,Dividend,RiskFreeRate,G11/250)</f>
        <v>0.44612200446775507</v>
      </c>
      <c r="Y11" s="22">
        <f t="shared" ca="1" si="23"/>
        <v>1.2910495153696218</v>
      </c>
      <c r="Z11" s="22">
        <f t="shared" ca="1" si="24"/>
        <v>-19.839526052301423</v>
      </c>
      <c r="AA11">
        <f t="shared" si="9"/>
        <v>0.73884103340948371</v>
      </c>
      <c r="AB11">
        <f t="shared" ref="AB11" ca="1" si="33">BSdelta(1,P11,Strike,AA11/AnnualVarConvtr,Dividend,RiskFreeRate,G11/250)</f>
        <v>3.2508419515781685E-2</v>
      </c>
      <c r="AC11">
        <f t="shared" ca="1" si="19"/>
        <v>1.0974760397771091</v>
      </c>
      <c r="AD11">
        <f t="shared" ca="1" si="20"/>
        <v>17.799549960549946</v>
      </c>
    </row>
    <row r="12" spans="1:30" x14ac:dyDescent="0.25">
      <c r="G12" s="19">
        <v>243</v>
      </c>
      <c r="H12" s="19">
        <f t="shared" ca="1" si="1"/>
        <v>0.47679203800505532</v>
      </c>
      <c r="I12" s="19">
        <f t="shared" ca="1" si="1"/>
        <v>0.39645254898549587</v>
      </c>
      <c r="J12" s="19">
        <f t="shared" ca="1" si="2"/>
        <v>-0.96847136664847389</v>
      </c>
      <c r="K12" s="19">
        <f t="shared" ca="1" si="3"/>
        <v>0.73716547420011902</v>
      </c>
      <c r="L12" s="19">
        <f t="array" aca="1" ref="L12:M12" ca="1">MMULT(J12:K12,TRANSPOSE($B$10:$C$11))</f>
        <v>-0.96847136664847389</v>
      </c>
      <c r="M12" s="19">
        <f ca="1"/>
        <v>1.2081468531849444</v>
      </c>
      <c r="N12" s="20">
        <f t="shared" ca="1" si="29"/>
        <v>7.3162433279755731E-2</v>
      </c>
      <c r="O12" s="20">
        <f t="shared" ca="1" si="5"/>
        <v>-1.6567647711608621E-2</v>
      </c>
      <c r="P12" s="19">
        <f t="shared" ca="1" si="12"/>
        <v>90.229581923145119</v>
      </c>
      <c r="Q12" s="19">
        <f ca="1">HCTrans(P12,Strike,RiskFreeRate,Dividend,Variance_T0*AnnualVarConvtr,(Simulation!G12)/250,0.5,Variance_Avg*AnnualVarConvtr,Lambda,SQRT(Simulation!N12),Rho,1,"Call")</f>
        <v>22.105736502526625</v>
      </c>
      <c r="R12" s="19">
        <f t="shared" ca="1" si="6"/>
        <v>0.72997402919027021</v>
      </c>
      <c r="S12" s="19">
        <f t="shared" ca="1" si="7"/>
        <v>1.2674675053762364E-2</v>
      </c>
      <c r="T12" s="19">
        <f t="shared" ca="1" si="13"/>
        <v>-1.6701664691997362</v>
      </c>
      <c r="U12" s="19">
        <f t="shared" ca="1" si="14"/>
        <v>18.597608429921308</v>
      </c>
      <c r="V12" s="21">
        <f t="shared" ca="1" si="15"/>
        <v>6.6984563895580403E-4</v>
      </c>
      <c r="W12">
        <f t="shared" ca="1" si="16"/>
        <v>2.5881376295626243E-2</v>
      </c>
      <c r="X12" s="22">
        <f t="shared" ref="X12" ca="1" si="34">BSdelta(1,P12,Strike,W12*AnnualVarConvtr,Dividend,RiskFreeRate,G12/250)</f>
        <v>0.47882278350243124</v>
      </c>
      <c r="Y12" s="22">
        <f t="shared" ca="1" si="23"/>
        <v>2.9505776208599794</v>
      </c>
      <c r="Z12" s="22">
        <f t="shared" ca="1" si="24"/>
        <v>-23.792408669000331</v>
      </c>
      <c r="AA12">
        <f t="shared" si="9"/>
        <v>0.73884103340948371</v>
      </c>
      <c r="AB12">
        <f t="shared" ref="AB12" ca="1" si="35">BSdelta(1,P12,Strike,AA12/AnnualVarConvtr,Dividend,RiskFreeRate,G12/250)</f>
        <v>1.3599421316551912E-2</v>
      </c>
      <c r="AC12">
        <f t="shared" ca="1" si="19"/>
        <v>-1.7061510021020065</v>
      </c>
      <c r="AD12">
        <f t="shared" ca="1" si="20"/>
        <v>18.503395966813027</v>
      </c>
    </row>
    <row r="13" spans="1:30" x14ac:dyDescent="0.25">
      <c r="G13" s="19">
        <v>242</v>
      </c>
      <c r="H13" s="19">
        <f t="shared" ca="1" si="1"/>
        <v>0.18926515430227253</v>
      </c>
      <c r="I13" s="19">
        <f t="shared" ca="1" si="1"/>
        <v>0.13210104676011991</v>
      </c>
      <c r="J13" s="19">
        <f t="shared" ca="1" si="2"/>
        <v>1.2313664143873371</v>
      </c>
      <c r="K13" s="19">
        <f t="shared" ca="1" si="3"/>
        <v>1.3464580877669072</v>
      </c>
      <c r="L13" s="19">
        <f t="array" aca="1" ref="L13:M13" ca="1">MMULT(J13:K13,TRANSPOSE($B$10:$C$11))</f>
        <v>1.2313664143873371</v>
      </c>
      <c r="M13" s="19">
        <f ca="1"/>
        <v>5.6997745143953282E-2</v>
      </c>
      <c r="N13" s="20">
        <f t="shared" ca="1" si="29"/>
        <v>7.3190455211931876E-2</v>
      </c>
      <c r="O13" s="20">
        <f t="shared" ca="1" si="5"/>
        <v>2.1069029140525233E-2</v>
      </c>
      <c r="P13" s="19">
        <f t="shared" ca="1" si="12"/>
        <v>92.150799640903386</v>
      </c>
      <c r="Q13" s="19">
        <f ca="1">HCTrans(P13,Strike,RiskFreeRate,Dividend,Variance_T0*AnnualVarConvtr,(Simulation!G13)/250,0.5,Variance_Avg*AnnualVarConvtr,Lambda,SQRT(Simulation!N13),Rho,1,"Call")</f>
        <v>23.222926792726298</v>
      </c>
      <c r="R13" s="19">
        <f t="shared" ca="1" si="6"/>
        <v>0.73092777337156967</v>
      </c>
      <c r="S13" s="19">
        <f t="shared" ca="1" si="7"/>
        <v>3.7988030983396745E-2</v>
      </c>
      <c r="T13" s="19">
        <f t="shared" ca="1" si="13"/>
        <v>2.3326459905106112</v>
      </c>
      <c r="U13" s="19">
        <f t="shared" ca="1" si="14"/>
        <v>17.382152729610372</v>
      </c>
      <c r="V13" s="21">
        <f t="shared" ca="1" si="15"/>
        <v>1.4165194444719486E-3</v>
      </c>
      <c r="W13">
        <f t="shared" ca="1" si="16"/>
        <v>3.7636676852133857E-2</v>
      </c>
      <c r="X13" s="22">
        <f t="shared" ref="X13" ca="1" si="36">BSdelta(1,P13,Strike,W13*AnnualVarConvtr,Dividend,RiskFreeRate,G13/250)</f>
        <v>0.56085148371665028</v>
      </c>
      <c r="Y13" s="22">
        <f t="shared" ca="1" si="23"/>
        <v>7.5590103182442272</v>
      </c>
      <c r="Z13" s="22">
        <f t="shared" ca="1" si="24"/>
        <v>-30.234228697044884</v>
      </c>
      <c r="AA13">
        <f t="shared" si="9"/>
        <v>0.73884103340948371</v>
      </c>
      <c r="AB13">
        <f t="shared" ref="AB13" ca="1" si="37">BSdelta(1,P13,Strike,AA13/AnnualVarConvtr,Dividend,RiskFreeRate,G13/250)</f>
        <v>3.9626990570574575E-2</v>
      </c>
      <c r="AC13">
        <f t="shared" ca="1" si="19"/>
        <v>2.3984613194671796</v>
      </c>
      <c r="AD13">
        <f t="shared" ca="1" si="20"/>
        <v>17.222124937545519</v>
      </c>
    </row>
    <row r="14" spans="1:30" x14ac:dyDescent="0.25">
      <c r="A14" s="1" t="s">
        <v>48</v>
      </c>
      <c r="B14">
        <f ca="1">CORREL(L5:L254,M5:M254)</f>
        <v>-0.77407431969888774</v>
      </c>
      <c r="G14" s="19">
        <v>241</v>
      </c>
      <c r="H14" s="19">
        <f t="shared" ca="1" si="1"/>
        <v>9.3049886048095054E-2</v>
      </c>
      <c r="I14" s="19">
        <f t="shared" ca="1" si="1"/>
        <v>2.7007892620678486E-3</v>
      </c>
      <c r="J14" s="19">
        <f t="shared" ca="1" si="2"/>
        <v>2.1789611178738606</v>
      </c>
      <c r="K14" s="19">
        <f t="shared" ca="1" si="3"/>
        <v>3.6979559826255053E-2</v>
      </c>
      <c r="L14" s="19">
        <f t="array" aca="1" ref="L14:M14" ca="1">MMULT(J14:K14,TRANSPOSE($B$10:$C$11))</f>
        <v>2.1789611178738606</v>
      </c>
      <c r="M14" s="19">
        <f ca="1"/>
        <v>-1.5354291773785018</v>
      </c>
      <c r="N14" s="20">
        <f t="shared" ca="1" si="29"/>
        <v>6.3008663739769669E-2</v>
      </c>
      <c r="O14" s="20">
        <f t="shared" ca="1" si="5"/>
        <v>3.4592313722882503E-2</v>
      </c>
      <c r="P14" s="19">
        <f t="shared" ca="1" si="12"/>
        <v>95.394285419954713</v>
      </c>
      <c r="Q14" s="19">
        <f ca="1">HCTrans(P14,Strike,RiskFreeRate,Dividend,Variance_T0*AnnualVarConvtr,(Simulation!G14)/250,0.5,Variance_Avg*AnnualVarConvtr,Lambda,SQRT(Simulation!N14),Rho,1,"Call")</f>
        <v>25.235797361258975</v>
      </c>
      <c r="R14" s="19">
        <f t="shared" ca="1" si="6"/>
        <v>0.73372480823687347</v>
      </c>
      <c r="S14" s="19">
        <f t="shared" ca="1" si="7"/>
        <v>0.15574312494273962</v>
      </c>
      <c r="T14" s="19">
        <f t="shared" ca="1" si="13"/>
        <v>11.233163042811139</v>
      </c>
      <c r="U14" s="19">
        <f t="shared" ca="1" si="14"/>
        <v>8.1618602553319093</v>
      </c>
      <c r="V14" s="21">
        <f t="shared" ca="1" si="15"/>
        <v>1.8287922589542186E-4</v>
      </c>
      <c r="W14">
        <f t="shared" ca="1" si="16"/>
        <v>1.352328458235727E-2</v>
      </c>
      <c r="X14" s="22">
        <f t="shared" ref="X14" ca="1" si="38">BSdelta(1,P14,Strike,W14*AnnualVarConvtr,Dividend,RiskFreeRate,G14/250)</f>
        <v>0.45238869107092533</v>
      </c>
      <c r="Y14" s="22">
        <f t="shared" ca="1" si="23"/>
        <v>-10.34673059909165</v>
      </c>
      <c r="Z14" s="22">
        <f t="shared" ca="1" si="24"/>
        <v>-17.874627529420557</v>
      </c>
      <c r="AA14">
        <f t="shared" si="9"/>
        <v>0.73884103340948371</v>
      </c>
      <c r="AB14">
        <f t="shared" ref="AB14" ca="1" si="39">BSdelta(1,P14,Strike,AA14/AnnualVarConvtr,Dividend,RiskFreeRate,G14/250)</f>
        <v>0.15750061767638671</v>
      </c>
      <c r="AC14">
        <f t="shared" ca="1" si="19"/>
        <v>11.244470427617152</v>
      </c>
      <c r="AD14">
        <f t="shared" ca="1" si="20"/>
        <v>7.9905250784610438</v>
      </c>
    </row>
    <row r="15" spans="1:30" x14ac:dyDescent="0.25">
      <c r="G15" s="19">
        <v>240</v>
      </c>
      <c r="H15" s="19">
        <f t="shared" ca="1" si="1"/>
        <v>0.16611621524753473</v>
      </c>
      <c r="I15" s="19">
        <f t="shared" ca="1" si="1"/>
        <v>0.15511594235151371</v>
      </c>
      <c r="J15" s="19">
        <f t="shared" ca="1" si="2"/>
        <v>1.0638741302465839</v>
      </c>
      <c r="K15" s="19">
        <f t="shared" ca="1" si="3"/>
        <v>1.5678989516030652</v>
      </c>
      <c r="L15" s="19">
        <f t="array" aca="1" ref="L15:M15" ca="1">MMULT(J15:K15,TRANSPOSE($B$10:$C$11))</f>
        <v>1.0638741302465839</v>
      </c>
      <c r="M15" s="19">
        <f ca="1"/>
        <v>0.3314802548374185</v>
      </c>
      <c r="N15" s="20">
        <f t="shared" ca="1" si="29"/>
        <v>6.4768760461058311E-2</v>
      </c>
      <c r="O15" s="20">
        <f t="shared" ca="1" si="5"/>
        <v>1.712391395709258E-2</v>
      </c>
      <c r="P15" s="19">
        <f t="shared" ca="1" si="12"/>
        <v>97.041875289244459</v>
      </c>
      <c r="Q15" s="19">
        <f ca="1">HCTrans(P15,Strike,RiskFreeRate,Dividend,Variance_T0*AnnualVarConvtr,(Simulation!G15)/250,0.5,Variance_Avg*AnnualVarConvtr,Lambda,SQRT(Simulation!N15),Rho,1,"Call")</f>
        <v>26.221791444690638</v>
      </c>
      <c r="R15" s="19">
        <f t="shared" ca="1" si="6"/>
        <v>0.73424651395539109</v>
      </c>
      <c r="S15" s="19">
        <f t="shared" ca="1" si="7"/>
        <v>0.26199621566993836</v>
      </c>
      <c r="T15" s="19">
        <f t="shared" ca="1" si="13"/>
        <v>10.310999179445597</v>
      </c>
      <c r="U15" s="19">
        <f t="shared" ca="1" si="14"/>
        <v>-1.1631448406820244</v>
      </c>
      <c r="V15" s="21">
        <f t="shared" ca="1" si="15"/>
        <v>3.0514499037744946E-4</v>
      </c>
      <c r="W15">
        <f t="shared" ca="1" si="16"/>
        <v>1.7468399765789924E-2</v>
      </c>
      <c r="X15" s="22">
        <f t="shared" ref="X15" ca="1" si="40">BSdelta(1,P15,Strike,W15*AnnualVarConvtr,Dividend,RiskFreeRate,G15/250)</f>
        <v>0.50971361272367099</v>
      </c>
      <c r="Y15" s="22">
        <f t="shared" ca="1" si="23"/>
        <v>5.5629178979914542</v>
      </c>
      <c r="Z15" s="22">
        <f t="shared" ca="1" si="24"/>
        <v>-22.451551343980348</v>
      </c>
      <c r="AA15">
        <f t="shared" si="9"/>
        <v>0.73884103340948371</v>
      </c>
      <c r="AB15">
        <f t="shared" ref="AB15" ca="1" si="41">BSdelta(1,P15,Strike,AA15/AnnualVarConvtr,Dividend,RiskFreeRate,G15/250)</f>
        <v>0.26338086547424155</v>
      </c>
      <c r="AC15">
        <f t="shared" ca="1" si="19"/>
        <v>10.274817802393731</v>
      </c>
      <c r="AD15">
        <f t="shared" ca="1" si="20"/>
        <v>-1.2982986405010237</v>
      </c>
    </row>
    <row r="16" spans="1:30" x14ac:dyDescent="0.25">
      <c r="B16">
        <f t="array" ref="B16:C17">TRANSPOSE(B10:C11)</f>
        <v>1</v>
      </c>
      <c r="C16">
        <v>-0.71650000000000003</v>
      </c>
      <c r="G16" s="19">
        <v>239</v>
      </c>
      <c r="H16" s="19">
        <f t="shared" ca="1" si="1"/>
        <v>0.12807756010167282</v>
      </c>
      <c r="I16" s="19">
        <f t="shared" ca="1" si="1"/>
        <v>0.45567280702425217</v>
      </c>
      <c r="J16" s="19">
        <f t="shared" ca="1" si="2"/>
        <v>-1.9492465143876523</v>
      </c>
      <c r="K16" s="19">
        <f t="shared" ca="1" si="3"/>
        <v>0.55738366202908785</v>
      </c>
      <c r="L16" s="19">
        <f t="array" aca="1" ref="L16:M16" ca="1">MMULT(J16:K16,TRANSPOSE($B$10:$C$11))</f>
        <v>-1.9492465143876523</v>
      </c>
      <c r="M16" s="19">
        <f ca="1"/>
        <v>1.7854587751123834</v>
      </c>
      <c r="N16" s="20">
        <f t="shared" ca="1" si="29"/>
        <v>7.6083809761412019E-2</v>
      </c>
      <c r="O16" s="20">
        <f t="shared" ca="1" si="5"/>
        <v>-3.4005008477886435E-2</v>
      </c>
      <c r="P16" s="19">
        <f t="shared" ca="1" si="12"/>
        <v>93.797441627581648</v>
      </c>
      <c r="Q16" s="19">
        <f ca="1">HCTrans(P16,Strike,RiskFreeRate,Dividend,Variance_T0*AnnualVarConvtr,(Simulation!G16)/250,0.5,Variance_Avg*AnnualVarConvtr,Lambda,SQRT(Simulation!N16),Rho,1,"Call")</f>
        <v>24.07101770836789</v>
      </c>
      <c r="R16" s="19">
        <f t="shared" ca="1" si="6"/>
        <v>0.73144788874262812</v>
      </c>
      <c r="S16" s="19">
        <f t="shared" ca="1" si="7"/>
        <v>8.1803275975061276E-2</v>
      </c>
      <c r="T16" s="19">
        <f t="shared" ca="1" si="13"/>
        <v>-16.901636742732574</v>
      </c>
      <c r="U16" s="19">
        <f t="shared" ca="1" si="14"/>
        <v>13.587718165727802</v>
      </c>
      <c r="V16" s="21">
        <f t="shared" ca="1" si="15"/>
        <v>2.614166709362101E-3</v>
      </c>
      <c r="W16">
        <f t="shared" ca="1" si="16"/>
        <v>5.1128922434979018E-2</v>
      </c>
      <c r="X16" s="22">
        <f t="shared" ref="X16" ca="1" si="42">BSdelta(1,P16,Strike,W16*AnnualVarConvtr,Dividend,RiskFreeRate,G16/250)</f>
        <v>0.62331829510697401</v>
      </c>
      <c r="Y16" s="22">
        <f t="shared" ca="1" si="23"/>
        <v>10.655828564467818</v>
      </c>
      <c r="Z16" s="22">
        <f t="shared" ca="1" si="24"/>
        <v>-35.258153644770914</v>
      </c>
      <c r="AA16">
        <f t="shared" si="9"/>
        <v>0.73884103340948371</v>
      </c>
      <c r="AB16">
        <f t="shared" ref="AB16" ca="1" si="43">BSdelta(1,P16,Strike,AA16/AnnualVarConvtr,Dividend,RiskFreeRate,G16/250)</f>
        <v>8.4001419828360263E-2</v>
      </c>
      <c r="AC16">
        <f t="shared" ca="1" si="19"/>
        <v>-16.825333082157506</v>
      </c>
      <c r="AD16">
        <f t="shared" ca="1" si="20"/>
        <v>13.376260705333735</v>
      </c>
    </row>
    <row r="17" spans="2:30" x14ac:dyDescent="0.25">
      <c r="B17">
        <v>0</v>
      </c>
      <c r="C17">
        <v>0.69758709133698849</v>
      </c>
      <c r="G17" s="19">
        <v>238</v>
      </c>
      <c r="H17" s="19">
        <f t="shared" ca="1" si="1"/>
        <v>0.55496313651380014</v>
      </c>
      <c r="I17" s="19">
        <f t="shared" ca="1" si="1"/>
        <v>0.91512355087233643</v>
      </c>
      <c r="J17" s="19">
        <f t="shared" ca="1" si="2"/>
        <v>0.93452489814780038</v>
      </c>
      <c r="K17" s="19">
        <f t="shared" ca="1" si="3"/>
        <v>-0.55169773519279919</v>
      </c>
      <c r="L17" s="19">
        <f t="array" aca="1" ref="L17:M17" ca="1">MMULT(J17:K17,TRANSPOSE($B$10:$C$11))</f>
        <v>0.93452489814780038</v>
      </c>
      <c r="M17" s="19">
        <f ca="1"/>
        <v>-1.0544443079132479</v>
      </c>
      <c r="N17" s="20">
        <f t="shared" ca="1" si="29"/>
        <v>6.8753208385750816E-2</v>
      </c>
      <c r="O17" s="20">
        <f t="shared" ca="1" si="5"/>
        <v>1.5497703828347701E-2</v>
      </c>
      <c r="P17" s="19">
        <f t="shared" ca="1" si="12"/>
        <v>95.262409092665791</v>
      </c>
      <c r="Q17" s="19">
        <f ca="1">HCTrans(P17,Strike,RiskFreeRate,Dividend,Variance_T0*AnnualVarConvtr,(Simulation!G17)/250,0.5,Variance_Avg*AnnualVarConvtr,Lambda,SQRT(Simulation!N17),Rho,1,"Call")</f>
        <v>24.966748233041073</v>
      </c>
      <c r="R17" s="19">
        <f t="shared" ca="1" si="6"/>
        <v>0.73304845862459034</v>
      </c>
      <c r="S17" s="19">
        <f t="shared" ca="1" si="7"/>
        <v>0.14678639605967322</v>
      </c>
      <c r="T17" s="19">
        <f t="shared" ca="1" si="13"/>
        <v>6.1904485696181304</v>
      </c>
      <c r="U17" s="19">
        <f t="shared" ca="1" si="14"/>
        <v>8.293000120782855</v>
      </c>
      <c r="V17" s="21">
        <f t="shared" ca="1" si="15"/>
        <v>2.4505185256737849E-3</v>
      </c>
      <c r="W17">
        <f t="shared" ca="1" si="16"/>
        <v>4.950271230623414E-2</v>
      </c>
      <c r="X17" s="22">
        <f t="shared" ref="X17" ca="1" si="44">BSdelta(1,P17,Strike,W17*AnnualVarConvtr,Dividend,RiskFreeRate,G17/250)</f>
        <v>0.62486836277043389</v>
      </c>
      <c r="Y17" s="22">
        <f t="shared" ca="1" si="23"/>
        <v>0.14766317987782832</v>
      </c>
      <c r="Z17" s="22">
        <f t="shared" ca="1" si="24"/>
        <v>-34.510086299975562</v>
      </c>
      <c r="AA17">
        <f t="shared" si="9"/>
        <v>0.73884103340948371</v>
      </c>
      <c r="AB17">
        <f t="shared" ref="AB17" ca="1" si="45">BSdelta(1,P17,Strike,AA17/AnnualVarConvtr,Dividend,RiskFreeRate,G17/250)</f>
        <v>0.1487694789672831</v>
      </c>
      <c r="AC17">
        <f t="shared" ca="1" si="19"/>
        <v>6.1699613458300382</v>
      </c>
      <c r="AD17">
        <f t="shared" ca="1" si="20"/>
        <v>8.1020298841768792</v>
      </c>
    </row>
    <row r="18" spans="2:30" x14ac:dyDescent="0.25">
      <c r="G18" s="19">
        <v>237</v>
      </c>
      <c r="H18" s="19">
        <f t="shared" ca="1" si="1"/>
        <v>0.73711317718288349</v>
      </c>
      <c r="I18" s="19">
        <f t="shared" ca="1" si="1"/>
        <v>0.55787274607412263</v>
      </c>
      <c r="J18" s="19">
        <f t="shared" ca="1" si="2"/>
        <v>-0.7299731236293161</v>
      </c>
      <c r="K18" s="19">
        <f t="shared" ca="1" si="3"/>
        <v>-0.27778932043352783</v>
      </c>
      <c r="L18" s="19">
        <f t="array" aca="1" ref="L18:M18" ca="1">MMULT(J18:K18,TRANSPOSE($B$10:$C$11))</f>
        <v>-0.7299731236293161</v>
      </c>
      <c r="M18" s="19">
        <f ca="1"/>
        <v>0.32924349903470174</v>
      </c>
      <c r="N18" s="20">
        <f t="shared" ca="1" si="29"/>
        <v>7.0559226103256489E-2</v>
      </c>
      <c r="O18" s="20">
        <f t="shared" ca="1" si="5"/>
        <v>-1.2263481223952006E-2</v>
      </c>
      <c r="P18" s="19">
        <f t="shared" ca="1" si="12"/>
        <v>94.101294532631655</v>
      </c>
      <c r="Q18" s="19">
        <f ca="1">HCTrans(P18,Strike,RiskFreeRate,Dividend,Variance_T0*AnnualVarConvtr,(Simulation!G18)/250,0.5,Variance_Avg*AnnualVarConvtr,Lambda,SQRT(Simulation!N18),Rho,1,"Call")</f>
        <v>24.177817221146441</v>
      </c>
      <c r="R18" s="19">
        <f t="shared" ca="1" si="6"/>
        <v>0.73232756556395717</v>
      </c>
      <c r="S18" s="19">
        <f t="shared" ca="1" si="7"/>
        <v>9.2478458129344535E-2</v>
      </c>
      <c r="T18" s="19">
        <f t="shared" ca="1" si="13"/>
        <v>-5.1104472626417383</v>
      </c>
      <c r="U18" s="19">
        <f t="shared" ca="1" si="14"/>
        <v>12.614516371529961</v>
      </c>
      <c r="V18" s="21">
        <f t="shared" ca="1" si="15"/>
        <v>7.7068339550802865E-4</v>
      </c>
      <c r="W18">
        <f t="shared" ca="1" si="16"/>
        <v>2.7761185052299707E-2</v>
      </c>
      <c r="X18" s="22">
        <f t="shared" ref="X18" ca="1" si="46">BSdelta(1,P18,Strike,W18*AnnualVarConvtr,Dividend,RiskFreeRate,G18/250)</f>
        <v>0.52847222227606916</v>
      </c>
      <c r="Y18" s="22">
        <f t="shared" ca="1" si="23"/>
        <v>-9.0710016084691567</v>
      </c>
      <c r="Z18" s="22">
        <f t="shared" ca="1" si="24"/>
        <v>-26.228015703401038</v>
      </c>
      <c r="AA18">
        <f t="shared" si="9"/>
        <v>0.73884103340948371</v>
      </c>
      <c r="AB18">
        <f t="shared" ref="AB18" ca="1" si="47">BSdelta(1,P18,Strike,AA18/AnnualVarConvtr,Dividend,RiskFreeRate,G18/250)</f>
        <v>9.4497116055791613E-2</v>
      </c>
      <c r="AC18">
        <f t="shared" ca="1" si="19"/>
        <v>-5.107099607316135</v>
      </c>
      <c r="AD18">
        <f t="shared" ca="1" si="20"/>
        <v>12.420198479598382</v>
      </c>
    </row>
    <row r="19" spans="2:30" x14ac:dyDescent="0.25">
      <c r="G19" s="19">
        <v>236</v>
      </c>
      <c r="H19" s="19">
        <f t="shared" ca="1" si="1"/>
        <v>0.17812354954008802</v>
      </c>
      <c r="I19" s="19">
        <f t="shared" ca="1" si="1"/>
        <v>0.62956694700539872</v>
      </c>
      <c r="J19" s="19">
        <f t="shared" ca="1" si="2"/>
        <v>-1.2752719731630953</v>
      </c>
      <c r="K19" s="19">
        <f t="shared" ca="1" si="3"/>
        <v>-1.3506432305813167</v>
      </c>
      <c r="L19" s="19">
        <f t="array" aca="1" ref="L19:M19" ca="1">MMULT(J19:K19,TRANSPOSE($B$10:$C$11))</f>
        <v>-1.2752719731630953</v>
      </c>
      <c r="M19" s="19">
        <f ca="1"/>
        <v>-2.8458913883856463E-2</v>
      </c>
      <c r="N19" s="20">
        <f t="shared" ca="1" si="29"/>
        <v>7.0037288327614383E-2</v>
      </c>
      <c r="O19" s="20">
        <f t="shared" ca="1" si="5"/>
        <v>-2.1345064543208968E-2</v>
      </c>
      <c r="P19" s="19">
        <f t="shared" ca="1" si="12"/>
        <v>92.113981443343931</v>
      </c>
      <c r="Q19" s="19">
        <f ca="1">HCTrans(P19,Strike,RiskFreeRate,Dividend,Variance_T0*AnnualVarConvtr,(Simulation!G19)/250,0.5,Variance_Avg*AnnualVarConvtr,Lambda,SQRT(Simulation!N19),Rho,1,"Call")</f>
        <v>22.90044425064869</v>
      </c>
      <c r="R19" s="19">
        <f t="shared" ca="1" si="6"/>
        <v>0.73149324579777031</v>
      </c>
      <c r="S19" s="19">
        <f t="shared" ca="1" si="7"/>
        <v>3.5538918936550368E-2</v>
      </c>
      <c r="T19" s="19">
        <f t="shared" ca="1" si="13"/>
        <v>-5.2449276565975964</v>
      </c>
      <c r="U19" s="19">
        <f t="shared" ca="1" si="14"/>
        <v>16.582071057629804</v>
      </c>
      <c r="V19" s="21">
        <f t="shared" ca="1" si="15"/>
        <v>8.24751555846063E-5</v>
      </c>
      <c r="W19">
        <f t="shared" ca="1" si="16"/>
        <v>9.0815833192569619E-3</v>
      </c>
      <c r="X19" s="22">
        <f t="shared" ref="X19" ca="1" si="48">BSdelta(1,P19,Strike,W19*AnnualVarConvtr,Dividend,RiskFreeRate,G19/250)</f>
        <v>0.3018712513046149</v>
      </c>
      <c r="Y19" s="22">
        <f t="shared" ca="1" si="23"/>
        <v>-20.873117635108255</v>
      </c>
      <c r="Z19" s="22">
        <f t="shared" ca="1" si="24"/>
        <v>-6.6322710387905346</v>
      </c>
      <c r="AA19">
        <f t="shared" si="9"/>
        <v>0.73884103340948371</v>
      </c>
      <c r="AB19">
        <f t="shared" ref="AB19" ca="1" si="49">BSdelta(1,P19,Strike,AA19/AnnualVarConvtr,Dividend,RiskFreeRate,G19/250)</f>
        <v>3.7002697858849354E-2</v>
      </c>
      <c r="AC19">
        <f t="shared" ca="1" si="19"/>
        <v>-5.2960397708889948</v>
      </c>
      <c r="AD19">
        <f t="shared" ca="1" si="20"/>
        <v>16.438865279989624</v>
      </c>
    </row>
    <row r="20" spans="2:30" x14ac:dyDescent="0.25">
      <c r="G20" s="19">
        <v>235</v>
      </c>
      <c r="H20" s="19">
        <f t="shared" ca="1" si="1"/>
        <v>0.20582216362014527</v>
      </c>
      <c r="I20" s="19">
        <f t="shared" ca="1" si="1"/>
        <v>0.53087385178743929</v>
      </c>
      <c r="J20" s="19">
        <f t="shared" ca="1" si="2"/>
        <v>-1.7447067647234551</v>
      </c>
      <c r="K20" s="19">
        <f t="shared" ca="1" si="3"/>
        <v>-0.34275915450276012</v>
      </c>
      <c r="L20" s="19">
        <f t="array" aca="1" ref="L20:M20" ca="1">MMULT(J20:K20,TRANSPOSE($B$10:$C$11))</f>
        <v>-1.7447067647234551</v>
      </c>
      <c r="M20" s="19">
        <f ca="1"/>
        <v>1.0109780353056497</v>
      </c>
      <c r="N20" s="20">
        <f t="shared" ca="1" si="29"/>
        <v>7.6417415566791186E-2</v>
      </c>
      <c r="O20" s="20">
        <f t="shared" ca="1" si="5"/>
        <v>-3.0503425545537269E-2</v>
      </c>
      <c r="P20" s="19">
        <f t="shared" ca="1" si="12"/>
        <v>89.346611178807478</v>
      </c>
      <c r="Q20" s="19">
        <f ca="1">HCTrans(P20,Strike,RiskFreeRate,Dividend,Variance_T0*AnnualVarConvtr,(Simulation!G20)/250,0.5,Variance_Avg*AnnualVarConvtr,Lambda,SQRT(Simulation!N20),Rho,1,"Call")</f>
        <v>21.1511061932665</v>
      </c>
      <c r="R20" s="19">
        <f t="shared" ca="1" si="6"/>
        <v>0.72931903955110056</v>
      </c>
      <c r="S20" s="19">
        <f t="shared" ca="1" si="7"/>
        <v>6.2709194370752126E-3</v>
      </c>
      <c r="T20" s="19">
        <f t="shared" ca="1" si="13"/>
        <v>-2.6149965712611385</v>
      </c>
      <c r="U20" s="19">
        <f t="shared" ca="1" si="14"/>
        <v>17.447729571508752</v>
      </c>
      <c r="V20" s="21">
        <f t="shared" ca="1" si="15"/>
        <v>8.3875576248967847E-5</v>
      </c>
      <c r="W20">
        <f t="shared" ca="1" si="16"/>
        <v>9.158361002328301E-3</v>
      </c>
      <c r="X20" s="22">
        <f t="shared" ref="X20" ca="1" si="50">BSdelta(1,P20,Strike,W20*AnnualVarConvtr,Dividend,RiskFreeRate,G20/250)</f>
        <v>0.23203572356019286</v>
      </c>
      <c r="Y20" s="22">
        <f t="shared" ca="1" si="23"/>
        <v>-6.2395677438476973</v>
      </c>
      <c r="Z20" s="22">
        <f t="shared" ca="1" si="24"/>
        <v>-2.1420413523250268</v>
      </c>
      <c r="AA20">
        <f t="shared" si="9"/>
        <v>0.73884103340948371</v>
      </c>
      <c r="AB20">
        <f t="shared" ref="AB20" ca="1" si="51">BSdelta(1,P20,Strike,AA20/AnnualVarConvtr,Dividend,RiskFreeRate,G20/250)</f>
        <v>6.8742927365680277E-3</v>
      </c>
      <c r="AC20">
        <f t="shared" ca="1" si="19"/>
        <v>-2.6918708978980614</v>
      </c>
      <c r="AD20">
        <f t="shared" ca="1" si="20"/>
        <v>17.381398120505494</v>
      </c>
    </row>
    <row r="21" spans="2:30" x14ac:dyDescent="0.25">
      <c r="G21" s="19">
        <v>234</v>
      </c>
      <c r="H21" s="19">
        <f t="shared" ca="1" si="1"/>
        <v>0.39024540758733917</v>
      </c>
      <c r="I21" s="19">
        <f t="shared" ca="1" si="1"/>
        <v>4.1554480659348747E-2</v>
      </c>
      <c r="J21" s="19">
        <f t="shared" ca="1" si="2"/>
        <v>1.325350557747319</v>
      </c>
      <c r="K21" s="19">
        <f t="shared" ca="1" si="3"/>
        <v>0.35412550619474809</v>
      </c>
      <c r="L21" s="19">
        <f t="array" aca="1" ref="L21:M21" ca="1">MMULT(J21:K21,TRANSPOSE($B$10:$C$11))</f>
        <v>1.325350557747319</v>
      </c>
      <c r="M21" s="19">
        <f ca="1"/>
        <v>-0.70258029279132117</v>
      </c>
      <c r="N21" s="20">
        <f t="shared" ca="1" si="29"/>
        <v>7.1361546298588097E-2</v>
      </c>
      <c r="O21" s="20">
        <f t="shared" ca="1" si="5"/>
        <v>2.239200007135209E-2</v>
      </c>
      <c r="P21" s="19">
        <f t="shared" ca="1" si="12"/>
        <v>91.369827900877524</v>
      </c>
      <c r="Q21" s="19">
        <f ca="1">HCTrans(P21,Strike,RiskFreeRate,Dividend,Variance_T0*AnnualVarConvtr,(Simulation!G21)/250,0.5,Variance_Avg*AnnualVarConvtr,Lambda,SQRT(Simulation!N21),Rho,1,"Call")</f>
        <v>22.336144414367155</v>
      </c>
      <c r="R21" s="19">
        <f t="shared" ca="1" si="6"/>
        <v>0.73102314702725812</v>
      </c>
      <c r="S21" s="19">
        <f t="shared" ca="1" si="7"/>
        <v>2.2999376670333277E-2</v>
      </c>
      <c r="T21" s="19">
        <f t="shared" ca="1" si="13"/>
        <v>1.5284762584499791</v>
      </c>
      <c r="U21" s="19">
        <f t="shared" ca="1" si="14"/>
        <v>17.104291534159429</v>
      </c>
      <c r="V21" s="21">
        <f t="shared" ca="1" si="15"/>
        <v>2.7979260511918746E-3</v>
      </c>
      <c r="W21">
        <f t="shared" ca="1" si="16"/>
        <v>5.2895425616889355E-2</v>
      </c>
      <c r="X21" s="22">
        <f t="shared" ref="X21" ca="1" si="52">BSdelta(1,P21,Strike,W21*AnnualVarConvtr,Dividend,RiskFreeRate,G21/250)</f>
        <v>0.61524986307434948</v>
      </c>
      <c r="Y21" s="22">
        <f t="shared" ca="1" si="23"/>
        <v>35.01420997659136</v>
      </c>
      <c r="Z21" s="22">
        <f t="shared" ca="1" si="24"/>
        <v>-35.971213107815728</v>
      </c>
      <c r="AA21">
        <f t="shared" si="9"/>
        <v>0.73884103340948371</v>
      </c>
      <c r="AB21">
        <f t="shared" ref="AB21" ca="1" si="53">BSdelta(1,P21,Strike,AA21/AnnualVarConvtr,Dividend,RiskFreeRate,G21/250)</f>
        <v>2.4201392746030493E-2</v>
      </c>
      <c r="AC21">
        <f t="shared" ca="1" si="19"/>
        <v>1.5831741458858786</v>
      </c>
      <c r="AD21">
        <f t="shared" ca="1" si="20"/>
        <v>16.983262195720272</v>
      </c>
    </row>
    <row r="22" spans="2:30" x14ac:dyDescent="0.25">
      <c r="G22" s="19">
        <v>233</v>
      </c>
      <c r="H22" s="19">
        <f t="shared" ca="1" si="1"/>
        <v>0.12890776515927371</v>
      </c>
      <c r="I22" s="19">
        <f t="shared" ca="1" si="1"/>
        <v>0.92207066488564804</v>
      </c>
      <c r="J22" s="19">
        <f t="shared" ca="1" si="2"/>
        <v>1.7863416433421919</v>
      </c>
      <c r="K22" s="19">
        <f t="shared" ca="1" si="3"/>
        <v>-0.95199778965086623</v>
      </c>
      <c r="L22" s="19">
        <f t="array" aca="1" ref="L22:M22" ca="1">MMULT(J22:K22,TRANSPOSE($B$10:$C$11))</f>
        <v>1.7863416433421919</v>
      </c>
      <c r="M22" s="19">
        <f ca="1"/>
        <v>-1.9440151564964707</v>
      </c>
      <c r="N22" s="20">
        <f t="shared" ca="1" si="29"/>
        <v>5.8854864671340767E-2</v>
      </c>
      <c r="O22" s="20">
        <f t="shared" ca="1" si="5"/>
        <v>2.7408527309135993E-2</v>
      </c>
      <c r="P22" s="19">
        <f t="shared" ca="1" si="12"/>
        <v>93.908775793516895</v>
      </c>
      <c r="Q22" s="19">
        <f ca="1">HCTrans(P22,Strike,RiskFreeRate,Dividend,Variance_T0*AnnualVarConvtr,(Simulation!G22)/250,0.5,Variance_Avg*AnnualVarConvtr,Lambda,SQRT(Simulation!N22),Rho,1,"Call")</f>
        <v>23.895882657919216</v>
      </c>
      <c r="R22" s="19">
        <f t="shared" ca="1" si="6"/>
        <v>0.73385359376474146</v>
      </c>
      <c r="S22" s="19">
        <f t="shared" ca="1" si="7"/>
        <v>8.376367674400341E-2</v>
      </c>
      <c r="T22" s="19">
        <f t="shared" ca="1" si="13"/>
        <v>5.7063010318682705</v>
      </c>
      <c r="U22" s="19">
        <f t="shared" ca="1" si="14"/>
        <v>12.95772874584322</v>
      </c>
      <c r="V22" s="21">
        <f t="shared" ca="1" si="15"/>
        <v>2.51655455274278E-5</v>
      </c>
      <c r="W22">
        <f t="shared" ca="1" si="16"/>
        <v>5.0165272377839035E-3</v>
      </c>
      <c r="X22" s="22">
        <f t="shared" ref="X22" ca="1" si="54">BSdelta(1,P22,Strike,W22*AnnualVarConvtr,Dividend,RiskFreeRate,G22/250)</f>
        <v>0.21697791711288553</v>
      </c>
      <c r="Y22" s="22">
        <f t="shared" ca="1" si="23"/>
        <v>-37.401230878142798</v>
      </c>
      <c r="Z22" s="22">
        <f t="shared" ca="1" si="24"/>
        <v>2.9897560138791306</v>
      </c>
      <c r="AA22">
        <f t="shared" si="9"/>
        <v>0.73884103340948371</v>
      </c>
      <c r="AB22">
        <f t="shared" ref="AB22" ca="1" si="55">BSdelta(1,P22,Strike,AA22/AnnualVarConvtr,Dividend,RiskFreeRate,G22/250)</f>
        <v>8.5254159572301452E-2</v>
      </c>
      <c r="AC22">
        <f t="shared" ca="1" si="19"/>
        <v>5.7333905914621459</v>
      </c>
      <c r="AD22">
        <f t="shared" ca="1" si="20"/>
        <v>12.809609847810187</v>
      </c>
    </row>
    <row r="23" spans="2:30" x14ac:dyDescent="0.25">
      <c r="G23" s="19">
        <v>232</v>
      </c>
      <c r="H23" s="19">
        <f t="shared" ca="1" si="1"/>
        <v>0.45271498094796891</v>
      </c>
      <c r="I23" s="19">
        <f t="shared" ca="1" si="1"/>
        <v>7.786932407611713E-2</v>
      </c>
      <c r="J23" s="19">
        <f t="shared" ca="1" si="2"/>
        <v>1.1112572235907379</v>
      </c>
      <c r="K23" s="19">
        <f t="shared" ca="1" si="3"/>
        <v>0.59168610623476325</v>
      </c>
      <c r="L23" s="19">
        <f t="array" aca="1" ref="L23:M23" ca="1">MMULT(J23:K23,TRANSPOSE($B$10:$C$11))</f>
        <v>1.1112572235907379</v>
      </c>
      <c r="M23" s="19">
        <f ca="1"/>
        <v>-0.38346321086994678</v>
      </c>
      <c r="N23" s="20">
        <f t="shared" ca="1" si="29"/>
        <v>5.6321235953500616E-2</v>
      </c>
      <c r="O23" s="20">
        <f t="shared" ca="1" si="5"/>
        <v>1.6679409876648829E-2</v>
      </c>
      <c r="P23" s="19">
        <f t="shared" ca="1" si="12"/>
        <v>95.488254524797171</v>
      </c>
      <c r="Q23" s="19">
        <f ca="1">HCTrans(P23,Strike,RiskFreeRate,Dividend,Variance_T0*AnnualVarConvtr,(Simulation!G23)/250,0.5,Variance_Avg*AnnualVarConvtr,Lambda,SQRT(Simulation!N23),Rho,1,"Call")</f>
        <v>24.8384836880915</v>
      </c>
      <c r="R23" s="19">
        <f t="shared" ca="1" si="6"/>
        <v>0.73487461977951329</v>
      </c>
      <c r="S23" s="19">
        <f t="shared" ca="1" si="7"/>
        <v>0.15654862197951466</v>
      </c>
      <c r="T23" s="19">
        <f t="shared" ca="1" si="13"/>
        <v>6.9501073762219221</v>
      </c>
      <c r="U23" s="19">
        <f t="shared" ca="1" si="14"/>
        <v>6.9502223997935815</v>
      </c>
      <c r="V23" s="21">
        <f t="shared" ca="1" si="15"/>
        <v>1.1511396088009995E-4</v>
      </c>
      <c r="W23">
        <f t="shared" ca="1" si="16"/>
        <v>1.0729117432487164E-2</v>
      </c>
      <c r="X23" s="22">
        <f t="shared" ref="X23" ca="1" si="56">BSdelta(1,P23,Strike,W23*AnnualVarConvtr,Dividend,RiskFreeRate,G23/250)</f>
        <v>0.42043042555198906</v>
      </c>
      <c r="Y23" s="22">
        <f t="shared" ca="1" si="23"/>
        <v>19.427324909541564</v>
      </c>
      <c r="Z23" s="22">
        <f t="shared" ca="1" si="24"/>
        <v>-15.49496786549015</v>
      </c>
      <c r="AA23">
        <f t="shared" si="9"/>
        <v>0.73884103340948371</v>
      </c>
      <c r="AB23">
        <f t="shared" ref="AB23" ca="1" si="57">BSdelta(1,P23,Strike,AA23/AnnualVarConvtr,Dividend,RiskFreeRate,G23/250)</f>
        <v>0.15790920301424027</v>
      </c>
      <c r="AC23">
        <f t="shared" ca="1" si="19"/>
        <v>6.9377032806940493</v>
      </c>
      <c r="AD23">
        <f t="shared" ca="1" si="20"/>
        <v>6.8145075972884213</v>
      </c>
    </row>
    <row r="24" spans="2:30" x14ac:dyDescent="0.25">
      <c r="G24" s="19">
        <v>231</v>
      </c>
      <c r="H24" s="19">
        <f t="shared" ca="1" si="1"/>
        <v>0.9347550030365217</v>
      </c>
      <c r="I24" s="19">
        <f t="shared" ca="1" si="1"/>
        <v>0.17245400477521156</v>
      </c>
      <c r="J24" s="19">
        <f t="shared" ca="1" si="2"/>
        <v>0.17198503133862378</v>
      </c>
      <c r="K24" s="19">
        <f t="shared" ca="1" si="3"/>
        <v>0.32459632580999764</v>
      </c>
      <c r="L24" s="19">
        <f t="array" aca="1" ref="L24:M24" ca="1">MMULT(J24:K24,TRANSPOSE($B$10:$C$11))</f>
        <v>0.17198503133862378</v>
      </c>
      <c r="M24" s="19">
        <f ca="1"/>
        <v>0.10320693182634574</v>
      </c>
      <c r="N24" s="20">
        <f t="shared" ca="1" si="29"/>
        <v>5.6662197917296674E-2</v>
      </c>
      <c r="O24" s="20">
        <f t="shared" ca="1" si="5"/>
        <v>2.5892104663668377E-3</v>
      </c>
      <c r="P24" s="19">
        <f t="shared" ca="1" si="12"/>
        <v>95.735814066402483</v>
      </c>
      <c r="Q24" s="19">
        <f ca="1">HCTrans(P24,Strike,RiskFreeRate,Dividend,Variance_T0*AnnualVarConvtr,(Simulation!G24)/250,0.5,Variance_Avg*AnnualVarConvtr,Lambda,SQRT(Simulation!N24),Rho,1,"Call")</f>
        <v>24.937714435674792</v>
      </c>
      <c r="R24" s="19">
        <f t="shared" ca="1" si="6"/>
        <v>0.73496135796816042</v>
      </c>
      <c r="S24" s="19">
        <f t="shared" ca="1" si="7"/>
        <v>0.17030776073705103</v>
      </c>
      <c r="T24" s="19">
        <f t="shared" ca="1" si="13"/>
        <v>1.3172423498053341</v>
      </c>
      <c r="U24" s="19">
        <f t="shared" ca="1" si="14"/>
        <v>5.7322107975715388</v>
      </c>
      <c r="V24" s="21">
        <f t="shared" ca="1" si="15"/>
        <v>1.98533719421511E-4</v>
      </c>
      <c r="W24">
        <f t="shared" ca="1" si="16"/>
        <v>1.4090199410281992E-2</v>
      </c>
      <c r="X24" s="22">
        <f t="shared" ref="X24" ca="1" si="58">BSdelta(1,P24,Strike,W24*AnnualVarConvtr,Dividend,RiskFreeRate,G24/250)</f>
        <v>0.46159629088847681</v>
      </c>
      <c r="Y24" s="22">
        <f t="shared" ca="1" si="23"/>
        <v>3.9410476297365542</v>
      </c>
      <c r="Z24" s="22">
        <f t="shared" ca="1" si="24"/>
        <v>-19.336784747643414</v>
      </c>
      <c r="AA24">
        <f t="shared" si="9"/>
        <v>0.73884103340948371</v>
      </c>
      <c r="AB24">
        <f t="shared" ref="AB24" ca="1" si="59">BSdelta(1,P24,Strike,AA24/AnnualVarConvtr,Dividend,RiskFreeRate,G24/250)</f>
        <v>0.17163841212235947</v>
      </c>
      <c r="AC24">
        <f t="shared" ca="1" si="19"/>
        <v>1.3143770104536592</v>
      </c>
      <c r="AD24">
        <f t="shared" ca="1" si="20"/>
        <v>5.5993613344180542</v>
      </c>
    </row>
    <row r="25" spans="2:30" x14ac:dyDescent="0.25">
      <c r="G25" s="19">
        <v>230</v>
      </c>
      <c r="H25" s="19">
        <f t="shared" ca="1" si="1"/>
        <v>0.94568397909703317</v>
      </c>
      <c r="I25" s="19">
        <f t="shared" ca="1" si="1"/>
        <v>0.55847386781324071</v>
      </c>
      <c r="J25" s="19">
        <f t="shared" ca="1" si="2"/>
        <v>-0.31190230399834723</v>
      </c>
      <c r="K25" s="19">
        <f t="shared" ca="1" si="3"/>
        <v>-0.1200441774695449</v>
      </c>
      <c r="L25" s="19">
        <f t="array" aca="1" ref="L25:M25" ca="1">MMULT(J25:K25,TRANSPOSE($B$10:$C$11))</f>
        <v>-0.31190230399834723</v>
      </c>
      <c r="M25" s="19">
        <f ca="1"/>
        <v>0.13973673222189473</v>
      </c>
      <c r="N25" s="20">
        <f t="shared" ca="1" si="29"/>
        <v>5.7217717520723868E-2</v>
      </c>
      <c r="O25" s="20">
        <f t="shared" ca="1" si="5"/>
        <v>-4.7186073862967894E-3</v>
      </c>
      <c r="P25" s="19">
        <f t="shared" ca="1" si="12"/>
        <v>95.285138463829497</v>
      </c>
      <c r="Q25" s="19">
        <f ca="1">HCTrans(P25,Strike,RiskFreeRate,Dividend,Variance_T0*AnnualVarConvtr,(Simulation!G25)/250,0.5,Variance_Avg*AnnualVarConvtr,Lambda,SQRT(Simulation!N25),Rho,1,"Call")</f>
        <v>24.597365488341012</v>
      </c>
      <c r="R25" s="19">
        <f t="shared" ca="1" si="6"/>
        <v>0.73473251654205263</v>
      </c>
      <c r="S25" s="19">
        <f t="shared" ca="1" si="7"/>
        <v>0.14427805135907656</v>
      </c>
      <c r="T25" s="19">
        <f t="shared" ca="1" si="13"/>
        <v>-2.4802444622535385</v>
      </c>
      <c r="U25" s="19">
        <f t="shared" ca="1" si="14"/>
        <v>7.8721063124912973</v>
      </c>
      <c r="V25" s="21">
        <f t="shared" ca="1" si="15"/>
        <v>5.3404201767709222E-5</v>
      </c>
      <c r="W25">
        <f t="shared" ca="1" si="16"/>
        <v>7.3078178526636266E-3</v>
      </c>
      <c r="X25" s="22">
        <f t="shared" ref="X25" ca="1" si="60">BSdelta(1,P25,Strike,W25*AnnualVarConvtr,Dividend,RiskFreeRate,G25/250)</f>
        <v>0.35183875428546452</v>
      </c>
      <c r="Y25" s="22">
        <f t="shared" ca="1" si="23"/>
        <v>-10.45826207266686</v>
      </c>
      <c r="Z25" s="22">
        <f t="shared" ca="1" si="24"/>
        <v>-9.2188716223103331</v>
      </c>
      <c r="AA25">
        <f t="shared" si="9"/>
        <v>0.73884103340948371</v>
      </c>
      <c r="AB25">
        <f t="shared" ref="AB25" ca="1" si="61">BSdelta(1,P25,Strike,AA25/AnnualVarConvtr,Dividend,RiskFreeRate,G25/250)</f>
        <v>0.14567966352318995</v>
      </c>
      <c r="AC25">
        <f t="shared" ca="1" si="19"/>
        <v>-2.473482954619608</v>
      </c>
      <c r="AD25">
        <f t="shared" ca="1" si="20"/>
        <v>7.7324953417038822</v>
      </c>
    </row>
    <row r="26" spans="2:30" x14ac:dyDescent="0.25">
      <c r="G26" s="19">
        <v>229</v>
      </c>
      <c r="H26" s="19">
        <f t="shared" ca="1" si="1"/>
        <v>0.97025311944505988</v>
      </c>
      <c r="I26" s="19">
        <f t="shared" ca="1" si="1"/>
        <v>0.77741285605986676</v>
      </c>
      <c r="J26" s="19">
        <f t="shared" ca="1" si="2"/>
        <v>4.2120244503199192E-2</v>
      </c>
      <c r="K26" s="19">
        <f t="shared" ca="1" si="3"/>
        <v>-0.24212078037903104</v>
      </c>
      <c r="L26" s="19">
        <f t="array" aca="1" ref="L26:M26" ca="1">MMULT(J26:K26,TRANSPOSE($B$10:$C$11))</f>
        <v>4.2120244503199192E-2</v>
      </c>
      <c r="M26" s="19">
        <f ca="1"/>
        <v>-0.19907948612339227</v>
      </c>
      <c r="N26" s="20">
        <f t="shared" ca="1" si="29"/>
        <v>5.5790040236178388E-2</v>
      </c>
      <c r="O26" s="20">
        <f t="shared" ca="1" si="5"/>
        <v>6.2921521617569076E-4</v>
      </c>
      <c r="P26" s="19">
        <f t="shared" ca="1" si="12"/>
        <v>95.345112189037891</v>
      </c>
      <c r="Q26" s="19">
        <f ca="1">HCTrans(P26,Strike,RiskFreeRate,Dividend,Variance_T0*AnnualVarConvtr,(Simulation!G26)/250,0.5,Variance_Avg*AnnualVarConvtr,Lambda,SQRT(Simulation!N26),Rho,1,"Call")</f>
        <v>24.586333967380469</v>
      </c>
      <c r="R26" s="19">
        <f t="shared" ca="1" si="6"/>
        <v>0.73496981090468472</v>
      </c>
      <c r="S26" s="19">
        <f t="shared" ca="1" si="7"/>
        <v>0.14704185561827063</v>
      </c>
      <c r="T26" s="19">
        <f t="shared" ca="1" si="13"/>
        <v>0.26351522716139875</v>
      </c>
      <c r="U26" s="19">
        <f t="shared" ca="1" si="14"/>
        <v>7.5975595643693552</v>
      </c>
      <c r="V26" s="21">
        <f t="shared" ca="1" si="15"/>
        <v>2.8599206587515532E-5</v>
      </c>
      <c r="W26">
        <f t="shared" ca="1" si="16"/>
        <v>5.3478226024724802E-3</v>
      </c>
      <c r="X26" s="22">
        <f t="shared" ref="X26" ca="1" si="62">BSdelta(1,P26,Strike,W26*AnnualVarConvtr,Dividend,RiskFreeRate,G26/250)</f>
        <v>0.29165770519431167</v>
      </c>
      <c r="Y26" s="22">
        <f t="shared" ca="1" si="23"/>
        <v>-5.7379688772499655</v>
      </c>
      <c r="Z26" s="22">
        <f t="shared" ca="1" si="24"/>
        <v>-3.4919342660209107</v>
      </c>
      <c r="AA26">
        <f t="shared" si="9"/>
        <v>0.73884103340948371</v>
      </c>
      <c r="AB26">
        <f t="shared" ref="AB26" ca="1" si="63">BSdelta(1,P26,Strike,AA26/AnnualVarConvtr,Dividend,RiskFreeRate,G26/250)</f>
        <v>0.14836440189754033</v>
      </c>
      <c r="AC26">
        <f t="shared" ca="1" si="19"/>
        <v>0.25597668150065184</v>
      </c>
      <c r="AD26">
        <f t="shared" ca="1" si="20"/>
        <v>7.4654871392426871</v>
      </c>
    </row>
    <row r="27" spans="2:30" x14ac:dyDescent="0.25">
      <c r="G27" s="19">
        <v>228</v>
      </c>
      <c r="H27" s="19">
        <f t="shared" ca="1" si="1"/>
        <v>0.58405835234631787</v>
      </c>
      <c r="I27" s="19">
        <f t="shared" ca="1" si="1"/>
        <v>0.36657650972807287</v>
      </c>
      <c r="J27" s="19">
        <f t="shared" ca="1" si="2"/>
        <v>-0.69349684268251732</v>
      </c>
      <c r="K27" s="19">
        <f t="shared" ca="1" si="3"/>
        <v>0.7710842331923039</v>
      </c>
      <c r="L27" s="19">
        <f t="array" aca="1" ref="L27:M27" ca="1">MMULT(J27:K27,TRANSPOSE($B$10:$C$11))</f>
        <v>-0.69349684268251732</v>
      </c>
      <c r="M27" s="19">
        <f ca="1"/>
        <v>1.0347888951904551</v>
      </c>
      <c r="N27" s="20">
        <f t="shared" ca="1" si="29"/>
        <v>6.1685749091404063E-2</v>
      </c>
      <c r="O27" s="20">
        <f t="shared" ca="1" si="5"/>
        <v>-1.0893486646134563E-2</v>
      </c>
      <c r="P27" s="19">
        <f t="shared" ca="1" si="12"/>
        <v>94.312108205542813</v>
      </c>
      <c r="Q27" s="19">
        <f ca="1">HCTrans(P27,Strike,RiskFreeRate,Dividend,Variance_T0*AnnualVarConvtr,(Simulation!G27)/250,0.5,Variance_Avg*AnnualVarConvtr,Lambda,SQRT(Simulation!N27),Rho,1,"Call")</f>
        <v>23.861205593069172</v>
      </c>
      <c r="R27" s="19">
        <f t="shared" ca="1" si="6"/>
        <v>0.73380411944513757</v>
      </c>
      <c r="S27" s="19">
        <f t="shared" ca="1" si="7"/>
        <v>9.6949813189082371E-2</v>
      </c>
      <c r="T27" s="19">
        <f t="shared" ca="1" si="13"/>
        <v>-4.7242861258182449</v>
      </c>
      <c r="U27" s="19">
        <f t="shared" ca="1" si="14"/>
        <v>11.596717315876305</v>
      </c>
      <c r="V27" s="21">
        <f t="shared" ca="1" si="15"/>
        <v>1.3277265820768819E-4</v>
      </c>
      <c r="W27">
        <f t="shared" ca="1" si="16"/>
        <v>1.1522701862310254E-2</v>
      </c>
      <c r="X27" s="22">
        <f t="shared" ref="X27" ca="1" si="64">BSdelta(1,P27,Strike,W27*AnnualVarConvtr,Dividend,RiskFreeRate,G27/250)</f>
        <v>0.40145530471942786</v>
      </c>
      <c r="Y27" s="22">
        <f t="shared" ca="1" si="23"/>
        <v>10.355243087121615</v>
      </c>
      <c r="Z27" s="22">
        <f t="shared" ca="1" si="24"/>
        <v>-14.572305727453822</v>
      </c>
      <c r="AA27">
        <f t="shared" si="9"/>
        <v>0.73884103340948371</v>
      </c>
      <c r="AB27">
        <f t="shared" ref="AB27" ca="1" si="65">BSdelta(1,P27,Strike,AA27/AnnualVarConvtr,Dividend,RiskFreeRate,G27/250)</f>
        <v>9.8530651270112582E-2</v>
      </c>
      <c r="AC27">
        <f t="shared" ca="1" si="19"/>
        <v>-4.6999260814620021</v>
      </c>
      <c r="AD27">
        <f t="shared" ca="1" si="20"/>
        <v>11.440284846393393</v>
      </c>
    </row>
    <row r="28" spans="2:30" x14ac:dyDescent="0.25">
      <c r="G28" s="19">
        <v>227</v>
      </c>
      <c r="H28" s="19">
        <f t="shared" ca="1" si="1"/>
        <v>2.5125715414255789E-2</v>
      </c>
      <c r="I28" s="19">
        <f t="shared" ca="1" si="1"/>
        <v>0.7170127226110905</v>
      </c>
      <c r="J28" s="19">
        <f t="shared" ca="1" si="2"/>
        <v>-0.55857201014561431</v>
      </c>
      <c r="K28" s="19">
        <f t="shared" ca="1" si="3"/>
        <v>-2.6562613175476497</v>
      </c>
      <c r="L28" s="19">
        <f t="array" aca="1" ref="L28:M28" ca="1">MMULT(J28:K28,TRANSPOSE($B$10:$C$11))</f>
        <v>-0.55857201014561431</v>
      </c>
      <c r="M28" s="19">
        <f ca="1"/>
        <v>-1.452756761069689</v>
      </c>
      <c r="N28" s="20">
        <f t="shared" ca="1" si="29"/>
        <v>5.2866016567596603E-2</v>
      </c>
      <c r="O28" s="20">
        <f t="shared" ca="1" si="5"/>
        <v>-8.1226447432016218E-3</v>
      </c>
      <c r="P28" s="19">
        <f t="shared" ca="1" si="12"/>
        <v>93.549147280720305</v>
      </c>
      <c r="Q28" s="19">
        <f ca="1">HCTrans(P28,Strike,RiskFreeRate,Dividend,Variance_T0*AnnualVarConvtr,(Simulation!G28)/250,0.5,Variance_Avg*AnnualVarConvtr,Lambda,SQRT(Simulation!N28),Rho,1,"Call")</f>
        <v>23.375704030376056</v>
      </c>
      <c r="R28" s="19">
        <f t="shared" ca="1" si="6"/>
        <v>0.7346790108984399</v>
      </c>
      <c r="S28" s="19">
        <f t="shared" ca="1" si="7"/>
        <v>6.8913018014149729E-2</v>
      </c>
      <c r="T28" s="19">
        <f t="shared" ca="1" si="13"/>
        <v>-2.6228182810991623</v>
      </c>
      <c r="U28" s="19">
        <f t="shared" ca="1" si="14"/>
        <v>13.734034034282351</v>
      </c>
      <c r="V28" s="21">
        <f t="shared" ca="1" si="15"/>
        <v>7.6775648510490445E-6</v>
      </c>
      <c r="W28">
        <f t="shared" ca="1" si="16"/>
        <v>2.7708419029329415E-3</v>
      </c>
      <c r="X28" s="22">
        <f t="shared" ref="X28" ca="1" si="66">BSdelta(1,P28,Strike,W28*AnnualVarConvtr,Dividend,RiskFreeRate,G28/250)</f>
        <v>5.7461405646225962E-2</v>
      </c>
      <c r="Y28" s="22">
        <f t="shared" ca="1" si="23"/>
        <v>-32.180335928068196</v>
      </c>
      <c r="Z28" s="22">
        <f t="shared" ca="1" si="24"/>
        <v>17.122528637921256</v>
      </c>
      <c r="AA28">
        <f t="shared" si="9"/>
        <v>0.73884103340948371</v>
      </c>
      <c r="AB28">
        <f t="shared" ref="AB28" ca="1" si="67">BSdelta(1,P28,Strike,AA28/AnnualVarConvtr,Dividend,RiskFreeRate,G28/250)</f>
        <v>7.006244716268055E-2</v>
      </c>
      <c r="AC28">
        <f t="shared" ca="1" si="19"/>
        <v>-2.6631762188637658</v>
      </c>
      <c r="AD28">
        <f t="shared" ca="1" si="20"/>
        <v>13.617959502564043</v>
      </c>
    </row>
    <row r="29" spans="2:30" x14ac:dyDescent="0.25">
      <c r="G29" s="19">
        <v>226</v>
      </c>
      <c r="H29" s="19">
        <f t="shared" ca="1" si="1"/>
        <v>0.78303857287317047</v>
      </c>
      <c r="I29" s="19">
        <f t="shared" ca="1" si="1"/>
        <v>0.50366197171699545</v>
      </c>
      <c r="J29" s="19">
        <f t="shared" ca="1" si="2"/>
        <v>-0.69920507047149483</v>
      </c>
      <c r="K29" s="19">
        <f t="shared" ca="1" si="3"/>
        <v>-1.6090742027030609E-2</v>
      </c>
      <c r="L29" s="19">
        <f t="array" aca="1" ref="L29:M29" ca="1">MMULT(J29:K29,TRANSPOSE($B$10:$C$11))</f>
        <v>-0.69920507047149483</v>
      </c>
      <c r="M29" s="19">
        <f ca="1"/>
        <v>0.48975573906473591</v>
      </c>
      <c r="N29" s="20">
        <f t="shared" ca="1" si="29"/>
        <v>5.5420341239961944E-2</v>
      </c>
      <c r="O29" s="20">
        <f t="shared" ca="1" si="5"/>
        <v>-1.0410441845837073E-2</v>
      </c>
      <c r="P29" s="19">
        <f t="shared" ca="1" si="12"/>
        <v>92.580311079663133</v>
      </c>
      <c r="Q29" s="19">
        <f ca="1">HCTrans(P29,Strike,RiskFreeRate,Dividend,Variance_T0*AnnualVarConvtr,(Simulation!G29)/250,0.5,Variance_Avg*AnnualVarConvtr,Lambda,SQRT(Simulation!N29),Rho,1,"Call")</f>
        <v>22.716270039864682</v>
      </c>
      <c r="R29" s="19">
        <f t="shared" ca="1" si="6"/>
        <v>0.73394737129758847</v>
      </c>
      <c r="S29" s="19">
        <f t="shared" ca="1" si="7"/>
        <v>4.2289088669601585E-2</v>
      </c>
      <c r="T29" s="19">
        <f t="shared" ca="1" si="13"/>
        <v>-2.464851660881239</v>
      </c>
      <c r="U29" s="19">
        <f t="shared" ca="1" si="14"/>
        <v>15.539451704652215</v>
      </c>
      <c r="V29" s="21">
        <f t="shared" ca="1" si="15"/>
        <v>5.2340155828271668E-6</v>
      </c>
      <c r="W29">
        <f t="shared" ca="1" si="16"/>
        <v>2.2877971026354516E-3</v>
      </c>
      <c r="X29" s="22">
        <f t="shared" ref="X29" ca="1" si="68">BSdelta(1,P29,Strike,W29*AnnualVarConvtr,Dividend,RiskFreeRate,G29/250)</f>
        <v>1.3062566339013707E-2</v>
      </c>
      <c r="Y29" s="22">
        <f t="shared" ca="1" si="23"/>
        <v>-4.1104583546376858</v>
      </c>
      <c r="Z29" s="22">
        <f t="shared" ca="1" si="24"/>
        <v>20.573553002047568</v>
      </c>
      <c r="AA29">
        <f t="shared" si="9"/>
        <v>0.73884103340948371</v>
      </c>
      <c r="AB29">
        <f t="shared" ref="AB29" ca="1" si="69">BSdelta(1,P29,Strike,AA29/AnnualVarConvtr,Dividend,RiskFreeRate,G29/250)</f>
        <v>4.3356098710969758E-2</v>
      </c>
      <c r="AC29">
        <f t="shared" ca="1" si="19"/>
        <v>-2.472482047461265</v>
      </c>
      <c r="AD29">
        <f t="shared" ca="1" si="20"/>
        <v>15.431007559513933</v>
      </c>
    </row>
    <row r="30" spans="2:30" x14ac:dyDescent="0.25">
      <c r="G30" s="19">
        <v>225</v>
      </c>
      <c r="H30" s="19">
        <f t="shared" ca="1" si="1"/>
        <v>2.8095304548031885E-2</v>
      </c>
      <c r="I30" s="19">
        <f t="shared" ca="1" si="1"/>
        <v>0.50547611662977543</v>
      </c>
      <c r="J30" s="19">
        <f t="shared" ca="1" si="2"/>
        <v>-2.6713013711946938</v>
      </c>
      <c r="K30" s="19">
        <f t="shared" ca="1" si="3"/>
        <v>-9.1948971351887274E-2</v>
      </c>
      <c r="L30" s="19">
        <f t="array" aca="1" ref="L30:M30" ca="1">MMULT(J30:K30,TRANSPOSE($B$10:$C$11))</f>
        <v>-2.6713013711946938</v>
      </c>
      <c r="M30" s="19">
        <f ca="1"/>
        <v>1.8498450169842071</v>
      </c>
      <c r="N30" s="20">
        <f t="shared" ca="1" si="29"/>
        <v>6.63563954617893E-2</v>
      </c>
      <c r="O30" s="20">
        <f t="shared" ca="1" si="5"/>
        <v>-4.3520540068215867E-2</v>
      </c>
      <c r="P30" s="19">
        <f t="shared" ca="1" si="12"/>
        <v>88.637583054837705</v>
      </c>
      <c r="Q30" s="19">
        <f ca="1">HCTrans(P30,Strike,RiskFreeRate,Dividend,Variance_T0*AnnualVarConvtr,(Simulation!G30)/250,0.5,Variance_Avg*AnnualVarConvtr,Lambda,SQRT(Simulation!N30),Rho,1,"Call")</f>
        <v>20.257734465845061</v>
      </c>
      <c r="R30" s="19">
        <f t="shared" ca="1" si="6"/>
        <v>0.73063727146388058</v>
      </c>
      <c r="S30" s="19">
        <f t="shared" ca="1" si="7"/>
        <v>3.1722095400389476E-3</v>
      </c>
      <c r="T30" s="19">
        <f t="shared" ca="1" si="13"/>
        <v>-3.4672256226926561</v>
      </c>
      <c r="U30" s="19">
        <f t="shared" ca="1" si="14"/>
        <v>16.54814175332525</v>
      </c>
      <c r="V30" s="21">
        <f t="shared" ca="1" si="15"/>
        <v>1.0962786042955713E-3</v>
      </c>
      <c r="W30">
        <f t="shared" ca="1" si="16"/>
        <v>3.3110098222378793E-2</v>
      </c>
      <c r="X30" s="22">
        <f t="shared" ref="X30" ca="1" si="70">BSdelta(1,P30,Strike,W30*AnnualVarConvtr,Dividend,RiskFreeRate,G30/250)</f>
        <v>0.5021825480530302</v>
      </c>
      <c r="Y30" s="22">
        <f t="shared" ca="1" si="23"/>
        <v>43.354413002956839</v>
      </c>
      <c r="Z30" s="22">
        <f t="shared" ca="1" si="24"/>
        <v>-25.239395574928892</v>
      </c>
      <c r="AA30">
        <f t="shared" si="9"/>
        <v>0.73884103340948371</v>
      </c>
      <c r="AB30">
        <f t="shared" ref="AB30" ca="1" si="71">BSdelta(1,P30,Strike,AA30/AnnualVarConvtr,Dividend,RiskFreeRate,G30/250)</f>
        <v>3.4812484307372485E-3</v>
      </c>
      <c r="AC30">
        <f t="shared" ca="1" si="19"/>
        <v>-3.5344103535133273</v>
      </c>
      <c r="AD30">
        <f t="shared" ca="1" si="20"/>
        <v>16.506882339007639</v>
      </c>
    </row>
    <row r="31" spans="2:30" x14ac:dyDescent="0.25">
      <c r="G31" s="19">
        <v>224</v>
      </c>
      <c r="H31" s="19">
        <f t="shared" ref="H31:I94" ca="1" si="72">RAND()</f>
        <v>0.214835426235503</v>
      </c>
      <c r="I31" s="19">
        <f t="shared" ca="1" si="72"/>
        <v>0.85623441485204976</v>
      </c>
      <c r="J31" s="19">
        <f t="shared" ca="1" si="2"/>
        <v>1.0856235454603949</v>
      </c>
      <c r="K31" s="19">
        <f t="shared" ca="1" si="3"/>
        <v>-1.3773843052023202</v>
      </c>
      <c r="L31" s="19">
        <f t="array" aca="1" ref="L31:M31" ca="1">MMULT(J31:K31,TRANSPOSE($B$10:$C$11))</f>
        <v>1.0856235454603949</v>
      </c>
      <c r="M31" s="19">
        <f ca="1"/>
        <v>-1.7386947814416782</v>
      </c>
      <c r="N31" s="20">
        <f t="shared" ca="1" si="29"/>
        <v>5.5514147961273824E-2</v>
      </c>
      <c r="O31" s="20">
        <f t="shared" ca="1" si="5"/>
        <v>1.6177488094156877E-2</v>
      </c>
      <c r="P31" s="19">
        <f t="shared" ca="1" si="12"/>
        <v>90.083178019850862</v>
      </c>
      <c r="Q31" s="19">
        <f ca="1">HCTrans(P31,Strike,RiskFreeRate,Dividend,Variance_T0*AnnualVarConvtr,(Simulation!G31)/250,0.5,Variance_Avg*AnnualVarConvtr,Lambda,SQRT(Simulation!N31),Rho,1,"Call")</f>
        <v>21.107662645020127</v>
      </c>
      <c r="R31" s="19">
        <f t="shared" ca="1" si="6"/>
        <v>0.73290960962523133</v>
      </c>
      <c r="S31" s="19">
        <f t="shared" ca="1" si="7"/>
        <v>9.1796352428032517E-3</v>
      </c>
      <c r="T31" s="19">
        <f t="shared" ca="1" si="13"/>
        <v>0.54116799902314439</v>
      </c>
      <c r="U31" s="19">
        <f t="shared" ca="1" si="14"/>
        <v>16.856901933477172</v>
      </c>
      <c r="V31" s="21">
        <f t="shared" ca="1" si="15"/>
        <v>3.563854566475449E-3</v>
      </c>
      <c r="W31">
        <f t="shared" ca="1" si="16"/>
        <v>5.969802816237274E-2</v>
      </c>
      <c r="X31" s="22">
        <f t="shared" ref="X31" ca="1" si="73">BSdelta(1,P31,Strike,W31*AnnualVarConvtr,Dividend,RiskFreeRate,G31/250)</f>
        <v>0.62924383842913889</v>
      </c>
      <c r="Y31" s="22">
        <f t="shared" ca="1" si="23"/>
        <v>11.446084840382962</v>
      </c>
      <c r="Z31" s="22">
        <f t="shared" ca="1" si="24"/>
        <v>-35.835552236136792</v>
      </c>
      <c r="AA31">
        <f t="shared" si="9"/>
        <v>0.73884103340948371</v>
      </c>
      <c r="AB31">
        <f t="shared" ref="AB31" ca="1" si="74">BSdelta(1,P31,Strike,AA31/AnnualVarConvtr,Dividend,RiskFreeRate,G31/250)</f>
        <v>9.6675761869496717E-3</v>
      </c>
      <c r="AC31">
        <f t="shared" ca="1" si="19"/>
        <v>0.55728406455202817</v>
      </c>
      <c r="AD31">
        <f t="shared" ca="1" si="20"/>
        <v>16.799526453630676</v>
      </c>
    </row>
    <row r="32" spans="2:30" x14ac:dyDescent="0.25">
      <c r="G32" s="19">
        <v>223</v>
      </c>
      <c r="H32" s="19">
        <f t="shared" ca="1" si="72"/>
        <v>0.81013609376667395</v>
      </c>
      <c r="I32" s="19">
        <f t="shared" ca="1" si="72"/>
        <v>0.27872582385043421</v>
      </c>
      <c r="J32" s="19">
        <f t="shared" ca="1" si="2"/>
        <v>-0.11648971219066002</v>
      </c>
      <c r="K32" s="19">
        <f t="shared" ca="1" si="3"/>
        <v>0.63838562313056846</v>
      </c>
      <c r="L32" s="19">
        <f t="array" aca="1" ref="L32:M32" ca="1">MMULT(J32:K32,TRANSPOSE($B$10:$C$11))</f>
        <v>-0.11648971219066002</v>
      </c>
      <c r="M32" s="19">
        <f ca="1"/>
        <v>0.5287944487756121</v>
      </c>
      <c r="N32" s="20">
        <f t="shared" ca="1" si="29"/>
        <v>5.8354261404387014E-2</v>
      </c>
      <c r="O32" s="20">
        <f t="shared" ca="1" si="5"/>
        <v>-1.7797289140548764E-3</v>
      </c>
      <c r="P32" s="19">
        <f t="shared" ca="1" si="12"/>
        <v>89.922996964966671</v>
      </c>
      <c r="Q32" s="19">
        <f ca="1">HCTrans(P32,Strike,RiskFreeRate,Dividend,Variance_T0*AnnualVarConvtr,(Simulation!G32)/250,0.5,Variance_Avg*AnnualVarConvtr,Lambda,SQRT(Simulation!N32),Rho,1,"Call")</f>
        <v>20.945219172487342</v>
      </c>
      <c r="R32" s="19">
        <f t="shared" ca="1" si="6"/>
        <v>0.73244717705611895</v>
      </c>
      <c r="S32" s="19">
        <f t="shared" ca="1" si="7"/>
        <v>8.0670059006451925E-3</v>
      </c>
      <c r="T32" s="19">
        <f t="shared" ca="1" si="13"/>
        <v>-0.10005096495801202</v>
      </c>
      <c r="U32" s="19">
        <f t="shared" ca="1" si="14"/>
        <v>16.794509425902397</v>
      </c>
      <c r="V32" s="21">
        <f t="shared" ca="1" si="15"/>
        <v>3.2246164268000954E-4</v>
      </c>
      <c r="W32">
        <f t="shared" ca="1" si="16"/>
        <v>1.7957217008211755E-2</v>
      </c>
      <c r="X32" s="22">
        <f t="shared" ref="X32" ca="1" si="75">BSdelta(1,P32,Strike,W32*AnnualVarConvtr,Dividend,RiskFreeRate,G32/250)</f>
        <v>0.39665426952843175</v>
      </c>
      <c r="Y32" s="22">
        <f t="shared" ca="1" si="23"/>
        <v>-20.915151098341195</v>
      </c>
      <c r="Z32" s="22">
        <f t="shared" ca="1" si="24"/>
        <v>-15.082844610328383</v>
      </c>
      <c r="AA32">
        <f t="shared" si="9"/>
        <v>0.73884103340948371</v>
      </c>
      <c r="AB32">
        <f t="shared" ref="AB32" ca="1" si="76">BSdelta(1,P32,Strike,AA32/AnnualVarConvtr,Dividend,RiskFreeRate,G32/250)</f>
        <v>8.5472374948969213E-3</v>
      </c>
      <c r="AC32">
        <f t="shared" ca="1" si="19"/>
        <v>-0.1007442128051942</v>
      </c>
      <c r="AD32">
        <f t="shared" ca="1" si="20"/>
        <v>16.737827193903083</v>
      </c>
    </row>
    <row r="33" spans="7:30" x14ac:dyDescent="0.25">
      <c r="G33" s="19">
        <v>222</v>
      </c>
      <c r="H33" s="19">
        <f t="shared" ca="1" si="72"/>
        <v>0.56828897077444107</v>
      </c>
      <c r="I33" s="19">
        <f t="shared" ca="1" si="72"/>
        <v>0.8228629362761074</v>
      </c>
      <c r="J33" s="19">
        <f t="shared" ca="1" si="2"/>
        <v>0.46988950724628981</v>
      </c>
      <c r="K33" s="19">
        <f t="shared" ca="1" si="3"/>
        <v>-0.95365314843243842</v>
      </c>
      <c r="L33" s="19">
        <f t="array" aca="1" ref="L33:M33" ca="1">MMULT(J33:K33,TRANSPOSE($B$10:$C$11))</f>
        <v>0.46988950724628981</v>
      </c>
      <c r="M33" s="19">
        <f ca="1"/>
        <v>-1.0019319579013126</v>
      </c>
      <c r="N33" s="20">
        <f t="shared" ca="1" si="29"/>
        <v>5.2298436526756524E-2</v>
      </c>
      <c r="O33" s="20">
        <f t="shared" ca="1" si="5"/>
        <v>6.7962617327125266E-3</v>
      </c>
      <c r="P33" s="19">
        <f t="shared" ca="1" si="12"/>
        <v>90.5362186352679</v>
      </c>
      <c r="Q33" s="19">
        <f ca="1">HCTrans(P33,Strike,RiskFreeRate,Dividend,Variance_T0*AnnualVarConvtr,(Simulation!G33)/250,0.5,Variance_Avg*AnnualVarConvtr,Lambda,SQRT(Simulation!N33),Rho,1,"Call")</f>
        <v>21.284444000639994</v>
      </c>
      <c r="R33" s="19">
        <f t="shared" ca="1" si="6"/>
        <v>0.73363524619750353</v>
      </c>
      <c r="S33" s="19">
        <f t="shared" ca="1" si="7"/>
        <v>1.2162139560136825E-2</v>
      </c>
      <c r="T33" s="19">
        <f t="shared" ca="1" si="13"/>
        <v>0.37075791633637917</v>
      </c>
      <c r="U33" s="19">
        <f t="shared" ca="1" si="14"/>
        <v>16.762976337718669</v>
      </c>
      <c r="V33" s="21">
        <f t="shared" ca="1" si="15"/>
        <v>7.3547615573441971E-5</v>
      </c>
      <c r="W33">
        <f t="shared" ca="1" si="16"/>
        <v>8.5759906467674021E-3</v>
      </c>
      <c r="X33" s="22">
        <f t="shared" ref="X33" ca="1" si="77">BSdelta(1,P33,Strike,W33*AnnualVarConvtr,Dividend,RiskFreeRate,G33/250)</f>
        <v>0.23756049471368484</v>
      </c>
      <c r="Y33" s="22">
        <f t="shared" ca="1" si="23"/>
        <v>-14.403748780138004</v>
      </c>
      <c r="Z33" s="22">
        <f t="shared" ca="1" si="24"/>
        <v>-0.33987100203772691</v>
      </c>
      <c r="AA33">
        <f t="shared" si="9"/>
        <v>0.73884103340948371</v>
      </c>
      <c r="AB33">
        <f t="shared" ref="AB33" ca="1" si="78">BSdelta(1,P33,Strike,AA33/AnnualVarConvtr,Dividend,RiskFreeRate,G33/250)</f>
        <v>1.268270054942934E-2</v>
      </c>
      <c r="AC33">
        <f t="shared" ca="1" si="19"/>
        <v>0.37440918726321992</v>
      </c>
      <c r="AD33">
        <f t="shared" ca="1" si="20"/>
        <v>16.702642834792517</v>
      </c>
    </row>
    <row r="34" spans="7:30" x14ac:dyDescent="0.25">
      <c r="G34" s="19">
        <v>221</v>
      </c>
      <c r="H34" s="19">
        <f t="shared" ca="1" si="72"/>
        <v>2.2740911525341523E-2</v>
      </c>
      <c r="I34" s="19">
        <f t="shared" ca="1" si="72"/>
        <v>0.395442958089679</v>
      </c>
      <c r="J34" s="19">
        <f t="shared" ca="1" si="2"/>
        <v>-2.1782825198460869</v>
      </c>
      <c r="K34" s="19">
        <f t="shared" ca="1" si="3"/>
        <v>1.6799597249112812</v>
      </c>
      <c r="L34" s="19">
        <f t="array" aca="1" ref="L34:M34" ca="1">MMULT(J34:K34,TRANSPOSE($B$10:$C$11))</f>
        <v>-2.1782825198460869</v>
      </c>
      <c r="M34" s="19">
        <f ca="1"/>
        <v>2.7326576435338694</v>
      </c>
      <c r="N34" s="20">
        <f t="shared" ca="1" si="29"/>
        <v>6.850438878384392E-2</v>
      </c>
      <c r="O34" s="20">
        <f t="shared" ca="1" si="5"/>
        <v>-3.6058146587944644E-2</v>
      </c>
      <c r="P34" s="19">
        <f t="shared" ca="1" si="12"/>
        <v>87.329806437271813</v>
      </c>
      <c r="Q34" s="19">
        <f ca="1">HCTrans(P34,Strike,RiskFreeRate,Dividend,Variance_T0*AnnualVarConvtr,(Simulation!G34)/250,0.5,Variance_Avg*AnnualVarConvtr,Lambda,SQRT(Simulation!N34),Rho,1,"Call")</f>
        <v>19.278988547796317</v>
      </c>
      <c r="R34" s="19">
        <f t="shared" ca="1" si="6"/>
        <v>0.72978785212660646</v>
      </c>
      <c r="S34" s="19">
        <f t="shared" ca="1" si="7"/>
        <v>9.6698691863213605E-4</v>
      </c>
      <c r="T34" s="19">
        <f t="shared" ca="1" si="13"/>
        <v>-0.97767051321831677</v>
      </c>
      <c r="U34" s="19">
        <f t="shared" ca="1" si="14"/>
        <v>15.73519139809331</v>
      </c>
      <c r="V34" s="21">
        <f t="shared" ca="1" si="15"/>
        <v>1.8365003125136105E-3</v>
      </c>
      <c r="W34">
        <f t="shared" ca="1" si="16"/>
        <v>4.2854408320657171E-2</v>
      </c>
      <c r="X34" s="22">
        <f t="shared" ref="X34" ca="1" si="79">BSdelta(1,P34,Strike,W34*AnnualVarConvtr,Dividend,RiskFreeRate,G34/250)</f>
        <v>0.54216200346432042</v>
      </c>
      <c r="Y34" s="22">
        <f t="shared" ca="1" si="23"/>
        <v>26.600790799693961</v>
      </c>
      <c r="Z34" s="22">
        <f t="shared" ca="1" si="24"/>
        <v>-28.946117254575363</v>
      </c>
      <c r="AA34">
        <f t="shared" si="9"/>
        <v>0.73884103340948371</v>
      </c>
      <c r="AB34">
        <f t="shared" ref="AB34" ca="1" si="80">BSdelta(1,P34,Strike,AA34/AnnualVarConvtr,Dividend,RiskFreeRate,G34/250)</f>
        <v>1.1005431615918912E-3</v>
      </c>
      <c r="AC34">
        <f t="shared" ca="1" si="19"/>
        <v>-1.011467562805862</v>
      </c>
      <c r="AD34">
        <f t="shared" ca="1" si="20"/>
        <v>15.708654944754702</v>
      </c>
    </row>
    <row r="35" spans="7:30" x14ac:dyDescent="0.25">
      <c r="G35" s="19">
        <v>220</v>
      </c>
      <c r="H35" s="19">
        <f t="shared" ca="1" si="72"/>
        <v>5.9905465987116213E-2</v>
      </c>
      <c r="I35" s="19">
        <f t="shared" ca="1" si="72"/>
        <v>0.97243848427469315</v>
      </c>
      <c r="J35" s="19">
        <f t="shared" ca="1" si="2"/>
        <v>2.3372670464195391</v>
      </c>
      <c r="K35" s="19">
        <f t="shared" ca="1" si="3"/>
        <v>-0.40884936838119534</v>
      </c>
      <c r="L35" s="19">
        <f t="array" aca="1" ref="L35:M35" ca="1">MMULT(J35:K35,TRANSPOSE($B$10:$C$11))</f>
        <v>2.3372670464195391</v>
      </c>
      <c r="M35" s="19">
        <f ca="1"/>
        <v>-1.9598598804436029</v>
      </c>
      <c r="N35" s="20">
        <f t="shared" ca="1" si="29"/>
        <v>5.6177983361593242E-2</v>
      </c>
      <c r="O35" s="20">
        <f t="shared" ca="1" si="5"/>
        <v>3.5036555559522134E-2</v>
      </c>
      <c r="P35" s="19">
        <f t="shared" ca="1" si="12"/>
        <v>90.443774874461056</v>
      </c>
      <c r="Q35" s="19">
        <f ca="1">HCTrans(P35,Strike,RiskFreeRate,Dividend,Variance_T0*AnnualVarConvtr,(Simulation!G35)/250,0.5,Variance_Avg*AnnualVarConvtr,Lambda,SQRT(Simulation!N35),Rho,1,"Call")</f>
        <v>21.101861090889855</v>
      </c>
      <c r="R35" s="19">
        <f t="shared" ca="1" si="6"/>
        <v>0.73307513925291046</v>
      </c>
      <c r="S35" s="19">
        <f t="shared" ca="1" si="7"/>
        <v>1.1079551168476382E-2</v>
      </c>
      <c r="T35" s="19">
        <f t="shared" ca="1" si="13"/>
        <v>0.91461848441643623</v>
      </c>
      <c r="U35" s="19">
        <f t="shared" ca="1" si="14"/>
        <v>16.643445456770412</v>
      </c>
      <c r="V35" s="21">
        <f t="shared" ca="1" si="15"/>
        <v>5.0544566734370159E-3</v>
      </c>
      <c r="W35">
        <f t="shared" ca="1" si="16"/>
        <v>7.1094702147466771E-2</v>
      </c>
      <c r="X35" s="22">
        <f t="shared" ref="X35" ca="1" si="81">BSdelta(1,P35,Strike,W35*AnnualVarConvtr,Dividend,RiskFreeRate,G35/250)</f>
        <v>0.66713010001807516</v>
      </c>
      <c r="Y35" s="22">
        <f t="shared" ca="1" si="23"/>
        <v>11.302586391197705</v>
      </c>
      <c r="Z35" s="22">
        <f t="shared" ca="1" si="24"/>
        <v>-38.425831102679531</v>
      </c>
      <c r="AA35">
        <f t="shared" si="9"/>
        <v>0.73884103340948371</v>
      </c>
      <c r="AB35">
        <f t="shared" ref="AB35" ca="1" si="82">BSdelta(1,P35,Strike,AA35/AnnualVarConvtr,Dividend,RiskFreeRate,G35/250)</f>
        <v>1.1620905781733947E-2</v>
      </c>
      <c r="AC35">
        <f t="shared" ca="1" si="19"/>
        <v>0.95150130841382341</v>
      </c>
      <c r="AD35">
        <f t="shared" ca="1" si="20"/>
        <v>16.580026179434416</v>
      </c>
    </row>
    <row r="36" spans="7:30" x14ac:dyDescent="0.25">
      <c r="G36" s="19">
        <v>219</v>
      </c>
      <c r="H36" s="19">
        <f t="shared" ca="1" si="72"/>
        <v>0.85280050600087176</v>
      </c>
      <c r="I36" s="19">
        <f t="shared" ca="1" si="72"/>
        <v>0.73353841375323092</v>
      </c>
      <c r="J36" s="19">
        <f t="shared" ca="1" si="2"/>
        <v>-5.8264479307431734E-2</v>
      </c>
      <c r="K36" s="19">
        <f t="shared" ca="1" si="3"/>
        <v>-0.56130607952460387</v>
      </c>
      <c r="L36" s="19">
        <f t="array" aca="1" ref="L36:M36" ca="1">MMULT(J36:K36,TRANSPOSE($B$10:$C$11))</f>
        <v>-5.8264479307431734E-2</v>
      </c>
      <c r="M36" s="19">
        <f ca="1"/>
        <v>-0.34981337594156192</v>
      </c>
      <c r="N36" s="20">
        <f t="shared" ca="1" si="29"/>
        <v>5.3902880335841868E-2</v>
      </c>
      <c r="O36" s="20">
        <f t="shared" ca="1" si="5"/>
        <v>-8.5553907849513226E-4</v>
      </c>
      <c r="P36" s="19">
        <f t="shared" ca="1" si="12"/>
        <v>90.366429781241933</v>
      </c>
      <c r="Q36" s="19">
        <f ca="1">HCTrans(P36,Strike,RiskFreeRate,Dividend,Variance_T0*AnnualVarConvtr,(Simulation!G36)/250,0.5,Variance_Avg*AnnualVarConvtr,Lambda,SQRT(Simulation!N36),Rho,1,"Call")</f>
        <v>21.012584039342457</v>
      </c>
      <c r="R36" s="19">
        <f t="shared" ca="1" si="6"/>
        <v>0.73340067115101204</v>
      </c>
      <c r="S36" s="19">
        <f t="shared" ca="1" si="7"/>
        <v>1.0399444031652329E-2</v>
      </c>
      <c r="T36" s="19">
        <f t="shared" ca="1" si="13"/>
        <v>-6.1458853823532292E-2</v>
      </c>
      <c r="U36" s="19">
        <f t="shared" ca="1" si="14"/>
        <v>16.615627259046544</v>
      </c>
      <c r="V36" s="21">
        <f t="shared" ca="1" si="15"/>
        <v>1.2882424575043877E-3</v>
      </c>
      <c r="W36">
        <f t="shared" ca="1" si="16"/>
        <v>3.5892094638017263E-2</v>
      </c>
      <c r="X36" s="22">
        <f t="shared" ref="X36" ca="1" si="83">BSdelta(1,P36,Strike,W36*AnnualVarConvtr,Dividend,RiskFreeRate,G36/250)</f>
        <v>0.52983918368634497</v>
      </c>
      <c r="Y36" s="22">
        <f t="shared" ca="1" si="23"/>
        <v>-12.406489950293658</v>
      </c>
      <c r="Z36" s="22">
        <f t="shared" ca="1" si="24"/>
        <v>-26.108618203933272</v>
      </c>
      <c r="AA36">
        <f t="shared" si="9"/>
        <v>0.73884103340948371</v>
      </c>
      <c r="AB36">
        <f t="shared" ref="AB36" ca="1" si="84">BSdelta(1,P36,Strike,AA36/AnnualVarConvtr,Dividend,RiskFreeRate,G36/250)</f>
        <v>1.0887404238880278E-2</v>
      </c>
      <c r="AC36">
        <f t="shared" ca="1" si="19"/>
        <v>-6.6283915666718721E-2</v>
      </c>
      <c r="AD36">
        <f t="shared" ca="1" si="20"/>
        <v>16.557033043553737</v>
      </c>
    </row>
    <row r="37" spans="7:30" x14ac:dyDescent="0.25">
      <c r="G37" s="19">
        <v>218</v>
      </c>
      <c r="H37" s="19">
        <f t="shared" ca="1" si="72"/>
        <v>0.94199527726059229</v>
      </c>
      <c r="I37" s="19">
        <f t="shared" ca="1" si="72"/>
        <v>0.7238829643110225</v>
      </c>
      <c r="J37" s="19">
        <f t="shared" ca="1" si="2"/>
        <v>-5.6474846324389559E-2</v>
      </c>
      <c r="K37" s="19">
        <f t="shared" ca="1" si="3"/>
        <v>-0.34105810006052467</v>
      </c>
      <c r="L37" s="19">
        <f t="array" aca="1" ref="L37:M37" ca="1">MMULT(J37:K37,TRANSPOSE($B$10:$C$11))</f>
        <v>-5.6474846324389559E-2</v>
      </c>
      <c r="M37" s="19">
        <f ca="1"/>
        <v>-0.19745350060671585</v>
      </c>
      <c r="N37" s="20">
        <f t="shared" ca="1" si="29"/>
        <v>5.2536263449231679E-2</v>
      </c>
      <c r="O37" s="20">
        <f t="shared" ca="1" si="5"/>
        <v>-8.186808730668184E-4</v>
      </c>
      <c r="P37" s="19">
        <f t="shared" ca="1" si="12"/>
        <v>90.29247878887459</v>
      </c>
      <c r="Q37" s="19">
        <f ca="1">HCTrans(P37,Strike,RiskFreeRate,Dividend,Variance_T0*AnnualVarConvtr,(Simulation!G37)/250,0.5,Variance_Avg*AnnualVarConvtr,Lambda,SQRT(Simulation!N37),Rho,1,"Call")</f>
        <v>20.920929479996687</v>
      </c>
      <c r="R37" s="19">
        <f t="shared" ca="1" si="6"/>
        <v>0.73359765757217377</v>
      </c>
      <c r="S37" s="19">
        <f t="shared" ca="1" si="7"/>
        <v>9.7645903954429805E-3</v>
      </c>
      <c r="T37" s="19">
        <f t="shared" ca="1" si="13"/>
        <v>-5.7322508481472509E-2</v>
      </c>
      <c r="U37" s="19">
        <f t="shared" ca="1" si="14"/>
        <v>16.581295208182247</v>
      </c>
      <c r="V37" s="21">
        <f t="shared" ca="1" si="15"/>
        <v>1.3585273073957857E-9</v>
      </c>
      <c r="W37">
        <f t="shared" ca="1" si="16"/>
        <v>3.6858205428313864E-5</v>
      </c>
      <c r="X37" s="22">
        <f t="shared" ref="X37" ca="1" si="85">BSdelta(1,P37,Strike,W37*AnnualVarConvtr,Dividend,RiskFreeRate,G37/250)</f>
        <v>0</v>
      </c>
      <c r="Y37" s="22">
        <f t="shared" ca="1" si="23"/>
        <v>-47.84049325451393</v>
      </c>
      <c r="Z37" s="22">
        <f t="shared" ca="1" si="24"/>
        <v>21.640220491234889</v>
      </c>
      <c r="AA37">
        <f t="shared" si="9"/>
        <v>0.73884103340948371</v>
      </c>
      <c r="AB37">
        <f t="shared" ref="AB37" ca="1" si="86">BSdelta(1,P37,Strike,AA37/AnnualVarConvtr,Dividend,RiskFreeRate,G37/250)</f>
        <v>1.0214033928577771E-2</v>
      </c>
      <c r="AC37">
        <f t="shared" ca="1" si="19"/>
        <v>-6.080027446004703E-2</v>
      </c>
      <c r="AD37">
        <f t="shared" ca="1" si="20"/>
        <v>16.526178758668014</v>
      </c>
    </row>
    <row r="38" spans="7:30" x14ac:dyDescent="0.25">
      <c r="G38" s="19">
        <v>217</v>
      </c>
      <c r="H38" s="19">
        <f t="shared" ca="1" si="72"/>
        <v>0.41073672936029515</v>
      </c>
      <c r="I38" s="19">
        <f t="shared" ca="1" si="72"/>
        <v>0.27914085347831163</v>
      </c>
      <c r="J38" s="19">
        <f t="shared" ca="1" si="2"/>
        <v>-0.24289283971018116</v>
      </c>
      <c r="K38" s="19">
        <f t="shared" ca="1" si="3"/>
        <v>1.3117197605500861</v>
      </c>
      <c r="L38" s="19">
        <f t="array" aca="1" ref="L38:M38" ca="1">MMULT(J38:K38,TRANSPOSE($B$10:$C$11))</f>
        <v>-0.24289283971018116</v>
      </c>
      <c r="M38" s="19">
        <f ca="1"/>
        <v>1.0890714920637303</v>
      </c>
      <c r="N38" s="20">
        <f t="shared" ca="1" si="29"/>
        <v>5.8594240691669311E-2</v>
      </c>
      <c r="O38" s="20">
        <f t="shared" ca="1" si="5"/>
        <v>-3.7185375669548004E-3</v>
      </c>
      <c r="P38" s="19">
        <f t="shared" ca="1" si="12"/>
        <v>89.957346302026693</v>
      </c>
      <c r="Q38" s="19">
        <f ca="1">HCTrans(P38,Strike,RiskFreeRate,Dividend,Variance_T0*AnnualVarConvtr,(Simulation!G38)/250,0.5,Variance_Avg*AnnualVarConvtr,Lambda,SQRT(Simulation!N38),Rho,1,"Call")</f>
        <v>20.639380001996514</v>
      </c>
      <c r="R38" s="19">
        <f t="shared" ca="1" si="6"/>
        <v>0.73258827903404256</v>
      </c>
      <c r="S38" s="19">
        <f t="shared" ca="1" si="7"/>
        <v>7.5457665183385342E-3</v>
      </c>
      <c r="T38" s="19">
        <f t="shared" ca="1" si="13"/>
        <v>-0.1995995078958902</v>
      </c>
      <c r="U38" s="19">
        <f t="shared" ca="1" si="14"/>
        <v>16.499345238077964</v>
      </c>
      <c r="V38" s="21">
        <f t="shared" ca="1" si="15"/>
        <v>8.4091688450869363E-6</v>
      </c>
      <c r="W38">
        <f t="shared" ca="1" si="16"/>
        <v>2.8998566938879819E-3</v>
      </c>
      <c r="X38" s="22">
        <f t="shared" ref="X38" ca="1" si="87">BSdelta(1,P38,Strike,W38*AnnualVarConvtr,Dividend,RiskFreeRate,G38/250)</f>
        <v>7.0210691718912404E-3</v>
      </c>
      <c r="Y38" s="22">
        <f t="shared" ca="1" si="23"/>
        <v>0.63159675090630407</v>
      </c>
      <c r="Z38" s="22">
        <f t="shared" ca="1" si="24"/>
        <v>20.727074262328411</v>
      </c>
      <c r="AA38">
        <f t="shared" si="9"/>
        <v>0.73884103340948371</v>
      </c>
      <c r="AB38">
        <f t="shared" ref="AB38" ca="1" si="88">BSdelta(1,P38,Strike,AA38/AnnualVarConvtr,Dividend,RiskFreeRate,G38/250)</f>
        <v>7.9928522027244223E-3</v>
      </c>
      <c r="AC38">
        <f t="shared" ca="1" si="19"/>
        <v>-0.19981161371232301</v>
      </c>
      <c r="AD38">
        <f t="shared" ca="1" si="20"/>
        <v>16.444440894380165</v>
      </c>
    </row>
    <row r="39" spans="7:30" x14ac:dyDescent="0.25">
      <c r="G39" s="19">
        <v>216</v>
      </c>
      <c r="H39" s="19">
        <f t="shared" ca="1" si="72"/>
        <v>0.45246642578466989</v>
      </c>
      <c r="I39" s="19">
        <f t="shared" ca="1" si="72"/>
        <v>0.52635770885248656</v>
      </c>
      <c r="J39" s="19">
        <f t="shared" ca="1" si="2"/>
        <v>-1.2421668548563081</v>
      </c>
      <c r="K39" s="19">
        <f t="shared" ca="1" si="3"/>
        <v>-0.20761728301876115</v>
      </c>
      <c r="L39" s="19">
        <f t="array" aca="1" ref="L39:M39" ca="1">MMULT(J39:K39,TRANSPOSE($B$10:$C$11))</f>
        <v>-1.2421668548563081</v>
      </c>
      <c r="M39" s="19">
        <f ca="1"/>
        <v>0.7451814149321988</v>
      </c>
      <c r="N39" s="20">
        <f t="shared" ca="1" si="29"/>
        <v>6.2827422321288962E-2</v>
      </c>
      <c r="O39" s="20">
        <f t="shared" ca="1" si="5"/>
        <v>-1.9691760871705412E-2</v>
      </c>
      <c r="P39" s="19">
        <f t="shared" ca="1" si="12"/>
        <v>88.203255004153021</v>
      </c>
      <c r="Q39" s="19">
        <f ca="1">HCTrans(P39,Strike,RiskFreeRate,Dividend,Variance_T0*AnnualVarConvtr,(Simulation!G39)/250,0.5,Variance_Avg*AnnualVarConvtr,Lambda,SQRT(Simulation!N39),Rho,1,"Call")</f>
        <v>19.542448486676008</v>
      </c>
      <c r="R39" s="19">
        <f t="shared" ca="1" si="6"/>
        <v>0.73117974332695368</v>
      </c>
      <c r="S39" s="19">
        <f t="shared" ca="1" si="7"/>
        <v>1.8730705878872288E-3</v>
      </c>
      <c r="T39" s="19">
        <f t="shared" ca="1" si="13"/>
        <v>-0.50035024571461761</v>
      </c>
      <c r="U39" s="19">
        <f t="shared" ca="1" si="14"/>
        <v>15.902763968472076</v>
      </c>
      <c r="V39" s="21">
        <f t="shared" ca="1" si="15"/>
        <v>2.5514386274342807E-4</v>
      </c>
      <c r="W39">
        <f t="shared" ca="1" si="16"/>
        <v>1.5973223304750612E-2</v>
      </c>
      <c r="X39" s="22">
        <f t="shared" ref="X39" ca="1" si="89">BSdelta(1,P39,Strike,W39*AnnualVarConvtr,Dividend,RiskFreeRate,G39/250)</f>
        <v>0.33821939229136855</v>
      </c>
      <c r="Y39" s="22">
        <f t="shared" ca="1" si="23"/>
        <v>29.212770151055128</v>
      </c>
      <c r="Z39" s="22">
        <f t="shared" ca="1" si="24"/>
        <v>-9.5826274040472228</v>
      </c>
      <c r="AA39">
        <f t="shared" si="9"/>
        <v>0.73884103340948371</v>
      </c>
      <c r="AB39">
        <f t="shared" ref="AB39" ca="1" si="90">BSdelta(1,P39,Strike,AA39/AnnualVarConvtr,Dividend,RiskFreeRate,G39/250)</f>
        <v>2.0635737051233403E-3</v>
      </c>
      <c r="AC39">
        <f t="shared" ca="1" si="19"/>
        <v>-0.52298166331454954</v>
      </c>
      <c r="AD39">
        <f t="shared" ca="1" si="20"/>
        <v>15.870491042374208</v>
      </c>
    </row>
    <row r="40" spans="7:30" x14ac:dyDescent="0.25">
      <c r="G40" s="19">
        <v>215</v>
      </c>
      <c r="H40" s="19">
        <f t="shared" ca="1" si="72"/>
        <v>0.41404320353064583</v>
      </c>
      <c r="I40" s="19">
        <f t="shared" ca="1" si="72"/>
        <v>0.99234860217627663</v>
      </c>
      <c r="J40" s="19">
        <f t="shared" ca="1" si="2"/>
        <v>1.3264603459999853</v>
      </c>
      <c r="K40" s="19">
        <f t="shared" ca="1" si="3"/>
        <v>-6.3818954741532818E-2</v>
      </c>
      <c r="L40" s="19">
        <f t="array" aca="1" ref="L40:M40" ca="1">MMULT(J40:K40,TRANSPOSE($B$10:$C$11))</f>
        <v>1.3264603459999853</v>
      </c>
      <c r="M40" s="19">
        <f ca="1"/>
        <v>-0.99492811691930239</v>
      </c>
      <c r="N40" s="20">
        <f t="shared" ca="1" si="29"/>
        <v>5.6565564314601267E-2</v>
      </c>
      <c r="O40" s="20">
        <f t="shared" ca="1" si="5"/>
        <v>1.9952638273214071E-2</v>
      </c>
      <c r="P40" s="19">
        <f t="shared" ca="1" si="12"/>
        <v>89.980817202157198</v>
      </c>
      <c r="Q40" s="19">
        <f ca="1">HCTrans(P40,Strike,RiskFreeRate,Dividend,Variance_T0*AnnualVarConvtr,(Simulation!G40)/250,0.5,Variance_Avg*AnnualVarConvtr,Lambda,SQRT(Simulation!N40),Rho,1,"Call")</f>
        <v>20.553315375309438</v>
      </c>
      <c r="R40" s="19">
        <f t="shared" ca="1" si="6"/>
        <v>0.73294588040808173</v>
      </c>
      <c r="S40" s="19">
        <f t="shared" ca="1" si="7"/>
        <v>7.4588470223353083E-3</v>
      </c>
      <c r="T40" s="19">
        <f t="shared" ca="1" si="13"/>
        <v>0.5026127282801901</v>
      </c>
      <c r="U40" s="19">
        <f t="shared" ca="1" si="14"/>
        <v>16.411018128825315</v>
      </c>
      <c r="V40" s="21">
        <f t="shared" ca="1" si="15"/>
        <v>1.5716783835616926E-3</v>
      </c>
      <c r="W40">
        <f t="shared" ca="1" si="16"/>
        <v>3.9644399144919483E-2</v>
      </c>
      <c r="X40" s="22">
        <f t="shared" ref="X40" ca="1" si="91">BSdelta(1,P40,Strike,W40*AnnualVarConvtr,Dividend,RiskFreeRate,G40/250)</f>
        <v>0.54341235614742722</v>
      </c>
      <c r="Y40" s="22">
        <f t="shared" ca="1" si="23"/>
        <v>18.463430571900865</v>
      </c>
      <c r="Z40" s="22">
        <f t="shared" ca="1" si="24"/>
        <v>-27.035191087314658</v>
      </c>
      <c r="AA40">
        <f t="shared" si="9"/>
        <v>0.73884103340948371</v>
      </c>
      <c r="AB40">
        <f t="shared" ref="AB40" ca="1" si="92">BSdelta(1,P40,Strike,AA40/AnnualVarConvtr,Dividend,RiskFreeRate,G40/250)</f>
        <v>7.8761837872008342E-3</v>
      </c>
      <c r="AC40">
        <f t="shared" ca="1" si="19"/>
        <v>0.52302340526283086</v>
      </c>
      <c r="AD40">
        <f t="shared" ca="1" si="20"/>
        <v>16.358334525744809</v>
      </c>
    </row>
    <row r="41" spans="7:30" x14ac:dyDescent="0.25">
      <c r="G41" s="19">
        <v>214</v>
      </c>
      <c r="H41" s="19">
        <f t="shared" ca="1" si="72"/>
        <v>0.32812348313329021</v>
      </c>
      <c r="I41" s="19">
        <f t="shared" ca="1" si="72"/>
        <v>0.44210340922164848</v>
      </c>
      <c r="J41" s="19">
        <f t="shared" ca="1" si="2"/>
        <v>-1.3951988814593732</v>
      </c>
      <c r="K41" s="19">
        <f t="shared" ca="1" si="3"/>
        <v>0.53117851813880523</v>
      </c>
      <c r="L41" s="19">
        <f t="array" aca="1" ref="L41:M41" ca="1">MMULT(J41:K41,TRANSPOSE($B$10:$C$11))</f>
        <v>-1.3951988814593732</v>
      </c>
      <c r="M41" s="19">
        <f ca="1"/>
        <v>1.3702032760147818</v>
      </c>
      <c r="N41" s="20">
        <f t="shared" ca="1" si="29"/>
        <v>6.4575990551007156E-2</v>
      </c>
      <c r="O41" s="20">
        <f t="shared" ca="1" si="5"/>
        <v>-2.2423409771473637E-2</v>
      </c>
      <c r="P41" s="19">
        <f t="shared" ca="1" si="12"/>
        <v>87.985593921764206</v>
      </c>
      <c r="Q41" s="19">
        <f ca="1">HCTrans(P41,Strike,RiskFreeRate,Dividend,Variance_T0*AnnualVarConvtr,(Simulation!G41)/250,0.5,Variance_Avg*AnnualVarConvtr,Lambda,SQRT(Simulation!N41),Rho,1,"Call")</f>
        <v>19.301078742913575</v>
      </c>
      <c r="R41" s="19">
        <f t="shared" ca="1" si="6"/>
        <v>0.73087402575912364</v>
      </c>
      <c r="S41" s="19">
        <f t="shared" ca="1" si="7"/>
        <v>1.4817152737881248E-3</v>
      </c>
      <c r="T41" s="19">
        <f t="shared" ca="1" si="13"/>
        <v>-0.52590148684455695</v>
      </c>
      <c r="U41" s="19">
        <f t="shared" ca="1" si="14"/>
        <v>15.684682983274008</v>
      </c>
      <c r="V41" s="21">
        <f t="shared" ca="1" si="15"/>
        <v>1.7957294478856813E-3</v>
      </c>
      <c r="W41">
        <f t="shared" ca="1" si="16"/>
        <v>4.2376048044687711E-2</v>
      </c>
      <c r="X41" s="22">
        <f t="shared" ref="X41" ca="1" si="93">BSdelta(1,P41,Strike,W41*AnnualVarConvtr,Dividend,RiskFreeRate,G41/250)</f>
        <v>0.54120762318676174</v>
      </c>
      <c r="Y41" s="22">
        <f t="shared" ca="1" si="23"/>
        <v>-0.19398473898304175</v>
      </c>
      <c r="Z41" s="22">
        <f t="shared" ca="1" si="24"/>
        <v>-28.093442980727481</v>
      </c>
      <c r="AA41">
        <f t="shared" si="9"/>
        <v>0.73884103340948371</v>
      </c>
      <c r="AB41">
        <f t="shared" ref="AB41" ca="1" si="94">BSdelta(1,P41,Strike,AA41/AnnualVarConvtr,Dividend,RiskFreeRate,G41/250)</f>
        <v>1.6463639703523498E-3</v>
      </c>
      <c r="AC41">
        <f t="shared" ca="1" si="19"/>
        <v>-0.54813439661099017</v>
      </c>
      <c r="AD41">
        <f t="shared" ca="1" si="20"/>
        <v>15.654232289959936</v>
      </c>
    </row>
    <row r="42" spans="7:30" x14ac:dyDescent="0.25">
      <c r="G42" s="19">
        <v>213</v>
      </c>
      <c r="H42" s="19">
        <f t="shared" ca="1" si="72"/>
        <v>0.31464834002515507</v>
      </c>
      <c r="I42" s="19">
        <f t="shared" ca="1" si="72"/>
        <v>0.96244951614575636</v>
      </c>
      <c r="J42" s="19">
        <f t="shared" ca="1" si="2"/>
        <v>1.4785928910898805</v>
      </c>
      <c r="K42" s="19">
        <f t="shared" ca="1" si="3"/>
        <v>-0.35547482570657796</v>
      </c>
      <c r="L42" s="19">
        <f t="array" aca="1" ref="L42:M42" ca="1">MMULT(J42:K42,TRANSPOSE($B$10:$C$11))</f>
        <v>1.4785928910898805</v>
      </c>
      <c r="M42" s="19">
        <f ca="1"/>
        <v>-1.307386456174074</v>
      </c>
      <c r="N42" s="20">
        <f t="shared" ca="1" si="29"/>
        <v>5.6381540245780216E-2</v>
      </c>
      <c r="O42" s="20">
        <f t="shared" ca="1" si="5"/>
        <v>2.2204810819555693E-2</v>
      </c>
      <c r="P42" s="19">
        <f t="shared" ca="1" si="12"/>
        <v>89.961149639556695</v>
      </c>
      <c r="Q42" s="19">
        <f ca="1">HCTrans(P42,Strike,RiskFreeRate,Dividend,Variance_T0*AnnualVarConvtr,(Simulation!G42)/250,0.5,Variance_Avg*AnnualVarConvtr,Lambda,SQRT(Simulation!N42),Rho,1,"Call")</f>
        <v>20.432539569214882</v>
      </c>
      <c r="R42" s="19">
        <f t="shared" ca="1" si="6"/>
        <v>0.73301748944198319</v>
      </c>
      <c r="S42" s="19">
        <f t="shared" ca="1" si="7"/>
        <v>7.1261751315827779E-3</v>
      </c>
      <c r="T42" s="19">
        <f t="shared" ca="1" si="13"/>
        <v>0.50778209790153572</v>
      </c>
      <c r="U42" s="19">
        <f t="shared" ca="1" si="14"/>
        <v>16.308361711673779</v>
      </c>
      <c r="V42" s="21">
        <f t="shared" ca="1" si="15"/>
        <v>1.9916780731215745E-3</v>
      </c>
      <c r="W42">
        <f t="shared" ca="1" si="16"/>
        <v>4.4628220591029333E-2</v>
      </c>
      <c r="X42" s="22">
        <f t="shared" ref="X42" ca="1" si="95">BSdelta(1,P42,Strike,W42*AnnualVarConvtr,Dividend,RiskFreeRate,G42/250)</f>
        <v>0.56483450462395246</v>
      </c>
      <c r="Y42" s="22">
        <f t="shared" ca="1" si="23"/>
        <v>2.1255014164871784</v>
      </c>
      <c r="Z42" s="22">
        <f t="shared" ca="1" si="24"/>
        <v>-29.087483570913353</v>
      </c>
      <c r="AA42">
        <f t="shared" si="9"/>
        <v>0.73884103340948371</v>
      </c>
      <c r="AB42">
        <f t="shared" ref="AB42" ca="1" si="96">BSdelta(1,P42,Strike,AA42/AnnualVarConvtr,Dividend,RiskFreeRate,G42/250)</f>
        <v>7.5247989051549528E-3</v>
      </c>
      <c r="AC42">
        <f t="shared" ca="1" si="19"/>
        <v>0.52883076481617475</v>
      </c>
      <c r="AD42">
        <f t="shared" ca="1" si="20"/>
        <v>16.256862351445069</v>
      </c>
    </row>
    <row r="43" spans="7:30" x14ac:dyDescent="0.25">
      <c r="G43" s="19">
        <v>212</v>
      </c>
      <c r="H43" s="19">
        <f t="shared" ca="1" si="72"/>
        <v>0.84846754013391346</v>
      </c>
      <c r="I43" s="19">
        <f t="shared" ca="1" si="72"/>
        <v>0.84355638346205009</v>
      </c>
      <c r="J43" s="19">
        <f t="shared" ca="1" si="2"/>
        <v>0.31791571251618717</v>
      </c>
      <c r="K43" s="19">
        <f t="shared" ca="1" si="3"/>
        <v>-0.47704978879544968</v>
      </c>
      <c r="L43" s="19">
        <f t="array" aca="1" ref="L43:M43" ca="1">MMULT(J43:K43,TRANSPOSE($B$10:$C$11))</f>
        <v>0.31791571251618717</v>
      </c>
      <c r="M43" s="19">
        <f ca="1"/>
        <v>-0.56057038260659053</v>
      </c>
      <c r="N43" s="20">
        <f t="shared" ca="1" si="29"/>
        <v>5.2903428732422313E-2</v>
      </c>
      <c r="O43" s="20">
        <f t="shared" ca="1" si="5"/>
        <v>4.6247035439516034E-3</v>
      </c>
      <c r="P43" s="19">
        <f t="shared" ca="1" si="12"/>
        <v>90.378156811143413</v>
      </c>
      <c r="Q43" s="19">
        <f ca="1">HCTrans(P43,Strike,RiskFreeRate,Dividend,Variance_T0*AnnualVarConvtr,(Simulation!G43)/250,0.5,Variance_Avg*AnnualVarConvtr,Lambda,SQRT(Simulation!N43),Rho,1,"Call")</f>
        <v>20.638829786612945</v>
      </c>
      <c r="R43" s="19">
        <f t="shared" ca="1" si="6"/>
        <v>0.73373639578500538</v>
      </c>
      <c r="S43" s="19">
        <f t="shared" ca="1" si="7"/>
        <v>9.486968495425593E-3</v>
      </c>
      <c r="T43" s="19">
        <f t="shared" ca="1" si="13"/>
        <v>0.2133641528360927</v>
      </c>
      <c r="U43" s="19">
        <f t="shared" ca="1" si="14"/>
        <v>16.30128777623575</v>
      </c>
      <c r="V43" s="21">
        <f t="shared" ca="1" si="15"/>
        <v>3.0906017182174785E-4</v>
      </c>
      <c r="W43">
        <f t="shared" ca="1" si="16"/>
        <v>1.7580107275604089E-2</v>
      </c>
      <c r="X43" s="22">
        <f t="shared" ref="X43" ca="1" si="97">BSdelta(1,P43,Strike,W43*AnnualVarConvtr,Dividend,RiskFreeRate,G43/250)</f>
        <v>0.39463961143374104</v>
      </c>
      <c r="Y43" s="22">
        <f t="shared" ca="1" si="23"/>
        <v>-15.381900745200731</v>
      </c>
      <c r="Z43" s="22">
        <f t="shared" ca="1" si="24"/>
        <v>-13.499292608314558</v>
      </c>
      <c r="AA43">
        <f t="shared" si="9"/>
        <v>0.73884103340948371</v>
      </c>
      <c r="AB43">
        <f t="shared" ref="AB43" ca="1" si="98">BSdelta(1,P43,Strike,AA43/AnnualVarConvtr,Dividend,RiskFreeRate,G43/250)</f>
        <v>9.9153017096962632E-3</v>
      </c>
      <c r="AC43">
        <f t="shared" ca="1" si="19"/>
        <v>0.21604923732631265</v>
      </c>
      <c r="AD43">
        <f t="shared" ca="1" si="20"/>
        <v>16.247103331516819</v>
      </c>
    </row>
    <row r="44" spans="7:30" x14ac:dyDescent="0.25">
      <c r="G44" s="19">
        <v>211</v>
      </c>
      <c r="H44" s="19">
        <f t="shared" ca="1" si="72"/>
        <v>0.50193164982092742</v>
      </c>
      <c r="I44" s="19">
        <f t="shared" ca="1" si="72"/>
        <v>0.4071407191498656</v>
      </c>
      <c r="J44" s="19">
        <f t="shared" ca="1" si="2"/>
        <v>-0.97988929984839201</v>
      </c>
      <c r="K44" s="19">
        <f t="shared" ca="1" si="3"/>
        <v>0.64683816262950955</v>
      </c>
      <c r="L44" s="19">
        <f t="array" aca="1" ref="L44:M44" ca="1">MMULT(J44:K44,TRANSPOSE($B$10:$C$11))</f>
        <v>-0.97988929984839201</v>
      </c>
      <c r="M44" s="19">
        <f ca="1"/>
        <v>1.1533166357758544</v>
      </c>
      <c r="N44" s="20">
        <f t="shared" ca="1" si="29"/>
        <v>5.9364798338186059E-2</v>
      </c>
      <c r="O44" s="20">
        <f t="shared" ca="1" si="5"/>
        <v>-1.5099810930580002E-2</v>
      </c>
      <c r="P44" s="19">
        <f t="shared" ca="1" si="12"/>
        <v>89.023715370648645</v>
      </c>
      <c r="Q44" s="19">
        <f ca="1">HCTrans(P44,Strike,RiskFreeRate,Dividend,Variance_T0*AnnualVarConvtr,(Simulation!G44)/250,0.5,Variance_Avg*AnnualVarConvtr,Lambda,SQRT(Simulation!N44),Rho,1,"Call")</f>
        <v>19.761419412484386</v>
      </c>
      <c r="R44" s="19">
        <f t="shared" ca="1" si="6"/>
        <v>0.73220893654310026</v>
      </c>
      <c r="S44" s="19">
        <f t="shared" ca="1" si="7"/>
        <v>3.3478149572586011E-3</v>
      </c>
      <c r="T44" s="19">
        <f t="shared" ca="1" si="13"/>
        <v>-0.5465302571984888</v>
      </c>
      <c r="U44" s="19">
        <f t="shared" ca="1" si="14"/>
        <v>15.97040765930568</v>
      </c>
      <c r="V44" s="21">
        <f t="shared" ca="1" si="15"/>
        <v>3.8905647125600686E-4</v>
      </c>
      <c r="W44">
        <f t="shared" ca="1" si="16"/>
        <v>1.9724514474531607E-2</v>
      </c>
      <c r="X44" s="22">
        <f t="shared" ref="X44" ca="1" si="99">BSdelta(1,P44,Strike,W44*AnnualVarConvtr,Dividend,RiskFreeRate,G44/250)</f>
        <v>0.3964522406340264</v>
      </c>
      <c r="Y44" s="22">
        <f t="shared" ca="1" si="23"/>
        <v>0.16136698599872981</v>
      </c>
      <c r="Z44" s="22">
        <f t="shared" ca="1" si="24"/>
        <v>-14.538069968441846</v>
      </c>
      <c r="AA44">
        <f t="shared" si="9"/>
        <v>0.73884103340948371</v>
      </c>
      <c r="AB44">
        <f t="shared" ref="AB44" ca="1" si="100">BSdelta(1,P44,Strike,AA44/AnnualVarConvtr,Dividend,RiskFreeRate,G44/250)</f>
        <v>3.6060238425756229E-3</v>
      </c>
      <c r="AC44">
        <f t="shared" ca="1" si="19"/>
        <v>-0.5616753570368811</v>
      </c>
      <c r="AD44">
        <f t="shared" ca="1" si="20"/>
        <v>15.931368314425141</v>
      </c>
    </row>
    <row r="45" spans="7:30" x14ac:dyDescent="0.25">
      <c r="G45" s="19">
        <v>210</v>
      </c>
      <c r="H45" s="19">
        <f t="shared" ca="1" si="72"/>
        <v>0.58079112821914647</v>
      </c>
      <c r="I45" s="19">
        <f t="shared" ca="1" si="72"/>
        <v>0.30558976555847006</v>
      </c>
      <c r="J45" s="19">
        <f t="shared" ca="1" si="2"/>
        <v>-0.35675374633829565</v>
      </c>
      <c r="K45" s="19">
        <f t="shared" ca="1" si="3"/>
        <v>0.97951771084527839</v>
      </c>
      <c r="L45" s="19">
        <f t="array" aca="1" ref="L45:M45" ca="1">MMULT(J45:K45,TRANSPOSE($B$10:$C$11))</f>
        <v>-0.35675374633829565</v>
      </c>
      <c r="M45" s="19">
        <f ca="1"/>
        <v>0.93891297007301189</v>
      </c>
      <c r="N45" s="20">
        <f t="shared" ca="1" si="29"/>
        <v>6.4829342882697621E-2</v>
      </c>
      <c r="O45" s="20">
        <f t="shared" ca="1" si="5"/>
        <v>-5.7449247952368887E-3</v>
      </c>
      <c r="P45" s="19">
        <f t="shared" ca="1" si="12"/>
        <v>88.513747088155966</v>
      </c>
      <c r="Q45" s="19">
        <f ca="1">HCTrans(P45,Strike,RiskFreeRate,Dividend,Variance_T0*AnnualVarConvtr,(Simulation!G45)/250,0.5,Variance_Avg*AnnualVarConvtr,Lambda,SQRT(Simulation!N45),Rho,1,"Call")</f>
        <v>19.386509127365628</v>
      </c>
      <c r="R45" s="19">
        <f t="shared" ca="1" si="6"/>
        <v>0.7312090942071362</v>
      </c>
      <c r="S45" s="19">
        <f t="shared" ca="1" si="7"/>
        <v>2.1350896571001314E-3</v>
      </c>
      <c r="T45" s="19">
        <f t="shared" ca="1" si="13"/>
        <v>-0.10734286050563482</v>
      </c>
      <c r="U45" s="19">
        <f t="shared" ca="1" si="14"/>
        <v>15.702840234692557</v>
      </c>
      <c r="V45" s="21">
        <f t="shared" ca="1" si="15"/>
        <v>8.7513894605234808E-5</v>
      </c>
      <c r="W45">
        <f t="shared" ca="1" si="16"/>
        <v>9.3548861353431132E-3</v>
      </c>
      <c r="X45" s="22">
        <f t="shared" ref="X45" ca="1" si="101">BSdelta(1,P45,Strike,W45*AnnualVarConvtr,Dividend,RiskFreeRate,G45/250)</f>
        <v>0.20263552141110536</v>
      </c>
      <c r="Y45" s="22">
        <f t="shared" ca="1" si="23"/>
        <v>-17.15544406675377</v>
      </c>
      <c r="Z45" s="22">
        <f t="shared" ca="1" si="24"/>
        <v>2.2424638131931651</v>
      </c>
      <c r="AA45">
        <f t="shared" si="9"/>
        <v>0.73884103340948371</v>
      </c>
      <c r="AB45">
        <f t="shared" ref="AB45" ca="1" si="102">BSdelta(1,P45,Strike,AA45/AnnualVarConvtr,Dividend,RiskFreeRate,G45/250)</f>
        <v>2.3454718037359329E-3</v>
      </c>
      <c r="AC45">
        <f t="shared" ca="1" si="19"/>
        <v>-0.11157618435731567</v>
      </c>
      <c r="AD45">
        <f t="shared" ca="1" si="20"/>
        <v>15.668034213663699</v>
      </c>
    </row>
    <row r="46" spans="7:30" x14ac:dyDescent="0.25">
      <c r="G46" s="19">
        <v>209</v>
      </c>
      <c r="H46" s="19">
        <f t="shared" ca="1" si="72"/>
        <v>0.58188502384836904</v>
      </c>
      <c r="I46" s="19">
        <f t="shared" ca="1" si="72"/>
        <v>0.76917750044737243</v>
      </c>
      <c r="J46" s="19">
        <f t="shared" ca="1" si="2"/>
        <v>0.12509144106381487</v>
      </c>
      <c r="K46" s="19">
        <f t="shared" ca="1" si="3"/>
        <v>-1.0331103232263197</v>
      </c>
      <c r="L46" s="19">
        <f t="array" aca="1" ref="L46:M46" ca="1">MMULT(J46:K46,TRANSPOSE($B$10:$C$11))</f>
        <v>0.12509144106381487</v>
      </c>
      <c r="M46" s="19">
        <f ca="1"/>
        <v>-0.81031244293188776</v>
      </c>
      <c r="N46" s="20">
        <f t="shared" ca="1" si="29"/>
        <v>5.9562722676044358E-2</v>
      </c>
      <c r="O46" s="20">
        <f t="shared" ca="1" si="5"/>
        <v>1.9308336640180101E-3</v>
      </c>
      <c r="P46" s="19">
        <f t="shared" ca="1" si="12"/>
        <v>88.684817511881107</v>
      </c>
      <c r="Q46" s="19">
        <f ca="1">HCTrans(P46,Strike,RiskFreeRate,Dividend,Variance_T0*AnnualVarConvtr,(Simulation!G46)/250,0.5,Variance_Avg*AnnualVarConvtr,Lambda,SQRT(Simulation!N46),Rho,1,"Call")</f>
        <v>19.454392613599666</v>
      </c>
      <c r="R46" s="19">
        <f t="shared" ca="1" si="6"/>
        <v>0.73207547696482089</v>
      </c>
      <c r="S46" s="19">
        <f t="shared" ca="1" si="7"/>
        <v>2.4361254879568298E-3</v>
      </c>
      <c r="T46" s="19">
        <f t="shared" ca="1" si="13"/>
        <v>2.6697307724063805E-2</v>
      </c>
      <c r="U46" s="19">
        <f t="shared" ca="1" si="14"/>
        <v>15.744026413202532</v>
      </c>
      <c r="V46" s="21">
        <f t="shared" ca="1" si="15"/>
        <v>5.8917267924823148E-5</v>
      </c>
      <c r="W46">
        <f t="shared" ca="1" si="16"/>
        <v>7.6757584592548993E-3</v>
      </c>
      <c r="X46" s="22">
        <f t="shared" ref="X46" ca="1" si="103">BSdelta(1,P46,Strike,W46*AnnualVarConvtr,Dividend,RiskFreeRate,G46/250)</f>
        <v>0.15229223422670296</v>
      </c>
      <c r="Y46" s="22">
        <f t="shared" ca="1" si="23"/>
        <v>-4.4646852368969494</v>
      </c>
      <c r="Z46" s="22">
        <f t="shared" ca="1" si="24"/>
        <v>6.7750325363241526</v>
      </c>
      <c r="AA46">
        <f t="shared" si="9"/>
        <v>0.73884103340948371</v>
      </c>
      <c r="AB46">
        <f t="shared" ref="AB46" ca="1" si="104">BSdelta(1,P46,Strike,AA46/AnnualVarConvtr,Dividend,RiskFreeRate,G46/250)</f>
        <v>2.6419940403178124E-3</v>
      </c>
      <c r="AC46">
        <f t="shared" ca="1" si="19"/>
        <v>2.6297020439478822E-2</v>
      </c>
      <c r="AD46">
        <f t="shared" ca="1" si="20"/>
        <v>15.709620679458258</v>
      </c>
    </row>
    <row r="47" spans="7:30" x14ac:dyDescent="0.25">
      <c r="G47" s="19">
        <v>208</v>
      </c>
      <c r="H47" s="19">
        <f t="shared" ca="1" si="72"/>
        <v>0.29735688890390721</v>
      </c>
      <c r="I47" s="19">
        <f t="shared" ca="1" si="72"/>
        <v>0.61495793195291626</v>
      </c>
      <c r="J47" s="19">
        <f t="shared" ca="1" si="2"/>
        <v>-1.1685312225550117</v>
      </c>
      <c r="K47" s="19">
        <f t="shared" ca="1" si="3"/>
        <v>-1.0296500438442682</v>
      </c>
      <c r="L47" s="19">
        <f t="array" aca="1" ref="L47:M47" ca="1">MMULT(J47:K47,TRANSPOSE($B$10:$C$11))</f>
        <v>-1.1685312225550117</v>
      </c>
      <c r="M47" s="19">
        <f ca="1"/>
        <v>0.11898204178034033</v>
      </c>
      <c r="N47" s="20">
        <f t="shared" ca="1" si="29"/>
        <v>5.999847163417061E-2</v>
      </c>
      <c r="O47" s="20">
        <f t="shared" ca="1" si="5"/>
        <v>-1.8102577292172968E-2</v>
      </c>
      <c r="P47" s="19">
        <f t="shared" ca="1" si="12"/>
        <v>87.093837613728539</v>
      </c>
      <c r="Q47" s="19">
        <f ca="1">HCTrans(P47,Strike,RiskFreeRate,Dividend,Variance_T0*AnnualVarConvtr,(Simulation!G47)/250,0.5,Variance_Avg*AnnualVarConvtr,Lambda,SQRT(Simulation!N47),Rho,1,"Call")</f>
        <v>18.48887609699652</v>
      </c>
      <c r="R47" s="19">
        <f t="shared" ca="1" si="6"/>
        <v>0.73127793136578623</v>
      </c>
      <c r="S47" s="19">
        <f t="shared" ca="1" si="7"/>
        <v>5.6805376649525648E-4</v>
      </c>
      <c r="T47" s="19">
        <f t="shared" ca="1" si="13"/>
        <v>-0.16269753515977262</v>
      </c>
      <c r="U47" s="19">
        <f t="shared" ca="1" si="14"/>
        <v>14.941207431759159</v>
      </c>
      <c r="V47" s="21">
        <f t="shared" ca="1" si="15"/>
        <v>4.0133755453963273E-4</v>
      </c>
      <c r="W47">
        <f t="shared" ca="1" si="16"/>
        <v>2.0033410956190979E-2</v>
      </c>
      <c r="X47" s="22">
        <f t="shared" ref="X47" ca="1" si="105">BSdelta(1,P47,Strike,W47*AnnualVarConvtr,Dividend,RiskFreeRate,G47/250)</f>
        <v>0.36926333025377722</v>
      </c>
      <c r="Y47" s="22">
        <f t="shared" ca="1" si="23"/>
        <v>18.896845404254709</v>
      </c>
      <c r="Z47" s="22">
        <f t="shared" ca="1" si="24"/>
        <v>-13.087329384533701</v>
      </c>
      <c r="AA47">
        <f t="shared" si="9"/>
        <v>0.73884103340948371</v>
      </c>
      <c r="AB47">
        <f t="shared" ref="AB47" ca="1" si="106">BSdelta(1,P47,Strike,AA47/AnnualVarConvtr,Dividend,RiskFreeRate,G47/250)</f>
        <v>6.3937757104795556E-4</v>
      </c>
      <c r="AC47">
        <f t="shared" ca="1" si="19"/>
        <v>-0.17441555357716731</v>
      </c>
      <c r="AD47">
        <f t="shared" ca="1" si="20"/>
        <v>14.91851971643228</v>
      </c>
    </row>
    <row r="48" spans="7:30" x14ac:dyDescent="0.25">
      <c r="G48" s="19">
        <v>207</v>
      </c>
      <c r="H48" s="19">
        <f t="shared" ca="1" si="72"/>
        <v>0.58121142289426109</v>
      </c>
      <c r="I48" s="19">
        <f t="shared" ca="1" si="72"/>
        <v>0.97618469742614944</v>
      </c>
      <c r="J48" s="19">
        <f t="shared" ca="1" si="2"/>
        <v>1.0301270636015027</v>
      </c>
      <c r="K48" s="19">
        <f t="shared" ca="1" si="3"/>
        <v>-0.15530492532532178</v>
      </c>
      <c r="L48" s="19">
        <f t="array" aca="1" ref="L48:M48" ca="1">MMULT(J48:K48,TRANSPOSE($B$10:$C$11))</f>
        <v>1.0301270636015027</v>
      </c>
      <c r="M48" s="19">
        <f ca="1"/>
        <v>-0.84642475219847613</v>
      </c>
      <c r="N48" s="20">
        <f t="shared" ca="1" si="29"/>
        <v>5.4741696471096085E-2</v>
      </c>
      <c r="O48" s="20">
        <f t="shared" ca="1" si="5"/>
        <v>1.5243332360719234E-2</v>
      </c>
      <c r="P48" s="19">
        <f t="shared" ca="1" si="12"/>
        <v>88.43160806333438</v>
      </c>
      <c r="Q48" s="19">
        <f ca="1">HCTrans(P48,Strike,RiskFreeRate,Dividend,Variance_T0*AnnualVarConvtr,(Simulation!G48)/250,0.5,Variance_Avg*AnnualVarConvtr,Lambda,SQRT(Simulation!N48),Rho,1,"Call")</f>
        <v>19.221101962663951</v>
      </c>
      <c r="R48" s="19">
        <f t="shared" ca="1" si="6"/>
        <v>0.73272809825908136</v>
      </c>
      <c r="S48" s="19">
        <f t="shared" ca="1" si="7"/>
        <v>1.8995390958352868E-3</v>
      </c>
      <c r="T48" s="19">
        <f t="shared" ca="1" si="13"/>
        <v>0.11774538878627726</v>
      </c>
      <c r="U48" s="19">
        <f t="shared" ca="1" si="14"/>
        <v>15.555687908640312</v>
      </c>
      <c r="V48" s="21">
        <f t="shared" ca="1" si="15"/>
        <v>1.1119496905788496E-3</v>
      </c>
      <c r="W48">
        <f t="shared" ca="1" si="16"/>
        <v>3.3345909652892206E-2</v>
      </c>
      <c r="X48" s="22">
        <f t="shared" ref="X48" ca="1" si="107">BSdelta(1,P48,Strike,W48*AnnualVarConvtr,Dividend,RiskFreeRate,G48/250)</f>
        <v>0.49346944708529045</v>
      </c>
      <c r="Y48" s="22">
        <f t="shared" ca="1" si="23"/>
        <v>10.983746642713097</v>
      </c>
      <c r="Z48" s="22">
        <f t="shared" ca="1" si="24"/>
        <v>-23.338850161579366</v>
      </c>
      <c r="AA48">
        <f t="shared" si="9"/>
        <v>0.73884103340948371</v>
      </c>
      <c r="AB48">
        <f t="shared" ref="AB48" ca="1" si="108">BSdelta(1,P48,Strike,AA48/AnnualVarConvtr,Dividend,RiskFreeRate,G48/250)</f>
        <v>2.0518222733002015E-3</v>
      </c>
      <c r="AC48">
        <f t="shared" ca="1" si="19"/>
        <v>0.12490475632070365</v>
      </c>
      <c r="AD48">
        <f t="shared" ca="1" si="20"/>
        <v>15.525840825779008</v>
      </c>
    </row>
    <row r="49" spans="7:30" x14ac:dyDescent="0.25">
      <c r="G49" s="19">
        <v>206</v>
      </c>
      <c r="H49" s="19">
        <f t="shared" ca="1" si="72"/>
        <v>0.40360872756794386</v>
      </c>
      <c r="I49" s="19">
        <f t="shared" ca="1" si="72"/>
        <v>0.39171413985426307</v>
      </c>
      <c r="J49" s="19">
        <f t="shared" ca="1" si="2"/>
        <v>-1.0471289313577945</v>
      </c>
      <c r="K49" s="19">
        <f t="shared" ca="1" si="3"/>
        <v>0.8474312561996723</v>
      </c>
      <c r="L49" s="19">
        <f t="array" aca="1" ref="L49:M49" ca="1">MMULT(J49:K49,TRANSPOSE($B$10:$C$11))</f>
        <v>-1.0471289313577945</v>
      </c>
      <c r="M49" s="19">
        <f ca="1"/>
        <v>1.3414249844382393</v>
      </c>
      <c r="N49" s="20">
        <f t="shared" ca="1" si="29"/>
        <v>6.2455080697833294E-2</v>
      </c>
      <c r="O49" s="20">
        <f t="shared" ca="1" si="5"/>
        <v>-1.6550611391599631E-2</v>
      </c>
      <c r="P49" s="19">
        <f t="shared" ca="1" si="12"/>
        <v>86.980056054424679</v>
      </c>
      <c r="Q49" s="19">
        <f ca="1">HCTrans(P49,Strike,RiskFreeRate,Dividend,Variance_T0*AnnualVarConvtr,(Simulation!G49)/250,0.5,Variance_Avg*AnnualVarConvtr,Lambda,SQRT(Simulation!N49),Rho,1,"Call")</f>
        <v>18.304003499703768</v>
      </c>
      <c r="R49" s="19">
        <f t="shared" ca="1" si="6"/>
        <v>0.73090691127088203</v>
      </c>
      <c r="S49" s="19">
        <f t="shared" ca="1" si="7"/>
        <v>4.7785093290026842E-4</v>
      </c>
      <c r="T49" s="19">
        <f t="shared" ca="1" si="13"/>
        <v>-0.12365851610399994</v>
      </c>
      <c r="U49" s="19">
        <f t="shared" ca="1" si="14"/>
        <v>14.762247961784128</v>
      </c>
      <c r="V49" s="21">
        <f t="shared" ca="1" si="15"/>
        <v>1.0108548593256157E-3</v>
      </c>
      <c r="W49">
        <f t="shared" ca="1" si="16"/>
        <v>3.1793943752318865E-2</v>
      </c>
      <c r="X49" s="22">
        <f t="shared" ref="X49" ca="1" si="109">BSdelta(1,P49,Strike,W49*AnnualVarConvtr,Dividend,RiskFreeRate,G49/250)</f>
        <v>0.4691061048012285</v>
      </c>
      <c r="Y49" s="22">
        <f t="shared" ca="1" si="23"/>
        <v>-2.1191248775408433</v>
      </c>
      <c r="Z49" s="22">
        <f t="shared" ca="1" si="24"/>
        <v>-22.136823746998704</v>
      </c>
      <c r="AA49">
        <f t="shared" si="9"/>
        <v>0.73884103340948371</v>
      </c>
      <c r="AB49">
        <f t="shared" ref="AB49" ca="1" si="110">BSdelta(1,P49,Strike,AA49/AnnualVarConvtr,Dividend,RiskFreeRate,G49/250)</f>
        <v>5.428401853381829E-4</v>
      </c>
      <c r="AC49">
        <f t="shared" ca="1" si="19"/>
        <v>-0.13125134659605917</v>
      </c>
      <c r="AD49">
        <f t="shared" ca="1" si="20"/>
        <v>14.739993709414884</v>
      </c>
    </row>
    <row r="50" spans="7:30" x14ac:dyDescent="0.25">
      <c r="G50" s="19">
        <v>205</v>
      </c>
      <c r="H50" s="19">
        <f t="shared" ca="1" si="72"/>
        <v>0.70213461981434677</v>
      </c>
      <c r="I50" s="19">
        <f t="shared" ca="1" si="72"/>
        <v>0.43084708217692713</v>
      </c>
      <c r="J50" s="19">
        <f t="shared" ca="1" si="2"/>
        <v>-0.76284341399212274</v>
      </c>
      <c r="K50" s="19">
        <f t="shared" ca="1" si="3"/>
        <v>0.35402002793123388</v>
      </c>
      <c r="L50" s="19">
        <f t="array" aca="1" ref="L50:M50" ca="1">MMULT(J50:K50,TRANSPOSE($B$10:$C$11))</f>
        <v>-0.76284341399212274</v>
      </c>
      <c r="M50" s="19">
        <f ca="1"/>
        <v>0.79353710768494479</v>
      </c>
      <c r="N50" s="20">
        <f t="shared" ca="1" si="29"/>
        <v>6.7118690011115395E-2</v>
      </c>
      <c r="O50" s="20">
        <f t="shared" ca="1" si="5"/>
        <v>-1.2499341464757438E-2</v>
      </c>
      <c r="P50" s="19">
        <f t="shared" ca="1" si="12"/>
        <v>85.899629012977641</v>
      </c>
      <c r="Q50" s="19">
        <f ca="1">HCTrans(P50,Strike,RiskFreeRate,Dividend,Variance_T0*AnnualVarConvtr,(Simulation!G50)/250,0.5,Variance_Avg*AnnualVarConvtr,Lambda,SQRT(Simulation!N50),Rho,1,"Call")</f>
        <v>17.623119120951159</v>
      </c>
      <c r="R50" s="19">
        <f t="shared" ca="1" si="6"/>
        <v>0.72969268472964288</v>
      </c>
      <c r="S50" s="19">
        <f t="shared" ca="1" si="7"/>
        <v>1.4955048679281597E-4</v>
      </c>
      <c r="T50" s="19">
        <f t="shared" ca="1" si="13"/>
        <v>-2.8200886525425222E-2</v>
      </c>
      <c r="U50" s="19">
        <f t="shared" ca="1" si="14"/>
        <v>14.109564469556945</v>
      </c>
      <c r="V50" s="21">
        <f t="shared" ca="1" si="15"/>
        <v>1.6412788020135949E-5</v>
      </c>
      <c r="W50">
        <f t="shared" ca="1" si="16"/>
        <v>4.051269926842193E-3</v>
      </c>
      <c r="X50" s="22">
        <f t="shared" ref="X50" ca="1" si="111">BSdelta(1,P50,Strike,W50*AnnualVarConvtr,Dividend,RiskFreeRate,G50/250)</f>
        <v>4.7809250800969856E-3</v>
      </c>
      <c r="Y50" s="22">
        <f t="shared" ca="1" si="23"/>
        <v>-39.885360679429368</v>
      </c>
      <c r="Z50" s="22">
        <f t="shared" ca="1" si="24"/>
        <v>17.067652553678055</v>
      </c>
      <c r="AA50">
        <f t="shared" si="9"/>
        <v>0.73884103340948371</v>
      </c>
      <c r="AB50">
        <f t="shared" ref="AB50" ca="1" si="112">BSdelta(1,P50,Strike,AA50/AnnualVarConvtr,Dividend,RiskFreeRate,G50/250)</f>
        <v>1.7795828172448904E-4</v>
      </c>
      <c r="AC50">
        <f t="shared" ca="1" si="19"/>
        <v>-3.1343220153965366E-2</v>
      </c>
      <c r="AD50">
        <f t="shared" ca="1" si="20"/>
        <v>14.090452550816241</v>
      </c>
    </row>
    <row r="51" spans="7:30" x14ac:dyDescent="0.25">
      <c r="G51" s="19">
        <v>204</v>
      </c>
      <c r="H51" s="19">
        <f t="shared" ca="1" si="72"/>
        <v>1.7237387237073576E-2</v>
      </c>
      <c r="I51" s="19">
        <f t="shared" ca="1" si="72"/>
        <v>0.41174817291857491</v>
      </c>
      <c r="J51" s="19">
        <f t="shared" ca="1" si="2"/>
        <v>-2.4227913137059311</v>
      </c>
      <c r="K51" s="19">
        <f t="shared" ca="1" si="3"/>
        <v>1.5004770592856642</v>
      </c>
      <c r="L51" s="19">
        <f t="array" aca="1" ref="L51:M51" ca="1">MMULT(J51:K51,TRANSPOSE($B$10:$C$11))</f>
        <v>-2.4227913137059311</v>
      </c>
      <c r="M51" s="19">
        <f ca="1"/>
        <v>2.7826434036752641</v>
      </c>
      <c r="N51" s="20">
        <f t="shared" ca="1" si="29"/>
        <v>8.5640966178198066E-2</v>
      </c>
      <c r="O51" s="20">
        <f t="shared" ca="1" si="5"/>
        <v>-4.4842186720844196E-2</v>
      </c>
      <c r="P51" s="19">
        <f t="shared" ca="1" si="12"/>
        <v>82.132789648958791</v>
      </c>
      <c r="Q51" s="19">
        <f ca="1">HCTrans(P51,Strike,RiskFreeRate,Dividend,Variance_T0*AnnualVarConvtr,(Simulation!G51)/250,0.5,Variance_Avg*AnnualVarConvtr,Lambda,SQRT(Simulation!N51),Rho,1,"Call")</f>
        <v>15.443415464840314</v>
      </c>
      <c r="R51" s="19">
        <f t="shared" ca="1" si="6"/>
        <v>0.72484832171258951</v>
      </c>
      <c r="S51" s="19">
        <f t="shared" ca="1" si="7"/>
        <v>1.109527969506772E-6</v>
      </c>
      <c r="T51" s="19">
        <f t="shared" ca="1" si="13"/>
        <v>-1.2191870046324608E-2</v>
      </c>
      <c r="U51" s="19">
        <f t="shared" ca="1" si="14"/>
        <v>11.942052683492424</v>
      </c>
      <c r="V51" s="21">
        <f t="shared" ca="1" si="15"/>
        <v>1.0460596392591736E-3</v>
      </c>
      <c r="W51">
        <f t="shared" ca="1" si="16"/>
        <v>3.2342845256086758E-2</v>
      </c>
      <c r="X51" s="22">
        <f t="shared" ref="X51" ca="1" si="113">BSdelta(1,P51,Strike,W51*AnnualVarConvtr,Dividend,RiskFreeRate,G51/250)</f>
        <v>0.42264997663355885</v>
      </c>
      <c r="Y51" s="22">
        <f t="shared" ca="1" si="23"/>
        <v>34.3207509120504</v>
      </c>
      <c r="Z51" s="22">
        <f t="shared" ca="1" si="24"/>
        <v>-19.43280201448319</v>
      </c>
      <c r="AA51">
        <f t="shared" si="9"/>
        <v>0.73884103340948371</v>
      </c>
      <c r="AB51">
        <f t="shared" ref="AB51" ca="1" si="114">BSdelta(1,P51,Strike,AA51/AnnualVarConvtr,Dividend,RiskFreeRate,G51/250)</f>
        <v>1.7255976475301296E-6</v>
      </c>
      <c r="AC51">
        <f t="shared" ca="1" si="19"/>
        <v>-1.4474481970564276E-2</v>
      </c>
      <c r="AD51">
        <f t="shared" ca="1" si="20"/>
        <v>11.925223376675961</v>
      </c>
    </row>
    <row r="52" spans="7:30" x14ac:dyDescent="0.25">
      <c r="G52" s="19">
        <v>203</v>
      </c>
      <c r="H52" s="19">
        <f t="shared" ca="1" si="72"/>
        <v>0.87499364823500669</v>
      </c>
      <c r="I52" s="19">
        <f t="shared" ca="1" si="72"/>
        <v>0.33687112296690314</v>
      </c>
      <c r="J52" s="19">
        <f t="shared" ca="1" si="2"/>
        <v>-0.26828153467323884</v>
      </c>
      <c r="K52" s="19">
        <f t="shared" ca="1" si="3"/>
        <v>0.44170388471814159</v>
      </c>
      <c r="L52" s="19">
        <f t="array" aca="1" ref="L52:M52" ca="1">MMULT(J52:K52,TRANSPOSE($B$10:$C$11))</f>
        <v>-0.26828153467323884</v>
      </c>
      <c r="M52" s="19">
        <f ca="1"/>
        <v>0.50035064776615257</v>
      </c>
      <c r="N52" s="20">
        <f t="shared" ca="1" si="29"/>
        <v>8.8852333201886888E-2</v>
      </c>
      <c r="O52" s="20">
        <f t="shared" ca="1" si="5"/>
        <v>-5.057724812299054E-3</v>
      </c>
      <c r="P52" s="19">
        <f t="shared" ca="1" si="12"/>
        <v>81.718433334244153</v>
      </c>
      <c r="Q52" s="19">
        <f ca="1">HCTrans(P52,Strike,RiskFreeRate,Dividend,Variance_T0*AnnualVarConvtr,(Simulation!G52)/250,0.5,Variance_Avg*AnnualVarConvtr,Lambda,SQRT(Simulation!N52),Rho,1,"Call")</f>
        <v>15.159482423155779</v>
      </c>
      <c r="R52" s="19">
        <f t="shared" ca="1" si="6"/>
        <v>0.72414726127801887</v>
      </c>
      <c r="S52" s="19">
        <f t="shared" ca="1" si="7"/>
        <v>5.5431630141187811E-7</v>
      </c>
      <c r="T52" s="19">
        <f t="shared" ca="1" si="13"/>
        <v>-4.5371027685607079E-5</v>
      </c>
      <c r="U52" s="19">
        <f t="shared" ca="1" si="14"/>
        <v>11.658165012835575</v>
      </c>
      <c r="V52" s="21">
        <f t="shared" ca="1" si="15"/>
        <v>1.5828034093524795E-3</v>
      </c>
      <c r="W52">
        <f t="shared" ca="1" si="16"/>
        <v>3.9784461908545142E-2</v>
      </c>
      <c r="X52" s="22">
        <f t="shared" ref="X52" ca="1" si="115">BSdelta(1,P52,Strike,W52*AnnualVarConvtr,Dividend,RiskFreeRate,G52/250)</f>
        <v>0.47100369882124188</v>
      </c>
      <c r="Y52" s="22">
        <f t="shared" ca="1" si="23"/>
        <v>3.9513904230567376</v>
      </c>
      <c r="Z52" s="22">
        <f t="shared" ca="1" si="24"/>
        <v>-23.668125479224461</v>
      </c>
      <c r="AA52">
        <f t="shared" si="9"/>
        <v>0.73884103340948371</v>
      </c>
      <c r="AB52">
        <f t="shared" ref="AB52" ca="1" si="116">BSdelta(1,P52,Strike,AA52/AnnualVarConvtr,Dividend,RiskFreeRate,G52/250)</f>
        <v>9.048177559717193E-7</v>
      </c>
      <c r="AC52">
        <f t="shared" ca="1" si="19"/>
        <v>-6.7072846850404103E-5</v>
      </c>
      <c r="AD52">
        <f t="shared" ca="1" si="20"/>
        <v>11.641357407838276</v>
      </c>
    </row>
    <row r="53" spans="7:30" x14ac:dyDescent="0.25">
      <c r="G53" s="19">
        <v>202</v>
      </c>
      <c r="H53" s="19">
        <f t="shared" ca="1" si="72"/>
        <v>4.4875623693919731E-2</v>
      </c>
      <c r="I53" s="19">
        <f t="shared" ca="1" si="72"/>
        <v>0.74570833667774428</v>
      </c>
      <c r="J53" s="19">
        <f t="shared" ca="1" si="2"/>
        <v>-6.7176748245580023E-2</v>
      </c>
      <c r="K53" s="19">
        <f t="shared" ca="1" si="3"/>
        <v>-2.4906240888765625</v>
      </c>
      <c r="L53" s="19">
        <f t="array" aca="1" ref="L53:M53" ca="1">MMULT(J53:K53,TRANSPOSE($B$10:$C$11))</f>
        <v>-6.7176748245580023E-2</v>
      </c>
      <c r="M53" s="19">
        <f ca="1"/>
        <v>-1.6892950736552801</v>
      </c>
      <c r="N53" s="20">
        <f t="shared" ca="1" si="29"/>
        <v>7.6500484665144808E-2</v>
      </c>
      <c r="O53" s="20">
        <f t="shared" ca="1" si="5"/>
        <v>-1.175116884870508E-3</v>
      </c>
      <c r="P53" s="19">
        <f t="shared" ca="1" si="12"/>
        <v>81.622461023813159</v>
      </c>
      <c r="Q53" s="19">
        <f ca="1">HCTrans(P53,Strike,RiskFreeRate,Dividend,Variance_T0*AnnualVarConvtr,(Simulation!G53)/250,0.5,Variance_Avg*AnnualVarConvtr,Lambda,SQRT(Simulation!N53),Rho,1,"Call")</f>
        <v>15.112017741337951</v>
      </c>
      <c r="R53" s="19">
        <f t="shared" ca="1" si="6"/>
        <v>0.72597620733755064</v>
      </c>
      <c r="S53" s="19">
        <f t="shared" ca="1" si="7"/>
        <v>4.8036548191074012E-7</v>
      </c>
      <c r="T53" s="19">
        <f t="shared" ca="1" si="13"/>
        <v>-6.0360478824106781E-6</v>
      </c>
      <c r="U53" s="19">
        <f t="shared" ca="1" si="14"/>
        <v>11.610706367065628</v>
      </c>
      <c r="V53" s="21">
        <f t="shared" ca="1" si="15"/>
        <v>1.5074644318130989E-5</v>
      </c>
      <c r="W53">
        <f t="shared" ca="1" si="16"/>
        <v>3.882607927428546E-3</v>
      </c>
      <c r="X53" s="22">
        <f t="shared" ref="X53" ca="1" si="117">BSdelta(1,P53,Strike,W53*AnnualVarConvtr,Dividend,RiskFreeRate,G53/250)</f>
        <v>1.2994074233383909E-4</v>
      </c>
      <c r="Y53" s="22">
        <f t="shared" ca="1" si="23"/>
        <v>-38.433874965932098</v>
      </c>
      <c r="Z53" s="22">
        <f t="shared" ca="1" si="24"/>
        <v>14.718284804889809</v>
      </c>
      <c r="AA53">
        <f t="shared" si="9"/>
        <v>0.73884103340948371</v>
      </c>
      <c r="AB53">
        <f t="shared" ref="AB53" ca="1" si="118">BSdelta(1,P53,Strike,AA53/AnnualVarConvtr,Dividend,RiskFreeRate,G53/250)</f>
        <v>7.4162357464103505E-7</v>
      </c>
      <c r="AC53">
        <f t="shared" ca="1" si="19"/>
        <v>-1.3320310704976873E-5</v>
      </c>
      <c r="AD53">
        <f t="shared" ca="1" si="20"/>
        <v>11.593906046331153</v>
      </c>
    </row>
    <row r="54" spans="7:30" x14ac:dyDescent="0.25">
      <c r="G54" s="19">
        <v>201</v>
      </c>
      <c r="H54" s="19">
        <f t="shared" ca="1" si="72"/>
        <v>0.96691045453281899</v>
      </c>
      <c r="I54" s="19">
        <f t="shared" ca="1" si="72"/>
        <v>0.13630097575525735</v>
      </c>
      <c r="J54" s="19">
        <f t="shared" ca="1" si="2"/>
        <v>0.16996120035814133</v>
      </c>
      <c r="K54" s="19">
        <f t="shared" ca="1" si="3"/>
        <v>0.19598971561509895</v>
      </c>
      <c r="L54" s="19">
        <f t="array" aca="1" ref="L54:M54" ca="1">MMULT(J54:K54,TRANSPOSE($B$10:$C$11))</f>
        <v>0.16996120035814133</v>
      </c>
      <c r="M54" s="19">
        <f ca="1"/>
        <v>1.4942695591292174E-2</v>
      </c>
      <c r="N54" s="20">
        <f t="shared" ca="1" si="29"/>
        <v>7.6233666433860162E-2</v>
      </c>
      <c r="O54" s="20">
        <f t="shared" ca="1" si="5"/>
        <v>2.967926824877514E-3</v>
      </c>
      <c r="P54" s="19">
        <f t="shared" ca="1" si="12"/>
        <v>81.865070360690552</v>
      </c>
      <c r="Q54" s="19">
        <f ca="1">HCTrans(P54,Strike,RiskFreeRate,Dividend,Variance_T0*AnnualVarConvtr,(Simulation!G54)/250,0.5,Variance_Avg*AnnualVarConvtr,Lambda,SQRT(Simulation!N54),Rho,1,"Call")</f>
        <v>15.188349546584689</v>
      </c>
      <c r="R54" s="19">
        <f t="shared" ca="1" si="6"/>
        <v>0.72618641529457073</v>
      </c>
      <c r="S54" s="19">
        <f t="shared" ca="1" si="7"/>
        <v>6.5480972921871237E-7</v>
      </c>
      <c r="T54" s="19">
        <f t="shared" ca="1" si="13"/>
        <v>1.4280890579884853E-5</v>
      </c>
      <c r="U54" s="19">
        <f t="shared" ca="1" si="14"/>
        <v>11.687023891421786</v>
      </c>
      <c r="V54" s="21">
        <f t="shared" ca="1" si="15"/>
        <v>1.7164811180882648E-5</v>
      </c>
      <c r="W54">
        <f t="shared" ca="1" si="16"/>
        <v>4.1430437097480215E-3</v>
      </c>
      <c r="X54" s="22">
        <f t="shared" ref="X54" ca="1" si="119">BSdelta(1,P54,Strike,W54*AnnualVarConvtr,Dividend,RiskFreeRate,G54/250)</f>
        <v>3.6606014822017499E-4</v>
      </c>
      <c r="Y54" s="22">
        <f t="shared" ca="1" si="23"/>
        <v>1.9329931776409341E-2</v>
      </c>
      <c r="Z54" s="22">
        <f t="shared" ca="1" si="24"/>
        <v>14.775286678360137</v>
      </c>
      <c r="AA54">
        <f t="shared" si="9"/>
        <v>0.73884103340948371</v>
      </c>
      <c r="AB54">
        <f t="shared" ref="AB54" ca="1" si="120">BSdelta(1,P54,Strike,AA54/AnnualVarConvtr,Dividend,RiskFreeRate,G54/250)</f>
        <v>9.9366496571270472E-7</v>
      </c>
      <c r="AC54">
        <f t="shared" ca="1" si="19"/>
        <v>2.0633386213888562E-5</v>
      </c>
      <c r="AD54">
        <f t="shared" ca="1" si="20"/>
        <v>11.670217218191677</v>
      </c>
    </row>
    <row r="55" spans="7:30" x14ac:dyDescent="0.25">
      <c r="G55" s="19">
        <v>200</v>
      </c>
      <c r="H55" s="19">
        <f t="shared" ca="1" si="72"/>
        <v>0.35844224363681854</v>
      </c>
      <c r="I55" s="19">
        <f t="shared" ca="1" si="72"/>
        <v>0.34898094001269364</v>
      </c>
      <c r="J55" s="19">
        <f t="shared" ca="1" si="2"/>
        <v>-0.83454826079359268</v>
      </c>
      <c r="K55" s="19">
        <f t="shared" ca="1" si="3"/>
        <v>1.164261429181719</v>
      </c>
      <c r="L55" s="19">
        <f t="array" aca="1" ref="L55:M55" ca="1">MMULT(J55:K55,TRANSPOSE($B$10:$C$11))</f>
        <v>-0.83454826079359268</v>
      </c>
      <c r="M55" s="19">
        <f ca="1"/>
        <v>1.4101275727973297</v>
      </c>
      <c r="N55" s="20">
        <f t="shared" ca="1" si="29"/>
        <v>8.5712570841932012E-2</v>
      </c>
      <c r="O55" s="20">
        <f t="shared" ca="1" si="5"/>
        <v>-1.5452676499494106E-2</v>
      </c>
      <c r="P55" s="19">
        <f t="shared" ca="1" si="12"/>
        <v>80.609759844487925</v>
      </c>
      <c r="Q55" s="19">
        <f ca="1">HCTrans(P55,Strike,RiskFreeRate,Dividend,Variance_T0*AnnualVarConvtr,(Simulation!G55)/250,0.5,Variance_Avg*AnnualVarConvtr,Lambda,SQRT(Simulation!N55),Rho,1,"Call")</f>
        <v>14.442284320365076</v>
      </c>
      <c r="R55" s="19">
        <f t="shared" ca="1" si="6"/>
        <v>0.72399485394437935</v>
      </c>
      <c r="S55" s="19">
        <f t="shared" ca="1" si="7"/>
        <v>7.9171556780741111E-8</v>
      </c>
      <c r="T55" s="19">
        <f t="shared" ca="1" si="13"/>
        <v>-4.6402054837544791E-5</v>
      </c>
      <c r="U55" s="19">
        <f t="shared" ca="1" si="14"/>
        <v>10.941005067257009</v>
      </c>
      <c r="V55" s="21">
        <f t="shared" ca="1" si="15"/>
        <v>3.393186268338508E-4</v>
      </c>
      <c r="W55">
        <f t="shared" ca="1" si="16"/>
        <v>1.8420603324371621E-2</v>
      </c>
      <c r="X55" s="22">
        <f t="shared" ref="X55" ca="1" si="121">BSdelta(1,P55,Strike,W55*AnnualVarConvtr,Dividend,RiskFreeRate,G55/250)</f>
        <v>0.24284681743128239</v>
      </c>
      <c r="Y55" s="22">
        <f t="shared" ca="1" si="23"/>
        <v>19.54631561149721</v>
      </c>
      <c r="Z55" s="22">
        <f t="shared" ca="1" si="24"/>
        <v>-5.5170941593566862</v>
      </c>
      <c r="AA55">
        <f t="shared" si="9"/>
        <v>0.73884103340948371</v>
      </c>
      <c r="AB55">
        <f t="shared" ref="AB55" ca="1" si="122">BSdelta(1,P55,Strike,AA55/AnnualVarConvtr,Dividend,RiskFreeRate,G55/250)</f>
        <v>1.4001895912454591E-7</v>
      </c>
      <c r="AC55">
        <f t="shared" ca="1" si="19"/>
        <v>-6.8812199583277644E-5</v>
      </c>
      <c r="AD55">
        <f t="shared" ca="1" si="20"/>
        <v>10.924220804171647</v>
      </c>
    </row>
    <row r="56" spans="7:30" x14ac:dyDescent="0.25">
      <c r="G56" s="19">
        <v>199</v>
      </c>
      <c r="H56" s="19">
        <f t="shared" ca="1" si="72"/>
        <v>0.46357095741566112</v>
      </c>
      <c r="I56" s="19">
        <f t="shared" ca="1" si="72"/>
        <v>0.86063307228487451</v>
      </c>
      <c r="J56" s="19">
        <f t="shared" ca="1" si="2"/>
        <v>0.79419777226588295</v>
      </c>
      <c r="K56" s="19">
        <f t="shared" ca="1" si="3"/>
        <v>-0.95228227382893171</v>
      </c>
      <c r="L56" s="19">
        <f t="array" aca="1" ref="L56:M56" ca="1">MMULT(J56:K56,TRANSPOSE($B$10:$C$11))</f>
        <v>0.79419777226588295</v>
      </c>
      <c r="M56" s="19">
        <f ca="1"/>
        <v>-1.2333425253606034</v>
      </c>
      <c r="N56" s="20">
        <f t="shared" ca="1" si="29"/>
        <v>7.6670344215603231E-2</v>
      </c>
      <c r="O56" s="20">
        <f t="shared" ca="1" si="5"/>
        <v>1.3908246099906617E-2</v>
      </c>
      <c r="P56" s="19">
        <f t="shared" ca="1" si="12"/>
        <v>81.738733042071203</v>
      </c>
      <c r="Q56" s="19">
        <f ca="1">HCTrans(P56,Strike,RiskFreeRate,Dividend,Variance_T0*AnnualVarConvtr,(Simulation!G56)/250,0.5,Variance_Avg*AnnualVarConvtr,Lambda,SQRT(Simulation!N56),Rho,1,"Call")</f>
        <v>15.015834651281665</v>
      </c>
      <c r="R56" s="19">
        <f t="shared" ca="1" si="6"/>
        <v>0.72609722740722182</v>
      </c>
      <c r="S56" s="19">
        <f t="shared" ca="1" si="7"/>
        <v>4.7664285364647094E-7</v>
      </c>
      <c r="T56" s="19">
        <f t="shared" ca="1" si="13"/>
        <v>3.2488800226393726E-5</v>
      </c>
      <c r="U56" s="19">
        <f t="shared" ca="1" si="14"/>
        <v>11.514522909373373</v>
      </c>
      <c r="V56" s="21">
        <f t="shared" ca="1" si="15"/>
        <v>8.6206377588800005E-4</v>
      </c>
      <c r="W56">
        <f t="shared" ca="1" si="16"/>
        <v>2.9360922599400721E-2</v>
      </c>
      <c r="X56" s="22">
        <f t="shared" ref="X56" ca="1" si="123">BSdelta(1,P56,Strike,W56*AnnualVarConvtr,Dividend,RiskFreeRate,G56/250)</f>
        <v>0.38983640840188472</v>
      </c>
      <c r="Y56" s="22">
        <f t="shared" ca="1" si="23"/>
        <v>12.014742936309304</v>
      </c>
      <c r="Z56" s="22">
        <f t="shared" ca="1" si="24"/>
        <v>-16.958286764749403</v>
      </c>
      <c r="AA56">
        <f t="shared" si="9"/>
        <v>0.73884103340948371</v>
      </c>
      <c r="AB56">
        <f t="shared" ref="AB56" ca="1" si="124">BSdelta(1,P56,Strike,AA56/AnnualVarConvtr,Dividend,RiskFreeRate,G56/250)</f>
        <v>7.3307002516057598E-7</v>
      </c>
      <c r="AC56">
        <f t="shared" ca="1" si="19"/>
        <v>4.84752427670348E-5</v>
      </c>
      <c r="AD56">
        <f t="shared" ca="1" si="20"/>
        <v>11.497722659845468</v>
      </c>
    </row>
    <row r="57" spans="7:30" x14ac:dyDescent="0.25">
      <c r="G57" s="19">
        <v>198</v>
      </c>
      <c r="H57" s="19">
        <f t="shared" ca="1" si="72"/>
        <v>6.3221698477211041E-2</v>
      </c>
      <c r="I57" s="19">
        <f t="shared" ca="1" si="72"/>
        <v>0.12857848030051355</v>
      </c>
      <c r="J57" s="19">
        <f t="shared" ca="1" si="2"/>
        <v>1.6238801217698449</v>
      </c>
      <c r="K57" s="19">
        <f t="shared" ca="1" si="3"/>
        <v>1.6985961153131472</v>
      </c>
      <c r="L57" s="19">
        <f t="array" aca="1" ref="L57:M57" ca="1">MMULT(J57:K57,TRANSPOSE($B$10:$C$11))</f>
        <v>1.6238801217698449</v>
      </c>
      <c r="M57" s="19">
        <f ca="1"/>
        <v>2.1408616189512397E-2</v>
      </c>
      <c r="N57" s="20">
        <f t="shared" ca="1" si="29"/>
        <v>7.6446673840967497E-2</v>
      </c>
      <c r="O57" s="20">
        <f t="shared" ca="1" si="5"/>
        <v>2.8396398246700531E-2</v>
      </c>
      <c r="P57" s="19">
        <f t="shared" ca="1" si="12"/>
        <v>84.09308805723991</v>
      </c>
      <c r="Q57" s="19">
        <f ca="1">HCTrans(P57,Strike,RiskFreeRate,Dividend,Variance_T0*AnnualVarConvtr,(Simulation!G57)/250,0.5,Variance_Avg*AnnualVarConvtr,Lambda,SQRT(Simulation!N57),Rho,1,"Call")</f>
        <v>16.213697206465056</v>
      </c>
      <c r="R57" s="19">
        <f t="shared" ca="1" si="6"/>
        <v>0.72753050380680362</v>
      </c>
      <c r="S57" s="19">
        <f t="shared" ca="1" si="7"/>
        <v>1.2752104588468925E-5</v>
      </c>
      <c r="T57" s="19">
        <f t="shared" ca="1" si="13"/>
        <v>1.0322814846097038E-3</v>
      </c>
      <c r="U57" s="19">
        <f t="shared" ca="1" si="14"/>
        <v>12.711353183072154</v>
      </c>
      <c r="V57" s="21">
        <f t="shared" ca="1" si="15"/>
        <v>2.0990655262864911E-4</v>
      </c>
      <c r="W57">
        <f t="shared" ca="1" si="16"/>
        <v>1.4488152146793914E-2</v>
      </c>
      <c r="X57" s="22">
        <f t="shared" ref="X57" ca="1" si="125">BSdelta(1,P57,Strike,W57*AnnualVarConvtr,Dividend,RiskFreeRate,G57/250)</f>
        <v>0.22727000089521363</v>
      </c>
      <c r="Y57" s="22">
        <f t="shared" ca="1" si="23"/>
        <v>-13.67071122160764</v>
      </c>
      <c r="Z57" s="22">
        <f t="shared" ca="1" si="24"/>
        <v>-2.0897129879583716</v>
      </c>
      <c r="AA57">
        <f t="shared" si="9"/>
        <v>0.73884103340948371</v>
      </c>
      <c r="AB57">
        <f t="shared" ref="AB57" ca="1" si="126">BSdelta(1,P57,Strike,AA57/AnnualVarConvtr,Dividend,RiskFreeRate,G57/250)</f>
        <v>1.6975416418069656E-5</v>
      </c>
      <c r="AC57">
        <f t="shared" ca="1" si="19"/>
        <v>1.3658690654750965E-3</v>
      </c>
      <c r="AD57">
        <f t="shared" ca="1" si="20"/>
        <v>12.694219345963385</v>
      </c>
    </row>
    <row r="58" spans="7:30" x14ac:dyDescent="0.25">
      <c r="G58" s="19">
        <v>197</v>
      </c>
      <c r="H58" s="19">
        <f t="shared" ca="1" si="72"/>
        <v>0.9969610095789605</v>
      </c>
      <c r="I58" s="19">
        <f t="shared" ca="1" si="72"/>
        <v>8.0733818439992389E-2</v>
      </c>
      <c r="J58" s="19">
        <f t="shared" ca="1" si="2"/>
        <v>6.8196062977168265E-2</v>
      </c>
      <c r="K58" s="19">
        <f t="shared" ca="1" si="3"/>
        <v>3.7901610163840201E-2</v>
      </c>
      <c r="L58" s="19">
        <f t="array" aca="1" ref="L58:M58" ca="1">MMULT(J58:K58,TRANSPOSE($B$10:$C$11))</f>
        <v>6.8196062977168265E-2</v>
      </c>
      <c r="M58" s="19">
        <f ca="1"/>
        <v>-2.2422805131959336E-2</v>
      </c>
      <c r="N58" s="20">
        <f t="shared" ca="1" si="29"/>
        <v>7.5926823489768605E-2</v>
      </c>
      <c r="O58" s="20">
        <f t="shared" ca="1" si="5"/>
        <v>1.1884664172090973E-3</v>
      </c>
      <c r="P58" s="19">
        <f t="shared" ca="1" si="12"/>
        <v>84.193089280592588</v>
      </c>
      <c r="Q58" s="19">
        <f ca="1">HCTrans(P58,Strike,RiskFreeRate,Dividend,Variance_T0*AnnualVarConvtr,(Simulation!G58)/250,0.5,Variance_Avg*AnnualVarConvtr,Lambda,SQRT(Simulation!N58),Rho,1,"Call")</f>
        <v>16.215891404167536</v>
      </c>
      <c r="R58" s="19">
        <f t="shared" ca="1" si="6"/>
        <v>0.72769222758927776</v>
      </c>
      <c r="S58" s="19">
        <f t="shared" ca="1" si="7"/>
        <v>1.3884564246342776E-5</v>
      </c>
      <c r="T58" s="19">
        <f t="shared" ca="1" si="13"/>
        <v>9.5345277082042412E-5</v>
      </c>
      <c r="U58" s="19">
        <f t="shared" ca="1" si="14"/>
        <v>12.713452035497552</v>
      </c>
      <c r="V58" s="21">
        <f t="shared" ca="1" si="15"/>
        <v>7.4027155443825315E-4</v>
      </c>
      <c r="W58">
        <f t="shared" ca="1" si="16"/>
        <v>2.7207931829491435E-2</v>
      </c>
      <c r="X58" s="22">
        <f t="shared" ref="X58" ca="1" si="127">BSdelta(1,P58,Strike,W58*AnnualVarConvtr,Dividend,RiskFreeRate,G58/250)</f>
        <v>0.39758197424930264</v>
      </c>
      <c r="Y58" s="22">
        <f t="shared" ca="1" si="23"/>
        <v>14.339091178154723</v>
      </c>
      <c r="Z58" s="22">
        <f t="shared" ca="1" si="24"/>
        <v>-16.426609968410617</v>
      </c>
      <c r="AA58">
        <f t="shared" si="9"/>
        <v>0.73884103340948371</v>
      </c>
      <c r="AB58">
        <f t="shared" ref="AB58" ca="1" si="128">BSdelta(1,P58,Strike,AA58/AnnualVarConvtr,Dividend,RiskFreeRate,G58/250)</f>
        <v>1.8362936099207851E-5</v>
      </c>
      <c r="AC58">
        <f t="shared" ca="1" si="19"/>
        <v>1.1681956839264745E-4</v>
      </c>
      <c r="AD58">
        <f t="shared" ca="1" si="20"/>
        <v>12.696296724097472</v>
      </c>
    </row>
    <row r="59" spans="7:30" x14ac:dyDescent="0.25">
      <c r="G59" s="19">
        <v>196</v>
      </c>
      <c r="H59" s="19">
        <f t="shared" ca="1" si="72"/>
        <v>0.10483492842650577</v>
      </c>
      <c r="I59" s="19">
        <f t="shared" ca="1" si="72"/>
        <v>0.91053842580255007</v>
      </c>
      <c r="J59" s="19">
        <f t="shared" ca="1" si="2"/>
        <v>1.797065083724525</v>
      </c>
      <c r="K59" s="19">
        <f t="shared" ca="1" si="3"/>
        <v>-1.1319424177399044</v>
      </c>
      <c r="L59" s="19">
        <f t="array" aca="1" ref="L59:M59" ca="1">MMULT(J59:K59,TRANSPOSE($B$10:$C$11))</f>
        <v>1.797065083724525</v>
      </c>
      <c r="M59" s="19">
        <f ca="1"/>
        <v>-2.0772255512407605</v>
      </c>
      <c r="N59" s="20">
        <f t="shared" ca="1" si="29"/>
        <v>6.217541733063555E-2</v>
      </c>
      <c r="O59" s="20">
        <f t="shared" ca="1" si="5"/>
        <v>2.8340216018542117E-2</v>
      </c>
      <c r="P59" s="19">
        <f t="shared" ca="1" si="12"/>
        <v>86.613271884740527</v>
      </c>
      <c r="Q59" s="19">
        <f ca="1">HCTrans(P59,Strike,RiskFreeRate,Dividend,Variance_T0*AnnualVarConvtr,(Simulation!G59)/250,0.5,Variance_Avg*AnnualVarConvtr,Lambda,SQRT(Simulation!N59),Rho,1,"Call")</f>
        <v>17.547315289424802</v>
      </c>
      <c r="R59" s="19">
        <f t="shared" ca="1" si="6"/>
        <v>0.73103975644183927</v>
      </c>
      <c r="S59" s="19">
        <f t="shared" ca="1" si="7"/>
        <v>2.4140548242884726E-4</v>
      </c>
      <c r="T59" s="19">
        <f t="shared" ca="1" si="13"/>
        <v>1.9706331146007065E-2</v>
      </c>
      <c r="U59" s="19">
        <f t="shared" ca="1" si="14"/>
        <v>14.02516958960881</v>
      </c>
      <c r="V59" s="21">
        <f t="shared" ca="1" si="15"/>
        <v>7.3721750641348783E-4</v>
      </c>
      <c r="W59">
        <f t="shared" ca="1" si="16"/>
        <v>2.7151749601333021E-2</v>
      </c>
      <c r="X59" s="22">
        <f t="shared" ref="X59" ca="1" si="129">BSdelta(1,P59,Strike,W59*AnnualVarConvtr,Dividend,RiskFreeRate,G59/250)</f>
        <v>0.42543171966340776</v>
      </c>
      <c r="Y59" s="22">
        <f t="shared" ca="1" si="23"/>
        <v>2.4121575714726924</v>
      </c>
      <c r="Z59" s="22">
        <f t="shared" ca="1" si="24"/>
        <v>-17.507343654626045</v>
      </c>
      <c r="AA59">
        <f t="shared" si="9"/>
        <v>0.73884103340948371</v>
      </c>
      <c r="AB59">
        <f t="shared" ref="AB59" ca="1" si="130">BSdelta(1,P59,Strike,AA59/AnnualVarConvtr,Dividend,RiskFreeRate,G59/250)</f>
        <v>2.7736927712707868E-4</v>
      </c>
      <c r="AC59">
        <f t="shared" ca="1" si="19"/>
        <v>2.2433386635318801E-2</v>
      </c>
      <c r="AD59">
        <f t="shared" ca="1" si="20"/>
        <v>14.005287222719419</v>
      </c>
    </row>
    <row r="60" spans="7:30" x14ac:dyDescent="0.25">
      <c r="G60" s="19">
        <v>195</v>
      </c>
      <c r="H60" s="19">
        <f t="shared" ca="1" si="72"/>
        <v>0.40977023616523156</v>
      </c>
      <c r="I60" s="19">
        <f t="shared" ca="1" si="72"/>
        <v>0.1653728444848408</v>
      </c>
      <c r="J60" s="19">
        <f t="shared" ca="1" si="2"/>
        <v>0.67727372321702572</v>
      </c>
      <c r="K60" s="19">
        <f t="shared" ca="1" si="3"/>
        <v>1.151354704583428</v>
      </c>
      <c r="L60" s="19">
        <f t="array" aca="1" ref="L60:M60" ca="1">MMULT(J60:K60,TRANSPOSE($B$10:$C$11))</f>
        <v>0.67727372321702572</v>
      </c>
      <c r="M60" s="19">
        <f ca="1"/>
        <v>0.31790355678251231</v>
      </c>
      <c r="N60" s="20">
        <f t="shared" ca="1" si="29"/>
        <v>6.3842060892398314E-2</v>
      </c>
      <c r="O60" s="20">
        <f t="shared" ca="1" si="5"/>
        <v>1.0823000311112892E-2</v>
      </c>
      <c r="P60" s="19">
        <f t="shared" ca="1" si="12"/>
        <v>87.55577852793337</v>
      </c>
      <c r="Q60" s="19">
        <f ca="1">HCTrans(P60,Strike,RiskFreeRate,Dividend,Variance_T0*AnnualVarConvtr,(Simulation!G60)/250,0.5,Variance_Avg*AnnualVarConvtr,Lambda,SQRT(Simulation!N60),Rho,1,"Call")</f>
        <v>18.010515254982224</v>
      </c>
      <c r="R60" s="19">
        <f t="shared" ca="1" si="6"/>
        <v>0.73130169546107671</v>
      </c>
      <c r="S60" s="19">
        <f t="shared" ca="1" si="7"/>
        <v>6.1262876021765753E-4</v>
      </c>
      <c r="T60" s="19">
        <f t="shared" ca="1" si="13"/>
        <v>3.2502743094490555E-2</v>
      </c>
      <c r="U60" s="19">
        <f t="shared" ca="1" si="14"/>
        <v>14.455866812071742</v>
      </c>
      <c r="V60" s="21">
        <f t="shared" ca="1" si="15"/>
        <v>3.0685284614060515E-4</v>
      </c>
      <c r="W60">
        <f t="shared" ca="1" si="16"/>
        <v>1.7517215707429225E-2</v>
      </c>
      <c r="X60" s="22">
        <f t="shared" ref="X60" ca="1" si="131">BSdelta(1,P60,Strike,W60*AnnualVarConvtr,Dividend,RiskFreeRate,G60/250)</f>
        <v>0.33688765236873841</v>
      </c>
      <c r="Y60" s="22">
        <f t="shared" ca="1" si="23"/>
        <v>-7.7525447460144976</v>
      </c>
      <c r="Z60" s="22">
        <f t="shared" ca="1" si="24"/>
        <v>-9.2915989430541259</v>
      </c>
      <c r="AA60">
        <f t="shared" si="9"/>
        <v>0.73884103340948371</v>
      </c>
      <c r="AB60">
        <f t="shared" ref="AB60" ca="1" si="132">BSdelta(1,P60,Strike,AA60/AnnualVarConvtr,Dividend,RiskFreeRate,G60/250)</f>
        <v>6.8826995893719802E-4</v>
      </c>
      <c r="AC60">
        <f t="shared" ca="1" si="19"/>
        <v>3.597672909354363E-2</v>
      </c>
      <c r="AD60">
        <f t="shared" ca="1" si="20"/>
        <v>14.432510459183296</v>
      </c>
    </row>
    <row r="61" spans="7:30" x14ac:dyDescent="0.25">
      <c r="G61" s="19">
        <v>194</v>
      </c>
      <c r="H61" s="19">
        <f t="shared" ca="1" si="72"/>
        <v>0.38694905176588368</v>
      </c>
      <c r="I61" s="19">
        <f t="shared" ca="1" si="72"/>
        <v>0.9614494352199221</v>
      </c>
      <c r="J61" s="19">
        <f t="shared" ca="1" si="2"/>
        <v>1.3377874099111378</v>
      </c>
      <c r="K61" s="19">
        <f t="shared" ca="1" si="3"/>
        <v>-0.33052886937227582</v>
      </c>
      <c r="L61" s="19">
        <f t="array" aca="1" ref="L61:M61" ca="1">MMULT(J61:K61,TRANSPOSE($B$10:$C$11))</f>
        <v>1.3377874099111378</v>
      </c>
      <c r="M61" s="19">
        <f ca="1"/>
        <v>-1.1890973517896395</v>
      </c>
      <c r="N61" s="20">
        <f t="shared" ca="1" si="29"/>
        <v>5.6386404003343223E-2</v>
      </c>
      <c r="O61" s="20">
        <f t="shared" ca="1" si="5"/>
        <v>2.0091127024114166E-2</v>
      </c>
      <c r="P61" s="19">
        <f t="shared" ca="1" si="12"/>
        <v>89.332662830099423</v>
      </c>
      <c r="Q61" s="19">
        <f ca="1">HCTrans(P61,Strike,RiskFreeRate,Dividend,Variance_T0*AnnualVarConvtr,(Simulation!G61)/250,0.5,Variance_Avg*AnnualVarConvtr,Lambda,SQRT(Simulation!N61),Rho,1,"Call")</f>
        <v>18.995050290025574</v>
      </c>
      <c r="R61" s="19">
        <f t="shared" ca="1" si="6"/>
        <v>0.73325650342133308</v>
      </c>
      <c r="S61" s="19">
        <f t="shared" ca="1" si="7"/>
        <v>3.064378052244624E-3</v>
      </c>
      <c r="T61" s="19">
        <f t="shared" ca="1" si="13"/>
        <v>0.21902129284857996</v>
      </c>
      <c r="U61" s="19">
        <f t="shared" ca="1" si="14"/>
        <v>15.221380554266512</v>
      </c>
      <c r="V61" s="21">
        <f t="shared" ca="1" si="15"/>
        <v>8.5898172768247798E-5</v>
      </c>
      <c r="W61">
        <f t="shared" ca="1" si="16"/>
        <v>9.2681267130012741E-3</v>
      </c>
      <c r="X61" s="22">
        <f t="shared" ref="X61" ca="1" si="133">BSdelta(1,P61,Strike,W61*AnnualVarConvtr,Dividend,RiskFreeRate,G61/250)</f>
        <v>0.20917512208134911</v>
      </c>
      <c r="Y61" s="22">
        <f t="shared" ca="1" si="23"/>
        <v>-11.408900407342209</v>
      </c>
      <c r="Z61" s="22">
        <f t="shared" ca="1" si="24"/>
        <v>3.1018364993314336</v>
      </c>
      <c r="AA61">
        <f t="shared" si="9"/>
        <v>0.73884103340948371</v>
      </c>
      <c r="AB61">
        <f t="shared" ref="AB61" ca="1" si="134">BSdelta(1,P61,Strike,AA61/AnnualVarConvtr,Dividend,RiskFreeRate,G61/250)</f>
        <v>3.2662125278905144E-3</v>
      </c>
      <c r="AC61">
        <f t="shared" ca="1" si="19"/>
        <v>0.23029447430766695</v>
      </c>
      <c r="AD61">
        <f t="shared" ca="1" si="20"/>
        <v>15.186751019918979</v>
      </c>
    </row>
    <row r="62" spans="7:30" x14ac:dyDescent="0.25">
      <c r="G62" s="19">
        <v>193</v>
      </c>
      <c r="H62" s="19">
        <f t="shared" ca="1" si="72"/>
        <v>5.4086460342295473E-2</v>
      </c>
      <c r="I62" s="19">
        <f t="shared" ca="1" si="72"/>
        <v>0.44185218642797575</v>
      </c>
      <c r="J62" s="19">
        <f t="shared" ca="1" si="2"/>
        <v>-2.2560135132085262</v>
      </c>
      <c r="K62" s="19">
        <f t="shared" ca="1" si="3"/>
        <v>0.86298656942063312</v>
      </c>
      <c r="L62" s="19">
        <f t="array" aca="1" ref="L62:M62" ca="1">MMULT(J62:K62,TRANSPOSE($B$10:$C$11))</f>
        <v>-2.2560135132085262</v>
      </c>
      <c r="M62" s="19">
        <f ca="1"/>
        <v>2.2184419730389346</v>
      </c>
      <c r="N62" s="20">
        <f t="shared" ca="1" si="29"/>
        <v>6.978157676647849E-2</v>
      </c>
      <c r="O62" s="20">
        <f t="shared" ca="1" si="5"/>
        <v>-3.7691383726080746E-2</v>
      </c>
      <c r="P62" s="19">
        <f t="shared" ca="1" si="12"/>
        <v>86.028256174262836</v>
      </c>
      <c r="Q62" s="19">
        <f ca="1">HCTrans(P62,Strike,RiskFreeRate,Dividend,Variance_T0*AnnualVarConvtr,(Simulation!G62)/250,0.5,Variance_Avg*AnnualVarConvtr,Lambda,SQRT(Simulation!N62),Rho,1,"Call")</f>
        <v>17.02255175692585</v>
      </c>
      <c r="R62" s="19">
        <f t="shared" ca="1" si="6"/>
        <v>0.72971498084283037</v>
      </c>
      <c r="S62" s="19">
        <f t="shared" ca="1" si="7"/>
        <v>1.1166739720444117E-4</v>
      </c>
      <c r="T62" s="19">
        <f t="shared" ca="1" si="13"/>
        <v>-0.25401654864027229</v>
      </c>
      <c r="U62" s="19">
        <f t="shared" ca="1" si="14"/>
        <v>13.50289856980706</v>
      </c>
      <c r="V62" s="21">
        <f t="shared" ca="1" si="15"/>
        <v>3.3388185485963909E-3</v>
      </c>
      <c r="W62">
        <f t="shared" ca="1" si="16"/>
        <v>5.7782510750194915E-2</v>
      </c>
      <c r="X62" s="22">
        <f t="shared" ref="X62" ca="1" si="135">BSdelta(1,P62,Strike,W62*AnnualVarConvtr,Dividend,RiskFreeRate,G62/250)</f>
        <v>0.58468527342126975</v>
      </c>
      <c r="Y62" s="22">
        <f t="shared" ca="1" si="23"/>
        <v>32.304483495506894</v>
      </c>
      <c r="Z62" s="22">
        <f t="shared" ca="1" si="24"/>
        <v>-31.175145529275184</v>
      </c>
      <c r="AA62">
        <f t="shared" si="9"/>
        <v>0.73884103340948371</v>
      </c>
      <c r="AB62">
        <f t="shared" ref="AB62" ca="1" si="136">BSdelta(1,P62,Strike,AA62/AnnualVarConvtr,Dividend,RiskFreeRate,G62/250)</f>
        <v>1.3372211887321072E-4</v>
      </c>
      <c r="AC62">
        <f t="shared" ca="1" si="19"/>
        <v>-0.26948268737036196</v>
      </c>
      <c r="AD62">
        <f t="shared" ca="1" si="20"/>
        <v>13.483735174189617</v>
      </c>
    </row>
    <row r="63" spans="7:30" x14ac:dyDescent="0.25">
      <c r="G63" s="19">
        <v>192</v>
      </c>
      <c r="H63" s="19">
        <f t="shared" ca="1" si="72"/>
        <v>0.38608691201484724</v>
      </c>
      <c r="I63" s="19">
        <f t="shared" ca="1" si="72"/>
        <v>0.42505889037219158</v>
      </c>
      <c r="J63" s="19">
        <f t="shared" ca="1" si="2"/>
        <v>-1.2294931395379662</v>
      </c>
      <c r="K63" s="19">
        <f t="shared" ca="1" si="3"/>
        <v>0.6258851078536295</v>
      </c>
      <c r="L63" s="19">
        <f t="array" aca="1" ref="L63:M63" ca="1">MMULT(J63:K63,TRANSPOSE($B$10:$C$11))</f>
        <v>-1.2294931395379662</v>
      </c>
      <c r="M63" s="19">
        <f ca="1"/>
        <v>1.3175412063777037</v>
      </c>
      <c r="N63" s="20">
        <f t="shared" ca="1" si="29"/>
        <v>7.8244081830881426E-2</v>
      </c>
      <c r="O63" s="20">
        <f t="shared" ca="1" si="5"/>
        <v>-2.1751131536361261E-2</v>
      </c>
      <c r="P63" s="19">
        <f t="shared" ca="1" si="12"/>
        <v>84.177247996774639</v>
      </c>
      <c r="Q63" s="19">
        <f ca="1">HCTrans(P63,Strike,RiskFreeRate,Dividend,Variance_T0*AnnualVarConvtr,(Simulation!G63)/250,0.5,Variance_Avg*AnnualVarConvtr,Lambda,SQRT(Simulation!N63),Rho,1,"Call")</f>
        <v>15.925176914249491</v>
      </c>
      <c r="R63" s="19">
        <f t="shared" ca="1" si="6"/>
        <v>0.72749622413135817</v>
      </c>
      <c r="S63" s="19">
        <f t="shared" ca="1" si="7"/>
        <v>1.0612607364221743E-5</v>
      </c>
      <c r="T63" s="19">
        <f t="shared" ca="1" si="13"/>
        <v>-8.5065141056420938E-3</v>
      </c>
      <c r="U63" s="19">
        <f t="shared" ca="1" si="14"/>
        <v>12.414030241236343</v>
      </c>
      <c r="V63" s="21">
        <f t="shared" ca="1" si="15"/>
        <v>2.5409163987185685E-4</v>
      </c>
      <c r="W63">
        <f t="shared" ca="1" si="16"/>
        <v>1.5940252189719485E-2</v>
      </c>
      <c r="X63" s="22">
        <f t="shared" ref="X63" ca="1" si="137">BSdelta(1,P63,Strike,W63*AnnualVarConvtr,Dividend,RiskFreeRate,G63/250)</f>
        <v>0.25162125650616879</v>
      </c>
      <c r="Y63" s="22">
        <f t="shared" ca="1" si="23"/>
        <v>-28.036412350664396</v>
      </c>
      <c r="Z63" s="22">
        <f t="shared" ca="1" si="24"/>
        <v>-4.2361080212871478</v>
      </c>
      <c r="AA63">
        <f t="shared" si="9"/>
        <v>0.73884103340948371</v>
      </c>
      <c r="AB63">
        <f t="shared" ref="AB63" ca="1" si="138">BSdelta(1,P63,Strike,AA63/AnnualVarConvtr,Dividend,RiskFreeRate,G63/250)</f>
        <v>1.4215076986656108E-5</v>
      </c>
      <c r="AC63">
        <f t="shared" ca="1" si="19"/>
        <v>-1.0059773902245443E-2</v>
      </c>
      <c r="AD63">
        <f t="shared" ca="1" si="20"/>
        <v>12.396420105415503</v>
      </c>
    </row>
    <row r="64" spans="7:30" x14ac:dyDescent="0.25">
      <c r="G64" s="19">
        <v>191</v>
      </c>
      <c r="H64" s="19">
        <f t="shared" ca="1" si="72"/>
        <v>0.48770919525668288</v>
      </c>
      <c r="I64" s="19">
        <f t="shared" ca="1" si="72"/>
        <v>0.21477684610163061</v>
      </c>
      <c r="J64" s="19">
        <f t="shared" ca="1" si="2"/>
        <v>0.26305413232274921</v>
      </c>
      <c r="K64" s="19">
        <f t="shared" ca="1" si="3"/>
        <v>1.1691340589068071</v>
      </c>
      <c r="L64" s="19">
        <f t="array" aca="1" ref="L64:M64" ca="1">MMULT(J64:K64,TRANSPOSE($B$10:$C$11))</f>
        <v>0.26305413232274921</v>
      </c>
      <c r="M64" s="19">
        <f ca="1"/>
        <v>0.6270945417265571</v>
      </c>
      <c r="N64" s="20">
        <f t="shared" ca="1" si="29"/>
        <v>8.2226904825705174E-2</v>
      </c>
      <c r="O64" s="20">
        <f t="shared" ca="1" si="5"/>
        <v>4.7706998719189422E-3</v>
      </c>
      <c r="P64" s="19">
        <f t="shared" ca="1" si="12"/>
        <v>84.579791827435031</v>
      </c>
      <c r="Q64" s="19">
        <f ca="1">HCTrans(P64,Strike,RiskFreeRate,Dividend,Variance_T0*AnnualVarConvtr,(Simulation!G64)/250,0.5,Variance_Avg*AnnualVarConvtr,Lambda,SQRT(Simulation!N64),Rho,1,"Call")</f>
        <v>16.070321779291206</v>
      </c>
      <c r="R64" s="19">
        <f t="shared" ca="1" si="6"/>
        <v>0.72720689302720076</v>
      </c>
      <c r="S64" s="19">
        <f t="shared" ca="1" si="7"/>
        <v>1.6927238765799008E-5</v>
      </c>
      <c r="T64" s="19">
        <f t="shared" ca="1" si="13"/>
        <v>5.3409020941238942E-4</v>
      </c>
      <c r="U64" s="19">
        <f t="shared" ca="1" si="14"/>
        <v>12.558641016068647</v>
      </c>
      <c r="V64" s="21">
        <f t="shared" ca="1" si="15"/>
        <v>7.0340754124923832E-4</v>
      </c>
      <c r="W64">
        <f t="shared" ca="1" si="16"/>
        <v>2.6521831408280204E-2</v>
      </c>
      <c r="X64" s="22">
        <f t="shared" ref="X64" ca="1" si="139">BSdelta(1,P64,Strike,W64*AnnualVarConvtr,Dividend,RiskFreeRate,G64/250)</f>
        <v>0.39218099961379876</v>
      </c>
      <c r="Y64" s="22">
        <f t="shared" ca="1" si="23"/>
        <v>11.88851381136109</v>
      </c>
      <c r="Z64" s="22">
        <f t="shared" ca="1" si="24"/>
        <v>-15.979476967606523</v>
      </c>
      <c r="AA64">
        <f t="shared" si="9"/>
        <v>0.73884103340948371</v>
      </c>
      <c r="AB64">
        <f t="shared" ref="AB64" ca="1" si="140">BSdelta(1,P64,Strike,AA64/AnnualVarConvtr,Dividend,RiskFreeRate,G64/250)</f>
        <v>2.2524003568707314E-5</v>
      </c>
      <c r="AC64">
        <f t="shared" ca="1" si="19"/>
        <v>7.0276728061933233E-4</v>
      </c>
      <c r="AD64">
        <f t="shared" ca="1" si="20"/>
        <v>12.540862203176598</v>
      </c>
    </row>
    <row r="65" spans="7:30" x14ac:dyDescent="0.25">
      <c r="G65" s="19">
        <v>190</v>
      </c>
      <c r="H65" s="19">
        <f t="shared" ca="1" si="72"/>
        <v>0.63708344354801782</v>
      </c>
      <c r="I65" s="19">
        <f t="shared" ca="1" si="72"/>
        <v>0.5810649323757513</v>
      </c>
      <c r="J65" s="19">
        <f t="shared" ca="1" si="2"/>
        <v>-0.82904698964599566</v>
      </c>
      <c r="K65" s="19">
        <f t="shared" ca="1" si="3"/>
        <v>-0.46302307045674324</v>
      </c>
      <c r="L65" s="19">
        <f t="array" aca="1" ref="L65:M65" ca="1">MMULT(J65:K65,TRANSPOSE($B$10:$C$11))</f>
        <v>-0.82904698964599566</v>
      </c>
      <c r="M65" s="19">
        <f ca="1"/>
        <v>0.27101325113951491</v>
      </c>
      <c r="N65" s="20">
        <f t="shared" ca="1" si="29"/>
        <v>8.3744957762818123E-2</v>
      </c>
      <c r="O65" s="20">
        <f t="shared" ca="1" si="5"/>
        <v>-1.5173594587271933E-2</v>
      </c>
      <c r="P65" s="19">
        <f t="shared" ca="1" si="12"/>
        <v>83.30610003500432</v>
      </c>
      <c r="Q65" s="19">
        <f ca="1">HCTrans(P65,Strike,RiskFreeRate,Dividend,Variance_T0*AnnualVarConvtr,(Simulation!G65)/250,0.5,Variance_Avg*AnnualVarConvtr,Lambda,SQRT(Simulation!N65),Rho,1,"Call")</f>
        <v>15.328949063402476</v>
      </c>
      <c r="R65" s="19">
        <f t="shared" ca="1" si="6"/>
        <v>0.72625304475937402</v>
      </c>
      <c r="S65" s="19">
        <f t="shared" ca="1" si="7"/>
        <v>2.7953561328436275E-6</v>
      </c>
      <c r="T65" s="19">
        <f t="shared" ca="1" si="13"/>
        <v>-1.1772720283039211E-3</v>
      </c>
      <c r="U65" s="19">
        <f t="shared" ca="1" si="14"/>
        <v>11.818445572208221</v>
      </c>
      <c r="V65" s="21">
        <f t="shared" ca="1" si="15"/>
        <v>3.9777488147491182E-4</v>
      </c>
      <c r="W65">
        <f t="shared" ca="1" si="16"/>
        <v>1.9944294459190874E-2</v>
      </c>
      <c r="X65" s="22">
        <f t="shared" ref="X65" ca="1" si="141">BSdelta(1,P65,Strike,W65*AnnualVarConvtr,Dividend,RiskFreeRate,G65/250)</f>
        <v>0.29912132481363302</v>
      </c>
      <c r="Y65" s="22">
        <f t="shared" ca="1" si="23"/>
        <v>-7.7524385781275784</v>
      </c>
      <c r="Z65" s="22">
        <f t="shared" ca="1" si="24"/>
        <v>-8.9684111053676752</v>
      </c>
      <c r="AA65">
        <f t="shared" si="9"/>
        <v>0.73884103340948371</v>
      </c>
      <c r="AB65">
        <f t="shared" ref="AB65" ca="1" si="142">BSdelta(1,P65,Strike,AA65/AnnualVarConvtr,Dividend,RiskFreeRate,G65/250)</f>
        <v>4.0363957191521316E-6</v>
      </c>
      <c r="AC65">
        <f t="shared" ca="1" si="19"/>
        <v>-1.5401305089229752E-3</v>
      </c>
      <c r="AD65">
        <f t="shared" ca="1" si="20"/>
        <v>11.801029617796791</v>
      </c>
    </row>
    <row r="66" spans="7:30" x14ac:dyDescent="0.25">
      <c r="G66" s="19">
        <v>189</v>
      </c>
      <c r="H66" s="19">
        <f t="shared" ca="1" si="72"/>
        <v>0.16464238390134067</v>
      </c>
      <c r="I66" s="19">
        <f t="shared" ca="1" si="72"/>
        <v>0.33245988360832379</v>
      </c>
      <c r="J66" s="19">
        <f t="shared" ca="1" si="2"/>
        <v>-0.94068941615204638</v>
      </c>
      <c r="K66" s="19">
        <f t="shared" ca="1" si="3"/>
        <v>1.6501704388895606</v>
      </c>
      <c r="L66" s="19">
        <f t="array" aca="1" ref="L66:M66" ca="1">MMULT(J66:K66,TRANSPOSE($B$10:$C$11))</f>
        <v>-0.94068941615204638</v>
      </c>
      <c r="M66" s="19">
        <f ca="1"/>
        <v>1.8251415633481916</v>
      </c>
      <c r="N66" s="20">
        <f t="shared" ca="1" si="29"/>
        <v>9.6790020157318052E-2</v>
      </c>
      <c r="O66" s="20">
        <f t="shared" ca="1" si="5"/>
        <v>-1.8509366017116786E-2</v>
      </c>
      <c r="P66" s="19">
        <f t="shared" ca="1" si="12"/>
        <v>81.778339494399546</v>
      </c>
      <c r="Q66" s="19">
        <f ca="1">HCTrans(P66,Strike,RiskFreeRate,Dividend,Variance_T0*AnnualVarConvtr,(Simulation!G66)/250,0.5,Variance_Avg*AnnualVarConvtr,Lambda,SQRT(Simulation!N66),Rho,1,"Call")</f>
        <v>14.423693007858859</v>
      </c>
      <c r="R66" s="19">
        <f t="shared" ca="1" si="6"/>
        <v>0.72347819692303494</v>
      </c>
      <c r="S66" s="19">
        <f t="shared" ca="1" si="7"/>
        <v>2.3735304357296648E-7</v>
      </c>
      <c r="T66" s="19">
        <f t="shared" ca="1" si="13"/>
        <v>-2.0918924506209893E-4</v>
      </c>
      <c r="U66" s="19">
        <f t="shared" ca="1" si="14"/>
        <v>10.913398705909666</v>
      </c>
      <c r="V66" s="21">
        <f t="shared" ca="1" si="15"/>
        <v>1.112737103216918E-5</v>
      </c>
      <c r="W66">
        <f t="shared" ca="1" si="16"/>
        <v>3.3357714298448537E-3</v>
      </c>
      <c r="X66" s="22">
        <f t="shared" ref="X66" ca="1" si="143">BSdelta(1,P66,Strike,W66*AnnualVarConvtr,Dividend,RiskFreeRate,G66/250)</f>
        <v>6.400349070929123E-6</v>
      </c>
      <c r="Y66" s="22">
        <f t="shared" ca="1" si="23"/>
        <v>-24.461121840704632</v>
      </c>
      <c r="Z66" s="22">
        <f t="shared" ca="1" si="24"/>
        <v>14.587454679793339</v>
      </c>
      <c r="AA66">
        <f t="shared" si="9"/>
        <v>0.73884103340948371</v>
      </c>
      <c r="AB66">
        <f t="shared" ref="AB66" ca="1" si="144">BSdelta(1,P66,Strike,AA66/AnnualVarConvtr,Dividend,RiskFreeRate,G66/250)</f>
        <v>4.0966060977131759E-7</v>
      </c>
      <c r="AC66">
        <f t="shared" ca="1" si="19"/>
        <v>-2.9658837503120246E-4</v>
      </c>
      <c r="AD66">
        <f t="shared" ca="1" si="20"/>
        <v>10.896070150628205</v>
      </c>
    </row>
    <row r="67" spans="7:30" x14ac:dyDescent="0.25">
      <c r="G67" s="19">
        <v>188</v>
      </c>
      <c r="H67" s="19">
        <f t="shared" ca="1" si="72"/>
        <v>0.79854613734309521</v>
      </c>
      <c r="I67" s="19">
        <f t="shared" ca="1" si="72"/>
        <v>0.27103175807793767</v>
      </c>
      <c r="J67" s="19">
        <f t="shared" ca="1" si="2"/>
        <v>-8.8381387024472985E-2</v>
      </c>
      <c r="K67" s="19">
        <f t="shared" ca="1" si="3"/>
        <v>0.66491638300418821</v>
      </c>
      <c r="L67" s="19">
        <f t="array" aca="1" ref="L67:M67" ca="1">MMULT(J67:K67,TRANSPOSE($B$10:$C$11))</f>
        <v>-8.8381387024472985E-2</v>
      </c>
      <c r="M67" s="19">
        <f ca="1"/>
        <v>0.52716234940523754</v>
      </c>
      <c r="N67" s="20">
        <f t="shared" ca="1" si="29"/>
        <v>0.10037751553310877</v>
      </c>
      <c r="O67" s="20">
        <f t="shared" ca="1" si="5"/>
        <v>-1.7709611320792309E-3</v>
      </c>
      <c r="P67" s="19">
        <f t="shared" ca="1" si="12"/>
        <v>81.633641398878609</v>
      </c>
      <c r="Q67" s="19">
        <f ca="1">HCTrans(P67,Strike,RiskFreeRate,Dividend,Variance_T0*AnnualVarConvtr,(Simulation!G67)/250,0.5,Variance_Avg*AnnualVarConvtr,Lambda,SQRT(Simulation!N67),Rho,1,"Call")</f>
        <v>14.281682424000934</v>
      </c>
      <c r="R67" s="19">
        <f t="shared" ca="1" si="6"/>
        <v>0.72291943496851752</v>
      </c>
      <c r="S67" s="19">
        <f t="shared" ca="1" si="7"/>
        <v>1.713170602803876E-7</v>
      </c>
      <c r="T67" s="19">
        <f t="shared" ca="1" si="13"/>
        <v>-5.3907577795287234E-6</v>
      </c>
      <c r="U67" s="19">
        <f t="shared" ca="1" si="14"/>
        <v>10.771393512809521</v>
      </c>
      <c r="V67" s="21">
        <f t="shared" ca="1" si="15"/>
        <v>2.8017419809544912E-4</v>
      </c>
      <c r="W67">
        <f t="shared" ca="1" si="16"/>
        <v>1.6738404885037556E-2</v>
      </c>
      <c r="X67" s="22">
        <f t="shared" ref="X67" ca="1" si="145">BSdelta(1,P67,Strike,W67*AnnualVarConvtr,Dividend,RiskFreeRate,G67/250)</f>
        <v>0.2208138866545574</v>
      </c>
      <c r="Y67" s="22">
        <f t="shared" ca="1" si="23"/>
        <v>18.025319155249882</v>
      </c>
      <c r="Z67" s="22">
        <f t="shared" ca="1" si="24"/>
        <v>-3.5798750593144675</v>
      </c>
      <c r="AA67">
        <f t="shared" si="9"/>
        <v>0.73884103340948371</v>
      </c>
      <c r="AB67">
        <f t="shared" ref="AB67" ca="1" si="146">BSdelta(1,P67,Strike,AA67/AnnualVarConvtr,Dividend,RiskFreeRate,G67/250)</f>
        <v>3.0564495701095119E-7</v>
      </c>
      <c r="AC67">
        <f t="shared" ca="1" si="19"/>
        <v>-8.4911764973100283E-6</v>
      </c>
      <c r="AD67">
        <f t="shared" ca="1" si="20"/>
        <v>10.754068057946778</v>
      </c>
    </row>
    <row r="68" spans="7:30" x14ac:dyDescent="0.25">
      <c r="G68" s="19">
        <v>187</v>
      </c>
      <c r="H68" s="19">
        <f t="shared" ca="1" si="72"/>
        <v>0.9041713856205148</v>
      </c>
      <c r="I68" s="19">
        <f t="shared" ca="1" si="72"/>
        <v>0.376219875612958</v>
      </c>
      <c r="J68" s="19">
        <f t="shared" ca="1" si="2"/>
        <v>-0.31981325635921792</v>
      </c>
      <c r="K68" s="19">
        <f t="shared" ca="1" si="3"/>
        <v>0.31494790434020836</v>
      </c>
      <c r="L68" s="19">
        <f t="array" aca="1" ref="L68:M68" ca="1">MMULT(J68:K68,TRANSPOSE($B$10:$C$11))</f>
        <v>-0.31981325635921792</v>
      </c>
      <c r="M68" s="19">
        <f ca="1"/>
        <v>0.44884979069274566</v>
      </c>
      <c r="N68" s="20">
        <f t="shared" ca="1" si="29"/>
        <v>0.10339997265081065</v>
      </c>
      <c r="O68" s="20">
        <f t="shared" ca="1" si="5"/>
        <v>-6.5040919001582076E-3</v>
      </c>
      <c r="P68" s="19">
        <f t="shared" ca="1" si="12"/>
        <v>81.104411638250681</v>
      </c>
      <c r="Q68" s="19">
        <f ca="1">HCTrans(P68,Strike,RiskFreeRate,Dividend,Variance_T0*AnnualVarConvtr,(Simulation!G68)/250,0.5,Variance_Avg*AnnualVarConvtr,Lambda,SQRT(Simulation!N68),Rho,1,"Call")</f>
        <v>13.945370716623515</v>
      </c>
      <c r="R68" s="19">
        <f t="shared" ca="1" si="6"/>
        <v>0.72217063349744648</v>
      </c>
      <c r="S68" s="19">
        <f t="shared" ca="1" si="7"/>
        <v>6.3870131015296834E-8</v>
      </c>
      <c r="T68" s="19">
        <f t="shared" ca="1" si="13"/>
        <v>-8.7144199803819263E-6</v>
      </c>
      <c r="U68" s="19">
        <f t="shared" ca="1" si="14"/>
        <v>10.435090519852082</v>
      </c>
      <c r="V68" s="21">
        <f t="shared" ca="1" si="15"/>
        <v>2.2402526867735881E-5</v>
      </c>
      <c r="W68">
        <f t="shared" ca="1" si="16"/>
        <v>4.7331307680789766E-3</v>
      </c>
      <c r="X68" s="22">
        <f t="shared" ref="X68" ca="1" si="147">BSdelta(1,P68,Strike,W68*AnnualVarConvtr,Dividend,RiskFreeRate,G68/250)</f>
        <v>6.7909633532803771E-4</v>
      </c>
      <c r="Y68" s="22">
        <f t="shared" ca="1" si="23"/>
        <v>-17.853902649950779</v>
      </c>
      <c r="Z68" s="22">
        <f t="shared" ca="1" si="24"/>
        <v>13.937715883258893</v>
      </c>
      <c r="AA68">
        <f t="shared" si="9"/>
        <v>0.73884103340948371</v>
      </c>
      <c r="AB68">
        <f t="shared" ref="AB68" ca="1" si="148">BSdelta(1,P68,Strike,AA68/AnnualVarConvtr,Dividend,RiskFreeRate,G68/250)</f>
        <v>1.2217666101251503E-7</v>
      </c>
      <c r="AC68">
        <f t="shared" ca="1" si="19"/>
        <v>-1.4880088201225588E-5</v>
      </c>
      <c r="AD68">
        <f t="shared" ca="1" si="20"/>
        <v>10.417771230657561</v>
      </c>
    </row>
    <row r="69" spans="7:30" x14ac:dyDescent="0.25">
      <c r="G69" s="19">
        <v>186</v>
      </c>
      <c r="H69" s="19">
        <f t="shared" ca="1" si="72"/>
        <v>8.5318595982293632E-2</v>
      </c>
      <c r="I69" s="19">
        <f t="shared" ca="1" si="72"/>
        <v>0.73157928276545592</v>
      </c>
      <c r="J69" s="19">
        <f t="shared" ca="1" si="2"/>
        <v>-0.256223617907885</v>
      </c>
      <c r="K69" s="19">
        <f t="shared" ca="1" si="3"/>
        <v>-2.2038772970522729</v>
      </c>
      <c r="L69" s="19">
        <f t="array" aca="1" ref="L69:M69" ca="1">MMULT(J69:K69,TRANSPOSE($B$10:$C$11))</f>
        <v>-0.256223617907885</v>
      </c>
      <c r="M69" s="19">
        <f ca="1"/>
        <v>-1.3538121310833195</v>
      </c>
      <c r="N69" s="20">
        <f t="shared" ca="1" si="29"/>
        <v>9.2490248504197486E-2</v>
      </c>
      <c r="O69" s="20">
        <f t="shared" ca="1" si="5"/>
        <v>-4.9282999010160288E-3</v>
      </c>
      <c r="P69" s="19">
        <f t="shared" ca="1" si="12"/>
        <v>80.705688096019557</v>
      </c>
      <c r="Q69" s="19">
        <f ca="1">HCTrans(P69,Strike,RiskFreeRate,Dividend,Variance_T0*AnnualVarConvtr,(Simulation!G69)/250,0.5,Variance_Avg*AnnualVarConvtr,Lambda,SQRT(Simulation!N69),Rho,1,"Call")</f>
        <v>13.732120608027472</v>
      </c>
      <c r="R69" s="19">
        <f t="shared" ca="1" si="6"/>
        <v>0.72345450470018347</v>
      </c>
      <c r="S69" s="19">
        <f t="shared" ca="1" si="7"/>
        <v>3.1206097744131503E-8</v>
      </c>
      <c r="T69" s="19">
        <f t="shared" ca="1" si="13"/>
        <v>-2.6361732811406746E-6</v>
      </c>
      <c r="U69" s="19">
        <f t="shared" ca="1" si="14"/>
        <v>10.221843047429321</v>
      </c>
      <c r="V69" s="21">
        <f t="shared" ca="1" si="15"/>
        <v>2.4831204245605041E-6</v>
      </c>
      <c r="W69">
        <f t="shared" ca="1" si="16"/>
        <v>1.5757919991421787E-3</v>
      </c>
      <c r="X69" s="22">
        <f t="shared" ref="X69" ca="1" si="149">BSdelta(1,P69,Strike,W69*AnnualVarConvtr,Dividend,RiskFreeRate,G69/250)</f>
        <v>1.0981625625348113E-23</v>
      </c>
      <c r="Y69" s="22">
        <f t="shared" ca="1" si="23"/>
        <v>-5.4806937026134518E-2</v>
      </c>
      <c r="Z69" s="22">
        <f t="shared" ca="1" si="24"/>
        <v>13.779272711688984</v>
      </c>
      <c r="AA69">
        <f t="shared" si="9"/>
        <v>0.73884103340948371</v>
      </c>
      <c r="AB69">
        <f t="shared" ref="AB69" ca="1" si="150">BSdelta(1,P69,Strike,AA69/AnnualVarConvtr,Dividend,RiskFreeRate,G69/250)</f>
        <v>5.8469373332312898E-8</v>
      </c>
      <c r="AC69">
        <f t="shared" ca="1" si="19"/>
        <v>-5.1415404889617823E-6</v>
      </c>
      <c r="AD69">
        <f t="shared" ca="1" si="20"/>
        <v>10.204526263602007</v>
      </c>
    </row>
    <row r="70" spans="7:30" x14ac:dyDescent="0.25">
      <c r="G70" s="19">
        <v>185</v>
      </c>
      <c r="H70" s="19">
        <f t="shared" ca="1" si="72"/>
        <v>0.9163782440585454</v>
      </c>
      <c r="I70" s="19">
        <f t="shared" ca="1" si="72"/>
        <v>0.26976118658367387</v>
      </c>
      <c r="J70" s="19">
        <f t="shared" ref="J70:J133" ca="1" si="151">SQRT(-2*LN(H70))*COS(2*PI()*I70)</f>
        <v>-5.1756319329173614E-2</v>
      </c>
      <c r="K70" s="19">
        <f t="shared" ref="K70:K133" ca="1" si="152">SQRT(-2*LN(H70))*SIN(2*PI()*I70)</f>
        <v>0.41469678332499027</v>
      </c>
      <c r="L70" s="19">
        <f t="array" aca="1" ref="L70:M70" ca="1">MMULT(J70:K70,TRANSPOSE($B$10:$C$11))</f>
        <v>-5.1756319329173614E-2</v>
      </c>
      <c r="M70" s="19">
        <f ca="1"/>
        <v>0.32637052566583824</v>
      </c>
      <c r="N70" s="20">
        <f t="shared" ca="1" si="29"/>
        <v>9.4487100162549728E-2</v>
      </c>
      <c r="O70" s="20">
        <f t="shared" ref="O70:O133" ca="1" si="153">GetStockReturns(0,RiskFreeRate,N70,L70,"Daily")</f>
        <v>-1.0061891726588544E-3</v>
      </c>
      <c r="P70" s="19">
        <f t="shared" ca="1" si="12"/>
        <v>80.624523746677795</v>
      </c>
      <c r="Q70" s="19">
        <f ca="1">HCTrans(P70,Strike,RiskFreeRate,Dividend,Variance_T0*AnnualVarConvtr,(Simulation!G70)/250,0.5,Variance_Avg*AnnualVarConvtr,Lambda,SQRT(Simulation!N70),Rho,1,"Call")</f>
        <v>13.629986818457127</v>
      </c>
      <c r="R70" s="19">
        <f t="shared" ref="R70:R133" ca="1" si="154">BSvol(1,P70,Strike,Q70,Dividend,RiskFreeRate,G70/250)</f>
        <v>0.72314345187666218</v>
      </c>
      <c r="S70" s="19">
        <f t="shared" ref="S70:S133" ca="1" si="155">BSdelta(1,P70,Strike,R70/AnnualVarConvtr,Dividend,RiskFreeRate,G70/250)</f>
        <v>2.4570964094629211E-8</v>
      </c>
      <c r="T70" s="19">
        <f t="shared" ca="1" si="13"/>
        <v>-5.3495449048667849E-7</v>
      </c>
      <c r="U70" s="19">
        <f t="shared" ca="1" si="14"/>
        <v>10.119709792813467</v>
      </c>
      <c r="V70" s="21">
        <f t="shared" ca="1" si="15"/>
        <v>1.5382952565494446E-5</v>
      </c>
      <c r="W70">
        <f t="shared" ca="1" si="16"/>
        <v>3.9221107283571744E-3</v>
      </c>
      <c r="X70" s="22">
        <f t="shared" ref="X70" ca="1" si="156">BSdelta(1,P70,Strike,W70*AnnualVarConvtr,Dividend,RiskFreeRate,G70/250)</f>
        <v>3.0299087565564912E-5</v>
      </c>
      <c r="Y70" s="22">
        <f t="shared" ca="1" si="23"/>
        <v>2.442849504932558E-3</v>
      </c>
      <c r="Z70" s="22">
        <f t="shared" ca="1" si="24"/>
        <v>13.674696072613706</v>
      </c>
      <c r="AA70">
        <f t="shared" ref="AA70:AA133" si="157">$R$5</f>
        <v>0.73884103340948371</v>
      </c>
      <c r="AB70">
        <f t="shared" ref="AB70" ca="1" si="158">BSdelta(1,P70,Strike,AA70/AnnualVarConvtr,Dividend,RiskFreeRate,G70/250)</f>
        <v>4.7077572329875726E-8</v>
      </c>
      <c r="AC70">
        <f t="shared" ca="1" si="19"/>
        <v>-9.1845853043842361E-7</v>
      </c>
      <c r="AD70">
        <f t="shared" ca="1" si="20"/>
        <v>10.102393392490193</v>
      </c>
    </row>
    <row r="71" spans="7:30" x14ac:dyDescent="0.25">
      <c r="G71" s="19">
        <v>184</v>
      </c>
      <c r="H71" s="19">
        <f t="shared" ca="1" si="72"/>
        <v>0.36573157401723022</v>
      </c>
      <c r="I71" s="19">
        <f t="shared" ca="1" si="72"/>
        <v>0.96700360342443448</v>
      </c>
      <c r="J71" s="19">
        <f t="shared" ca="1" si="151"/>
        <v>1.3879749441047808</v>
      </c>
      <c r="K71" s="19">
        <f t="shared" ca="1" si="152"/>
        <v>-0.29195340808581965</v>
      </c>
      <c r="L71" s="19">
        <f t="array" aca="1" ref="L71:M71" ca="1">MMULT(J71:K71,TRANSPOSE($B$10:$C$11))</f>
        <v>1.3879749441047808</v>
      </c>
      <c r="M71" s="19">
        <f ca="1"/>
        <v>-1.1981469762035832</v>
      </c>
      <c r="N71" s="20">
        <f t="shared" ca="1" si="29"/>
        <v>8.5208621297065607E-2</v>
      </c>
      <c r="O71" s="20">
        <f t="shared" ca="1" si="153"/>
        <v>2.5624381472488508E-2</v>
      </c>
      <c r="P71" s="19">
        <f t="shared" ref="P71:P134" ca="1" si="159">P70*EXP(O71)</f>
        <v>82.717174233215573</v>
      </c>
      <c r="Q71" s="19">
        <f ca="1">HCTrans(P71,Strike,RiskFreeRate,Dividend,Variance_T0*AnnualVarConvtr,(Simulation!G71)/250,0.5,Variance_Avg*AnnualVarConvtr,Lambda,SQRT(Simulation!N71),Rho,1,"Call")</f>
        <v>14.685685201501485</v>
      </c>
      <c r="R71" s="19">
        <f t="shared" ca="1" si="154"/>
        <v>0.72586417952629845</v>
      </c>
      <c r="S71" s="19">
        <f t="shared" ca="1" si="155"/>
        <v>8.0118687183411122E-7</v>
      </c>
      <c r="T71" s="19">
        <f t="shared" ref="T71:T134" ca="1" si="160">(S71-S70)*P71</f>
        <v>6.423947335277361E-5</v>
      </c>
      <c r="U71" s="19">
        <f t="shared" ref="U71:U134" ca="1" si="161">(Q71-Q70)+U70-T71</f>
        <v>11.175343936384472</v>
      </c>
      <c r="V71" s="21">
        <f t="shared" ref="V71:V134" ca="1" si="162">(O71-O70)^2</f>
        <v>7.0918729288618439E-4</v>
      </c>
      <c r="W71">
        <f t="shared" ref="W71:W134" ca="1" si="163">SQRT(V71)</f>
        <v>2.6630570645147362E-2</v>
      </c>
      <c r="X71" s="22">
        <f t="shared" ref="X71" ca="1" si="164">BSdelta(1,P71,Strike,W71*AnnualVarConvtr,Dividend,RiskFreeRate,G71/250)</f>
        <v>0.36518064120007909</v>
      </c>
      <c r="Y71" s="22">
        <f t="shared" ca="1" si="23"/>
        <v>30.204204469839055</v>
      </c>
      <c r="Z71" s="22">
        <f t="shared" ca="1" si="24"/>
        <v>-15.473810014180991</v>
      </c>
      <c r="AA71">
        <f t="shared" si="157"/>
        <v>0.73884103340948371</v>
      </c>
      <c r="AB71">
        <f t="shared" ref="AB71" ca="1" si="165">BSdelta(1,P71,Strike,AA71/AnnualVarConvtr,Dividend,RiskFreeRate,G71/250)</f>
        <v>1.220145239899501E-6</v>
      </c>
      <c r="AC71">
        <f t="shared" ref="AC71:AC134" ca="1" si="166">(AB71-AB70)*P71</f>
        <v>9.7032842645708488E-5</v>
      </c>
      <c r="AD71">
        <f t="shared" ref="AD71:AD134" ca="1" si="167">(Q71-Q70)+AD70-AC71</f>
        <v>11.157994742691905</v>
      </c>
    </row>
    <row r="72" spans="7:30" x14ac:dyDescent="0.25">
      <c r="G72" s="19">
        <v>183</v>
      </c>
      <c r="H72" s="19">
        <f t="shared" ca="1" si="72"/>
        <v>0.83983614207305524</v>
      </c>
      <c r="I72" s="19">
        <f t="shared" ca="1" si="72"/>
        <v>0.43781342752716279</v>
      </c>
      <c r="J72" s="19">
        <f t="shared" ca="1" si="151"/>
        <v>-0.54631314469969405</v>
      </c>
      <c r="K72" s="19">
        <f t="shared" ca="1" si="152"/>
        <v>0.22503088276063901</v>
      </c>
      <c r="L72" s="19">
        <f t="array" aca="1" ref="L72:M72" ca="1">MMULT(J72:K72,TRANSPOSE($B$10:$C$11))</f>
        <v>-0.54631314469969405</v>
      </c>
      <c r="M72" s="19">
        <f ca="1"/>
        <v>0.54841200714331984</v>
      </c>
      <c r="N72" s="20">
        <f t="shared" ca="1" si="29"/>
        <v>8.876478658683909E-2</v>
      </c>
      <c r="O72" s="20">
        <f t="shared" ca="1" si="153"/>
        <v>-1.029418579534397E-2</v>
      </c>
      <c r="P72" s="19">
        <f t="shared" ca="1" si="159"/>
        <v>81.870036053044828</v>
      </c>
      <c r="Q72" s="19">
        <f ca="1">HCTrans(P72,Strike,RiskFreeRate,Dividend,Variance_T0*AnnualVarConvtr,(Simulation!G72)/250,0.5,Variance_Avg*AnnualVarConvtr,Lambda,SQRT(Simulation!N72),Rho,1,"Call")</f>
        <v>14.178947869959799</v>
      </c>
      <c r="R72" s="19">
        <f t="shared" ca="1" si="154"/>
        <v>0.72484910144465498</v>
      </c>
      <c r="S72" s="19">
        <f t="shared" ca="1" si="155"/>
        <v>1.8824678693666054E-7</v>
      </c>
      <c r="T72" s="19">
        <f t="shared" ca="1" si="160"/>
        <v>-5.0181426848910648E-5</v>
      </c>
      <c r="U72" s="19">
        <f t="shared" ca="1" si="161"/>
        <v>10.668656786269635</v>
      </c>
      <c r="V72" s="21">
        <f t="shared" ca="1" si="162"/>
        <v>1.2901434745738066E-3</v>
      </c>
      <c r="W72">
        <f t="shared" ca="1" si="163"/>
        <v>3.5918567267832477E-2</v>
      </c>
      <c r="X72" s="22">
        <f t="shared" ref="X72" ca="1" si="168">BSdelta(1,P72,Strike,W72*AnnualVarConvtr,Dividend,RiskFreeRate,G72/250)</f>
        <v>0.43300165231089649</v>
      </c>
      <c r="Y72" s="22">
        <f t="shared" ref="Y72:Y135" ca="1" si="169">(X72-X71)*P72</f>
        <v>5.552508624796574</v>
      </c>
      <c r="Z72" s="22">
        <f t="shared" ref="Z72:Z135" ca="1" si="170">(Q72-Q71)+Z71-Y72</f>
        <v>-21.53305597051925</v>
      </c>
      <c r="AA72">
        <f t="shared" si="157"/>
        <v>0.73884103340948371</v>
      </c>
      <c r="AB72">
        <f t="shared" ref="AB72" ca="1" si="171">BSdelta(1,P72,Strike,AA72/AnnualVarConvtr,Dividend,RiskFreeRate,G72/250)</f>
        <v>3.1220215911474644E-7</v>
      </c>
      <c r="AC72">
        <f t="shared" ca="1" si="166"/>
        <v>-7.4333332757960449E-5</v>
      </c>
      <c r="AD72">
        <f t="shared" ca="1" si="167"/>
        <v>10.651331744482977</v>
      </c>
    </row>
    <row r="73" spans="7:30" x14ac:dyDescent="0.25">
      <c r="G73" s="19">
        <v>182</v>
      </c>
      <c r="H73" s="19">
        <f t="shared" ca="1" si="72"/>
        <v>0.66910545595141169</v>
      </c>
      <c r="I73" s="19">
        <f t="shared" ca="1" si="72"/>
        <v>0.49138177167749042</v>
      </c>
      <c r="J73" s="19">
        <f t="shared" ca="1" si="151"/>
        <v>-0.89513858877485641</v>
      </c>
      <c r="K73" s="19">
        <f t="shared" ca="1" si="152"/>
        <v>4.8519120051226508E-2</v>
      </c>
      <c r="L73" s="19">
        <f t="array" aca="1" ref="L73:M73" ca="1">MMULT(J73:K73,TRANSPOSE($B$10:$C$11))</f>
        <v>-0.89513858877485641</v>
      </c>
      <c r="M73" s="19">
        <f ca="1"/>
        <v>0.67521311068794987</v>
      </c>
      <c r="N73" s="20">
        <f t="shared" ca="1" si="29"/>
        <v>9.3332833035684806E-2</v>
      </c>
      <c r="O73" s="20">
        <f t="shared" ca="1" si="153"/>
        <v>-1.7295674351187455E-2</v>
      </c>
      <c r="P73" s="19">
        <f t="shared" ca="1" si="159"/>
        <v>80.466213593228161</v>
      </c>
      <c r="Q73" s="19">
        <f ca="1">HCTrans(P73,Strike,RiskFreeRate,Dividend,Variance_T0*AnnualVarConvtr,(Simulation!G73)/250,0.5,Variance_Avg*AnnualVarConvtr,Lambda,SQRT(Simulation!N73),Rho,1,"Call")</f>
        <v>13.394795908226754</v>
      </c>
      <c r="R73" s="19">
        <f t="shared" ca="1" si="154"/>
        <v>0.72329262476402234</v>
      </c>
      <c r="S73" s="19">
        <f t="shared" ca="1" si="155"/>
        <v>1.4390592044672455E-8</v>
      </c>
      <c r="T73" s="19">
        <f t="shared" ca="1" si="160"/>
        <v>-1.3989549712684617E-5</v>
      </c>
      <c r="U73" s="19">
        <f t="shared" ca="1" si="161"/>
        <v>9.8845188140863023</v>
      </c>
      <c r="V73" s="21">
        <f t="shared" ca="1" si="162"/>
        <v>4.9020841997607279E-5</v>
      </c>
      <c r="W73">
        <f t="shared" ca="1" si="163"/>
        <v>7.0014885558434842E-3</v>
      </c>
      <c r="X73" s="22">
        <f t="shared" ref="X73" ca="1" si="172">BSdelta(1,P73,Strike,W73*AnnualVarConvtr,Dividend,RiskFreeRate,G73/250)</f>
        <v>1.2108151834342523E-2</v>
      </c>
      <c r="Y73" s="22">
        <f t="shared" ca="1" si="169"/>
        <v>-33.867706309347867</v>
      </c>
      <c r="Z73" s="22">
        <f t="shared" ca="1" si="170"/>
        <v>11.550498377095572</v>
      </c>
      <c r="AA73">
        <f t="shared" si="157"/>
        <v>0.73884103340948371</v>
      </c>
      <c r="AB73">
        <f t="shared" ref="AB73" ca="1" si="173">BSdelta(1,P73,Strike,AA73/AnnualVarConvtr,Dividend,RiskFreeRate,G73/250)</f>
        <v>2.8004648847477969E-8</v>
      </c>
      <c r="AC73">
        <f t="shared" ca="1" si="166"/>
        <v>-2.2868297563829678E-5</v>
      </c>
      <c r="AD73">
        <f t="shared" ca="1" si="167"/>
        <v>9.8672026510474957</v>
      </c>
    </row>
    <row r="74" spans="7:30" x14ac:dyDescent="0.25">
      <c r="G74" s="19">
        <v>181</v>
      </c>
      <c r="H74" s="19">
        <f t="shared" ca="1" si="72"/>
        <v>0.97436286357619306</v>
      </c>
      <c r="I74" s="19">
        <f t="shared" ca="1" si="72"/>
        <v>0.12818558663732549</v>
      </c>
      <c r="J74" s="19">
        <f t="shared" ca="1" si="151"/>
        <v>0.15789902083461069</v>
      </c>
      <c r="K74" s="19">
        <f t="shared" ca="1" si="152"/>
        <v>0.16434989781513262</v>
      </c>
      <c r="L74" s="19">
        <f t="array" aca="1" ref="L74:M74" ca="1">MMULT(J74:K74,TRANSPOSE($B$10:$C$11))</f>
        <v>0.15789902083461069</v>
      </c>
      <c r="M74" s="19">
        <f ca="1"/>
        <v>1.5137187503910937E-3</v>
      </c>
      <c r="N74" s="20">
        <f t="shared" ref="N74:N137" ca="1" si="174">GetVariance(N73,Variance_Avg,Lambda,Eta,M74,"Daily")</f>
        <v>9.2886747906945996E-2</v>
      </c>
      <c r="O74" s="20">
        <f t="shared" ca="1" si="153"/>
        <v>3.043591142050162E-3</v>
      </c>
      <c r="P74" s="19">
        <f t="shared" ca="1" si="159"/>
        <v>80.711492923809459</v>
      </c>
      <c r="Q74" s="19">
        <f ca="1">HCTrans(P74,Strike,RiskFreeRate,Dividend,Variance_T0*AnnualVarConvtr,(Simulation!G74)/250,0.5,Variance_Avg*AnnualVarConvtr,Lambda,SQRT(Simulation!N74),Rho,1,"Call")</f>
        <v>13.465945359031309</v>
      </c>
      <c r="R74" s="19">
        <f t="shared" ca="1" si="154"/>
        <v>0.7235540663680331</v>
      </c>
      <c r="S74" s="19">
        <f t="shared" ca="1" si="155"/>
        <v>2.080040460231113E-8</v>
      </c>
      <c r="T74" s="19">
        <f t="shared" ca="1" si="160"/>
        <v>5.173455408887989E-7</v>
      </c>
      <c r="U74" s="19">
        <f t="shared" ca="1" si="161"/>
        <v>9.9556677475453164</v>
      </c>
      <c r="V74" s="21">
        <f t="shared" ca="1" si="162"/>
        <v>4.136857208044064E-4</v>
      </c>
      <c r="W74">
        <f t="shared" ca="1" si="163"/>
        <v>2.0339265493237616E-2</v>
      </c>
      <c r="X74" s="22">
        <f t="shared" ref="X74" ca="1" si="175">BSdelta(1,P74,Strike,W74*AnnualVarConvtr,Dividend,RiskFreeRate,G74/250)</f>
        <v>0.25904353349900711</v>
      </c>
      <c r="Y74" s="22">
        <f t="shared" ca="1" si="169"/>
        <v>19.930523309865762</v>
      </c>
      <c r="Z74" s="22">
        <f t="shared" ca="1" si="170"/>
        <v>-8.3088754819656359</v>
      </c>
      <c r="AA74">
        <f t="shared" si="157"/>
        <v>0.73884103340948371</v>
      </c>
      <c r="AB74">
        <f t="shared" ref="AB74" ca="1" si="176">BSdelta(1,P74,Strike,AA74/AnnualVarConvtr,Dividend,RiskFreeRate,G74/250)</f>
        <v>3.9447239767069433E-8</v>
      </c>
      <c r="AC74">
        <f t="shared" ca="1" si="166"/>
        <v>9.2354859603665283E-7</v>
      </c>
      <c r="AD74">
        <f t="shared" ca="1" si="167"/>
        <v>9.9383511783034546</v>
      </c>
    </row>
    <row r="75" spans="7:30" x14ac:dyDescent="0.25">
      <c r="G75" s="19">
        <v>180</v>
      </c>
      <c r="H75" s="19">
        <f t="shared" ca="1" si="72"/>
        <v>0.42912056998405235</v>
      </c>
      <c r="I75" s="19">
        <f t="shared" ca="1" si="72"/>
        <v>0.27448067652076691</v>
      </c>
      <c r="J75" s="19">
        <f t="shared" ca="1" si="151"/>
        <v>-0.19929391016991499</v>
      </c>
      <c r="K75" s="19">
        <f t="shared" ca="1" si="152"/>
        <v>1.2854246919300139</v>
      </c>
      <c r="L75" s="19">
        <f t="array" aca="1" ref="L75:M75" ca="1">MMULT(J75:K75,TRANSPOSE($B$10:$C$11))</f>
        <v>-0.19929391016991499</v>
      </c>
      <c r="M75" s="19">
        <f ca="1"/>
        <v>1.0394897586129468</v>
      </c>
      <c r="N75" s="20">
        <f t="shared" ca="1" si="174"/>
        <v>0.10036234965007783</v>
      </c>
      <c r="O75" s="20">
        <f t="shared" ca="1" si="153"/>
        <v>-3.9930930813981578E-3</v>
      </c>
      <c r="P75" s="19">
        <f t="shared" ca="1" si="159"/>
        <v>80.389847028207583</v>
      </c>
      <c r="Q75" s="19">
        <f ca="1">HCTrans(P75,Strike,RiskFreeRate,Dividend,Variance_T0*AnnualVarConvtr,(Simulation!G75)/250,0.5,Variance_Avg*AnnualVarConvtr,Lambda,SQRT(Simulation!N75),Rho,1,"Call")</f>
        <v>13.222282534074793</v>
      </c>
      <c r="R75" s="19">
        <f t="shared" ca="1" si="154"/>
        <v>0.72230831702501819</v>
      </c>
      <c r="S75" s="19">
        <f t="shared" ca="1" si="155"/>
        <v>1.0011542901541432E-8</v>
      </c>
      <c r="T75" s="19">
        <f t="shared" ca="1" si="160"/>
        <v>-8.6731494173336359E-7</v>
      </c>
      <c r="U75" s="19">
        <f t="shared" ca="1" si="161"/>
        <v>9.712005789903742</v>
      </c>
      <c r="V75" s="21">
        <f t="shared" ca="1" si="162"/>
        <v>4.9514924860526489E-5</v>
      </c>
      <c r="W75">
        <f t="shared" ca="1" si="163"/>
        <v>7.0366842234483203E-3</v>
      </c>
      <c r="X75" s="22">
        <f t="shared" ref="X75" ca="1" si="177">BSdelta(1,P75,Strike,W75*AnnualVarConvtr,Dividend,RiskFreeRate,G75/250)</f>
        <v>1.1758276155201513E-2</v>
      </c>
      <c r="Y75" s="22">
        <f t="shared" ca="1" si="169"/>
        <v>-19.879224010199479</v>
      </c>
      <c r="Z75" s="22">
        <f t="shared" ca="1" si="170"/>
        <v>11.326685703277327</v>
      </c>
      <c r="AA75">
        <f t="shared" si="157"/>
        <v>0.73884103340948371</v>
      </c>
      <c r="AB75">
        <f t="shared" ref="AB75" ca="1" si="178">BSdelta(1,P75,Strike,AA75/AnnualVarConvtr,Dividend,RiskFreeRate,G75/250)</f>
        <v>2.0632395927632803E-8</v>
      </c>
      <c r="AC75">
        <f t="shared" ca="1" si="166"/>
        <v>-1.5125224181119245E-6</v>
      </c>
      <c r="AD75">
        <f t="shared" ca="1" si="167"/>
        <v>9.694689865869357</v>
      </c>
    </row>
    <row r="76" spans="7:30" x14ac:dyDescent="0.25">
      <c r="G76" s="19">
        <v>179</v>
      </c>
      <c r="H76" s="19">
        <f t="shared" ca="1" si="72"/>
        <v>0.45143266520718617</v>
      </c>
      <c r="I76" s="19">
        <f t="shared" ca="1" si="72"/>
        <v>0.11183176735538158</v>
      </c>
      <c r="J76" s="19">
        <f t="shared" ca="1" si="151"/>
        <v>0.96246445312452134</v>
      </c>
      <c r="K76" s="19">
        <f t="shared" ca="1" si="152"/>
        <v>0.81505845340875716</v>
      </c>
      <c r="L76" s="19">
        <f t="array" aca="1" ref="L76:M76" ca="1">MMULT(J76:K76,TRANSPOSE($B$10:$C$11))</f>
        <v>0.96246445312452134</v>
      </c>
      <c r="M76" s="19">
        <f ca="1"/>
        <v>-0.12103152488068036</v>
      </c>
      <c r="N76" s="20">
        <f t="shared" ca="1" si="174"/>
        <v>9.8929684613444979E-2</v>
      </c>
      <c r="O76" s="20">
        <f t="shared" ca="1" si="153"/>
        <v>1.9145997882289465E-2</v>
      </c>
      <c r="P76" s="19">
        <f t="shared" ca="1" si="159"/>
        <v>81.943819577145433</v>
      </c>
      <c r="Q76" s="19">
        <f ca="1">HCTrans(P76,Strike,RiskFreeRate,Dividend,Variance_T0*AnnualVarConvtr,(Simulation!G76)/250,0.5,Variance_Avg*AnnualVarConvtr,Lambda,SQRT(Simulation!N76),Rho,1,"Call")</f>
        <v>13.958900524333814</v>
      </c>
      <c r="R76" s="19">
        <f t="shared" ca="1" si="154"/>
        <v>0.723626119130651</v>
      </c>
      <c r="S76" s="19">
        <f t="shared" ca="1" si="155"/>
        <v>1.5047929077616954E-7</v>
      </c>
      <c r="T76" s="19">
        <f t="shared" ca="1" si="160"/>
        <v>1.151046378824648E-5</v>
      </c>
      <c r="U76" s="19">
        <f t="shared" ca="1" si="161"/>
        <v>10.448612269698975</v>
      </c>
      <c r="V76" s="21">
        <f t="shared" ca="1" si="162"/>
        <v>5.3541753062581027E-4</v>
      </c>
      <c r="W76">
        <f t="shared" ca="1" si="163"/>
        <v>2.3139090963687624E-2</v>
      </c>
      <c r="X76" s="22">
        <f t="shared" ref="X76" ca="1" si="179">BSdelta(1,P76,Strike,W76*AnnualVarConvtr,Dividend,RiskFreeRate,G76/250)</f>
        <v>0.3126131522907768</v>
      </c>
      <c r="Y76" s="22">
        <f t="shared" ca="1" si="169"/>
        <v>24.653197688958016</v>
      </c>
      <c r="Z76" s="22">
        <f t="shared" ca="1" si="170"/>
        <v>-12.589893995421669</v>
      </c>
      <c r="AA76">
        <f t="shared" si="157"/>
        <v>0.73884103340948371</v>
      </c>
      <c r="AB76">
        <f t="shared" ref="AB76" ca="1" si="180">BSdelta(1,P76,Strike,AA76/AnnualVarConvtr,Dividend,RiskFreeRate,G76/250)</f>
        <v>2.6304428229815329E-7</v>
      </c>
      <c r="AC76">
        <f t="shared" ca="1" si="166"/>
        <v>1.9864155880101414E-5</v>
      </c>
      <c r="AD76">
        <f t="shared" ca="1" si="167"/>
        <v>10.431287991972498</v>
      </c>
    </row>
    <row r="77" spans="7:30" x14ac:dyDescent="0.25">
      <c r="G77" s="19">
        <v>178</v>
      </c>
      <c r="H77" s="19">
        <f t="shared" ca="1" si="72"/>
        <v>0.97716074344501869</v>
      </c>
      <c r="I77" s="19">
        <f t="shared" ca="1" si="72"/>
        <v>2.9465009261091746E-2</v>
      </c>
      <c r="J77" s="19">
        <f t="shared" ca="1" si="151"/>
        <v>0.21128764134374736</v>
      </c>
      <c r="K77" s="19">
        <f t="shared" ca="1" si="152"/>
        <v>3.9569665171353796E-2</v>
      </c>
      <c r="L77" s="19">
        <f t="array" aca="1" ref="L77:M77" ca="1">MMULT(J77:K77,TRANSPOSE($B$10:$C$11))</f>
        <v>0.21128764134374736</v>
      </c>
      <c r="M77" s="19">
        <f ca="1"/>
        <v>-0.12378430739073176</v>
      </c>
      <c r="N77" s="20">
        <f t="shared" ca="1" si="174"/>
        <v>9.749021978066548E-2</v>
      </c>
      <c r="O77" s="20">
        <f t="shared" ca="1" si="153"/>
        <v>4.1723873055488202E-3</v>
      </c>
      <c r="P77" s="19">
        <f t="shared" ca="1" si="159"/>
        <v>82.286435195200824</v>
      </c>
      <c r="Q77" s="19">
        <f ca="1">HCTrans(P77,Strike,RiskFreeRate,Dividend,Variance_T0*AnnualVarConvtr,(Simulation!G77)/250,0.5,Variance_Avg*AnnualVarConvtr,Lambda,SQRT(Simulation!N77),Rho,1,"Call")</f>
        <v>14.084660614265118</v>
      </c>
      <c r="R77" s="19">
        <f t="shared" ca="1" si="154"/>
        <v>0.7240887306510656</v>
      </c>
      <c r="S77" s="19">
        <f t="shared" ca="1" si="155"/>
        <v>2.5035273944059917E-7</v>
      </c>
      <c r="T77" s="19">
        <f t="shared" ca="1" si="160"/>
        <v>8.2182300612468051E-6</v>
      </c>
      <c r="U77" s="19">
        <f t="shared" ca="1" si="161"/>
        <v>10.574364141400219</v>
      </c>
      <c r="V77" s="21">
        <f t="shared" ca="1" si="162"/>
        <v>2.2420901370387932E-4</v>
      </c>
      <c r="W77">
        <f t="shared" ca="1" si="163"/>
        <v>1.4973610576740645E-2</v>
      </c>
      <c r="X77" s="22">
        <f t="shared" ref="X77" ca="1" si="181">BSdelta(1,P77,Strike,W77*AnnualVarConvtr,Dividend,RiskFreeRate,G77/250)</f>
        <v>0.190503769641547</v>
      </c>
      <c r="Y77" s="22">
        <f t="shared" ca="1" si="169"/>
        <v>-10.047945802091828</v>
      </c>
      <c r="Z77" s="22">
        <f t="shared" ca="1" si="170"/>
        <v>-2.416188103398536</v>
      </c>
      <c r="AA77">
        <f t="shared" si="157"/>
        <v>0.73884103340948371</v>
      </c>
      <c r="AB77">
        <f t="shared" ref="AB77" ca="1" si="182">BSdelta(1,P77,Strike,AA77/AnnualVarConvtr,Dividend,RiskFreeRate,G77/250)</f>
        <v>4.2199849249058304E-7</v>
      </c>
      <c r="AC77">
        <f t="shared" ca="1" si="166"/>
        <v>1.3079775316003699E-5</v>
      </c>
      <c r="AD77">
        <f t="shared" ca="1" si="167"/>
        <v>10.557035002128487</v>
      </c>
    </row>
    <row r="78" spans="7:30" x14ac:dyDescent="0.25">
      <c r="G78" s="19">
        <v>177</v>
      </c>
      <c r="H78" s="19">
        <f t="shared" ca="1" si="72"/>
        <v>0.77466377537811559</v>
      </c>
      <c r="I78" s="19">
        <f t="shared" ca="1" si="72"/>
        <v>0.50061822485720198</v>
      </c>
      <c r="J78" s="19">
        <f t="shared" ca="1" si="151"/>
        <v>-0.71459405183275759</v>
      </c>
      <c r="K78" s="19">
        <f t="shared" ca="1" si="152"/>
        <v>-2.7757983449830186E-3</v>
      </c>
      <c r="L78" s="19">
        <f t="array" aca="1" ref="L78:M78" ca="1">MMULT(J78:K78,TRANSPOSE($B$10:$C$11))</f>
        <v>-0.71459405183275759</v>
      </c>
      <c r="M78" s="19">
        <f ca="1"/>
        <v>0.5100702770445561</v>
      </c>
      <c r="N78" s="20">
        <f t="shared" ca="1" si="174"/>
        <v>0.10095500013451662</v>
      </c>
      <c r="O78" s="20">
        <f t="shared" ca="1" si="153"/>
        <v>-1.4359962619649058E-2</v>
      </c>
      <c r="P78" s="19">
        <f t="shared" ca="1" si="159"/>
        <v>81.113248678972298</v>
      </c>
      <c r="Q78" s="19">
        <f ca="1">HCTrans(P78,Strike,RiskFreeRate,Dividend,Variance_T0*AnnualVarConvtr,(Simulation!G78)/250,0.5,Variance_Avg*AnnualVarConvtr,Lambda,SQRT(Simulation!N78),Rho,1,"Call")</f>
        <v>13.42032015884061</v>
      </c>
      <c r="R78" s="19">
        <f t="shared" ca="1" si="154"/>
        <v>0.72283815880468827</v>
      </c>
      <c r="S78" s="19">
        <f t="shared" ca="1" si="155"/>
        <v>2.9398373934148631E-8</v>
      </c>
      <c r="T78" s="19">
        <f t="shared" ca="1" si="160"/>
        <v>-1.7922326396029262E-5</v>
      </c>
      <c r="U78" s="19">
        <f t="shared" ca="1" si="161"/>
        <v>9.910041608302107</v>
      </c>
      <c r="V78" s="21">
        <f t="shared" ca="1" si="162"/>
        <v>3.4344799374998186E-4</v>
      </c>
      <c r="W78">
        <f t="shared" ca="1" si="163"/>
        <v>1.853234992519788E-2</v>
      </c>
      <c r="X78" s="22">
        <f t="shared" ref="X78" ca="1" si="183">BSdelta(1,P78,Strike,W78*AnnualVarConvtr,Dividend,RiskFreeRate,G78/250)</f>
        <v>0.23400836539661032</v>
      </c>
      <c r="Y78" s="22">
        <f t="shared" ca="1" si="169"/>
        <v>3.528799094158614</v>
      </c>
      <c r="Z78" s="22">
        <f t="shared" ca="1" si="170"/>
        <v>-6.6093276529816585</v>
      </c>
      <c r="AA78">
        <f t="shared" si="157"/>
        <v>0.73884103340948371</v>
      </c>
      <c r="AB78">
        <f t="shared" ref="AB78" ca="1" si="184">BSdelta(1,P78,Strike,AA78/AnnualVarConvtr,Dividend,RiskFreeRate,G78/250)</f>
        <v>5.6604747680698029E-8</v>
      </c>
      <c r="AC78">
        <f t="shared" ca="1" si="166"/>
        <v>-2.9638273688505144E-5</v>
      </c>
      <c r="AD78">
        <f t="shared" ca="1" si="167"/>
        <v>9.8927241849776664</v>
      </c>
    </row>
    <row r="79" spans="7:30" x14ac:dyDescent="0.25">
      <c r="G79" s="19">
        <v>176</v>
      </c>
      <c r="H79" s="19">
        <f t="shared" ca="1" si="72"/>
        <v>0.78040917865696713</v>
      </c>
      <c r="I79" s="19">
        <f t="shared" ca="1" si="72"/>
        <v>0.21234190366851358</v>
      </c>
      <c r="J79" s="19">
        <f t="shared" ca="1" si="151"/>
        <v>0.16506836738223588</v>
      </c>
      <c r="K79" s="19">
        <f t="shared" ca="1" si="152"/>
        <v>0.68456281796460849</v>
      </c>
      <c r="L79" s="19">
        <f t="array" aca="1" ref="L79:M79" ca="1">MMULT(J79:K79,TRANSPOSE($B$10:$C$11))</f>
        <v>0.16506836738223588</v>
      </c>
      <c r="M79" s="19">
        <f ca="1"/>
        <v>0.35927069979201154</v>
      </c>
      <c r="N79" s="20">
        <f t="shared" ca="1" si="174"/>
        <v>0.10327562569644146</v>
      </c>
      <c r="O79" s="20">
        <f t="shared" ca="1" si="153"/>
        <v>3.3550018885745701E-3</v>
      </c>
      <c r="P79" s="19">
        <f t="shared" ca="1" si="159"/>
        <v>81.385840799325749</v>
      </c>
      <c r="Q79" s="19">
        <f ca="1">HCTrans(P79,Strike,RiskFreeRate,Dividend,Variance_T0*AnnualVarConvtr,(Simulation!G79)/250,0.5,Variance_Avg*AnnualVarConvtr,Lambda,SQRT(Simulation!N79),Rho,1,"Call")</f>
        <v>13.494443481183325</v>
      </c>
      <c r="R79" s="19">
        <f t="shared" ca="1" si="154"/>
        <v>0.72275405314566354</v>
      </c>
      <c r="S79" s="19">
        <f t="shared" ca="1" si="155"/>
        <v>4.3716391916565169E-8</v>
      </c>
      <c r="T79" s="19">
        <f t="shared" ca="1" si="160"/>
        <v>1.1652839320788355E-6</v>
      </c>
      <c r="U79" s="19">
        <f t="shared" ca="1" si="161"/>
        <v>9.9841637653608899</v>
      </c>
      <c r="V79" s="21">
        <f t="shared" ca="1" si="162"/>
        <v>3.1381996752762286E-4</v>
      </c>
      <c r="W79">
        <f t="shared" ca="1" si="163"/>
        <v>1.771496450822363E-2</v>
      </c>
      <c r="X79" s="22">
        <f t="shared" ref="X79" ca="1" si="185">BSdelta(1,P79,Strike,W79*AnnualVarConvtr,Dividend,RiskFreeRate,G79/250)</f>
        <v>0.22395694413629674</v>
      </c>
      <c r="Y79" s="22">
        <f t="shared" ca="1" si="169"/>
        <v>-0.81804337049883924</v>
      </c>
      <c r="Z79" s="22">
        <f t="shared" ca="1" si="170"/>
        <v>-5.717160960140105</v>
      </c>
      <c r="AA79">
        <f t="shared" si="157"/>
        <v>0.73884103340948371</v>
      </c>
      <c r="AB79">
        <f t="shared" ref="AB79" ca="1" si="186">BSdelta(1,P79,Strike,AA79/AnnualVarConvtr,Dividend,RiskFreeRate,G79/250)</f>
        <v>8.3065467431706207E-8</v>
      </c>
      <c r="AC79">
        <f t="shared" ca="1" si="166"/>
        <v>2.1535279250911261E-6</v>
      </c>
      <c r="AD79">
        <f t="shared" ca="1" si="167"/>
        <v>9.966845353792456</v>
      </c>
    </row>
    <row r="80" spans="7:30" x14ac:dyDescent="0.25">
      <c r="G80" s="19">
        <v>175</v>
      </c>
      <c r="H80" s="19">
        <f t="shared" ca="1" si="72"/>
        <v>0.90458607689824722</v>
      </c>
      <c r="I80" s="19">
        <f t="shared" ca="1" si="72"/>
        <v>0.90238104911179595</v>
      </c>
      <c r="J80" s="19">
        <f t="shared" ca="1" si="151"/>
        <v>0.3662030062885</v>
      </c>
      <c r="K80" s="19">
        <f t="shared" ca="1" si="152"/>
        <v>-0.25778088600649141</v>
      </c>
      <c r="L80" s="19">
        <f t="array" aca="1" ref="L80:M80" ca="1">MMULT(J80:K80,TRANSPOSE($B$10:$C$11))</f>
        <v>0.3662030062885</v>
      </c>
      <c r="M80" s="19">
        <f ca="1"/>
        <v>-0.44220907247725039</v>
      </c>
      <c r="N80" s="20">
        <f t="shared" ca="1" si="174"/>
        <v>9.9310289913029218E-2</v>
      </c>
      <c r="O80" s="20">
        <f t="shared" ca="1" si="153"/>
        <v>7.2987590335081738E-3</v>
      </c>
      <c r="P80" s="19">
        <f t="shared" ca="1" si="159"/>
        <v>81.982029512264319</v>
      </c>
      <c r="Q80" s="19">
        <f ca="1">HCTrans(P80,Strike,RiskFreeRate,Dividend,Variance_T0*AnnualVarConvtr,(Simulation!G80)/250,0.5,Variance_Avg*AnnualVarConvtr,Lambda,SQRT(Simulation!N80),Rho,1,"Call")</f>
        <v>13.755812356454427</v>
      </c>
      <c r="R80" s="19">
        <f t="shared" ca="1" si="154"/>
        <v>0.72373792864889841</v>
      </c>
      <c r="S80" s="19">
        <f t="shared" ca="1" si="155"/>
        <v>1.1797756231985336E-7</v>
      </c>
      <c r="T80" s="19">
        <f t="shared" ca="1" si="160"/>
        <v>6.0880814636176628E-6</v>
      </c>
      <c r="U80" s="19">
        <f t="shared" ca="1" si="161"/>
        <v>10.24552655255053</v>
      </c>
      <c r="V80" s="21">
        <f t="shared" ca="1" si="162"/>
        <v>1.5553220418214854E-5</v>
      </c>
      <c r="W80">
        <f t="shared" ca="1" si="163"/>
        <v>3.9437571449336042E-3</v>
      </c>
      <c r="X80" s="22">
        <f t="shared" ref="X80" ca="1" si="187">BSdelta(1,P80,Strike,W80*AnnualVarConvtr,Dividend,RiskFreeRate,G80/250)</f>
        <v>7.7795822888195298E-5</v>
      </c>
      <c r="Y80" s="22">
        <f t="shared" ca="1" si="169"/>
        <v>-18.354066944210459</v>
      </c>
      <c r="Z80" s="22">
        <f t="shared" ca="1" si="170"/>
        <v>12.898274859341456</v>
      </c>
      <c r="AA80">
        <f t="shared" si="157"/>
        <v>0.73884103340948371</v>
      </c>
      <c r="AB80">
        <f t="shared" ref="AB80" ca="1" si="188">BSdelta(1,P80,Strike,AA80/AnnualVarConvtr,Dividend,RiskFreeRate,G80/250)</f>
        <v>2.0735779213537906E-7</v>
      </c>
      <c r="AC80">
        <f t="shared" ca="1" si="166"/>
        <v>1.0189737032004448E-5</v>
      </c>
      <c r="AD80">
        <f t="shared" ca="1" si="167"/>
        <v>10.228204039326526</v>
      </c>
    </row>
    <row r="81" spans="7:30" x14ac:dyDescent="0.25">
      <c r="G81" s="19">
        <v>174</v>
      </c>
      <c r="H81" s="19">
        <f t="shared" ca="1" si="72"/>
        <v>0.15630063825529916</v>
      </c>
      <c r="I81" s="19">
        <f t="shared" ca="1" si="72"/>
        <v>0.61372083055954008</v>
      </c>
      <c r="J81" s="19">
        <f t="shared" ca="1" si="151"/>
        <v>-1.4553887745921241</v>
      </c>
      <c r="K81" s="19">
        <f t="shared" ca="1" si="152"/>
        <v>-1.2624545262554807</v>
      </c>
      <c r="L81" s="19">
        <f t="array" aca="1" ref="L81:M81" ca="1">MMULT(J81:K81,TRANSPOSE($B$10:$C$11))</f>
        <v>-1.4553887745921241</v>
      </c>
      <c r="M81" s="19">
        <f ca="1"/>
        <v>0.16211407607948036</v>
      </c>
      <c r="N81" s="20">
        <f t="shared" ca="1" si="174"/>
        <v>0.10007781782646533</v>
      </c>
      <c r="O81" s="20">
        <f t="shared" ca="1" si="153"/>
        <v>-2.9119098808491232E-2</v>
      </c>
      <c r="P81" s="19">
        <f t="shared" ca="1" si="159"/>
        <v>79.629208949919899</v>
      </c>
      <c r="Q81" s="19">
        <f ca="1">HCTrans(P81,Strike,RiskFreeRate,Dividend,Variance_T0*AnnualVarConvtr,(Simulation!G81)/250,0.5,Variance_Avg*AnnualVarConvtr,Lambda,SQRT(Simulation!N81),Rho,1,"Call")</f>
        <v>12.52469938540905</v>
      </c>
      <c r="R81" s="19">
        <f t="shared" ca="1" si="154"/>
        <v>0.72199591672895413</v>
      </c>
      <c r="S81" s="19">
        <f t="shared" ca="1" si="155"/>
        <v>1.2578160829521187E-9</v>
      </c>
      <c r="T81" s="19">
        <f t="shared" ca="1" si="160"/>
        <v>-9.2943010616798359E-6</v>
      </c>
      <c r="U81" s="19">
        <f t="shared" ca="1" si="161"/>
        <v>9.0144228758062148</v>
      </c>
      <c r="V81" s="21">
        <f t="shared" ca="1" si="162"/>
        <v>1.3262603698000776E-3</v>
      </c>
      <c r="W81">
        <f t="shared" ca="1" si="163"/>
        <v>3.6417857841999406E-2</v>
      </c>
      <c r="X81" s="22">
        <f t="shared" ref="X81" ca="1" si="189">BSdelta(1,P81,Strike,W81*AnnualVarConvtr,Dividend,RiskFreeRate,G81/250)</f>
        <v>0.40749686907604066</v>
      </c>
      <c r="Y81" s="22">
        <f t="shared" ca="1" si="169"/>
        <v>32.442458514258</v>
      </c>
      <c r="Z81" s="22">
        <f t="shared" ca="1" si="170"/>
        <v>-20.775296625961921</v>
      </c>
      <c r="AA81">
        <f t="shared" si="157"/>
        <v>0.73884103340948371</v>
      </c>
      <c r="AB81">
        <f t="shared" ref="AB81" ca="1" si="190">BSdelta(1,P81,Strike,AA81/AnnualVarConvtr,Dividend,RiskFreeRate,G81/250)</f>
        <v>2.8785505979728069E-9</v>
      </c>
      <c r="AC81">
        <f t="shared" ca="1" si="166"/>
        <v>-1.6282520250303264E-5</v>
      </c>
      <c r="AD81">
        <f t="shared" ca="1" si="167"/>
        <v>8.9971073508013983</v>
      </c>
    </row>
    <row r="82" spans="7:30" x14ac:dyDescent="0.25">
      <c r="G82" s="19">
        <v>173</v>
      </c>
      <c r="H82" s="19">
        <f t="shared" ca="1" si="72"/>
        <v>9.1987933457057247E-3</v>
      </c>
      <c r="I82" s="19">
        <f t="shared" ca="1" si="72"/>
        <v>0.30391553837864216</v>
      </c>
      <c r="J82" s="19">
        <f t="shared" ca="1" si="151"/>
        <v>-1.0176435575295126</v>
      </c>
      <c r="K82" s="19">
        <f t="shared" ca="1" si="152"/>
        <v>2.8882118192798529</v>
      </c>
      <c r="L82" s="19">
        <f t="array" aca="1" ref="L82:M82" ca="1">MMULT(J82:K82,TRANSPOSE($B$10:$C$11))</f>
        <v>-1.0176435575295126</v>
      </c>
      <c r="M82" s="19">
        <f ca="1"/>
        <v>2.7439208911464403</v>
      </c>
      <c r="N82" s="20">
        <f t="shared" ca="1" si="174"/>
        <v>0.12200098488276817</v>
      </c>
      <c r="O82" s="20">
        <f t="shared" ca="1" si="153"/>
        <v>-2.2480571699594321E-2</v>
      </c>
      <c r="P82" s="19">
        <f t="shared" ca="1" si="159"/>
        <v>77.859070222222257</v>
      </c>
      <c r="Q82" s="19">
        <f ca="1">HCTrans(P82,Strike,RiskFreeRate,Dividend,Variance_T0*AnnualVarConvtr,(Simulation!G82)/250,0.5,Variance_Avg*AnnualVarConvtr,Lambda,SQRT(Simulation!N82),Rho,1,"Call")</f>
        <v>11.541747976230695</v>
      </c>
      <c r="R82" s="19">
        <f t="shared" ca="1" si="154"/>
        <v>0.71763846013879495</v>
      </c>
      <c r="S82" s="19">
        <f t="shared" ca="1" si="155"/>
        <v>1.9256382982773924E-11</v>
      </c>
      <c r="T82" s="19">
        <f t="shared" ca="1" si="160"/>
        <v>-9.6433106654327739E-8</v>
      </c>
      <c r="U82" s="19">
        <f t="shared" ca="1" si="161"/>
        <v>8.0314715630609665</v>
      </c>
      <c r="V82" s="21">
        <f t="shared" ca="1" si="162"/>
        <v>4.4070042175559171E-5</v>
      </c>
      <c r="W82">
        <f t="shared" ca="1" si="163"/>
        <v>6.6385271088969106E-3</v>
      </c>
      <c r="X82" s="22">
        <f t="shared" ref="X82" ca="1" si="191">BSdelta(1,P82,Strike,W82*AnnualVarConvtr,Dividend,RiskFreeRate,G82/250)</f>
        <v>2.3818794402757199E-3</v>
      </c>
      <c r="Y82" s="22">
        <f t="shared" ca="1" si="169"/>
        <v>-31.541876426125864</v>
      </c>
      <c r="Z82" s="22">
        <f t="shared" ca="1" si="170"/>
        <v>9.7836283909855872</v>
      </c>
      <c r="AA82">
        <f t="shared" si="157"/>
        <v>0.73884103340948371</v>
      </c>
      <c r="AB82">
        <f t="shared" ref="AB82" ca="1" si="192">BSdelta(1,P82,Strike,AA82/AnnualVarConvtr,Dividend,RiskFreeRate,G82/250)</f>
        <v>6.8626305564861988E-11</v>
      </c>
      <c r="AC82">
        <f t="shared" ca="1" si="166"/>
        <v>-2.1877809280171834E-7</v>
      </c>
      <c r="AD82">
        <f t="shared" ca="1" si="167"/>
        <v>8.0141561604011358</v>
      </c>
    </row>
    <row r="83" spans="7:30" x14ac:dyDescent="0.25">
      <c r="G83" s="19">
        <v>172</v>
      </c>
      <c r="H83" s="19">
        <f t="shared" ca="1" si="72"/>
        <v>0.78015915996082297</v>
      </c>
      <c r="I83" s="19">
        <f t="shared" ca="1" si="72"/>
        <v>0.87770670909693327</v>
      </c>
      <c r="J83" s="19">
        <f t="shared" ca="1" si="151"/>
        <v>0.50665550805216686</v>
      </c>
      <c r="K83" s="19">
        <f t="shared" ca="1" si="152"/>
        <v>-0.48970894817737748</v>
      </c>
      <c r="L83" s="19">
        <f t="array" aca="1" ref="L83:M83" ca="1">MMULT(J83:K83,TRANSPOSE($B$10:$C$11))</f>
        <v>0.50665550805216686</v>
      </c>
      <c r="M83" s="19">
        <f ca="1"/>
        <v>-0.70463331228013026</v>
      </c>
      <c r="N83" s="20">
        <f t="shared" ca="1" si="174"/>
        <v>0.11543130747239656</v>
      </c>
      <c r="O83" s="20">
        <f t="shared" ca="1" si="153"/>
        <v>1.0886908465696343E-2</v>
      </c>
      <c r="P83" s="19">
        <f t="shared" ca="1" si="159"/>
        <v>78.711345697536117</v>
      </c>
      <c r="Q83" s="19">
        <f ca="1">HCTrans(P83,Strike,RiskFreeRate,Dividend,Variance_T0*AnnualVarConvtr,(Simulation!G83)/250,0.5,Variance_Avg*AnnualVarConvtr,Lambda,SQRT(Simulation!N83),Rho,1,"Call")</f>
        <v>11.917727975198076</v>
      </c>
      <c r="R83" s="19">
        <f t="shared" ca="1" si="154"/>
        <v>0.71924720997374425</v>
      </c>
      <c r="S83" s="19">
        <f t="shared" ca="1" si="155"/>
        <v>1.2617740678879588E-10</v>
      </c>
      <c r="T83" s="19">
        <f t="shared" ca="1" si="160"/>
        <v>8.4158976671302838E-9</v>
      </c>
      <c r="U83" s="19">
        <f t="shared" ca="1" si="161"/>
        <v>8.4074515536124501</v>
      </c>
      <c r="V83" s="21">
        <f t="shared" ca="1" si="162"/>
        <v>1.1133887325810658E-3</v>
      </c>
      <c r="W83">
        <f t="shared" ca="1" si="163"/>
        <v>3.3367480165290661E-2</v>
      </c>
      <c r="X83" s="22">
        <f t="shared" ref="X83" ca="1" si="193">BSdelta(1,P83,Strike,W83*AnnualVarConvtr,Dividend,RiskFreeRate,G83/250)</f>
        <v>0.37137356127860977</v>
      </c>
      <c r="Y83" s="22">
        <f t="shared" ca="1" si="169"/>
        <v>29.043831828692369</v>
      </c>
      <c r="Z83" s="22">
        <f t="shared" ca="1" si="170"/>
        <v>-18.884223438739401</v>
      </c>
      <c r="AA83">
        <f t="shared" si="157"/>
        <v>0.73884103340948371</v>
      </c>
      <c r="AB83">
        <f t="shared" ref="AB83" ca="1" si="194">BSdelta(1,P83,Strike,AA83/AnnualVarConvtr,Dividend,RiskFreeRate,G83/250)</f>
        <v>3.7121600949108224E-10</v>
      </c>
      <c r="AC83">
        <f t="shared" ca="1" si="166"/>
        <v>2.3817242790251824E-8</v>
      </c>
      <c r="AD83">
        <f t="shared" ca="1" si="167"/>
        <v>8.3901361355512734</v>
      </c>
    </row>
    <row r="84" spans="7:30" x14ac:dyDescent="0.25">
      <c r="G84" s="19">
        <v>171</v>
      </c>
      <c r="H84" s="19">
        <f t="shared" ca="1" si="72"/>
        <v>0.81585403376758592</v>
      </c>
      <c r="I84" s="19">
        <f t="shared" ca="1" si="72"/>
        <v>0.31765560550795469</v>
      </c>
      <c r="J84" s="19">
        <f t="shared" ca="1" si="151"/>
        <v>-0.26311313355551685</v>
      </c>
      <c r="K84" s="19">
        <f t="shared" ca="1" si="152"/>
        <v>0.58121520916280089</v>
      </c>
      <c r="L84" s="19">
        <f t="array" aca="1" ref="L84:M84" ca="1">MMULT(J84:K84,TRANSPOSE($B$10:$C$11))</f>
        <v>-0.26311313355551685</v>
      </c>
      <c r="M84" s="19">
        <f ca="1"/>
        <v>0.59396878739322556</v>
      </c>
      <c r="N84" s="20">
        <f t="shared" ca="1" si="174"/>
        <v>0.11985800925601536</v>
      </c>
      <c r="O84" s="20">
        <f t="shared" ca="1" si="153"/>
        <v>-5.7611084755347661E-3</v>
      </c>
      <c r="P84" s="19">
        <f t="shared" ca="1" si="159"/>
        <v>78.259184821260504</v>
      </c>
      <c r="Q84" s="19">
        <f ca="1">HCTrans(P84,Strike,RiskFreeRate,Dividend,Variance_T0*AnnualVarConvtr,(Simulation!G84)/250,0.5,Variance_Avg*AnnualVarConvtr,Lambda,SQRT(Simulation!N84),Rho,1,"Call")</f>
        <v>11.633441048491022</v>
      </c>
      <c r="R84" s="19">
        <f t="shared" ca="1" si="154"/>
        <v>0.7183218046120482</v>
      </c>
      <c r="S84" s="19">
        <f t="shared" ca="1" si="155"/>
        <v>3.8674689744146038E-11</v>
      </c>
      <c r="T84" s="19">
        <f t="shared" ca="1" si="160"/>
        <v>-6.8478913055597129E-9</v>
      </c>
      <c r="U84" s="19">
        <f t="shared" ca="1" si="161"/>
        <v>8.1231646337532872</v>
      </c>
      <c r="V84" s="21">
        <f t="shared" ca="1" si="162"/>
        <v>2.7715646807551799E-4</v>
      </c>
      <c r="W84">
        <f t="shared" ca="1" si="163"/>
        <v>1.6648016941231109E-2</v>
      </c>
      <c r="X84" s="22">
        <f t="shared" ref="X84" ca="1" si="195">BSdelta(1,P84,Strike,W84*AnnualVarConvtr,Dividend,RiskFreeRate,G84/250)</f>
        <v>0.15452742345838033</v>
      </c>
      <c r="Y84" s="22">
        <f t="shared" ca="1" si="169"/>
        <v>-16.970201977449864</v>
      </c>
      <c r="Z84" s="22">
        <f t="shared" ca="1" si="170"/>
        <v>-2.1983083879965903</v>
      </c>
      <c r="AA84">
        <f t="shared" si="157"/>
        <v>0.73884103340948371</v>
      </c>
      <c r="AB84">
        <f t="shared" ref="AB84" ca="1" si="196">BSdelta(1,P84,Strike,AA84/AnnualVarConvtr,Dividend,RiskFreeRate,G84/250)</f>
        <v>1.2749492806529124E-10</v>
      </c>
      <c r="AC84">
        <f t="shared" ca="1" si="166"/>
        <v>-1.9073413156138458E-8</v>
      </c>
      <c r="AD84">
        <f t="shared" ca="1" si="167"/>
        <v>8.1058492279176324</v>
      </c>
    </row>
    <row r="85" spans="7:30" x14ac:dyDescent="0.25">
      <c r="G85" s="19">
        <v>170</v>
      </c>
      <c r="H85" s="19">
        <f t="shared" ca="1" si="72"/>
        <v>0.98965326707045143</v>
      </c>
      <c r="I85" s="19">
        <f t="shared" ca="1" si="72"/>
        <v>0.39776106638019371</v>
      </c>
      <c r="J85" s="19">
        <f t="shared" ca="1" si="151"/>
        <v>-0.11547755998374423</v>
      </c>
      <c r="K85" s="19">
        <f t="shared" ca="1" si="152"/>
        <v>8.6407164664452377E-2</v>
      </c>
      <c r="L85" s="19">
        <f t="array" aca="1" ref="L85:M85" ca="1">MMULT(J85:K85,TRANSPOSE($B$10:$C$11))</f>
        <v>-0.11547755998374423</v>
      </c>
      <c r="M85" s="19">
        <f ca="1"/>
        <v>0.14301619439730429</v>
      </c>
      <c r="N85" s="20">
        <f t="shared" ca="1" si="174"/>
        <v>0.1204771158616445</v>
      </c>
      <c r="O85" s="20">
        <f t="shared" ca="1" si="153"/>
        <v>-2.5350111598103943E-3</v>
      </c>
      <c r="P85" s="19">
        <f t="shared" ca="1" si="159"/>
        <v>78.061048159811733</v>
      </c>
      <c r="Q85" s="19">
        <f ca="1">HCTrans(P85,Strike,RiskFreeRate,Dividend,Variance_T0*AnnualVarConvtr,(Simulation!G85)/250,0.5,Variance_Avg*AnnualVarConvtr,Lambda,SQRT(Simulation!N85),Rho,1,"Call")</f>
        <v>11.48451972478594</v>
      </c>
      <c r="R85" s="19">
        <f t="shared" ca="1" si="154"/>
        <v>0.71811163852327431</v>
      </c>
      <c r="S85" s="19">
        <f t="shared" ca="1" si="155"/>
        <v>2.1335898007216616E-11</v>
      </c>
      <c r="T85" s="19">
        <f t="shared" ca="1" si="160"/>
        <v>-1.3534842568093933E-9</v>
      </c>
      <c r="U85" s="19">
        <f t="shared" ca="1" si="161"/>
        <v>7.9742433114016897</v>
      </c>
      <c r="V85" s="21">
        <f t="shared" ca="1" si="162"/>
        <v>1.0407703890523996E-5</v>
      </c>
      <c r="W85">
        <f t="shared" ca="1" si="163"/>
        <v>3.2260973157243718E-3</v>
      </c>
      <c r="X85" s="22">
        <f t="shared" ref="X85" ca="1" si="197">BSdelta(1,P85,Strike,W85*AnnualVarConvtr,Dividend,RiskFreeRate,G85/250)</f>
        <v>2.2156498716471779E-9</v>
      </c>
      <c r="Y85" s="22">
        <f t="shared" ca="1" si="169"/>
        <v>-12.062572471640298</v>
      </c>
      <c r="Z85" s="22">
        <f t="shared" ca="1" si="170"/>
        <v>9.7153427599386255</v>
      </c>
      <c r="AA85">
        <f t="shared" si="157"/>
        <v>0.73884103340948371</v>
      </c>
      <c r="AB85">
        <f t="shared" ref="AB85" ca="1" si="198">BSdelta(1,P85,Strike,AA85/AnnualVarConvtr,Dividend,RiskFreeRate,G85/250)</f>
        <v>7.3524647131169425E-11</v>
      </c>
      <c r="AC85">
        <f t="shared" ca="1" si="166"/>
        <v>-4.2129766991970527E-9</v>
      </c>
      <c r="AD85">
        <f t="shared" ca="1" si="167"/>
        <v>7.9569279084255271</v>
      </c>
    </row>
    <row r="86" spans="7:30" x14ac:dyDescent="0.25">
      <c r="G86" s="19">
        <v>169</v>
      </c>
      <c r="H86" s="19">
        <f t="shared" ca="1" si="72"/>
        <v>0.72496993292374556</v>
      </c>
      <c r="I86" s="19">
        <f t="shared" ca="1" si="72"/>
        <v>0.38444004025272249</v>
      </c>
      <c r="J86" s="19">
        <f t="shared" ca="1" si="151"/>
        <v>-0.59974086862407161</v>
      </c>
      <c r="K86" s="19">
        <f t="shared" ca="1" si="152"/>
        <v>0.53250453907507844</v>
      </c>
      <c r="L86" s="19">
        <f t="array" aca="1" ref="L86:M86" ca="1">MMULT(J86:K86,TRANSPOSE($B$10:$C$11))</f>
        <v>-0.59974086862407161</v>
      </c>
      <c r="M86" s="19">
        <f ca="1"/>
        <v>0.80118262490627501</v>
      </c>
      <c r="N86" s="20">
        <f t="shared" ca="1" si="174"/>
        <v>0.12679110348848829</v>
      </c>
      <c r="O86" s="20">
        <f t="shared" ca="1" si="153"/>
        <v>-1.3506350966273242E-2</v>
      </c>
      <c r="P86" s="19">
        <f t="shared" ca="1" si="159"/>
        <v>77.013816306798574</v>
      </c>
      <c r="Q86" s="19">
        <f ca="1">HCTrans(P86,Strike,RiskFreeRate,Dividend,Variance_T0*AnnualVarConvtr,(Simulation!G86)/250,0.5,Variance_Avg*AnnualVarConvtr,Lambda,SQRT(Simulation!N86),Rho,1,"Call")</f>
        <v>10.92125377487946</v>
      </c>
      <c r="R86" s="19">
        <f t="shared" ca="1" si="154"/>
        <v>0.71642040656184847</v>
      </c>
      <c r="S86" s="19">
        <f t="shared" ca="1" si="155"/>
        <v>1.3517560242218149E-12</v>
      </c>
      <c r="T86" s="19">
        <f t="shared" ca="1" si="160"/>
        <v>-1.539055039727343E-9</v>
      </c>
      <c r="U86" s="19">
        <f t="shared" ca="1" si="161"/>
        <v>7.4109773630342648</v>
      </c>
      <c r="V86" s="21">
        <f t="shared" ca="1" si="162"/>
        <v>1.2037029714887624E-4</v>
      </c>
      <c r="W86">
        <f t="shared" ca="1" si="163"/>
        <v>1.0971339806462848E-2</v>
      </c>
      <c r="X86" s="22">
        <f t="shared" ref="X86" ca="1" si="199">BSdelta(1,P86,Strike,W86*AnnualVarConvtr,Dividend,RiskFreeRate,G86/250)</f>
        <v>3.9209964789890847E-2</v>
      </c>
      <c r="Y86" s="22">
        <f t="shared" ca="1" si="169"/>
        <v>3.0197088550890414</v>
      </c>
      <c r="Z86" s="22">
        <f t="shared" ca="1" si="170"/>
        <v>6.1323679549431045</v>
      </c>
      <c r="AA86">
        <f t="shared" si="157"/>
        <v>0.73884103340948371</v>
      </c>
      <c r="AB86">
        <f t="shared" ref="AB86" ca="1" si="200">BSdelta(1,P86,Strike,AA86/AnnualVarConvtr,Dividend,RiskFreeRate,G86/250)</f>
        <v>6.0505975607330912E-12</v>
      </c>
      <c r="AC86">
        <f t="shared" ca="1" si="166"/>
        <v>-5.196434059093405E-9</v>
      </c>
      <c r="AD86">
        <f t="shared" ca="1" si="167"/>
        <v>7.3936619637154815</v>
      </c>
    </row>
    <row r="87" spans="7:30" x14ac:dyDescent="0.25">
      <c r="G87" s="19">
        <v>168</v>
      </c>
      <c r="H87" s="19">
        <f t="shared" ca="1" si="72"/>
        <v>0.77219093143102546</v>
      </c>
      <c r="I87" s="19">
        <f t="shared" ca="1" si="72"/>
        <v>0.24381588075667537</v>
      </c>
      <c r="J87" s="19">
        <f t="shared" ca="1" si="151"/>
        <v>2.7932730814222265E-2</v>
      </c>
      <c r="K87" s="19">
        <f t="shared" ca="1" si="152"/>
        <v>0.71851697308296902</v>
      </c>
      <c r="L87" s="19">
        <f t="array" aca="1" ref="L87:M87" ca="1">MMULT(J87:K87,TRANSPOSE($B$10:$C$11))</f>
        <v>2.7932730814222265E-2</v>
      </c>
      <c r="M87" s="19">
        <f ca="1"/>
        <v>0.48121436370081527</v>
      </c>
      <c r="N87" s="20">
        <f t="shared" ca="1" si="174"/>
        <v>0.13039265943801168</v>
      </c>
      <c r="O87" s="20">
        <f t="shared" ca="1" si="153"/>
        <v>6.3792550096417185E-4</v>
      </c>
      <c r="P87" s="19">
        <f t="shared" ca="1" si="159"/>
        <v>77.062961057825603</v>
      </c>
      <c r="Q87" s="19">
        <f ca="1">HCTrans(P87,Strike,RiskFreeRate,Dividend,Variance_T0*AnnualVarConvtr,(Simulation!G87)/250,0.5,Variance_Avg*AnnualVarConvtr,Lambda,SQRT(Simulation!N87),Rho,1,"Call")</f>
        <v>10.87969893055363</v>
      </c>
      <c r="R87" s="19">
        <f t="shared" ca="1" si="154"/>
        <v>0.71601253059682601</v>
      </c>
      <c r="S87" s="19">
        <f t="shared" ca="1" si="155"/>
        <v>1.2793053117885088E-12</v>
      </c>
      <c r="T87" s="19">
        <f t="shared" ca="1" si="160"/>
        <v>-5.5832664308595894E-12</v>
      </c>
      <c r="U87" s="19">
        <f t="shared" ca="1" si="161"/>
        <v>7.3694225187140177</v>
      </c>
      <c r="V87" s="21">
        <f t="shared" ca="1" si="162"/>
        <v>2.000605567816461E-4</v>
      </c>
      <c r="W87">
        <f t="shared" ca="1" si="163"/>
        <v>1.4144276467237414E-2</v>
      </c>
      <c r="X87" s="22">
        <f t="shared" ref="X87" ca="1" si="201">BSdelta(1,P87,Strike,W87*AnnualVarConvtr,Dividend,RiskFreeRate,G87/250)</f>
        <v>9.1837874765980793E-2</v>
      </c>
      <c r="Y87" s="22">
        <f t="shared" ca="1" si="169"/>
        <v>4.0556625770421713</v>
      </c>
      <c r="Z87" s="22">
        <f t="shared" ca="1" si="170"/>
        <v>2.035150533575103</v>
      </c>
      <c r="AA87">
        <f t="shared" si="157"/>
        <v>0.73884103340948371</v>
      </c>
      <c r="AB87">
        <f t="shared" ref="AB87" ca="1" si="202">BSdelta(1,P87,Strike,AA87/AnnualVarConvtr,Dividend,RiskFreeRate,G87/250)</f>
        <v>5.9014211160908189E-12</v>
      </c>
      <c r="AC87">
        <f t="shared" ca="1" si="166"/>
        <v>-1.1495978544212312E-11</v>
      </c>
      <c r="AD87">
        <f t="shared" ca="1" si="167"/>
        <v>7.3521071194011469</v>
      </c>
    </row>
    <row r="88" spans="7:30" x14ac:dyDescent="0.25">
      <c r="G88" s="19">
        <v>167</v>
      </c>
      <c r="H88" s="19">
        <f t="shared" ca="1" si="72"/>
        <v>0.92764832925148533</v>
      </c>
      <c r="I88" s="19">
        <f t="shared" ca="1" si="72"/>
        <v>0.25697800732972098</v>
      </c>
      <c r="J88" s="19">
        <f t="shared" ca="1" si="151"/>
        <v>-1.6986916308181121E-2</v>
      </c>
      <c r="K88" s="19">
        <f t="shared" ca="1" si="152"/>
        <v>0.38719064013189519</v>
      </c>
      <c r="L88" s="19">
        <f t="array" aca="1" ref="L88:M88" ca="1">MMULT(J88:K88,TRANSPOSE($B$10:$C$11))</f>
        <v>-1.6986916308181121E-2</v>
      </c>
      <c r="M88" s="19">
        <f ca="1"/>
        <v>0.28227031797732716</v>
      </c>
      <c r="N88" s="20">
        <f t="shared" ca="1" si="174"/>
        <v>0.13225004469152543</v>
      </c>
      <c r="O88" s="20">
        <f t="shared" ca="1" si="153"/>
        <v>-3.9069914110304732E-4</v>
      </c>
      <c r="P88" s="19">
        <f t="shared" ca="1" si="159"/>
        <v>77.032858506032937</v>
      </c>
      <c r="Q88" s="19">
        <f ca="1">HCTrans(P88,Strike,RiskFreeRate,Dividend,Variance_T0*AnnualVarConvtr,(Simulation!G88)/250,0.5,Variance_Avg*AnnualVarConvtr,Lambda,SQRT(Simulation!N88),Rho,1,"Call")</f>
        <v>10.807391062192806</v>
      </c>
      <c r="R88" s="19">
        <f t="shared" ca="1" si="154"/>
        <v>0.71577428294369183</v>
      </c>
      <c r="S88" s="19">
        <f t="shared" ca="1" si="155"/>
        <v>1.0034594460388162E-12</v>
      </c>
      <c r="T88" s="19">
        <f t="shared" ca="1" si="160"/>
        <v>-2.1249195545770232E-11</v>
      </c>
      <c r="U88" s="19">
        <f t="shared" ca="1" si="161"/>
        <v>7.2971146503744428</v>
      </c>
      <c r="V88" s="21">
        <f t="shared" ca="1" si="162"/>
        <v>1.0580686542679147E-6</v>
      </c>
      <c r="W88">
        <f t="shared" ca="1" si="163"/>
        <v>1.0286246420672192E-3</v>
      </c>
      <c r="X88" s="22">
        <f t="shared" ref="X88" ca="1" si="203">BSdelta(1,P88,Strike,W88*AnnualVarConvtr,Dividend,RiskFreeRate,G88/250)</f>
        <v>4.8755492218521646E-86</v>
      </c>
      <c r="Y88" s="22">
        <f t="shared" ca="1" si="169"/>
        <v>-7.0745340123425713</v>
      </c>
      <c r="Z88" s="22">
        <f t="shared" ca="1" si="170"/>
        <v>9.0373766775568498</v>
      </c>
      <c r="AA88">
        <f t="shared" si="157"/>
        <v>0.73884103340948371</v>
      </c>
      <c r="AB88">
        <f t="shared" ref="AB88" ca="1" si="204">BSdelta(1,P88,Strike,AA88/AnnualVarConvtr,Dividend,RiskFreeRate,G88/250)</f>
        <v>4.7717121542031702E-12</v>
      </c>
      <c r="AC88">
        <f t="shared" ca="1" si="166"/>
        <v>-8.7024710614088604E-11</v>
      </c>
      <c r="AD88">
        <f t="shared" ca="1" si="167"/>
        <v>7.2797992511273479</v>
      </c>
    </row>
    <row r="89" spans="7:30" x14ac:dyDescent="0.25">
      <c r="G89" s="19">
        <v>166</v>
      </c>
      <c r="H89" s="19">
        <f t="shared" ca="1" si="72"/>
        <v>0.477338443458179</v>
      </c>
      <c r="I89" s="19">
        <f t="shared" ca="1" si="72"/>
        <v>0.29647443412480268</v>
      </c>
      <c r="J89" s="19">
        <f t="shared" ca="1" si="151"/>
        <v>-0.35010407365004736</v>
      </c>
      <c r="K89" s="19">
        <f t="shared" ca="1" si="152"/>
        <v>1.1646828610613023</v>
      </c>
      <c r="L89" s="19">
        <f t="array" aca="1" ref="L89:M89" ca="1">MMULT(J89:K89,TRANSPOSE($B$10:$C$11))</f>
        <v>-0.35010407365004736</v>
      </c>
      <c r="M89" s="19">
        <f ca="1"/>
        <v>1.0633172981480548</v>
      </c>
      <c r="N89" s="20">
        <f t="shared" ca="1" si="174"/>
        <v>0.14123796873556052</v>
      </c>
      <c r="O89" s="20">
        <f t="shared" ca="1" si="153"/>
        <v>-8.3215244049519108E-3</v>
      </c>
      <c r="P89" s="19">
        <f t="shared" ca="1" si="159"/>
        <v>76.394487487805364</v>
      </c>
      <c r="Q89" s="19">
        <f ca="1">HCTrans(P89,Strike,RiskFreeRate,Dividend,Variance_T0*AnnualVarConvtr,(Simulation!G89)/250,0.5,Variance_Avg*AnnualVarConvtr,Lambda,SQRT(Simulation!N89),Rho,1,"Call")</f>
        <v>10.434204629325308</v>
      </c>
      <c r="R89" s="19">
        <f t="shared" ca="1" si="154"/>
        <v>0.71405697756477782</v>
      </c>
      <c r="S89" s="19">
        <f t="shared" ca="1" si="155"/>
        <v>1.455468514265494E-13</v>
      </c>
      <c r="T89" s="19">
        <f t="shared" ca="1" si="160"/>
        <v>-6.5539792974737443E-11</v>
      </c>
      <c r="U89" s="19">
        <f t="shared" ca="1" si="161"/>
        <v>6.9239282175724837</v>
      </c>
      <c r="V89" s="21">
        <f t="shared" ca="1" si="162"/>
        <v>6.2897989365703395E-5</v>
      </c>
      <c r="W89">
        <f t="shared" ca="1" si="163"/>
        <v>7.9308252638488636E-3</v>
      </c>
      <c r="X89" s="22">
        <f t="shared" ref="X89" ca="1" si="205">BSdelta(1,P89,Strike,W89*AnnualVarConvtr,Dividend,RiskFreeRate,G89/250)</f>
        <v>4.8828092274602955E-3</v>
      </c>
      <c r="Y89" s="22">
        <f t="shared" ca="1" si="169"/>
        <v>0.37301970843255611</v>
      </c>
      <c r="Z89" s="22">
        <f t="shared" ca="1" si="170"/>
        <v>8.2911705362567947</v>
      </c>
      <c r="AA89">
        <f t="shared" si="157"/>
        <v>0.73884103340948371</v>
      </c>
      <c r="AB89">
        <f t="shared" ref="AB89" ca="1" si="206">BSdelta(1,P89,Strike,AA89/AnnualVarConvtr,Dividend,RiskFreeRate,G89/250)</f>
        <v>8.7944823755202387E-13</v>
      </c>
      <c r="AC89">
        <f t="shared" ca="1" si="166"/>
        <v>-2.9734750707984227E-10</v>
      </c>
      <c r="AD89">
        <f t="shared" ca="1" si="167"/>
        <v>6.9066128185571971</v>
      </c>
    </row>
    <row r="90" spans="7:30" x14ac:dyDescent="0.25">
      <c r="G90" s="19">
        <v>165</v>
      </c>
      <c r="H90" s="19">
        <f t="shared" ca="1" si="72"/>
        <v>0.38855437810005677</v>
      </c>
      <c r="I90" s="19">
        <f t="shared" ca="1" si="72"/>
        <v>0.28760191768552801</v>
      </c>
      <c r="J90" s="19">
        <f t="shared" ca="1" si="151"/>
        <v>-0.321845129242674</v>
      </c>
      <c r="K90" s="19">
        <f t="shared" ca="1" si="152"/>
        <v>1.3368096393960516</v>
      </c>
      <c r="L90" s="19">
        <f t="array" aca="1" ref="L90:M90" ca="1">MMULT(J90:K90,TRANSPOSE($B$10:$C$11))</f>
        <v>-0.321845129242674</v>
      </c>
      <c r="M90" s="19">
        <f ca="1"/>
        <v>1.1631431831199159</v>
      </c>
      <c r="N90" s="20">
        <f t="shared" ca="1" si="174"/>
        <v>0.15144846282818239</v>
      </c>
      <c r="O90" s="20">
        <f t="shared" ca="1" si="153"/>
        <v>-7.921535475449935E-3</v>
      </c>
      <c r="P90" s="19">
        <f t="shared" ca="1" si="159"/>
        <v>75.791716433211562</v>
      </c>
      <c r="Q90" s="19">
        <f ca="1">HCTrans(P90,Strike,RiskFreeRate,Dividend,Variance_T0*AnnualVarConvtr,(Simulation!G90)/250,0.5,Variance_Avg*AnnualVarConvtr,Lambda,SQRT(Simulation!N90),Rho,1,"Call")</f>
        <v>10.078715259857773</v>
      </c>
      <c r="R90" s="19">
        <f t="shared" ca="1" si="154"/>
        <v>0.71220556902308541</v>
      </c>
      <c r="S90" s="19">
        <f t="shared" ca="1" si="155"/>
        <v>2.0743490182443047E-14</v>
      </c>
      <c r="T90" s="19">
        <f t="shared" ca="1" si="160"/>
        <v>-9.4590609653249745E-12</v>
      </c>
      <c r="U90" s="19">
        <f t="shared" ca="1" si="161"/>
        <v>6.5684388481144085</v>
      </c>
      <c r="V90" s="21">
        <f t="shared" ca="1" si="162"/>
        <v>1.5999114372413658E-7</v>
      </c>
      <c r="W90">
        <f t="shared" ca="1" si="163"/>
        <v>3.9998892950197582E-4</v>
      </c>
      <c r="X90" s="22">
        <f t="shared" ref="X90" ca="1" si="207">BSdelta(1,P90,Strike,W90*AnnualVarConvtr,Dividend,RiskFreeRate,G90/250)</f>
        <v>0</v>
      </c>
      <c r="Y90" s="22">
        <f t="shared" ca="1" si="169"/>
        <v>-0.37007649236513951</v>
      </c>
      <c r="Z90" s="22">
        <f t="shared" ca="1" si="170"/>
        <v>8.3057576591544002</v>
      </c>
      <c r="AA90">
        <f t="shared" si="157"/>
        <v>0.73884103340948371</v>
      </c>
      <c r="AB90">
        <f t="shared" ref="AB90" ca="1" si="208">BSdelta(1,P90,Strike,AA90/AnnualVarConvtr,Dividend,RiskFreeRate,G90/250)</f>
        <v>1.6384903239870154E-13</v>
      </c>
      <c r="AC90">
        <f t="shared" ca="1" si="166"/>
        <v>-5.4236492036812189E-11</v>
      </c>
      <c r="AD90">
        <f t="shared" ca="1" si="167"/>
        <v>6.5511234491438994</v>
      </c>
    </row>
    <row r="91" spans="7:30" x14ac:dyDescent="0.25">
      <c r="G91" s="19">
        <v>164</v>
      </c>
      <c r="H91" s="19">
        <f t="shared" ca="1" si="72"/>
        <v>0.86260795308938532</v>
      </c>
      <c r="I91" s="19">
        <f t="shared" ca="1" si="72"/>
        <v>0.72490935991916783</v>
      </c>
      <c r="J91" s="19">
        <f t="shared" ca="1" si="151"/>
        <v>-8.5356384257729581E-2</v>
      </c>
      <c r="K91" s="19">
        <f t="shared" ca="1" si="152"/>
        <v>-0.53693969631588012</v>
      </c>
      <c r="L91" s="19">
        <f t="array" aca="1" ref="L91:M91" ca="1">MMULT(J91:K91,TRANSPOSE($B$10:$C$11))</f>
        <v>-8.5356384257729581E-2</v>
      </c>
      <c r="M91" s="19">
        <f ca="1"/>
        <v>-0.31340435165569747</v>
      </c>
      <c r="N91" s="20">
        <f t="shared" ca="1" si="174"/>
        <v>0.14770708543190161</v>
      </c>
      <c r="O91" s="20">
        <f t="shared" ca="1" si="153"/>
        <v>-2.0747542833640803E-3</v>
      </c>
      <c r="P91" s="19">
        <f t="shared" ca="1" si="159"/>
        <v>75.634630258854287</v>
      </c>
      <c r="Q91" s="19">
        <f ca="1">HCTrans(P91,Strike,RiskFreeRate,Dividend,Variance_T0*AnnualVarConvtr,(Simulation!G91)/250,0.5,Variance_Avg*AnnualVarConvtr,Lambda,SQRT(Simulation!N91),Rho,1,"Call")</f>
        <v>9.9690653459865359</v>
      </c>
      <c r="R91" s="19">
        <f t="shared" ca="1" si="154"/>
        <v>0.71257902932846984</v>
      </c>
      <c r="S91" s="19">
        <f t="shared" ca="1" si="155"/>
        <v>1.1538379533360912E-14</v>
      </c>
      <c r="T91" s="19">
        <f t="shared" ca="1" si="160"/>
        <v>-6.962251404351694E-13</v>
      </c>
      <c r="U91" s="19">
        <f t="shared" ca="1" si="161"/>
        <v>6.4587889342438674</v>
      </c>
      <c r="V91" s="21">
        <f t="shared" ca="1" si="162"/>
        <v>3.418485030812889E-5</v>
      </c>
      <c r="W91">
        <f t="shared" ca="1" si="163"/>
        <v>5.8467811920858547E-3</v>
      </c>
      <c r="X91" s="22">
        <f t="shared" ref="X91" ca="1" si="209">BSdelta(1,P91,Strike,W91*AnnualVarConvtr,Dividend,RiskFreeRate,G91/250)</f>
        <v>1.1117250432166181E-4</v>
      </c>
      <c r="Y91" s="22">
        <f t="shared" ca="1" si="169"/>
        <v>8.4084912593197711E-3</v>
      </c>
      <c r="Z91" s="22">
        <f t="shared" ca="1" si="170"/>
        <v>8.1876992540238422</v>
      </c>
      <c r="AA91">
        <f t="shared" si="157"/>
        <v>0.73884103340948371</v>
      </c>
      <c r="AB91">
        <f t="shared" ref="AB91" ca="1" si="210">BSdelta(1,P91,Strike,AA91/AnnualVarConvtr,Dividend,RiskFreeRate,G91/250)</f>
        <v>9.2230810153327367E-14</v>
      </c>
      <c r="AC91">
        <f t="shared" ca="1" si="166"/>
        <v>-5.4168177593253279E-12</v>
      </c>
      <c r="AD91">
        <f t="shared" ca="1" si="167"/>
        <v>6.441473535278079</v>
      </c>
    </row>
    <row r="92" spans="7:30" x14ac:dyDescent="0.25">
      <c r="G92" s="19">
        <v>163</v>
      </c>
      <c r="H92" s="19">
        <f t="shared" ca="1" si="72"/>
        <v>0.58591854687399314</v>
      </c>
      <c r="I92" s="19">
        <f t="shared" ca="1" si="72"/>
        <v>0.68350997308930772</v>
      </c>
      <c r="J92" s="19">
        <f t="shared" ca="1" si="151"/>
        <v>-0.41951567512179189</v>
      </c>
      <c r="K92" s="19">
        <f t="shared" ca="1" si="152"/>
        <v>-0.94506909455172661</v>
      </c>
      <c r="L92" s="19">
        <f t="array" aca="1" ref="L92:M92" ca="1">MMULT(J92:K92,TRANSPOSE($B$10:$C$11))</f>
        <v>-0.41951567512179189</v>
      </c>
      <c r="M92" s="19">
        <f ca="1"/>
        <v>-0.35868501955605636</v>
      </c>
      <c r="N92" s="20">
        <f t="shared" ca="1" si="174"/>
        <v>0.14360057110706015</v>
      </c>
      <c r="O92" s="20">
        <f t="shared" ca="1" si="153"/>
        <v>-1.0054402616028791E-2</v>
      </c>
      <c r="P92" s="19">
        <f t="shared" ca="1" si="159"/>
        <v>74.877979444685636</v>
      </c>
      <c r="Q92" s="19">
        <f ca="1">HCTrans(P92,Strike,RiskFreeRate,Dividend,Variance_T0*AnnualVarConvtr,(Simulation!G92)/250,0.5,Variance_Avg*AnnualVarConvtr,Lambda,SQRT(Simulation!N92),Rho,1,"Call")</f>
        <v>9.5973169689991948</v>
      </c>
      <c r="R92" s="19">
        <f t="shared" ca="1" si="154"/>
        <v>0.71244667003532214</v>
      </c>
      <c r="S92" s="19">
        <f t="shared" ca="1" si="155"/>
        <v>1.065546496351483E-15</v>
      </c>
      <c r="T92" s="19">
        <f t="shared" ca="1" si="160"/>
        <v>-7.8418457687281669E-13</v>
      </c>
      <c r="U92" s="19">
        <f t="shared" ca="1" si="161"/>
        <v>6.0870405572573105</v>
      </c>
      <c r="V92" s="21">
        <f t="shared" ca="1" si="162"/>
        <v>6.3674787512998701E-5</v>
      </c>
      <c r="W92">
        <f t="shared" ca="1" si="163"/>
        <v>7.9796483326647107E-3</v>
      </c>
      <c r="X92" s="22">
        <f t="shared" ref="X92" ca="1" si="211">BSdelta(1,P92,Strike,W92*AnnualVarConvtr,Dividend,RiskFreeRate,G92/250)</f>
        <v>2.6447577557809458E-3</v>
      </c>
      <c r="Y92" s="22">
        <f t="shared" ca="1" si="169"/>
        <v>0.18970974438012697</v>
      </c>
      <c r="Z92" s="22">
        <f t="shared" ca="1" si="170"/>
        <v>7.6262411326563742</v>
      </c>
      <c r="AA92">
        <f t="shared" si="157"/>
        <v>0.73884103340948371</v>
      </c>
      <c r="AB92">
        <f t="shared" ref="AB92" ca="1" si="212">BSdelta(1,P92,Strike,AA92/AnnualVarConvtr,Dividend,RiskFreeRate,G92/250)</f>
        <v>1.0148775836476437E-14</v>
      </c>
      <c r="AC92">
        <f t="shared" ca="1" si="166"/>
        <v>-6.1461368783551453E-12</v>
      </c>
      <c r="AD92">
        <f t="shared" ca="1" si="167"/>
        <v>6.0697251582968841</v>
      </c>
    </row>
    <row r="93" spans="7:30" x14ac:dyDescent="0.25">
      <c r="G93" s="19">
        <v>162</v>
      </c>
      <c r="H93" s="19">
        <f t="shared" ca="1" si="72"/>
        <v>0.18288051598463329</v>
      </c>
      <c r="I93" s="19">
        <f t="shared" ca="1" si="72"/>
        <v>0.44079224732856592</v>
      </c>
      <c r="J93" s="19">
        <f t="shared" ca="1" si="151"/>
        <v>-1.7172361775281333</v>
      </c>
      <c r="K93" s="19">
        <f t="shared" ca="1" si="152"/>
        <v>0.6700331526060721</v>
      </c>
      <c r="L93" s="19">
        <f t="array" aca="1" ref="L93:M93" ca="1">MMULT(J93:K93,TRANSPOSE($B$10:$C$11))</f>
        <v>-1.7172361775281333</v>
      </c>
      <c r="M93" s="19">
        <f ca="1"/>
        <v>1.69780619922473</v>
      </c>
      <c r="N93" s="20">
        <f t="shared" ca="1" si="174"/>
        <v>0.15908576806028069</v>
      </c>
      <c r="O93" s="20">
        <f t="shared" ca="1" si="153"/>
        <v>-4.3318727389296582E-2</v>
      </c>
      <c r="P93" s="19">
        <f t="shared" ca="1" si="159"/>
        <v>71.703611827798639</v>
      </c>
      <c r="Q93" s="19">
        <f ca="1">HCTrans(P93,Strike,RiskFreeRate,Dividend,Variance_T0*AnnualVarConvtr,(Simulation!G93)/250,0.5,Variance_Avg*AnnualVarConvtr,Lambda,SQRT(Simulation!N93),Rho,1,"Call")</f>
        <v>8.1630924999503875</v>
      </c>
      <c r="R93" s="19" t="e">
        <f t="shared" ca="1" si="154"/>
        <v>#VALUE!</v>
      </c>
      <c r="S93" s="19" t="e">
        <f t="shared" ca="1" si="155"/>
        <v>#VALUE!</v>
      </c>
      <c r="T93" s="19" t="e">
        <f t="shared" ca="1" si="160"/>
        <v>#VALUE!</v>
      </c>
      <c r="U93" s="19" t="e">
        <f t="shared" ca="1" si="161"/>
        <v>#VALUE!</v>
      </c>
      <c r="V93" s="21">
        <f t="shared" ca="1" si="162"/>
        <v>1.1065153026214374E-3</v>
      </c>
      <c r="W93">
        <f t="shared" ca="1" si="163"/>
        <v>3.3264324773267795E-2</v>
      </c>
      <c r="X93" s="22">
        <f t="shared" ref="X93" ca="1" si="213">BSdelta(1,P93,Strike,W93*AnnualVarConvtr,Dividend,RiskFreeRate,G93/250)</f>
        <v>0.28300155003864669</v>
      </c>
      <c r="Y93" s="22">
        <f t="shared" ca="1" si="169"/>
        <v>20.10259460713738</v>
      </c>
      <c r="Z93" s="22">
        <f t="shared" ca="1" si="170"/>
        <v>-13.910577943529812</v>
      </c>
      <c r="AA93">
        <f t="shared" si="157"/>
        <v>0.73884103340948371</v>
      </c>
      <c r="AB93">
        <f t="shared" ref="AB93" ca="1" si="214">BSdelta(1,P93,Strike,AA93/AnnualVarConvtr,Dividend,RiskFreeRate,G93/250)</f>
        <v>5.5206013421997125E-19</v>
      </c>
      <c r="AC93">
        <f t="shared" ca="1" si="166"/>
        <v>-7.2766429840047918E-13</v>
      </c>
      <c r="AD93">
        <f t="shared" ca="1" si="167"/>
        <v>4.6355006892488042</v>
      </c>
    </row>
    <row r="94" spans="7:30" x14ac:dyDescent="0.25">
      <c r="G94" s="19">
        <v>161</v>
      </c>
      <c r="H94" s="19">
        <f t="shared" ca="1" si="72"/>
        <v>0.46831596234116557</v>
      </c>
      <c r="I94" s="19">
        <f t="shared" ca="1" si="72"/>
        <v>0.93780622036515326</v>
      </c>
      <c r="J94" s="19">
        <f t="shared" ca="1" si="151"/>
        <v>1.13889948227789</v>
      </c>
      <c r="K94" s="19">
        <f t="shared" ca="1" si="152"/>
        <v>-0.46918240011822354</v>
      </c>
      <c r="L94" s="19">
        <f t="array" aca="1" ref="L94:M94" ca="1">MMULT(J94:K94,TRANSPOSE($B$10:$C$11))</f>
        <v>1.13889948227789</v>
      </c>
      <c r="M94" s="19">
        <f ca="1"/>
        <v>-1.143317064857087</v>
      </c>
      <c r="N94" s="20">
        <f t="shared" ca="1" si="174"/>
        <v>0.14729454877250883</v>
      </c>
      <c r="O94" s="20">
        <f t="shared" ca="1" si="153"/>
        <v>2.7644499299731343E-2</v>
      </c>
      <c r="P94" s="19">
        <f t="shared" ca="1" si="159"/>
        <v>73.713475110582053</v>
      </c>
      <c r="Q94" s="19">
        <f ca="1">HCTrans(P94,Strike,RiskFreeRate,Dividend,Variance_T0*AnnualVarConvtr,(Simulation!G94)/250,0.5,Variance_Avg*AnnualVarConvtr,Lambda,SQRT(Simulation!N94),Rho,1,"Call")</f>
        <v>8.9840561521897513</v>
      </c>
      <c r="R94" s="19">
        <f t="shared" ca="1" si="154"/>
        <v>0.71090066448951972</v>
      </c>
      <c r="S94" s="19">
        <f t="shared" ca="1" si="155"/>
        <v>1.6606902196886231E-17</v>
      </c>
      <c r="T94" s="19" t="e">
        <f t="shared" ca="1" si="160"/>
        <v>#VALUE!</v>
      </c>
      <c r="U94" s="19" t="e">
        <f t="shared" ca="1" si="161"/>
        <v>#VALUE!</v>
      </c>
      <c r="V94" s="21">
        <f t="shared" ca="1" si="162"/>
        <v>5.0357795421183647E-3</v>
      </c>
      <c r="W94">
        <f t="shared" ca="1" si="163"/>
        <v>7.0963226689027922E-2</v>
      </c>
      <c r="X94" s="22">
        <f t="shared" ref="X94" ca="1" si="215">BSdelta(1,P94,Strike,W94*AnnualVarConvtr,Dividend,RiskFreeRate,G94/250)</f>
        <v>0.54438944585691051</v>
      </c>
      <c r="Y94" s="22">
        <f t="shared" ca="1" si="169"/>
        <v>19.267810152607005</v>
      </c>
      <c r="Z94" s="22">
        <f t="shared" ca="1" si="170"/>
        <v>-32.357424443897457</v>
      </c>
      <c r="AA94">
        <f t="shared" si="157"/>
        <v>0.73884103340948371</v>
      </c>
      <c r="AB94">
        <f t="shared" ref="AB94" ca="1" si="216">BSdelta(1,P94,Strike,AA94/AnnualVarConvtr,Dividend,RiskFreeRate,G94/250)</f>
        <v>2.4427764554859663E-16</v>
      </c>
      <c r="AC94">
        <f t="shared" ca="1" si="166"/>
        <v>1.7965859874254696E-14</v>
      </c>
      <c r="AD94">
        <f t="shared" ca="1" si="167"/>
        <v>5.4564643414881502</v>
      </c>
    </row>
    <row r="95" spans="7:30" x14ac:dyDescent="0.25">
      <c r="G95" s="19">
        <v>160</v>
      </c>
      <c r="H95" s="19">
        <f t="shared" ref="H95:I158" ca="1" si="217">RAND()</f>
        <v>0.35340800382450843</v>
      </c>
      <c r="I95" s="19">
        <f t="shared" ca="1" si="217"/>
        <v>0.33795084805004239</v>
      </c>
      <c r="J95" s="19">
        <f t="shared" ca="1" si="151"/>
        <v>-0.7570866191452138</v>
      </c>
      <c r="K95" s="19">
        <f t="shared" ca="1" si="152"/>
        <v>1.227633493228613</v>
      </c>
      <c r="L95" s="19">
        <f t="array" aca="1" ref="L95:M95" ca="1">MMULT(J95:K95,TRANSPOSE($B$10:$C$11))</f>
        <v>-0.7570866191452138</v>
      </c>
      <c r="M95" s="19">
        <f ca="1"/>
        <v>1.3988338403867604</v>
      </c>
      <c r="N95" s="20">
        <f t="shared" ca="1" si="174"/>
        <v>0.16000910252889078</v>
      </c>
      <c r="O95" s="20">
        <f t="shared" ca="1" si="153"/>
        <v>-1.9153489625763936E-2</v>
      </c>
      <c r="P95" s="19">
        <f t="shared" ca="1" si="159"/>
        <v>72.315040037388457</v>
      </c>
      <c r="Q95" s="19">
        <f ca="1">HCTrans(P95,Strike,RiskFreeRate,Dividend,Variance_T0*AnnualVarConvtr,(Simulation!G95)/250,0.5,Variance_Avg*AnnualVarConvtr,Lambda,SQRT(Simulation!N95),Rho,1,"Call")</f>
        <v>8.3136003882135299</v>
      </c>
      <c r="R95" s="19" t="e">
        <f t="shared" ca="1" si="154"/>
        <v>#VALUE!</v>
      </c>
      <c r="S95" s="19" t="e">
        <f t="shared" ca="1" si="155"/>
        <v>#VALUE!</v>
      </c>
      <c r="T95" s="19" t="e">
        <f t="shared" ca="1" si="160"/>
        <v>#VALUE!</v>
      </c>
      <c r="U95" s="19" t="e">
        <f t="shared" ca="1" si="161"/>
        <v>#VALUE!</v>
      </c>
      <c r="V95" s="21">
        <f t="shared" ca="1" si="162"/>
        <v>2.1900517674707785E-3</v>
      </c>
      <c r="W95">
        <f t="shared" ca="1" si="163"/>
        <v>4.6797988925495276E-2</v>
      </c>
      <c r="X95" s="22">
        <f t="shared" ref="X95" ca="1" si="218">BSdelta(1,P95,Strike,W95*AnnualVarConvtr,Dividend,RiskFreeRate,G95/250)</f>
        <v>0.4006760729557054</v>
      </c>
      <c r="Y95" s="22">
        <f t="shared" ca="1" si="169"/>
        <v>-10.392638315258786</v>
      </c>
      <c r="Z95" s="22">
        <f t="shared" ca="1" si="170"/>
        <v>-22.635241892614893</v>
      </c>
      <c r="AA95">
        <f t="shared" si="157"/>
        <v>0.73884103340948371</v>
      </c>
      <c r="AB95">
        <f t="shared" ref="AB95" ca="1" si="219">BSdelta(1,P95,Strike,AA95/AnnualVarConvtr,Dividend,RiskFreeRate,G95/250)</f>
        <v>2.5278842605224922E-18</v>
      </c>
      <c r="AC95">
        <f t="shared" ca="1" si="166"/>
        <v>-1.7482143666576185E-14</v>
      </c>
      <c r="AD95">
        <f t="shared" ca="1" si="167"/>
        <v>4.7860085775119465</v>
      </c>
    </row>
    <row r="96" spans="7:30" x14ac:dyDescent="0.25">
      <c r="G96" s="19">
        <v>159</v>
      </c>
      <c r="H96" s="19">
        <f t="shared" ca="1" si="217"/>
        <v>0.41689729880569559</v>
      </c>
      <c r="I96" s="19">
        <f t="shared" ca="1" si="217"/>
        <v>0.1620395950630461</v>
      </c>
      <c r="J96" s="19">
        <f t="shared" ca="1" si="151"/>
        <v>0.69442705773030711</v>
      </c>
      <c r="K96" s="19">
        <f t="shared" ca="1" si="152"/>
        <v>1.1258782386211645</v>
      </c>
      <c r="L96" s="19">
        <f t="array" aca="1" ref="L96:M96" ca="1">MMULT(J96:K96,TRANSPOSE($B$10:$C$11))</f>
        <v>0.69442705773030711</v>
      </c>
      <c r="M96" s="19">
        <f ca="1"/>
        <v>0.28784113881558504</v>
      </c>
      <c r="N96" s="20">
        <f t="shared" ca="1" si="174"/>
        <v>0.16203392798219265</v>
      </c>
      <c r="O96" s="20">
        <f t="shared" ca="1" si="153"/>
        <v>1.767907792766691E-2</v>
      </c>
      <c r="P96" s="19">
        <f t="shared" ca="1" si="159"/>
        <v>73.604871183696176</v>
      </c>
      <c r="Q96" s="19">
        <f ca="1">HCTrans(P96,Strike,RiskFreeRate,Dividend,Variance_T0*AnnualVarConvtr,(Simulation!G96)/250,0.5,Variance_Avg*AnnualVarConvtr,Lambda,SQRT(Simulation!N96),Rho,1,"Call")</f>
        <v>8.7938233261484697</v>
      </c>
      <c r="R96" s="19">
        <f t="shared" ca="1" si="154"/>
        <v>0.70888614454530696</v>
      </c>
      <c r="S96" s="19">
        <f t="shared" ca="1" si="155"/>
        <v>5.9841757428775028E-18</v>
      </c>
      <c r="T96" s="19" t="e">
        <f t="shared" ca="1" si="160"/>
        <v>#VALUE!</v>
      </c>
      <c r="U96" s="19" t="e">
        <f t="shared" ca="1" si="161"/>
        <v>#VALUE!</v>
      </c>
      <c r="V96" s="21">
        <f t="shared" ca="1" si="162"/>
        <v>1.3566380325780467E-3</v>
      </c>
      <c r="W96">
        <f t="shared" ca="1" si="163"/>
        <v>3.6832567553430846E-2</v>
      </c>
      <c r="X96" s="22">
        <f t="shared" ref="X96" ca="1" si="220">BSdelta(1,P96,Strike,W96*AnnualVarConvtr,Dividend,RiskFreeRate,G96/250)</f>
        <v>0.3344623399039281</v>
      </c>
      <c r="Y96" s="22">
        <f t="shared" ca="1" si="169"/>
        <v>-4.873653291867714</v>
      </c>
      <c r="Z96" s="22">
        <f t="shared" ca="1" si="170"/>
        <v>-17.281365662812238</v>
      </c>
      <c r="AA96">
        <f t="shared" si="157"/>
        <v>0.73884103340948371</v>
      </c>
      <c r="AB96">
        <f t="shared" ref="AB96" ca="1" si="221">BSdelta(1,P96,Strike,AA96/AnnualVarConvtr,Dividend,RiskFreeRate,G96/250)</f>
        <v>1.1531225565045135E-16</v>
      </c>
      <c r="AC96">
        <f t="shared" ca="1" si="166"/>
        <v>8.3014791276898606E-15</v>
      </c>
      <c r="AD96">
        <f t="shared" ca="1" si="167"/>
        <v>5.2662315154468784</v>
      </c>
    </row>
    <row r="97" spans="7:30" x14ac:dyDescent="0.25">
      <c r="G97" s="19">
        <v>158</v>
      </c>
      <c r="H97" s="19">
        <f t="shared" ca="1" si="217"/>
        <v>0.78862437497400661</v>
      </c>
      <c r="I97" s="19">
        <f t="shared" ca="1" si="217"/>
        <v>0.30008509166300068</v>
      </c>
      <c r="J97" s="19">
        <f t="shared" ca="1" si="151"/>
        <v>-0.2133100279810648</v>
      </c>
      <c r="K97" s="19">
        <f t="shared" ca="1" si="152"/>
        <v>0.65530842330069417</v>
      </c>
      <c r="L97" s="19">
        <f t="array" aca="1" ref="L97:M97" ca="1">MMULT(J97:K97,TRANSPOSE($B$10:$C$11))</f>
        <v>-0.2133100279810648</v>
      </c>
      <c r="M97" s="19">
        <f ca="1"/>
        <v>0.60997133198739217</v>
      </c>
      <c r="N97" s="20">
        <f t="shared" ca="1" si="174"/>
        <v>0.16728880867525198</v>
      </c>
      <c r="O97" s="20">
        <f t="shared" ca="1" si="153"/>
        <v>-5.5179112694168858E-3</v>
      </c>
      <c r="P97" s="19">
        <f t="shared" ca="1" si="159"/>
        <v>73.199844513785877</v>
      </c>
      <c r="Q97" s="19">
        <f ca="1">HCTrans(P97,Strike,RiskFreeRate,Dividend,Variance_T0*AnnualVarConvtr,(Simulation!G97)/250,0.5,Variance_Avg*AnnualVarConvtr,Lambda,SQRT(Simulation!N97),Rho,1,"Call")</f>
        <v>8.5593924043106</v>
      </c>
      <c r="R97" s="19">
        <f t="shared" ca="1" si="154"/>
        <v>0.70781320825649574</v>
      </c>
      <c r="S97" s="19">
        <f t="shared" ca="1" si="155"/>
        <v>1.0811940881179016E-18</v>
      </c>
      <c r="T97" s="19">
        <f t="shared" ca="1" si="160"/>
        <v>-3.5889749478234739E-16</v>
      </c>
      <c r="U97" s="19" t="e">
        <f t="shared" ca="1" si="161"/>
        <v>#VALUE!</v>
      </c>
      <c r="V97" s="21">
        <f t="shared" ca="1" si="162"/>
        <v>5.3810030780962232E-4</v>
      </c>
      <c r="W97">
        <f t="shared" ca="1" si="163"/>
        <v>2.3196989197083795E-2</v>
      </c>
      <c r="X97" s="22">
        <f t="shared" ref="X97" ca="1" si="222">BSdelta(1,P97,Strike,W97*AnnualVarConvtr,Dividend,RiskFreeRate,G97/250)</f>
        <v>0.1777025061872462</v>
      </c>
      <c r="Y97" s="22">
        <f t="shared" ca="1" si="169"/>
        <v>-11.474795454068044</v>
      </c>
      <c r="Z97" s="22">
        <f t="shared" ca="1" si="170"/>
        <v>-6.0410011305820639</v>
      </c>
      <c r="AA97">
        <f t="shared" si="157"/>
        <v>0.73884103340948371</v>
      </c>
      <c r="AB97">
        <f t="shared" ref="AB97" ca="1" si="223">BSdelta(1,P97,Strike,AA97/AnnualVarConvtr,Dividend,RiskFreeRate,G97/250)</f>
        <v>2.6562648570149893E-17</v>
      </c>
      <c r="AC97">
        <f t="shared" ca="1" si="166"/>
        <v>-6.4964574389376563E-15</v>
      </c>
      <c r="AD97">
        <f t="shared" ca="1" si="167"/>
        <v>5.0318005936090149</v>
      </c>
    </row>
    <row r="98" spans="7:30" x14ac:dyDescent="0.25">
      <c r="G98" s="19">
        <v>157</v>
      </c>
      <c r="H98" s="19">
        <f t="shared" ca="1" si="217"/>
        <v>0.89068784924452205</v>
      </c>
      <c r="I98" s="19">
        <f t="shared" ca="1" si="217"/>
        <v>0.17840222959274954</v>
      </c>
      <c r="J98" s="19">
        <f t="shared" ca="1" si="151"/>
        <v>0.20923166418719538</v>
      </c>
      <c r="K98" s="19">
        <f t="shared" ca="1" si="152"/>
        <v>0.43329506296016673</v>
      </c>
      <c r="L98" s="19">
        <f t="array" aca="1" ref="L98:M98" ca="1">MMULT(J98:K98,TRANSPOSE($B$10:$C$11))</f>
        <v>0.20923166418719538</v>
      </c>
      <c r="M98" s="19">
        <f ca="1"/>
        <v>0.15234655527093452</v>
      </c>
      <c r="N98" s="20">
        <f t="shared" ca="1" si="174"/>
        <v>0.16797070634390374</v>
      </c>
      <c r="O98" s="20">
        <f t="shared" ca="1" si="153"/>
        <v>5.4234317503667516E-3</v>
      </c>
      <c r="P98" s="19">
        <f t="shared" ca="1" si="159"/>
        <v>73.597917359369163</v>
      </c>
      <c r="Q98" s="19">
        <f ca="1">HCTrans(P98,Strike,RiskFreeRate,Dividend,Variance_T0*AnnualVarConvtr,(Simulation!G98)/250,0.5,Variance_Avg*AnnualVarConvtr,Lambda,SQRT(Simulation!N98),Rho,1,"Call")</f>
        <v>8.673967582600298</v>
      </c>
      <c r="R98" s="19">
        <f t="shared" ca="1" si="154"/>
        <v>0.70817821591059282</v>
      </c>
      <c r="S98" s="19">
        <f t="shared" ca="1" si="155"/>
        <v>3.374930786565367E-18</v>
      </c>
      <c r="T98" s="19">
        <f t="shared" ca="1" si="160"/>
        <v>1.6881424397648882E-16</v>
      </c>
      <c r="U98" s="19" t="e">
        <f t="shared" ca="1" si="161"/>
        <v>#VALUE!</v>
      </c>
      <c r="V98" s="21">
        <f t="shared" ca="1" si="162"/>
        <v>1.1971298707656813E-4</v>
      </c>
      <c r="W98">
        <f t="shared" ca="1" si="163"/>
        <v>1.0941343019783637E-2</v>
      </c>
      <c r="X98" s="22">
        <f t="shared" ref="X98" ca="1" si="224">BSdelta(1,P98,Strike,W98*AnnualVarConvtr,Dividend,RiskFreeRate,G98/250)</f>
        <v>1.5097439725409837E-2</v>
      </c>
      <c r="Y98" s="22">
        <f t="shared" ca="1" si="169"/>
        <v>-11.967394243672963</v>
      </c>
      <c r="Z98" s="22">
        <f t="shared" ca="1" si="170"/>
        <v>6.0409682913805973</v>
      </c>
      <c r="AA98">
        <f t="shared" si="157"/>
        <v>0.73884103340948371</v>
      </c>
      <c r="AB98">
        <f t="shared" ref="AB98" ca="1" si="225">BSdelta(1,P98,Strike,AA98/AnnualVarConvtr,Dividend,RiskFreeRate,G98/250)</f>
        <v>7.2918421388336865E-17</v>
      </c>
      <c r="AC98">
        <f t="shared" ca="1" si="166"/>
        <v>3.411688337002616E-15</v>
      </c>
      <c r="AD98">
        <f t="shared" ca="1" si="167"/>
        <v>5.1463757718987093</v>
      </c>
    </row>
    <row r="99" spans="7:30" x14ac:dyDescent="0.25">
      <c r="G99" s="19">
        <v>156</v>
      </c>
      <c r="H99" s="19">
        <f t="shared" ca="1" si="217"/>
        <v>0.98345897966425566</v>
      </c>
      <c r="I99" s="19">
        <f t="shared" ca="1" si="217"/>
        <v>0.29565036674596346</v>
      </c>
      <c r="J99" s="19">
        <f t="shared" ca="1" si="151"/>
        <v>-5.1672240685420416E-2</v>
      </c>
      <c r="K99" s="19">
        <f t="shared" ca="1" si="152"/>
        <v>0.17518185020459454</v>
      </c>
      <c r="L99" s="19">
        <f t="array" aca="1" ref="L99:M99" ca="1">MMULT(J99:K99,TRANSPOSE($B$10:$C$11))</f>
        <v>-5.1672240685420416E-2</v>
      </c>
      <c r="M99" s="19">
        <f ca="1"/>
        <v>0.15922775779035886</v>
      </c>
      <c r="N99" s="20">
        <f t="shared" ca="1" si="174"/>
        <v>0.16872157455131245</v>
      </c>
      <c r="O99" s="20">
        <f t="shared" ca="1" si="153"/>
        <v>-1.3423711195724079E-3</v>
      </c>
      <c r="P99" s="19">
        <f t="shared" ca="1" si="159"/>
        <v>73.499187921244015</v>
      </c>
      <c r="Q99" s="19">
        <f ca="1">HCTrans(P99,Strike,RiskFreeRate,Dividend,Variance_T0*AnnualVarConvtr,(Simulation!G99)/250,0.5,Variance_Avg*AnnualVarConvtr,Lambda,SQRT(Simulation!N99),Rho,1,"Call")</f>
        <v>8.5807191647093788</v>
      </c>
      <c r="R99" s="19">
        <f t="shared" ca="1" si="154"/>
        <v>0.7080147166030647</v>
      </c>
      <c r="S99" s="19">
        <f t="shared" ca="1" si="155"/>
        <v>1.865244283362669E-18</v>
      </c>
      <c r="T99" s="19">
        <f t="shared" ca="1" si="160"/>
        <v>-1.1096073200106086E-16</v>
      </c>
      <c r="U99" s="19" t="e">
        <f t="shared" ca="1" si="161"/>
        <v>#VALUE!</v>
      </c>
      <c r="V99" s="21">
        <f t="shared" ca="1" si="162"/>
        <v>4.5776088474876964E-5</v>
      </c>
      <c r="W99">
        <f t="shared" ca="1" si="163"/>
        <v>6.7658028699391594E-3</v>
      </c>
      <c r="X99" s="22">
        <f t="shared" ref="X99" ca="1" si="226">BSdelta(1,P99,Strike,W99*AnnualVarConvtr,Dividend,RiskFreeRate,G99/250)</f>
        <v>1.5832957467143053E-4</v>
      </c>
      <c r="Y99" s="22">
        <f t="shared" ca="1" si="169"/>
        <v>-1.0980124643452862</v>
      </c>
      <c r="Z99" s="22">
        <f t="shared" ca="1" si="170"/>
        <v>7.0457323378349646</v>
      </c>
      <c r="AA99">
        <f t="shared" si="157"/>
        <v>0.73884103340948371</v>
      </c>
      <c r="AB99">
        <f t="shared" ref="AB99" ca="1" si="227">BSdelta(1,P99,Strike,AA99/AnnualVarConvtr,Dividend,RiskFreeRate,G99/250)</f>
        <v>4.2961321573873577E-17</v>
      </c>
      <c r="AC99">
        <f t="shared" ca="1" si="166"/>
        <v>-2.2018225088387016E-15</v>
      </c>
      <c r="AD99">
        <f t="shared" ca="1" si="167"/>
        <v>5.0531273540077919</v>
      </c>
    </row>
    <row r="100" spans="7:30" x14ac:dyDescent="0.25">
      <c r="G100" s="19">
        <v>155</v>
      </c>
      <c r="H100" s="19">
        <f t="shared" ca="1" si="217"/>
        <v>0.42444901683843139</v>
      </c>
      <c r="I100" s="19">
        <f t="shared" ca="1" si="217"/>
        <v>0.39927320976870684</v>
      </c>
      <c r="J100" s="19">
        <f t="shared" ca="1" si="151"/>
        <v>-1.0556159398048939</v>
      </c>
      <c r="K100" s="19">
        <f t="shared" ca="1" si="152"/>
        <v>0.77433955850735847</v>
      </c>
      <c r="L100" s="19">
        <f t="array" aca="1" ref="L100:M100" ca="1">MMULT(J100:K100,TRANSPOSE($B$10:$C$11))</f>
        <v>-1.0556159398048939</v>
      </c>
      <c r="M100" s="19">
        <f ca="1"/>
        <v>1.2965181011965226</v>
      </c>
      <c r="N100" s="20">
        <f t="shared" ca="1" si="174"/>
        <v>0.18117555775736782</v>
      </c>
      <c r="O100" s="20">
        <f t="shared" ca="1" si="153"/>
        <v>-2.8417491489514075E-2</v>
      </c>
      <c r="P100" s="19">
        <f t="shared" ca="1" si="159"/>
        <v>71.439923517051227</v>
      </c>
      <c r="Q100" s="19">
        <f ca="1">HCTrans(P100,Strike,RiskFreeRate,Dividend,Variance_T0*AnnualVarConvtr,(Simulation!G100)/250,0.5,Variance_Avg*AnnualVarConvtr,Lambda,SQRT(Simulation!N100),Rho,1,"Call")</f>
        <v>7.6608337195887302</v>
      </c>
      <c r="R100" s="19" t="e">
        <f t="shared" ca="1" si="154"/>
        <v>#VALUE!</v>
      </c>
      <c r="S100" s="19" t="e">
        <f t="shared" ca="1" si="155"/>
        <v>#VALUE!</v>
      </c>
      <c r="T100" s="19" t="e">
        <f t="shared" ca="1" si="160"/>
        <v>#VALUE!</v>
      </c>
      <c r="U100" s="19" t="e">
        <f t="shared" ca="1" si="161"/>
        <v>#VALUE!</v>
      </c>
      <c r="V100" s="21">
        <f t="shared" ca="1" si="162"/>
        <v>7.3306214304683006E-4</v>
      </c>
      <c r="W100">
        <f t="shared" ca="1" si="163"/>
        <v>2.7075120369941665E-2</v>
      </c>
      <c r="X100" s="22">
        <f t="shared" ref="X100" ca="1" si="228">BSdelta(1,P100,Strike,W100*AnnualVarConvtr,Dividend,RiskFreeRate,G100/250)</f>
        <v>0.20350219365237629</v>
      </c>
      <c r="Y100" s="22">
        <f t="shared" ca="1" si="169"/>
        <v>14.526870097372896</v>
      </c>
      <c r="Z100" s="22">
        <f t="shared" ca="1" si="170"/>
        <v>-8.4010232046585802</v>
      </c>
      <c r="AA100">
        <f t="shared" si="157"/>
        <v>0.73884103340948371</v>
      </c>
      <c r="AB100">
        <f t="shared" ref="AB100" ca="1" si="229">BSdelta(1,P100,Strike,AA100/AnnualVarConvtr,Dividend,RiskFreeRate,G100/250)</f>
        <v>3.6859782097195408E-20</v>
      </c>
      <c r="AC100">
        <f t="shared" ca="1" si="166"/>
        <v>-3.0665202674150925E-15</v>
      </c>
      <c r="AD100">
        <f t="shared" ca="1" si="167"/>
        <v>4.1332419088871459</v>
      </c>
    </row>
    <row r="101" spans="7:30" x14ac:dyDescent="0.25">
      <c r="G101" s="19">
        <v>154</v>
      </c>
      <c r="H101" s="19">
        <f t="shared" ca="1" si="217"/>
        <v>0.15094492211174126</v>
      </c>
      <c r="I101" s="19">
        <f t="shared" ca="1" si="217"/>
        <v>0.56277982743537858</v>
      </c>
      <c r="J101" s="19">
        <f t="shared" ca="1" si="151"/>
        <v>-1.7953151366481332</v>
      </c>
      <c r="K101" s="19">
        <f t="shared" ca="1" si="152"/>
        <v>-0.74734469021214422</v>
      </c>
      <c r="L101" s="19">
        <f t="array" aca="1" ref="L101:M101" ca="1">MMULT(J101:K101,TRANSPOSE($B$10:$C$11))</f>
        <v>-1.7953151366481332</v>
      </c>
      <c r="M101" s="19">
        <f ca="1"/>
        <v>0.76500528673715518</v>
      </c>
      <c r="N101" s="20">
        <f t="shared" ca="1" si="174"/>
        <v>0.18832478686729903</v>
      </c>
      <c r="O101" s="20">
        <f t="shared" ca="1" si="153"/>
        <v>-4.9274750109157078E-2</v>
      </c>
      <c r="P101" s="19">
        <f t="shared" ca="1" si="159"/>
        <v>68.005060115345458</v>
      </c>
      <c r="Q101" s="19">
        <f ca="1">HCTrans(P101,Strike,RiskFreeRate,Dividend,Variance_T0*AnnualVarConvtr,(Simulation!G101)/250,0.5,Variance_Avg*AnnualVarConvtr,Lambda,SQRT(Simulation!N101),Rho,1,"Call")</f>
        <v>6.3025425070788756</v>
      </c>
      <c r="R101" s="19" t="e">
        <f t="shared" ca="1" si="154"/>
        <v>#VALUE!</v>
      </c>
      <c r="S101" s="19" t="e">
        <f t="shared" ca="1" si="155"/>
        <v>#VALUE!</v>
      </c>
      <c r="T101" s="19" t="e">
        <f t="shared" ca="1" si="160"/>
        <v>#VALUE!</v>
      </c>
      <c r="U101" s="19" t="e">
        <f t="shared" ca="1" si="161"/>
        <v>#VALUE!</v>
      </c>
      <c r="V101" s="21">
        <f t="shared" ca="1" si="162"/>
        <v>4.3502523712667237E-4</v>
      </c>
      <c r="W101">
        <f t="shared" ca="1" si="163"/>
        <v>2.0857258619643004E-2</v>
      </c>
      <c r="X101" s="22">
        <f t="shared" ref="X101" ca="1" si="230">BSdelta(1,P101,Strike,W101*AnnualVarConvtr,Dividend,RiskFreeRate,G101/250)</f>
        <v>8.6866119206249731E-2</v>
      </c>
      <c r="Y101" s="22">
        <f t="shared" ca="1" si="169"/>
        <v>-7.9318432543267452</v>
      </c>
      <c r="Z101" s="22">
        <f t="shared" ca="1" si="170"/>
        <v>-1.8274711628416895</v>
      </c>
      <c r="AA101">
        <f t="shared" si="157"/>
        <v>0.73884103340948371</v>
      </c>
      <c r="AB101">
        <f t="shared" ref="AB101" ca="1" si="231">BSdelta(1,P101,Strike,AA101/AnnualVarConvtr,Dividend,RiskFreeRate,G101/250)</f>
        <v>4.5403402722905791E-26</v>
      </c>
      <c r="AC101">
        <f t="shared" ca="1" si="166"/>
        <v>-2.5066486096971767E-18</v>
      </c>
      <c r="AD101">
        <f t="shared" ca="1" si="167"/>
        <v>2.7749506963772914</v>
      </c>
    </row>
    <row r="102" spans="7:30" x14ac:dyDescent="0.25">
      <c r="G102" s="19">
        <v>153</v>
      </c>
      <c r="H102" s="19">
        <f t="shared" ca="1" si="217"/>
        <v>0.51554699558356587</v>
      </c>
      <c r="I102" s="19">
        <f t="shared" ca="1" si="217"/>
        <v>0.92374185432425437</v>
      </c>
      <c r="J102" s="19">
        <f t="shared" ca="1" si="151"/>
        <v>1.0214831011659971</v>
      </c>
      <c r="K102" s="19">
        <f t="shared" ca="1" si="152"/>
        <v>-0.53068437257184731</v>
      </c>
      <c r="L102" s="19">
        <f t="array" aca="1" ref="L102:M102" ca="1">MMULT(J102:K102,TRANSPOSE($B$10:$C$11))</f>
        <v>1.0214831011659971</v>
      </c>
      <c r="M102" s="19">
        <f ca="1"/>
        <v>-1.1020912098658266</v>
      </c>
      <c r="N102" s="20">
        <f t="shared" ca="1" si="174"/>
        <v>0.1758190854056538</v>
      </c>
      <c r="O102" s="20">
        <f t="shared" ca="1" si="153"/>
        <v>2.7089075913847089E-2</v>
      </c>
      <c r="P102" s="19">
        <f t="shared" ca="1" si="159"/>
        <v>69.872432861117474</v>
      </c>
      <c r="Q102" s="19">
        <f ca="1">HCTrans(P102,Strike,RiskFreeRate,Dividend,Variance_T0*AnnualVarConvtr,(Simulation!G102)/250,0.5,Variance_Avg*AnnualVarConvtr,Lambda,SQRT(Simulation!N102),Rho,1,"Call")</f>
        <v>6.9777929144299762</v>
      </c>
      <c r="R102" s="19">
        <f t="shared" ca="1" si="154"/>
        <v>0.70320313665071155</v>
      </c>
      <c r="S102" s="19">
        <f t="shared" ca="1" si="155"/>
        <v>4.0535324778520873E-25</v>
      </c>
      <c r="T102" s="19" t="e">
        <f t="shared" ca="1" si="160"/>
        <v>#VALUE!</v>
      </c>
      <c r="U102" s="19" t="e">
        <f t="shared" ca="1" si="161"/>
        <v>#VALUE!</v>
      </c>
      <c r="V102" s="21">
        <f t="shared" ca="1" si="162"/>
        <v>5.8314339248716476E-3</v>
      </c>
      <c r="W102">
        <f t="shared" ca="1" si="163"/>
        <v>7.6363826023004164E-2</v>
      </c>
      <c r="X102" s="22">
        <f t="shared" ref="X102" ca="1" si="232">BSdelta(1,P102,Strike,W102*AnnualVarConvtr,Dividend,RiskFreeRate,G102/250)</f>
        <v>0.53694764530570072</v>
      </c>
      <c r="Y102" s="22">
        <f t="shared" ca="1" si="169"/>
        <v>31.448291214413178</v>
      </c>
      <c r="Z102" s="22">
        <f t="shared" ca="1" si="170"/>
        <v>-32.600511969903764</v>
      </c>
      <c r="AA102">
        <f t="shared" si="157"/>
        <v>0.73884103340948371</v>
      </c>
      <c r="AB102">
        <f t="shared" ref="AB102" ca="1" si="233">BSdelta(1,P102,Strike,AA102/AnnualVarConvtr,Dividend,RiskFreeRate,G102/250)</f>
        <v>6.3007922768308988E-23</v>
      </c>
      <c r="AC102">
        <f t="shared" ca="1" si="166"/>
        <v>4.3993444071387225E-21</v>
      </c>
      <c r="AD102">
        <f t="shared" ca="1" si="167"/>
        <v>3.4502011037283919</v>
      </c>
    </row>
    <row r="103" spans="7:30" x14ac:dyDescent="0.25">
      <c r="G103" s="19">
        <v>152</v>
      </c>
      <c r="H103" s="19">
        <f t="shared" ca="1" si="217"/>
        <v>0.8729775676856617</v>
      </c>
      <c r="I103" s="19">
        <f t="shared" ca="1" si="217"/>
        <v>0.45233218612397519</v>
      </c>
      <c r="J103" s="19">
        <f t="shared" ca="1" si="151"/>
        <v>-0.49803539567749516</v>
      </c>
      <c r="K103" s="19">
        <f t="shared" ca="1" si="152"/>
        <v>0.15379071143909992</v>
      </c>
      <c r="L103" s="19">
        <f t="array" aca="1" ref="L103:M103" ca="1">MMULT(J103:K103,TRANSPOSE($B$10:$C$11))</f>
        <v>-0.49803539567749516</v>
      </c>
      <c r="M103" s="19">
        <f ca="1"/>
        <v>0.46412477607037317</v>
      </c>
      <c r="N103" s="20">
        <f t="shared" ca="1" si="174"/>
        <v>0.17972868771955189</v>
      </c>
      <c r="O103" s="20">
        <f t="shared" ca="1" si="153"/>
        <v>-1.3353616718562208E-2</v>
      </c>
      <c r="P103" s="19">
        <f t="shared" ca="1" si="159"/>
        <v>68.945585329684576</v>
      </c>
      <c r="Q103" s="19">
        <f ca="1">HCTrans(P103,Strike,RiskFreeRate,Dividend,Variance_T0*AnnualVarConvtr,(Simulation!G103)/250,0.5,Variance_Avg*AnnualVarConvtr,Lambda,SQRT(Simulation!N103),Rho,1,"Call")</f>
        <v>6.5776781081249567</v>
      </c>
      <c r="R103" s="19" t="e">
        <f t="shared" ca="1" si="154"/>
        <v>#VALUE!</v>
      </c>
      <c r="S103" s="19" t="e">
        <f t="shared" ca="1" si="155"/>
        <v>#VALUE!</v>
      </c>
      <c r="T103" s="19" t="e">
        <f t="shared" ca="1" si="160"/>
        <v>#VALUE!</v>
      </c>
      <c r="U103" s="19" t="e">
        <f t="shared" ca="1" si="161"/>
        <v>#VALUE!</v>
      </c>
      <c r="V103" s="21">
        <f t="shared" ca="1" si="162"/>
        <v>1.635611387359533E-3</v>
      </c>
      <c r="W103">
        <f t="shared" ca="1" si="163"/>
        <v>4.0442692632409294E-2</v>
      </c>
      <c r="X103" s="22">
        <f t="shared" ref="X103" ca="1" si="234">BSdelta(1,P103,Strike,W103*AnnualVarConvtr,Dividend,RiskFreeRate,G103/250)</f>
        <v>0.30978089963653466</v>
      </c>
      <c r="Y103" s="22">
        <f t="shared" ca="1" si="169"/>
        <v>-15.662144247600242</v>
      </c>
      <c r="Z103" s="22">
        <f t="shared" ca="1" si="170"/>
        <v>-17.338482528608541</v>
      </c>
      <c r="AA103">
        <f t="shared" si="157"/>
        <v>0.73884103340948371</v>
      </c>
      <c r="AB103">
        <f t="shared" ref="AB103" ca="1" si="235">BSdelta(1,P103,Strike,AA103/AnnualVarConvtr,Dividend,RiskFreeRate,G103/250)</f>
        <v>1.1289474335884537E-24</v>
      </c>
      <c r="AC103">
        <f t="shared" ca="1" si="166"/>
        <v>-4.2662821740534214E-21</v>
      </c>
      <c r="AD103">
        <f t="shared" ca="1" si="167"/>
        <v>3.0500862974233725</v>
      </c>
    </row>
    <row r="104" spans="7:30" x14ac:dyDescent="0.25">
      <c r="G104" s="19">
        <v>151</v>
      </c>
      <c r="H104" s="19">
        <f t="shared" ca="1" si="217"/>
        <v>0.23891523564189743</v>
      </c>
      <c r="I104" s="19">
        <f t="shared" ca="1" si="217"/>
        <v>0.47439858183655015</v>
      </c>
      <c r="J104" s="19">
        <f t="shared" ca="1" si="151"/>
        <v>-1.6702816415872421</v>
      </c>
      <c r="K104" s="19">
        <f t="shared" ca="1" si="152"/>
        <v>0.27102055801282854</v>
      </c>
      <c r="L104" s="19">
        <f t="array" aca="1" ref="L104:M104" ca="1">MMULT(J104:K104,TRANSPOSE($B$10:$C$11))</f>
        <v>-1.6702816415872421</v>
      </c>
      <c r="M104" s="19">
        <f ca="1"/>
        <v>1.3858172389539556</v>
      </c>
      <c r="N104" s="20">
        <f t="shared" ca="1" si="174"/>
        <v>0.19350783449063846</v>
      </c>
      <c r="O104" s="20">
        <f t="shared" ca="1" si="153"/>
        <v>-4.6469604881968045E-2</v>
      </c>
      <c r="P104" s="19">
        <f t="shared" ca="1" si="159"/>
        <v>65.81501278815</v>
      </c>
      <c r="Q104" s="19">
        <f ca="1">HCTrans(P104,Strike,RiskFreeRate,Dividend,Variance_T0*AnnualVarConvtr,(Simulation!G104)/250,0.5,Variance_Avg*AnnualVarConvtr,Lambda,SQRT(Simulation!N104),Rho,1,"Call")</f>
        <v>5.4083416699764513</v>
      </c>
      <c r="R104" s="19" t="e">
        <f t="shared" ca="1" si="154"/>
        <v>#VALUE!</v>
      </c>
      <c r="S104" s="19" t="e">
        <f t="shared" ca="1" si="155"/>
        <v>#VALUE!</v>
      </c>
      <c r="T104" s="19" t="e">
        <f t="shared" ca="1" si="160"/>
        <v>#VALUE!</v>
      </c>
      <c r="U104" s="19" t="e">
        <f t="shared" ca="1" si="161"/>
        <v>#VALUE!</v>
      </c>
      <c r="V104" s="21">
        <f t="shared" ca="1" si="162"/>
        <v>1.0966686720388355E-3</v>
      </c>
      <c r="W104">
        <f t="shared" ca="1" si="163"/>
        <v>3.3115988163405836E-2</v>
      </c>
      <c r="X104" s="22">
        <f t="shared" ref="X104" ca="1" si="236">BSdelta(1,P104,Strike,W104*AnnualVarConvtr,Dividend,RiskFreeRate,G104/250)</f>
        <v>0.2048243126686671</v>
      </c>
      <c r="Y104" s="22">
        <f t="shared" ca="1" si="169"/>
        <v>-6.9077191134907805</v>
      </c>
      <c r="Z104" s="22">
        <f t="shared" ca="1" si="170"/>
        <v>-11.600099853266265</v>
      </c>
      <c r="AA104">
        <f t="shared" si="157"/>
        <v>0.73884103340948371</v>
      </c>
      <c r="AB104">
        <f t="shared" ref="AB104" ca="1" si="237">BSdelta(1,P104,Strike,AA104/AnnualVarConvtr,Dividend,RiskFreeRate,G104/250)</f>
        <v>6.5384136605026428E-31</v>
      </c>
      <c r="AC104">
        <f t="shared" ca="1" si="166"/>
        <v>-7.4301646746195339E-23</v>
      </c>
      <c r="AD104">
        <f t="shared" ca="1" si="167"/>
        <v>1.880749859274867</v>
      </c>
    </row>
    <row r="105" spans="7:30" x14ac:dyDescent="0.25">
      <c r="G105" s="19">
        <v>150</v>
      </c>
      <c r="H105" s="19">
        <f t="shared" ca="1" si="217"/>
        <v>4.1495521021549298E-2</v>
      </c>
      <c r="I105" s="19">
        <f t="shared" ca="1" si="217"/>
        <v>0.71411988797151382</v>
      </c>
      <c r="J105" s="19">
        <f t="shared" ca="1" si="151"/>
        <v>-0.56393016652942007</v>
      </c>
      <c r="K105" s="19">
        <f t="shared" ca="1" si="152"/>
        <v>-2.4589270702485977</v>
      </c>
      <c r="L105" s="19">
        <f t="array" aca="1" ref="L105:M105" ca="1">MMULT(J105:K105,TRANSPOSE($B$10:$C$11))</f>
        <v>-0.56393016652942007</v>
      </c>
      <c r="M105" s="19">
        <f ca="1"/>
        <v>-1.3112598184261726</v>
      </c>
      <c r="N105" s="20">
        <f t="shared" ca="1" si="174"/>
        <v>0.17863408179318585</v>
      </c>
      <c r="O105" s="20">
        <f t="shared" ca="1" si="153"/>
        <v>-1.5074311441878386E-2</v>
      </c>
      <c r="P105" s="19">
        <f t="shared" ca="1" si="159"/>
        <v>64.830337087901185</v>
      </c>
      <c r="Q105" s="19">
        <f ca="1">HCTrans(P105,Strike,RiskFreeRate,Dividend,Variance_T0*AnnualVarConvtr,(Simulation!G105)/250,0.5,Variance_Avg*AnnualVarConvtr,Lambda,SQRT(Simulation!N105),Rho,1,"Call")</f>
        <v>5.0877307323098151</v>
      </c>
      <c r="R105" s="19" t="e">
        <f t="shared" ca="1" si="154"/>
        <v>#VALUE!</v>
      </c>
      <c r="S105" s="19" t="e">
        <f t="shared" ca="1" si="155"/>
        <v>#VALUE!</v>
      </c>
      <c r="T105" s="19" t="e">
        <f t="shared" ca="1" si="160"/>
        <v>#VALUE!</v>
      </c>
      <c r="U105" s="19" t="e">
        <f t="shared" ca="1" si="161"/>
        <v>#VALUE!</v>
      </c>
      <c r="V105" s="21">
        <f t="shared" ca="1" si="162"/>
        <v>9.8566445018933658E-4</v>
      </c>
      <c r="W105">
        <f t="shared" ca="1" si="163"/>
        <v>3.1395293440089657E-2</v>
      </c>
      <c r="X105" s="22">
        <f t="shared" ref="X105" ca="1" si="238">BSdelta(1,P105,Strike,W105*AnnualVarConvtr,Dividend,RiskFreeRate,G105/250)</f>
        <v>0.17492582010032953</v>
      </c>
      <c r="Y105" s="22">
        <f t="shared" ca="1" si="169"/>
        <v>-1.9383293516254332</v>
      </c>
      <c r="Z105" s="22">
        <f t="shared" ca="1" si="170"/>
        <v>-9.982381439307467</v>
      </c>
      <c r="AA105">
        <f t="shared" si="157"/>
        <v>0.73884103340948371</v>
      </c>
      <c r="AB105">
        <f t="shared" ref="AB105" ca="1" si="239">BSdelta(1,P105,Strike,AA105/AnnualVarConvtr,Dividend,RiskFreeRate,G105/250)</f>
        <v>3.0341724427543173E-33</v>
      </c>
      <c r="AC105">
        <f t="shared" ca="1" si="166"/>
        <v>-4.2192049740805837E-29</v>
      </c>
      <c r="AD105">
        <f t="shared" ca="1" si="167"/>
        <v>1.5601389216082309</v>
      </c>
    </row>
    <row r="106" spans="7:30" x14ac:dyDescent="0.25">
      <c r="G106" s="19">
        <v>149</v>
      </c>
      <c r="H106" s="19">
        <f t="shared" ca="1" si="217"/>
        <v>0.61174127662596234</v>
      </c>
      <c r="I106" s="19">
        <f t="shared" ca="1" si="217"/>
        <v>0.87457681124257336</v>
      </c>
      <c r="J106" s="19">
        <f t="shared" ca="1" si="151"/>
        <v>0.69916547825756681</v>
      </c>
      <c r="K106" s="19">
        <f t="shared" ca="1" si="152"/>
        <v>-0.7028935246132938</v>
      </c>
      <c r="L106" s="19">
        <f t="array" aca="1" ref="L106:M106" ca="1">MMULT(J106:K106,TRANSPOSE($B$10:$C$11))</f>
        <v>0.69916547825756681</v>
      </c>
      <c r="M106" s="19">
        <f ca="1"/>
        <v>-0.99128151452613822</v>
      </c>
      <c r="N106" s="20">
        <f t="shared" ca="1" si="174"/>
        <v>0.16759897813252481</v>
      </c>
      <c r="O106" s="20">
        <f t="shared" ca="1" si="153"/>
        <v>1.8102795918591992E-2</v>
      </c>
      <c r="P106" s="19">
        <f t="shared" ca="1" si="159"/>
        <v>66.014634656004674</v>
      </c>
      <c r="Q106" s="19">
        <f ca="1">HCTrans(P106,Strike,RiskFreeRate,Dividend,Variance_T0*AnnualVarConvtr,(Simulation!G106)/250,0.5,Variance_Avg*AnnualVarConvtr,Lambda,SQRT(Simulation!N106),Rho,1,"Call")</f>
        <v>5.4612326175149377</v>
      </c>
      <c r="R106" s="19" t="e">
        <f t="shared" ca="1" si="154"/>
        <v>#VALUE!</v>
      </c>
      <c r="S106" s="19" t="e">
        <f t="shared" ca="1" si="155"/>
        <v>#VALUE!</v>
      </c>
      <c r="T106" s="19" t="e">
        <f t="shared" ca="1" si="160"/>
        <v>#VALUE!</v>
      </c>
      <c r="U106" s="19" t="e">
        <f t="shared" ca="1" si="161"/>
        <v>#VALUE!</v>
      </c>
      <c r="V106" s="21">
        <f t="shared" ca="1" si="162"/>
        <v>1.1007204528081778E-3</v>
      </c>
      <c r="W106">
        <f t="shared" ca="1" si="163"/>
        <v>3.317710736047038E-2</v>
      </c>
      <c r="X106" s="22">
        <f t="shared" ref="X106" ca="1" si="240">BSdelta(1,P106,Strike,W106*AnnualVarConvtr,Dividend,RiskFreeRate,G106/250)</f>
        <v>0.20525891570770172</v>
      </c>
      <c r="Y106" s="22">
        <f t="shared" ca="1" si="169"/>
        <v>2.002428224506335</v>
      </c>
      <c r="Z106" s="22">
        <f t="shared" ca="1" si="170"/>
        <v>-11.61130777860868</v>
      </c>
      <c r="AA106">
        <f t="shared" si="157"/>
        <v>0.73884103340948371</v>
      </c>
      <c r="AB106">
        <f t="shared" ref="AB106" ca="1" si="241">BSdelta(1,P106,Strike,AA106/AnnualVarConvtr,Dividend,RiskFreeRate,G106/250)</f>
        <v>7.0725163933380849E-31</v>
      </c>
      <c r="AC106">
        <f t="shared" ca="1" si="166"/>
        <v>4.6488658795190008E-29</v>
      </c>
      <c r="AD106">
        <f t="shared" ca="1" si="167"/>
        <v>1.9336408068133535</v>
      </c>
    </row>
    <row r="107" spans="7:30" x14ac:dyDescent="0.25">
      <c r="G107" s="19">
        <v>148</v>
      </c>
      <c r="H107" s="19">
        <f t="shared" ca="1" si="217"/>
        <v>0.1760014436934515</v>
      </c>
      <c r="I107" s="19">
        <f t="shared" ca="1" si="217"/>
        <v>0.33315399886136099</v>
      </c>
      <c r="J107" s="19">
        <f t="shared" ca="1" si="151"/>
        <v>-0.93018449860335994</v>
      </c>
      <c r="K107" s="19">
        <f t="shared" ca="1" si="152"/>
        <v>1.6153275088680528</v>
      </c>
      <c r="L107" s="19">
        <f t="array" aca="1" ref="L107:M107" ca="1">MMULT(J107:K107,TRANSPOSE($B$10:$C$11))</f>
        <v>-0.93018449860335994</v>
      </c>
      <c r="M107" s="19">
        <f ca="1"/>
        <v>1.7933088117171958</v>
      </c>
      <c r="N107" s="20">
        <f t="shared" ca="1" si="174"/>
        <v>0.18523307430033534</v>
      </c>
      <c r="O107" s="20">
        <f t="shared" ca="1" si="153"/>
        <v>-2.5319688641100076E-2</v>
      </c>
      <c r="P107" s="19">
        <f t="shared" ca="1" si="159"/>
        <v>64.364147742617945</v>
      </c>
      <c r="Q107" s="19">
        <f ca="1">HCTrans(P107,Strike,RiskFreeRate,Dividend,Variance_T0*AnnualVarConvtr,(Simulation!G107)/250,0.5,Variance_Avg*AnnualVarConvtr,Lambda,SQRT(Simulation!N107),Rho,1,"Call")</f>
        <v>4.844311687390686</v>
      </c>
      <c r="R107" s="19" t="e">
        <f t="shared" ca="1" si="154"/>
        <v>#VALUE!</v>
      </c>
      <c r="S107" s="19" t="e">
        <f t="shared" ca="1" si="155"/>
        <v>#VALUE!</v>
      </c>
      <c r="T107" s="19" t="e">
        <f t="shared" ca="1" si="160"/>
        <v>#VALUE!</v>
      </c>
      <c r="U107" s="19" t="e">
        <f t="shared" ca="1" si="161"/>
        <v>#VALUE!</v>
      </c>
      <c r="V107" s="21">
        <f t="shared" ca="1" si="162"/>
        <v>1.8855121653366959E-3</v>
      </c>
      <c r="W107">
        <f t="shared" ca="1" si="163"/>
        <v>4.3422484559692068E-2</v>
      </c>
      <c r="X107" s="22">
        <f t="shared" ref="X107" ca="1" si="242">BSdelta(1,P107,Strike,W107*AnnualVarConvtr,Dividend,RiskFreeRate,G107/250)</f>
        <v>0.28435243003737282</v>
      </c>
      <c r="Y107" s="22">
        <f t="shared" ca="1" si="169"/>
        <v>5.0907866417978198</v>
      </c>
      <c r="Z107" s="22">
        <f t="shared" ca="1" si="170"/>
        <v>-17.319015350530751</v>
      </c>
      <c r="AA107">
        <f t="shared" si="157"/>
        <v>0.73884103340948371</v>
      </c>
      <c r="AB107">
        <f t="shared" ref="AB107" ca="1" si="243">BSdelta(1,P107,Strike,AA107/AnnualVarConvtr,Dividend,RiskFreeRate,G107/250)</f>
        <v>9.8478093201974313E-35</v>
      </c>
      <c r="AC107">
        <f t="shared" ca="1" si="166"/>
        <v>-4.5515310546749729E-29</v>
      </c>
      <c r="AD107">
        <f t="shared" ca="1" si="167"/>
        <v>1.3167198766891017</v>
      </c>
    </row>
    <row r="108" spans="7:30" x14ac:dyDescent="0.25">
      <c r="G108" s="19">
        <v>147</v>
      </c>
      <c r="H108" s="19">
        <f t="shared" ca="1" si="217"/>
        <v>0.96045552855502214</v>
      </c>
      <c r="I108" s="19">
        <f t="shared" ca="1" si="217"/>
        <v>0.81714449494891661</v>
      </c>
      <c r="J108" s="19">
        <f t="shared" ca="1" si="151"/>
        <v>0.11631987169735343</v>
      </c>
      <c r="K108" s="19">
        <f t="shared" ca="1" si="152"/>
        <v>-0.25916188715427385</v>
      </c>
      <c r="L108" s="19">
        <f t="array" aca="1" ref="L108:M108" ca="1">MMULT(J108:K108,TRANSPOSE($B$10:$C$11))</f>
        <v>0.11631987169735343</v>
      </c>
      <c r="M108" s="19">
        <f ca="1"/>
        <v>-0.26413117511650847</v>
      </c>
      <c r="N108" s="20">
        <f t="shared" ca="1" si="174"/>
        <v>0.18151151956251502</v>
      </c>
      <c r="O108" s="20">
        <f t="shared" ca="1" si="153"/>
        <v>3.134267117788653E-3</v>
      </c>
      <c r="P108" s="19">
        <f t="shared" ca="1" si="159"/>
        <v>64.566198649803283</v>
      </c>
      <c r="Q108" s="19">
        <f ca="1">HCTrans(P108,Strike,RiskFreeRate,Dividend,Variance_T0*AnnualVarConvtr,(Simulation!G108)/250,0.5,Variance_Avg*AnnualVarConvtr,Lambda,SQRT(Simulation!N108),Rho,1,"Call")</f>
        <v>4.8772978413956807</v>
      </c>
      <c r="R108" s="19" t="e">
        <f t="shared" ca="1" si="154"/>
        <v>#VALUE!</v>
      </c>
      <c r="S108" s="19" t="e">
        <f t="shared" ca="1" si="155"/>
        <v>#VALUE!</v>
      </c>
      <c r="T108" s="19" t="e">
        <f t="shared" ca="1" si="160"/>
        <v>#VALUE!</v>
      </c>
      <c r="U108" s="19" t="e">
        <f t="shared" ca="1" si="161"/>
        <v>#VALUE!</v>
      </c>
      <c r="V108" s="21">
        <f t="shared" ca="1" si="162"/>
        <v>8.0962759832879704E-4</v>
      </c>
      <c r="W108">
        <f t="shared" ca="1" si="163"/>
        <v>2.8453955758888729E-2</v>
      </c>
      <c r="X108" s="22">
        <f t="shared" ref="X108" ca="1" si="244">BSdelta(1,P108,Strike,W108*AnnualVarConvtr,Dividend,RiskFreeRate,G108/250)</f>
        <v>0.13662376138956905</v>
      </c>
      <c r="Y108" s="22">
        <f t="shared" ca="1" si="169"/>
        <v>-9.5382785661850633</v>
      </c>
      <c r="Z108" s="22">
        <f t="shared" ca="1" si="170"/>
        <v>-7.7477506303406933</v>
      </c>
      <c r="AA108">
        <f t="shared" si="157"/>
        <v>0.73884103340948371</v>
      </c>
      <c r="AB108">
        <f t="shared" ref="AB108" ca="1" si="245">BSdelta(1,P108,Strike,AA108/AnnualVarConvtr,Dividend,RiskFreeRate,G108/250)</f>
        <v>1.7293448411999316E-34</v>
      </c>
      <c r="AC108">
        <f t="shared" ca="1" si="166"/>
        <v>4.8073661267602135E-33</v>
      </c>
      <c r="AD108">
        <f t="shared" ca="1" si="167"/>
        <v>1.3497060306940964</v>
      </c>
    </row>
    <row r="109" spans="7:30" x14ac:dyDescent="0.25">
      <c r="G109" s="19">
        <v>146</v>
      </c>
      <c r="H109" s="19">
        <f t="shared" ca="1" si="217"/>
        <v>0.16725189292043452</v>
      </c>
      <c r="I109" s="19">
        <f t="shared" ca="1" si="217"/>
        <v>0.16569268021825612</v>
      </c>
      <c r="J109" s="19">
        <f t="shared" ca="1" si="151"/>
        <v>0.95558808111804616</v>
      </c>
      <c r="K109" s="19">
        <f t="shared" ca="1" si="152"/>
        <v>1.631980374722986</v>
      </c>
      <c r="L109" s="19">
        <f t="array" aca="1" ref="L109:M109" ca="1">MMULT(J109:K109,TRANSPOSE($B$10:$C$11))</f>
        <v>0.95558808111804616</v>
      </c>
      <c r="M109" s="19">
        <f ca="1"/>
        <v>0.45376958260097611</v>
      </c>
      <c r="N109" s="20">
        <f t="shared" ca="1" si="174"/>
        <v>0.18535797327764075</v>
      </c>
      <c r="O109" s="20">
        <f t="shared" ca="1" si="153"/>
        <v>2.6019943907225E-2</v>
      </c>
      <c r="P109" s="19">
        <f t="shared" ca="1" si="159"/>
        <v>66.268255196318052</v>
      </c>
      <c r="Q109" s="19">
        <f ca="1">HCTrans(P109,Strike,RiskFreeRate,Dividend,Variance_T0*AnnualVarConvtr,(Simulation!G109)/250,0.5,Variance_Avg*AnnualVarConvtr,Lambda,SQRT(Simulation!N109),Rho,1,"Call")</f>
        <v>5.3716205004676993</v>
      </c>
      <c r="R109" s="19" t="e">
        <f t="shared" ca="1" si="154"/>
        <v>#VALUE!</v>
      </c>
      <c r="S109" s="19" t="e">
        <f t="shared" ca="1" si="155"/>
        <v>#VALUE!</v>
      </c>
      <c r="T109" s="19" t="e">
        <f t="shared" ca="1" si="160"/>
        <v>#VALUE!</v>
      </c>
      <c r="U109" s="19" t="e">
        <f t="shared" ca="1" si="161"/>
        <v>#VALUE!</v>
      </c>
      <c r="V109" s="21">
        <f t="shared" ca="1" si="162"/>
        <v>5.237542021105455E-4</v>
      </c>
      <c r="W109">
        <f t="shared" ca="1" si="163"/>
        <v>2.2885676789436347E-2</v>
      </c>
      <c r="X109" s="22">
        <f t="shared" ref="X109" ca="1" si="246">BSdelta(1,P109,Strike,W109*AnnualVarConvtr,Dividend,RiskFreeRate,G109/250)</f>
        <v>8.8559373398953645E-2</v>
      </c>
      <c r="Y109" s="22">
        <f t="shared" ca="1" si="169"/>
        <v>-3.1851431292169465</v>
      </c>
      <c r="Z109" s="22">
        <f t="shared" ca="1" si="170"/>
        <v>-4.0682848420517281</v>
      </c>
      <c r="AA109">
        <f t="shared" si="157"/>
        <v>0.73884103340948371</v>
      </c>
      <c r="AB109">
        <f t="shared" ref="AB109" ca="1" si="247">BSdelta(1,P109,Strike,AA109/AnnualVarConvtr,Dividend,RiskFreeRate,G109/250)</f>
        <v>6.2642787189553066E-31</v>
      </c>
      <c r="AC109">
        <f t="shared" ca="1" si="166"/>
        <v>4.1500822010333554E-29</v>
      </c>
      <c r="AD109">
        <f t="shared" ca="1" si="167"/>
        <v>1.8440286897661151</v>
      </c>
    </row>
    <row r="110" spans="7:30" x14ac:dyDescent="0.25">
      <c r="G110" s="19">
        <v>145</v>
      </c>
      <c r="H110" s="19">
        <f t="shared" ca="1" si="217"/>
        <v>0.10601717685351908</v>
      </c>
      <c r="I110" s="19">
        <f t="shared" ca="1" si="217"/>
        <v>0.93323106989403493</v>
      </c>
      <c r="J110" s="19">
        <f t="shared" ca="1" si="151"/>
        <v>1.9348493410575218</v>
      </c>
      <c r="K110" s="19">
        <f t="shared" ca="1" si="152"/>
        <v>-0.86294051465299892</v>
      </c>
      <c r="L110" s="19">
        <f t="array" aca="1" ref="L110:M110" ca="1">MMULT(J110:K110,TRANSPOSE($B$10:$C$11))</f>
        <v>1.9348493410575218</v>
      </c>
      <c r="M110" s="19">
        <f ca="1"/>
        <v>-1.9882957164813437</v>
      </c>
      <c r="N110" s="20">
        <f t="shared" ca="1" si="174"/>
        <v>0.16401693478537741</v>
      </c>
      <c r="O110" s="20">
        <f t="shared" ca="1" si="153"/>
        <v>4.9558881394890862E-2</v>
      </c>
      <c r="P110" s="19">
        <f t="shared" ca="1" si="159"/>
        <v>69.635177146951349</v>
      </c>
      <c r="Q110" s="19">
        <f ca="1">HCTrans(P110,Strike,RiskFreeRate,Dividend,Variance_T0*AnnualVarConvtr,(Simulation!G110)/250,0.5,Variance_Avg*AnnualVarConvtr,Lambda,SQRT(Simulation!N110),Rho,1,"Call")</f>
        <v>6.5518140736610633</v>
      </c>
      <c r="R110" s="19" t="e">
        <f t="shared" ca="1" si="154"/>
        <v>#VALUE!</v>
      </c>
      <c r="S110" s="19" t="e">
        <f t="shared" ca="1" si="155"/>
        <v>#VALUE!</v>
      </c>
      <c r="T110" s="19" t="e">
        <f t="shared" ca="1" si="160"/>
        <v>#VALUE!</v>
      </c>
      <c r="U110" s="19" t="e">
        <f t="shared" ca="1" si="161"/>
        <v>#VALUE!</v>
      </c>
      <c r="V110" s="21">
        <f t="shared" ca="1" si="162"/>
        <v>5.5408157804824121E-4</v>
      </c>
      <c r="W110">
        <f t="shared" ca="1" si="163"/>
        <v>2.3538937487665862E-2</v>
      </c>
      <c r="X110" s="22">
        <f t="shared" ref="X110" ca="1" si="248">BSdelta(1,P110,Strike,W110*AnnualVarConvtr,Dividend,RiskFreeRate,G110/250)</f>
        <v>0.12817449260204897</v>
      </c>
      <c r="Y110" s="22">
        <f t="shared" ca="1" si="169"/>
        <v>2.758605843405137</v>
      </c>
      <c r="Z110" s="22">
        <f t="shared" ca="1" si="170"/>
        <v>-5.6466971122635012</v>
      </c>
      <c r="AA110">
        <f t="shared" si="157"/>
        <v>0.73884103340948371</v>
      </c>
      <c r="AB110">
        <f t="shared" ref="AB110" ca="1" si="249">BSdelta(1,P110,Strike,AA110/AnnualVarConvtr,Dividend,RiskFreeRate,G110/250)</f>
        <v>1.6302967767368486E-24</v>
      </c>
      <c r="AC110">
        <f t="shared" ca="1" si="166"/>
        <v>1.1352596122875842E-22</v>
      </c>
      <c r="AD110">
        <f t="shared" ca="1" si="167"/>
        <v>3.024222262959479</v>
      </c>
    </row>
    <row r="111" spans="7:30" x14ac:dyDescent="0.25">
      <c r="G111" s="19">
        <v>144</v>
      </c>
      <c r="H111" s="19">
        <f t="shared" ca="1" si="217"/>
        <v>0.80291959653396994</v>
      </c>
      <c r="I111" s="19">
        <f t="shared" ca="1" si="217"/>
        <v>0.36761017027528398</v>
      </c>
      <c r="J111" s="19">
        <f t="shared" ca="1" si="151"/>
        <v>-0.4462582380821784</v>
      </c>
      <c r="K111" s="19">
        <f t="shared" ca="1" si="152"/>
        <v>0.48974991857038769</v>
      </c>
      <c r="L111" s="19">
        <f t="array" aca="1" ref="L111:M111" ca="1">MMULT(J111:K111,TRANSPOSE($B$10:$C$11))</f>
        <v>-0.4462582380821784</v>
      </c>
      <c r="M111" s="19">
        <f ca="1"/>
        <v>0.66138724876392452</v>
      </c>
      <c r="N111" s="20">
        <f t="shared" ca="1" si="174"/>
        <v>0.1698184418863033</v>
      </c>
      <c r="O111" s="20">
        <f t="shared" ca="1" si="153"/>
        <v>-1.1630775367461738E-2</v>
      </c>
      <c r="P111" s="19">
        <f t="shared" ca="1" si="159"/>
        <v>68.829957783794953</v>
      </c>
      <c r="Q111" s="19">
        <f ca="1">HCTrans(P111,Strike,RiskFreeRate,Dividend,Variance_T0*AnnualVarConvtr,(Simulation!G111)/250,0.5,Variance_Avg*AnnualVarConvtr,Lambda,SQRT(Simulation!N111),Rho,1,"Call")</f>
        <v>6.2004073358162515</v>
      </c>
      <c r="R111" s="19" t="e">
        <f t="shared" ca="1" si="154"/>
        <v>#VALUE!</v>
      </c>
      <c r="S111" s="19" t="e">
        <f t="shared" ca="1" si="155"/>
        <v>#VALUE!</v>
      </c>
      <c r="T111" s="19" t="e">
        <f t="shared" ca="1" si="160"/>
        <v>#VALUE!</v>
      </c>
      <c r="U111" s="19" t="e">
        <f t="shared" ca="1" si="161"/>
        <v>#VALUE!</v>
      </c>
      <c r="V111" s="21">
        <f t="shared" ca="1" si="162"/>
        <v>3.7441740946945233E-3</v>
      </c>
      <c r="W111">
        <f t="shared" ca="1" si="163"/>
        <v>6.11896567623526E-2</v>
      </c>
      <c r="X111" s="22">
        <f t="shared" ref="X111" ca="1" si="250">BSdelta(1,P111,Strike,W111*AnnualVarConvtr,Dividend,RiskFreeRate,G111/250)</f>
        <v>0.44371029948028151</v>
      </c>
      <c r="Y111" s="22">
        <f t="shared" ca="1" si="169"/>
        <v>21.718316266704424</v>
      </c>
      <c r="Z111" s="22">
        <f t="shared" ca="1" si="170"/>
        <v>-27.716420116812735</v>
      </c>
      <c r="AA111">
        <f t="shared" si="157"/>
        <v>0.73884103340948371</v>
      </c>
      <c r="AB111">
        <f t="shared" ref="AB111" ca="1" si="251">BSdelta(1,P111,Strike,AA111/AnnualVarConvtr,Dividend,RiskFreeRate,G111/250)</f>
        <v>3.6902213523697047E-26</v>
      </c>
      <c r="AC111">
        <f t="shared" ca="1" si="166"/>
        <v>-1.0967328051888961E-22</v>
      </c>
      <c r="AD111">
        <f t="shared" ca="1" si="167"/>
        <v>2.6728155251146672</v>
      </c>
    </row>
    <row r="112" spans="7:30" x14ac:dyDescent="0.25">
      <c r="G112" s="19">
        <v>143</v>
      </c>
      <c r="H112" s="19">
        <f t="shared" ca="1" si="217"/>
        <v>0.78543839652501168</v>
      </c>
      <c r="I112" s="19">
        <f t="shared" ca="1" si="217"/>
        <v>0.50897117230552158</v>
      </c>
      <c r="J112" s="19">
        <f t="shared" ca="1" si="151"/>
        <v>-0.69389725845985584</v>
      </c>
      <c r="K112" s="19">
        <f t="shared" ca="1" si="152"/>
        <v>-3.9154757678831323E-2</v>
      </c>
      <c r="L112" s="19">
        <f t="array" aca="1" ref="L112:M112" ca="1">MMULT(J112:K112,TRANSPOSE($B$10:$C$11))</f>
        <v>-0.69389725845985584</v>
      </c>
      <c r="M112" s="19">
        <f ca="1"/>
        <v>0.46986353216530619</v>
      </c>
      <c r="N112" s="20">
        <f t="shared" ca="1" si="174"/>
        <v>0.17373650920529604</v>
      </c>
      <c r="O112" s="20">
        <f t="shared" ca="1" si="153"/>
        <v>-1.8292400984218929E-2</v>
      </c>
      <c r="P112" s="19">
        <f t="shared" ca="1" si="159"/>
        <v>67.582338362486965</v>
      </c>
      <c r="Q112" s="19">
        <f ca="1">HCTrans(P112,Strike,RiskFreeRate,Dividend,Variance_T0*AnnualVarConvtr,(Simulation!G112)/250,0.5,Variance_Avg*AnnualVarConvtr,Lambda,SQRT(Simulation!N112),Rho,1,"Call")</f>
        <v>5.7121435266173677</v>
      </c>
      <c r="R112" s="19" t="e">
        <f t="shared" ca="1" si="154"/>
        <v>#VALUE!</v>
      </c>
      <c r="S112" s="19" t="e">
        <f t="shared" ca="1" si="155"/>
        <v>#VALUE!</v>
      </c>
      <c r="T112" s="19" t="e">
        <f t="shared" ca="1" si="160"/>
        <v>#VALUE!</v>
      </c>
      <c r="U112" s="19" t="e">
        <f t="shared" ca="1" si="161"/>
        <v>#VALUE!</v>
      </c>
      <c r="V112" s="21">
        <f t="shared" ca="1" si="162"/>
        <v>4.4377255857835629E-5</v>
      </c>
      <c r="W112">
        <f t="shared" ca="1" si="163"/>
        <v>6.6616256167571913E-3</v>
      </c>
      <c r="X112" s="22">
        <f t="shared" ref="X112" ca="1" si="252">BSdelta(1,P112,Strike,W112*AnnualVarConvtr,Dividend,RiskFreeRate,G112/250)</f>
        <v>5.3372664215701285E-7</v>
      </c>
      <c r="Y112" s="22">
        <f t="shared" ca="1" si="169"/>
        <v>-29.986943523902287</v>
      </c>
      <c r="Z112" s="22">
        <f t="shared" ca="1" si="170"/>
        <v>1.7822595978906683</v>
      </c>
      <c r="AA112">
        <f t="shared" si="157"/>
        <v>0.73884103340948371</v>
      </c>
      <c r="AB112">
        <f t="shared" ref="AB112" ca="1" si="253">BSdelta(1,P112,Strike,AA112/AnnualVarConvtr,Dividend,RiskFreeRate,G112/250)</f>
        <v>8.8423909465391253E-29</v>
      </c>
      <c r="AC112">
        <f t="shared" ca="1" si="166"/>
        <v>-2.4879619861144123E-24</v>
      </c>
      <c r="AD112">
        <f t="shared" ca="1" si="167"/>
        <v>2.1845517159157835</v>
      </c>
    </row>
    <row r="113" spans="7:30" x14ac:dyDescent="0.25">
      <c r="G113" s="19">
        <v>142</v>
      </c>
      <c r="H113" s="19">
        <f t="shared" ca="1" si="217"/>
        <v>2.7430883462781219E-3</v>
      </c>
      <c r="I113" s="19">
        <f t="shared" ca="1" si="217"/>
        <v>0.88408851972734592</v>
      </c>
      <c r="J113" s="19">
        <f t="shared" ca="1" si="151"/>
        <v>2.5633752574040054</v>
      </c>
      <c r="K113" s="19">
        <f t="shared" ca="1" si="152"/>
        <v>-2.2861428234065952</v>
      </c>
      <c r="L113" s="19">
        <f t="array" aca="1" ref="L113:M113" ca="1">MMULT(J113:K113,TRANSPOSE($B$10:$C$11))</f>
        <v>2.5633752574040054</v>
      </c>
      <c r="M113" s="19">
        <f ca="1"/>
        <v>-3.431442094491107</v>
      </c>
      <c r="N113" s="20">
        <f t="shared" ca="1" si="174"/>
        <v>0.13955174371504694</v>
      </c>
      <c r="O113" s="20">
        <f t="shared" ca="1" si="153"/>
        <v>6.0563339917240888E-2</v>
      </c>
      <c r="P113" s="19">
        <f t="shared" ca="1" si="159"/>
        <v>71.80183422254801</v>
      </c>
      <c r="Q113" s="19">
        <f ca="1">HCTrans(P113,Strike,RiskFreeRate,Dividend,Variance_T0*AnnualVarConvtr,(Simulation!G113)/250,0.5,Variance_Avg*AnnualVarConvtr,Lambda,SQRT(Simulation!N113),Rho,1,"Call")</f>
        <v>7.2860134458711769</v>
      </c>
      <c r="R113" s="19">
        <f t="shared" ca="1" si="154"/>
        <v>0.71073836313015548</v>
      </c>
      <c r="S113" s="19">
        <f t="shared" ca="1" si="155"/>
        <v>8.2611114589998269E-23</v>
      </c>
      <c r="T113" s="19" t="e">
        <f t="shared" ca="1" si="160"/>
        <v>#VALUE!</v>
      </c>
      <c r="U113" s="19" t="e">
        <f t="shared" ca="1" si="161"/>
        <v>#VALUE!</v>
      </c>
      <c r="V113" s="21">
        <f t="shared" ca="1" si="162"/>
        <v>6.2182278731181626E-3</v>
      </c>
      <c r="W113">
        <f t="shared" ca="1" si="163"/>
        <v>7.8855740901459817E-2</v>
      </c>
      <c r="X113" s="22">
        <f t="shared" ref="X113" ca="1" si="254">BSdelta(1,P113,Strike,W113*AnnualVarConvtr,Dividend,RiskFreeRate,G113/250)</f>
        <v>0.54669313156457466</v>
      </c>
      <c r="Y113" s="22">
        <f t="shared" ca="1" si="169"/>
        <v>39.253531280653341</v>
      </c>
      <c r="Z113" s="22">
        <f t="shared" ca="1" si="170"/>
        <v>-35.897401763508867</v>
      </c>
      <c r="AA113">
        <f t="shared" si="157"/>
        <v>0.73884103340948371</v>
      </c>
      <c r="AB113">
        <f t="shared" ref="AB113" ca="1" si="255">BSdelta(1,P113,Strike,AA113/AnnualVarConvtr,Dividend,RiskFreeRate,G113/250)</f>
        <v>3.040504826256236E-21</v>
      </c>
      <c r="AC113">
        <f t="shared" ca="1" si="166"/>
        <v>2.1831381713870851E-19</v>
      </c>
      <c r="AD113">
        <f t="shared" ca="1" si="167"/>
        <v>3.7584216351695927</v>
      </c>
    </row>
    <row r="114" spans="7:30" x14ac:dyDescent="0.25">
      <c r="G114" s="19">
        <v>141</v>
      </c>
      <c r="H114" s="19">
        <f t="shared" ca="1" si="217"/>
        <v>0.88062317637676424</v>
      </c>
      <c r="I114" s="19">
        <f t="shared" ca="1" si="217"/>
        <v>0.67170029427638367</v>
      </c>
      <c r="J114" s="19">
        <f t="shared" ca="1" si="151"/>
        <v>-0.23818179914532026</v>
      </c>
      <c r="K114" s="19">
        <f t="shared" ca="1" si="152"/>
        <v>-0.44443263254999277</v>
      </c>
      <c r="L114" s="19">
        <f t="array" aca="1" ref="L114:M114" ca="1">MMULT(J114:K114,TRANSPOSE($B$10:$C$11))</f>
        <v>-0.23818179914532026</v>
      </c>
      <c r="M114" s="19">
        <f ca="1"/>
        <v>-0.13937320834816808</v>
      </c>
      <c r="N114" s="20">
        <f t="shared" ca="1" si="174"/>
        <v>0.1375755703997158</v>
      </c>
      <c r="O114" s="20">
        <f t="shared" ca="1" si="153"/>
        <v>-5.5873931132051115E-3</v>
      </c>
      <c r="P114" s="19">
        <f t="shared" ca="1" si="159"/>
        <v>71.401767853339706</v>
      </c>
      <c r="Q114" s="19">
        <f ca="1">HCTrans(P114,Strike,RiskFreeRate,Dividend,Variance_T0*AnnualVarConvtr,(Simulation!G114)/250,0.5,Variance_Avg*AnnualVarConvtr,Lambda,SQRT(Simulation!N114),Rho,1,"Call")</f>
        <v>7.0895750932830168</v>
      </c>
      <c r="R114" s="19">
        <f t="shared" ca="1" si="154"/>
        <v>0.71065739947748163</v>
      </c>
      <c r="S114" s="19">
        <f t="shared" ca="1" si="155"/>
        <v>1.1119585093348579E-23</v>
      </c>
      <c r="T114" s="19">
        <f t="shared" ca="1" si="160"/>
        <v>-5.1046215925999689E-21</v>
      </c>
      <c r="U114" s="19" t="e">
        <f t="shared" ca="1" si="161"/>
        <v>#VALUE!</v>
      </c>
      <c r="V114" s="21">
        <f t="shared" ca="1" si="162"/>
        <v>4.3759194804653392E-3</v>
      </c>
      <c r="W114">
        <f t="shared" ca="1" si="163"/>
        <v>6.6150733030445996E-2</v>
      </c>
      <c r="X114" s="22">
        <f t="shared" ref="X114" ca="1" si="256">BSdelta(1,P114,Strike,W114*AnnualVarConvtr,Dividend,RiskFreeRate,G114/250)</f>
        <v>0.4856069894429953</v>
      </c>
      <c r="Y114" s="22">
        <f t="shared" ca="1" si="169"/>
        <v>-4.3616585388211266</v>
      </c>
      <c r="Z114" s="22">
        <f t="shared" ca="1" si="170"/>
        <v>-31.732181577275902</v>
      </c>
      <c r="AA114">
        <f t="shared" si="157"/>
        <v>0.73884103340948371</v>
      </c>
      <c r="AB114">
        <f t="shared" ref="AB114" ca="1" si="257">BSdelta(1,P114,Strike,AA114/AnnualVarConvtr,Dividend,RiskFreeRate,G114/250)</f>
        <v>4.7979126719917853E-22</v>
      </c>
      <c r="AC114">
        <f t="shared" ca="1" si="166"/>
        <v>-1.8283947508269131E-19</v>
      </c>
      <c r="AD114">
        <f t="shared" ca="1" si="167"/>
        <v>3.5619832825814326</v>
      </c>
    </row>
    <row r="115" spans="7:30" x14ac:dyDescent="0.25">
      <c r="G115" s="19">
        <v>140</v>
      </c>
      <c r="H115" s="19">
        <f t="shared" ca="1" si="217"/>
        <v>0.89105203779454234</v>
      </c>
      <c r="I115" s="19">
        <f t="shared" ca="1" si="217"/>
        <v>0.88209140104820116</v>
      </c>
      <c r="J115" s="19">
        <f t="shared" ca="1" si="151"/>
        <v>0.35442668154027496</v>
      </c>
      <c r="K115" s="19">
        <f t="shared" ca="1" si="152"/>
        <v>-0.32417067453156917</v>
      </c>
      <c r="L115" s="19">
        <f t="array" aca="1" ref="L115:M115" ca="1">MMULT(J115:K115,TRANSPOSE($B$10:$C$11))</f>
        <v>0.35442668154027496</v>
      </c>
      <c r="M115" s="19">
        <f ca="1"/>
        <v>-0.48008399526683393</v>
      </c>
      <c r="N115" s="20">
        <f t="shared" ca="1" si="174"/>
        <v>0.13255194867474421</v>
      </c>
      <c r="O115" s="20">
        <f t="shared" ca="1" si="153"/>
        <v>8.1611143407376435E-3</v>
      </c>
      <c r="P115" s="19">
        <f t="shared" ca="1" si="159"/>
        <v>71.986870140757176</v>
      </c>
      <c r="Q115" s="19">
        <f ca="1">HCTrans(P115,Strike,RiskFreeRate,Dividend,Variance_T0*AnnualVarConvtr,(Simulation!G115)/250,0.5,Variance_Avg*AnnualVarConvtr,Lambda,SQRT(Simulation!N115),Rho,1,"Call")</f>
        <v>7.2766057685672365</v>
      </c>
      <c r="R115" s="19">
        <f t="shared" ca="1" si="154"/>
        <v>0.7120035596970552</v>
      </c>
      <c r="S115" s="19">
        <f t="shared" ca="1" si="155"/>
        <v>1.0483574950258837E-22</v>
      </c>
      <c r="T115" s="19">
        <f t="shared" ca="1" si="160"/>
        <v>6.7463333574177941E-21</v>
      </c>
      <c r="U115" s="19" t="e">
        <f t="shared" ca="1" si="161"/>
        <v>#VALUE!</v>
      </c>
      <c r="V115" s="21">
        <f t="shared" ca="1" si="162"/>
        <v>1.8902145721111949E-4</v>
      </c>
      <c r="W115">
        <f t="shared" ca="1" si="163"/>
        <v>1.3748507453942755E-2</v>
      </c>
      <c r="X115" s="22">
        <f t="shared" ref="X115" ca="1" si="258">BSdelta(1,P115,Strike,W115*AnnualVarConvtr,Dividend,RiskFreeRate,G115/250)</f>
        <v>2.623981007782461E-2</v>
      </c>
      <c r="Y115" s="22">
        <f t="shared" ca="1" si="169"/>
        <v>-33.068405487886452</v>
      </c>
      <c r="Z115" s="22">
        <f t="shared" ca="1" si="170"/>
        <v>1.5232545858947688</v>
      </c>
      <c r="AA115">
        <f t="shared" si="157"/>
        <v>0.73884103340948371</v>
      </c>
      <c r="AB115">
        <f t="shared" ref="AB115" ca="1" si="259">BSdelta(1,P115,Strike,AA115/AnnualVarConvtr,Dividend,RiskFreeRate,G115/250)</f>
        <v>3.2348194093441719E-21</v>
      </c>
      <c r="AC115">
        <f t="shared" ca="1" si="166"/>
        <v>1.9832585310272315E-19</v>
      </c>
      <c r="AD115">
        <f t="shared" ca="1" si="167"/>
        <v>3.7490139578656523</v>
      </c>
    </row>
    <row r="116" spans="7:30" x14ac:dyDescent="0.25">
      <c r="G116" s="19">
        <v>139</v>
      </c>
      <c r="H116" s="19">
        <f t="shared" ca="1" si="217"/>
        <v>0.95475278369014061</v>
      </c>
      <c r="I116" s="19">
        <f t="shared" ca="1" si="217"/>
        <v>0.71398416384632346</v>
      </c>
      <c r="J116" s="19">
        <f t="shared" ca="1" si="151"/>
        <v>-6.8277747846376649E-2</v>
      </c>
      <c r="K116" s="19">
        <f t="shared" ca="1" si="152"/>
        <v>-0.29655323917717497</v>
      </c>
      <c r="L116" s="19">
        <f t="array" aca="1" ref="L116:M116" ca="1">MMULT(J116:K116,TRANSPOSE($B$10:$C$11))</f>
        <v>-6.8277747846376649E-2</v>
      </c>
      <c r="M116" s="19">
        <f ca="1"/>
        <v>-0.15795070521223889</v>
      </c>
      <c r="N116" s="20">
        <f t="shared" ca="1" si="174"/>
        <v>0.13048029631129562</v>
      </c>
      <c r="O116" s="20">
        <f t="shared" ca="1" si="153"/>
        <v>-1.5598457364676467E-3</v>
      </c>
      <c r="P116" s="19">
        <f t="shared" ca="1" si="159"/>
        <v>71.874669259069762</v>
      </c>
      <c r="Q116" s="19">
        <f ca="1">HCTrans(P116,Strike,RiskFreeRate,Dividend,Variance_T0*AnnualVarConvtr,(Simulation!G116)/250,0.5,Variance_Avg*AnnualVarConvtr,Lambda,SQRT(Simulation!N116),Rho,1,"Call")</f>
        <v>7.1891883123349771</v>
      </c>
      <c r="R116" s="19">
        <f t="shared" ca="1" si="154"/>
        <v>0.71223142409918305</v>
      </c>
      <c r="S116" s="19">
        <f t="shared" ca="1" si="155"/>
        <v>4.8338054686274716E-23</v>
      </c>
      <c r="T116" s="19">
        <f t="shared" ca="1" si="160"/>
        <v>-4.0607531288224045E-21</v>
      </c>
      <c r="U116" s="19" t="e">
        <f t="shared" ca="1" si="161"/>
        <v>#VALUE!</v>
      </c>
      <c r="V116" s="21">
        <f t="shared" ca="1" si="162"/>
        <v>9.4497064822619074E-5</v>
      </c>
      <c r="W116">
        <f t="shared" ca="1" si="163"/>
        <v>9.7209600772052897E-3</v>
      </c>
      <c r="X116" s="22">
        <f t="shared" ref="X116" ca="1" si="260">BSdelta(1,P116,Strike,W116*AnnualVarConvtr,Dividend,RiskFreeRate,G116/250)</f>
        <v>2.3698355465401628E-3</v>
      </c>
      <c r="Y116" s="22">
        <f t="shared" ca="1" si="169"/>
        <v>-1.7156465246584884</v>
      </c>
      <c r="Z116" s="22">
        <f t="shared" ca="1" si="170"/>
        <v>3.1514836543209981</v>
      </c>
      <c r="AA116">
        <f t="shared" si="157"/>
        <v>0.73884103340948371</v>
      </c>
      <c r="AB116">
        <f t="shared" ref="AB116" ca="1" si="261">BSdelta(1,P116,Strike,AA116/AnnualVarConvtr,Dividend,RiskFreeRate,G116/250)</f>
        <v>1.5303143221871651E-21</v>
      </c>
      <c r="AC116">
        <f t="shared" ca="1" si="166"/>
        <v>-1.2251073938981175E-19</v>
      </c>
      <c r="AD116">
        <f t="shared" ca="1" si="167"/>
        <v>3.6615965016333929</v>
      </c>
    </row>
    <row r="117" spans="7:30" x14ac:dyDescent="0.25">
      <c r="G117" s="19">
        <v>138</v>
      </c>
      <c r="H117" s="19">
        <f t="shared" ca="1" si="217"/>
        <v>0.80563658648368563</v>
      </c>
      <c r="I117" s="19">
        <f t="shared" ca="1" si="217"/>
        <v>0.63661864916469801</v>
      </c>
      <c r="J117" s="19">
        <f t="shared" ca="1" si="151"/>
        <v>-0.4297437689692068</v>
      </c>
      <c r="K117" s="19">
        <f t="shared" ca="1" si="152"/>
        <v>-0.49755938324359716</v>
      </c>
      <c r="L117" s="19">
        <f t="array" aca="1" ref="L117:M117" ca="1">MMULT(J117:K117,TRANSPOSE($B$10:$C$11))</f>
        <v>-0.4297437689692068</v>
      </c>
      <c r="M117" s="19">
        <f ca="1"/>
        <v>-3.9179592457890211E-2</v>
      </c>
      <c r="N117" s="20">
        <f t="shared" ca="1" si="174"/>
        <v>0.12947915315385888</v>
      </c>
      <c r="O117" s="20">
        <f t="shared" ca="1" si="153"/>
        <v>-9.7800147367785081E-3</v>
      </c>
      <c r="P117" s="19">
        <f t="shared" ca="1" si="159"/>
        <v>71.17516011496933</v>
      </c>
      <c r="Q117" s="19">
        <f ca="1">HCTrans(P117,Strike,RiskFreeRate,Dividend,Variance_T0*AnnualVarConvtr,(Simulation!G117)/250,0.5,Variance_Avg*AnnualVarConvtr,Lambda,SQRT(Simulation!N117),Rho,1,"Call")</f>
        <v>6.8787366728049761</v>
      </c>
      <c r="R117" s="19">
        <f t="shared" ca="1" si="154"/>
        <v>0.71173042428395084</v>
      </c>
      <c r="S117" s="19">
        <f t="shared" ca="1" si="155"/>
        <v>1.6502702695430422E-24</v>
      </c>
      <c r="T117" s="19">
        <f t="shared" ca="1" si="160"/>
        <v>-3.3230105312740466E-21</v>
      </c>
      <c r="U117" s="19" t="e">
        <f t="shared" ca="1" si="161"/>
        <v>#VALUE!</v>
      </c>
      <c r="V117" s="21">
        <f t="shared" ca="1" si="162"/>
        <v>6.7571178393671668E-5</v>
      </c>
      <c r="W117">
        <f t="shared" ca="1" si="163"/>
        <v>8.2201690003108618E-3</v>
      </c>
      <c r="X117" s="22">
        <f t="shared" ref="X117" ca="1" si="262">BSdelta(1,P117,Strike,W117*AnnualVarConvtr,Dividend,RiskFreeRate,G117/250)</f>
        <v>2.5740494445956744E-4</v>
      </c>
      <c r="Y117" s="22">
        <f t="shared" ca="1" si="169"/>
        <v>-0.15035258633484744</v>
      </c>
      <c r="Z117" s="22">
        <f t="shared" ca="1" si="170"/>
        <v>2.9913846011258447</v>
      </c>
      <c r="AA117">
        <f t="shared" si="157"/>
        <v>0.73884103340948371</v>
      </c>
      <c r="AB117">
        <f t="shared" ref="AB117" ca="1" si="263">BSdelta(1,P117,Strike,AA117/AnnualVarConvtr,Dividend,RiskFreeRate,G117/250)</f>
        <v>7.0890236754247554E-23</v>
      </c>
      <c r="AC117">
        <f t="shared" ca="1" si="166"/>
        <v>-1.0387474295633058E-19</v>
      </c>
      <c r="AD117">
        <f t="shared" ca="1" si="167"/>
        <v>3.3511448621033919</v>
      </c>
    </row>
    <row r="118" spans="7:30" x14ac:dyDescent="0.25">
      <c r="G118" s="19">
        <v>137</v>
      </c>
      <c r="H118" s="19">
        <f t="shared" ca="1" si="217"/>
        <v>0.38938467831192736</v>
      </c>
      <c r="I118" s="19">
        <f t="shared" ca="1" si="217"/>
        <v>0.98388556038660357</v>
      </c>
      <c r="J118" s="19">
        <f t="shared" ca="1" si="151"/>
        <v>1.3664196880881729</v>
      </c>
      <c r="K118" s="19">
        <f t="shared" ca="1" si="152"/>
        <v>-0.13882472210700991</v>
      </c>
      <c r="L118" s="19">
        <f t="array" aca="1" ref="L118:M118" ca="1">MMULT(J118:K118,TRANSPOSE($B$10:$C$11))</f>
        <v>1.3664196880881729</v>
      </c>
      <c r="M118" s="19">
        <f ca="1"/>
        <v>-1.0758820406154708</v>
      </c>
      <c r="N118" s="20">
        <f t="shared" ca="1" si="174"/>
        <v>0.1195113844710065</v>
      </c>
      <c r="O118" s="20">
        <f t="shared" ca="1" si="153"/>
        <v>2.9875745096963384E-2</v>
      </c>
      <c r="P118" s="19">
        <f t="shared" ca="1" si="159"/>
        <v>73.333653813160907</v>
      </c>
      <c r="Q118" s="19">
        <f ca="1">HCTrans(P118,Strike,RiskFreeRate,Dividend,Variance_T0*AnnualVarConvtr,(Simulation!G118)/250,0.5,Variance_Avg*AnnualVarConvtr,Lambda,SQRT(Simulation!N118),Rho,1,"Call")</f>
        <v>7.6823459473827285</v>
      </c>
      <c r="R118" s="19" t="e">
        <f t="shared" ca="1" si="154"/>
        <v>#VALUE!</v>
      </c>
      <c r="S118" s="19" t="e">
        <f t="shared" ca="1" si="155"/>
        <v>#VALUE!</v>
      </c>
      <c r="T118" s="19" t="e">
        <f t="shared" ca="1" si="160"/>
        <v>#VALUE!</v>
      </c>
      <c r="U118" s="19" t="e">
        <f t="shared" ca="1" si="161"/>
        <v>#VALUE!</v>
      </c>
      <c r="V118" s="21">
        <f t="shared" ca="1" si="162"/>
        <v>1.5725792879914169E-3</v>
      </c>
      <c r="W118">
        <f t="shared" ca="1" si="163"/>
        <v>3.9655759833741894E-2</v>
      </c>
      <c r="X118" s="22">
        <f t="shared" ref="X118" ca="1" si="264">BSdelta(1,P118,Strike,W118*AnnualVarConvtr,Dividend,RiskFreeRate,G118/250)</f>
        <v>0.33137486889951562</v>
      </c>
      <c r="Y118" s="22">
        <f t="shared" ca="1" si="169"/>
        <v>24.282053473171864</v>
      </c>
      <c r="Z118" s="22">
        <f t="shared" ca="1" si="170"/>
        <v>-20.487059597468267</v>
      </c>
      <c r="AA118">
        <f t="shared" si="157"/>
        <v>0.73884103340948371</v>
      </c>
      <c r="AB118">
        <f t="shared" ref="AB118" ca="1" si="265">BSdelta(1,P118,Strike,AA118/AnnualVarConvtr,Dividend,RiskFreeRate,G118/250)</f>
        <v>1.7975407632811326E-19</v>
      </c>
      <c r="AC118">
        <f t="shared" ca="1" si="166"/>
        <v>1.3176824564869492E-17</v>
      </c>
      <c r="AD118">
        <f t="shared" ca="1" si="167"/>
        <v>4.1547541366811442</v>
      </c>
    </row>
    <row r="119" spans="7:30" x14ac:dyDescent="0.25">
      <c r="G119" s="19">
        <v>136</v>
      </c>
      <c r="H119" s="19">
        <f t="shared" ca="1" si="217"/>
        <v>0.26135000347765303</v>
      </c>
      <c r="I119" s="19">
        <f t="shared" ca="1" si="217"/>
        <v>0.24556416643711154</v>
      </c>
      <c r="J119" s="19">
        <f t="shared" ca="1" si="151"/>
        <v>4.5653398142289116E-2</v>
      </c>
      <c r="K119" s="19">
        <f t="shared" ca="1" si="152"/>
        <v>1.637591306850241</v>
      </c>
      <c r="L119" s="19">
        <f t="array" aca="1" ref="L119:M119" ca="1">MMULT(J119:K119,TRANSPOSE($B$10:$C$11))</f>
        <v>4.5653398142289116E-2</v>
      </c>
      <c r="M119" s="19">
        <f ca="1"/>
        <v>1.1096518967754472</v>
      </c>
      <c r="N119" s="20">
        <f t="shared" ca="1" si="174"/>
        <v>0.12850652899366341</v>
      </c>
      <c r="O119" s="20">
        <f t="shared" ca="1" si="153"/>
        <v>1.0350604192057118E-3</v>
      </c>
      <c r="P119" s="19">
        <f t="shared" ca="1" si="159"/>
        <v>73.409597872183213</v>
      </c>
      <c r="Q119" s="19">
        <f ca="1">HCTrans(P119,Strike,RiskFreeRate,Dividend,Variance_T0*AnnualVarConvtr,(Simulation!G119)/250,0.5,Variance_Avg*AnnualVarConvtr,Lambda,SQRT(Simulation!N119),Rho,1,"Call")</f>
        <v>7.6323954654355219</v>
      </c>
      <c r="R119" s="19" t="e">
        <f t="shared" ca="1" si="154"/>
        <v>#VALUE!</v>
      </c>
      <c r="S119" s="19" t="e">
        <f t="shared" ca="1" si="155"/>
        <v>#VALUE!</v>
      </c>
      <c r="T119" s="19" t="e">
        <f t="shared" ca="1" si="160"/>
        <v>#VALUE!</v>
      </c>
      <c r="U119" s="19" t="e">
        <f t="shared" ca="1" si="161"/>
        <v>#VALUE!</v>
      </c>
      <c r="V119" s="21">
        <f t="shared" ca="1" si="162"/>
        <v>8.3178509268184606E-4</v>
      </c>
      <c r="W119">
        <f t="shared" ca="1" si="163"/>
        <v>2.8840684677757671E-2</v>
      </c>
      <c r="X119" s="22">
        <f t="shared" ref="X119" ca="1" si="266">BSdelta(1,P119,Strike,W119*AnnualVarConvtr,Dividend,RiskFreeRate,G119/250)</f>
        <v>0.22635781561564941</v>
      </c>
      <c r="Y119" s="22">
        <f t="shared" ca="1" si="169"/>
        <v>-7.7092596512902558</v>
      </c>
      <c r="Z119" s="22">
        <f t="shared" ca="1" si="170"/>
        <v>-12.827750428125217</v>
      </c>
      <c r="AA119">
        <f t="shared" si="157"/>
        <v>0.73884103340948371</v>
      </c>
      <c r="AB119">
        <f t="shared" ref="AB119" ca="1" si="267">BSdelta(1,P119,Strike,AA119/AnnualVarConvtr,Dividend,RiskFreeRate,G119/250)</f>
        <v>1.7503878332648725E-19</v>
      </c>
      <c r="AC119">
        <f t="shared" ca="1" si="166"/>
        <v>-3.4614776309888528E-19</v>
      </c>
      <c r="AD119">
        <f t="shared" ca="1" si="167"/>
        <v>4.1048036547339377</v>
      </c>
    </row>
    <row r="120" spans="7:30" x14ac:dyDescent="0.25">
      <c r="G120" s="19">
        <v>135</v>
      </c>
      <c r="H120" s="19">
        <f t="shared" ca="1" si="217"/>
        <v>0.31108691604246241</v>
      </c>
      <c r="I120" s="19">
        <f t="shared" ca="1" si="217"/>
        <v>0.44237696761820533</v>
      </c>
      <c r="J120" s="19">
        <f t="shared" ca="1" si="151"/>
        <v>-1.4291185748366837</v>
      </c>
      <c r="K120" s="19">
        <f t="shared" ca="1" si="152"/>
        <v>0.54128177979900738</v>
      </c>
      <c r="L120" s="19">
        <f t="array" aca="1" ref="L120:M120" ca="1">MMULT(J120:K120,TRANSPOSE($B$10:$C$11))</f>
        <v>-1.4291185748366837</v>
      </c>
      <c r="M120" s="19">
        <f ca="1"/>
        <v>1.4015546412341819</v>
      </c>
      <c r="N120" s="20">
        <f t="shared" ca="1" si="174"/>
        <v>0.14047755779876611</v>
      </c>
      <c r="O120" s="20">
        <f t="shared" ca="1" si="153"/>
        <v>-3.3876749583263824E-2</v>
      </c>
      <c r="P120" s="19">
        <f t="shared" ca="1" si="159"/>
        <v>70.96437131951312</v>
      </c>
      <c r="Q120" s="19">
        <f ca="1">HCTrans(P120,Strike,RiskFreeRate,Dividend,Variance_T0*AnnualVarConvtr,(Simulation!G120)/250,0.5,Variance_Avg*AnnualVarConvtr,Lambda,SQRT(Simulation!N120),Rho,1,"Call")</f>
        <v>6.6194516292514862</v>
      </c>
      <c r="R120" s="19" t="e">
        <f t="shared" ca="1" si="154"/>
        <v>#VALUE!</v>
      </c>
      <c r="S120" s="19" t="e">
        <f t="shared" ca="1" si="155"/>
        <v>#VALUE!</v>
      </c>
      <c r="T120" s="19" t="e">
        <f t="shared" ca="1" si="160"/>
        <v>#VALUE!</v>
      </c>
      <c r="U120" s="19" t="e">
        <f t="shared" ca="1" si="161"/>
        <v>#VALUE!</v>
      </c>
      <c r="V120" s="21">
        <f t="shared" ca="1" si="162"/>
        <v>1.2188344776485316E-3</v>
      </c>
      <c r="W120">
        <f t="shared" ca="1" si="163"/>
        <v>3.4911810002469533E-2</v>
      </c>
      <c r="X120" s="22">
        <f t="shared" ref="X120" ca="1" si="268">BSdelta(1,P120,Strike,W120*AnnualVarConvtr,Dividend,RiskFreeRate,G120/250)</f>
        <v>0.2601957854396505</v>
      </c>
      <c r="Y120" s="22">
        <f t="shared" ca="1" si="169"/>
        <v>2.4012902552888931</v>
      </c>
      <c r="Z120" s="22">
        <f t="shared" ca="1" si="170"/>
        <v>-16.241984519598144</v>
      </c>
      <c r="AA120">
        <f t="shared" si="157"/>
        <v>0.73884103340948371</v>
      </c>
      <c r="AB120">
        <f t="shared" ref="AB120" ca="1" si="269">BSdelta(1,P120,Strike,AA120/AnnualVarConvtr,Dividend,RiskFreeRate,G120/250)</f>
        <v>1.0159708226355536E-23</v>
      </c>
      <c r="AC120">
        <f t="shared" ca="1" si="166"/>
        <v>-1.242079623798957E-17</v>
      </c>
      <c r="AD120">
        <f t="shared" ca="1" si="167"/>
        <v>3.091859818549902</v>
      </c>
    </row>
    <row r="121" spans="7:30" x14ac:dyDescent="0.25">
      <c r="G121" s="19">
        <v>134</v>
      </c>
      <c r="H121" s="19">
        <f t="shared" ca="1" si="217"/>
        <v>0.20212564770081143</v>
      </c>
      <c r="I121" s="19">
        <f t="shared" ca="1" si="217"/>
        <v>0.50250865273209588</v>
      </c>
      <c r="J121" s="19">
        <f t="shared" ca="1" si="151"/>
        <v>-1.7879980702784783</v>
      </c>
      <c r="K121" s="19">
        <f t="shared" ca="1" si="152"/>
        <v>-2.8185349865285824E-2</v>
      </c>
      <c r="L121" s="19">
        <f t="array" aca="1" ref="L121:M121" ca="1">MMULT(J121:K121,TRANSPOSE($B$10:$C$11))</f>
        <v>-1.7879980702784783</v>
      </c>
      <c r="M121" s="19">
        <f ca="1"/>
        <v>1.2614388811236896</v>
      </c>
      <c r="N121" s="20">
        <f t="shared" ca="1" si="174"/>
        <v>0.15160237950595473</v>
      </c>
      <c r="O121" s="20">
        <f t="shared" ca="1" si="153"/>
        <v>-4.4030138377602696E-2</v>
      </c>
      <c r="P121" s="19">
        <f t="shared" ca="1" si="159"/>
        <v>67.907589318384609</v>
      </c>
      <c r="Q121" s="19">
        <f ca="1">HCTrans(P121,Strike,RiskFreeRate,Dividend,Variance_T0*AnnualVarConvtr,(Simulation!G121)/250,0.5,Variance_Avg*AnnualVarConvtr,Lambda,SQRT(Simulation!N121),Rho,1,"Call")</f>
        <v>5.475849162447517</v>
      </c>
      <c r="R121" s="19" t="e">
        <f t="shared" ca="1" si="154"/>
        <v>#VALUE!</v>
      </c>
      <c r="S121" s="19" t="e">
        <f t="shared" ca="1" si="155"/>
        <v>#VALUE!</v>
      </c>
      <c r="T121" s="19" t="e">
        <f t="shared" ca="1" si="160"/>
        <v>#VALUE!</v>
      </c>
      <c r="U121" s="19" t="e">
        <f t="shared" ca="1" si="161"/>
        <v>#VALUE!</v>
      </c>
      <c r="V121" s="21">
        <f t="shared" ca="1" si="162"/>
        <v>1.0309130400900617E-4</v>
      </c>
      <c r="W121">
        <f t="shared" ca="1" si="163"/>
        <v>1.0153388794338872E-2</v>
      </c>
      <c r="X121" s="22">
        <f t="shared" ref="X121" ca="1" si="270">BSdelta(1,P121,Strike,W121*AnnualVarConvtr,Dividend,RiskFreeRate,G121/250)</f>
        <v>6.1015819456489032E-4</v>
      </c>
      <c r="Y121" s="22">
        <f t="shared" ca="1" si="169"/>
        <v>-17.627834167914543</v>
      </c>
      <c r="Z121" s="22">
        <f t="shared" ca="1" si="170"/>
        <v>0.24224718151242897</v>
      </c>
      <c r="AA121">
        <f t="shared" si="157"/>
        <v>0.73884103340948371</v>
      </c>
      <c r="AB121">
        <f t="shared" ref="AB121" ca="1" si="271">BSdelta(1,P121,Strike,AA121/AnnualVarConvtr,Dividend,RiskFreeRate,G121/250)</f>
        <v>6.8852420627941778E-30</v>
      </c>
      <c r="AC121">
        <f t="shared" ca="1" si="166"/>
        <v>-6.8992082626977507E-22</v>
      </c>
      <c r="AD121">
        <f t="shared" ca="1" si="167"/>
        <v>1.9482573517459327</v>
      </c>
    </row>
    <row r="122" spans="7:30" x14ac:dyDescent="0.25">
      <c r="G122" s="19">
        <v>133</v>
      </c>
      <c r="H122" s="19">
        <f t="shared" ca="1" si="217"/>
        <v>0.90274429731060613</v>
      </c>
      <c r="I122" s="19">
        <f t="shared" ca="1" si="217"/>
        <v>0.52645965925045746</v>
      </c>
      <c r="J122" s="19">
        <f t="shared" ca="1" si="151"/>
        <v>-0.44612542111072301</v>
      </c>
      <c r="K122" s="19">
        <f t="shared" ca="1" si="152"/>
        <v>-7.4859737956487038E-2</v>
      </c>
      <c r="L122" s="19">
        <f t="array" aca="1" ref="L122:M122" ca="1">MMULT(J122:K122,TRANSPOSE($B$10:$C$11))</f>
        <v>-0.44612542111072301</v>
      </c>
      <c r="M122" s="19">
        <f ca="1"/>
        <v>0.26742767736651812</v>
      </c>
      <c r="N122" s="20">
        <f t="shared" ca="1" si="174"/>
        <v>0.15340000795376307</v>
      </c>
      <c r="O122" s="20">
        <f t="shared" ca="1" si="153"/>
        <v>-1.1050951111616018E-2</v>
      </c>
      <c r="P122" s="19">
        <f t="shared" ca="1" si="159"/>
        <v>67.161277193296826</v>
      </c>
      <c r="Q122" s="19">
        <f ca="1">HCTrans(P122,Strike,RiskFreeRate,Dividend,Variance_T0*AnnualVarConvtr,(Simulation!G122)/250,0.5,Variance_Avg*AnnualVarConvtr,Lambda,SQRT(Simulation!N122),Rho,1,"Call")</f>
        <v>5.1822818662514507</v>
      </c>
      <c r="R122" s="19" t="e">
        <f t="shared" ca="1" si="154"/>
        <v>#VALUE!</v>
      </c>
      <c r="S122" s="19" t="e">
        <f t="shared" ca="1" si="155"/>
        <v>#VALUE!</v>
      </c>
      <c r="T122" s="19" t="e">
        <f t="shared" ca="1" si="160"/>
        <v>#VALUE!</v>
      </c>
      <c r="U122" s="19" t="e">
        <f t="shared" ca="1" si="161"/>
        <v>#VALUE!</v>
      </c>
      <c r="V122" s="21">
        <f t="shared" ca="1" si="162"/>
        <v>1.0876267927250177E-3</v>
      </c>
      <c r="W122">
        <f t="shared" ca="1" si="163"/>
        <v>3.2979187265986677E-2</v>
      </c>
      <c r="X122" s="22">
        <f t="shared" ref="X122" ca="1" si="272">BSdelta(1,P122,Strike,W122*AnnualVarConvtr,Dividend,RiskFreeRate,G122/250)</f>
        <v>0.19586818102340053</v>
      </c>
      <c r="Y122" s="22">
        <f t="shared" ca="1" si="169"/>
        <v>13.11377819542251</v>
      </c>
      <c r="Z122" s="22">
        <f t="shared" ca="1" si="170"/>
        <v>-13.165098310106147</v>
      </c>
      <c r="AA122">
        <f t="shared" si="157"/>
        <v>0.73884103340948371</v>
      </c>
      <c r="AB122">
        <f t="shared" ref="AB122" ca="1" si="273">BSdelta(1,P122,Strike,AA122/AnnualVarConvtr,Dividend,RiskFreeRate,G122/250)</f>
        <v>9.9054008299490716E-32</v>
      </c>
      <c r="AC122">
        <f t="shared" ca="1" si="166"/>
        <v>-4.557690570137573E-28</v>
      </c>
      <c r="AD122">
        <f t="shared" ca="1" si="167"/>
        <v>1.6546900555498665</v>
      </c>
    </row>
    <row r="123" spans="7:30" x14ac:dyDescent="0.25">
      <c r="G123" s="19">
        <v>132</v>
      </c>
      <c r="H123" s="19">
        <f t="shared" ca="1" si="217"/>
        <v>0.714561780163952</v>
      </c>
      <c r="I123" s="19">
        <f t="shared" ca="1" si="217"/>
        <v>0.89161266105716241</v>
      </c>
      <c r="J123" s="19">
        <f t="shared" ca="1" si="151"/>
        <v>0.63697635117933071</v>
      </c>
      <c r="K123" s="19">
        <f t="shared" ca="1" si="152"/>
        <v>-0.51617125661876273</v>
      </c>
      <c r="L123" s="19">
        <f t="array" aca="1" ref="L123:M123" ca="1">MMULT(J123:K123,TRANSPOSE($B$10:$C$11))</f>
        <v>0.63697635117933071</v>
      </c>
      <c r="M123" s="19">
        <f ca="1"/>
        <v>-0.81646796115643139</v>
      </c>
      <c r="N123" s="20">
        <f t="shared" ca="1" si="174"/>
        <v>0.14488324392319213</v>
      </c>
      <c r="O123" s="20">
        <f t="shared" ca="1" si="153"/>
        <v>1.533424454683735E-2</v>
      </c>
      <c r="P123" s="19">
        <f t="shared" ca="1" si="159"/>
        <v>68.199081277053125</v>
      </c>
      <c r="Q123" s="19">
        <f ca="1">HCTrans(P123,Strike,RiskFreeRate,Dividend,Variance_T0*AnnualVarConvtr,(Simulation!G123)/250,0.5,Variance_Avg*AnnualVarConvtr,Lambda,SQRT(Simulation!N123),Rho,1,"Call")</f>
        <v>5.4983508479873322</v>
      </c>
      <c r="R123" s="19" t="e">
        <f t="shared" ca="1" si="154"/>
        <v>#VALUE!</v>
      </c>
      <c r="S123" s="19" t="e">
        <f t="shared" ca="1" si="155"/>
        <v>#VALUE!</v>
      </c>
      <c r="T123" s="19" t="e">
        <f t="shared" ca="1" si="160"/>
        <v>#VALUE!</v>
      </c>
      <c r="U123" s="19" t="e">
        <f t="shared" ca="1" si="161"/>
        <v>#VALUE!</v>
      </c>
      <c r="V123" s="21">
        <f t="shared" ca="1" si="162"/>
        <v>6.9617854993486651E-4</v>
      </c>
      <c r="W123">
        <f t="shared" ca="1" si="163"/>
        <v>2.6385195658453368E-2</v>
      </c>
      <c r="X123" s="22">
        <f t="shared" ref="X123" ca="1" si="274">BSdelta(1,P123,Strike,W123*AnnualVarConvtr,Dividend,RiskFreeRate,G123/250)</f>
        <v>0.13328443289596154</v>
      </c>
      <c r="Y123" s="22">
        <f t="shared" ca="1" si="169"/>
        <v>-4.2681541251658333</v>
      </c>
      <c r="Z123" s="22">
        <f t="shared" ca="1" si="170"/>
        <v>-8.5808752032044318</v>
      </c>
      <c r="AA123">
        <f t="shared" si="157"/>
        <v>0.73884103340948371</v>
      </c>
      <c r="AB123">
        <f t="shared" ref="AB123" ca="1" si="275">BSdelta(1,P123,Strike,AA123/AnnualVarConvtr,Dividend,RiskFreeRate,G123/250)</f>
        <v>1.0926003319089445E-29</v>
      </c>
      <c r="AC123">
        <f t="shared" ca="1" si="166"/>
        <v>7.3838799602909836E-28</v>
      </c>
      <c r="AD123">
        <f t="shared" ca="1" si="167"/>
        <v>1.970759037285748</v>
      </c>
    </row>
    <row r="124" spans="7:30" x14ac:dyDescent="0.25">
      <c r="G124" s="19">
        <v>131</v>
      </c>
      <c r="H124" s="19">
        <f t="shared" ca="1" si="217"/>
        <v>0.21647730093285189</v>
      </c>
      <c r="I124" s="19">
        <f t="shared" ca="1" si="217"/>
        <v>0.53325146338758334</v>
      </c>
      <c r="J124" s="19">
        <f t="shared" ca="1" si="151"/>
        <v>-1.7113970948229382</v>
      </c>
      <c r="K124" s="19">
        <f t="shared" ca="1" si="152"/>
        <v>-0.36284865861077531</v>
      </c>
      <c r="L124" s="19">
        <f t="array" aca="1" ref="L124:M124" ca="1">MMULT(J124:K124,TRANSPOSE($B$10:$C$11))</f>
        <v>-1.7113970948229382</v>
      </c>
      <c r="M124" s="19">
        <f ca="1"/>
        <v>0.9730974780848165</v>
      </c>
      <c r="N124" s="20">
        <f t="shared" ca="1" si="174"/>
        <v>0.15337707604085721</v>
      </c>
      <c r="O124" s="20">
        <f t="shared" ca="1" si="153"/>
        <v>-4.2389765413571548E-2</v>
      </c>
      <c r="P124" s="19">
        <f t="shared" ca="1" si="159"/>
        <v>65.36855473165835</v>
      </c>
      <c r="Q124" s="19">
        <f ca="1">HCTrans(P124,Strike,RiskFreeRate,Dividend,Variance_T0*AnnualVarConvtr,(Simulation!G124)/250,0.5,Variance_Avg*AnnualVarConvtr,Lambda,SQRT(Simulation!N124),Rho,1,"Call")</f>
        <v>4.5391682717054209</v>
      </c>
      <c r="R124" s="19" t="e">
        <f t="shared" ca="1" si="154"/>
        <v>#VALUE!</v>
      </c>
      <c r="S124" s="19" t="e">
        <f t="shared" ca="1" si="155"/>
        <v>#VALUE!</v>
      </c>
      <c r="T124" s="19" t="e">
        <f t="shared" ca="1" si="160"/>
        <v>#VALUE!</v>
      </c>
      <c r="U124" s="19" t="e">
        <f t="shared" ca="1" si="161"/>
        <v>#VALUE!</v>
      </c>
      <c r="V124" s="21">
        <f t="shared" ca="1" si="162"/>
        <v>3.3320613259093857E-3</v>
      </c>
      <c r="W124">
        <f t="shared" ca="1" si="163"/>
        <v>5.7724009960408898E-2</v>
      </c>
      <c r="X124" s="22">
        <f t="shared" ref="X124" ca="1" si="276">BSdelta(1,P124,Strike,W124*AnnualVarConvtr,Dividend,RiskFreeRate,G124/250)</f>
        <v>0.37709115278061101</v>
      </c>
      <c r="Y124" s="22">
        <f t="shared" ca="1" si="169"/>
        <v>15.937292912725805</v>
      </c>
      <c r="Z124" s="22">
        <f t="shared" ca="1" si="170"/>
        <v>-25.477350692212148</v>
      </c>
      <c r="AA124">
        <f t="shared" si="157"/>
        <v>0.73884103340948371</v>
      </c>
      <c r="AB124">
        <f t="shared" ref="AB124" ca="1" si="277">BSdelta(1,P124,Strike,AA124/AnnualVarConvtr,Dividend,RiskFreeRate,G124/250)</f>
        <v>1.9548898261471968E-36</v>
      </c>
      <c r="AC124">
        <f t="shared" ca="1" si="166"/>
        <v>-7.1421691817385653E-28</v>
      </c>
      <c r="AD124">
        <f t="shared" ca="1" si="167"/>
        <v>1.0115764610038367</v>
      </c>
    </row>
    <row r="125" spans="7:30" x14ac:dyDescent="0.25">
      <c r="G125" s="19">
        <v>130</v>
      </c>
      <c r="H125" s="19">
        <f t="shared" ca="1" si="217"/>
        <v>0.24375482760436085</v>
      </c>
      <c r="I125" s="19">
        <f t="shared" ca="1" si="217"/>
        <v>4.1308735146545761E-2</v>
      </c>
      <c r="J125" s="19">
        <f t="shared" ca="1" si="151"/>
        <v>1.6239548745530938</v>
      </c>
      <c r="K125" s="19">
        <f t="shared" ca="1" si="152"/>
        <v>0.4312253388927384</v>
      </c>
      <c r="L125" s="19">
        <f t="array" aca="1" ref="L125:M125" ca="1">MMULT(J125:K125,TRANSPOSE($B$10:$C$11))</f>
        <v>1.6239548745530938</v>
      </c>
      <c r="M125" s="19">
        <f ca="1"/>
        <v>-0.86274643774829929</v>
      </c>
      <c r="N125" s="20">
        <f t="shared" ca="1" si="174"/>
        <v>0.14442828931537924</v>
      </c>
      <c r="O125" s="20">
        <f t="shared" ca="1" si="153"/>
        <v>3.9032834166595747E-2</v>
      </c>
      <c r="P125" s="19">
        <f t="shared" ca="1" si="159"/>
        <v>67.970525487767162</v>
      </c>
      <c r="Q125" s="19">
        <f ca="1">HCTrans(P125,Strike,RiskFreeRate,Dividend,Variance_T0*AnnualVarConvtr,(Simulation!G125)/250,0.5,Variance_Avg*AnnualVarConvtr,Lambda,SQRT(Simulation!N125),Rho,1,"Call")</f>
        <v>5.3316603024810973</v>
      </c>
      <c r="R125" s="19" t="e">
        <f t="shared" ca="1" si="154"/>
        <v>#VALUE!</v>
      </c>
      <c r="S125" s="19" t="e">
        <f t="shared" ca="1" si="155"/>
        <v>#VALUE!</v>
      </c>
      <c r="T125" s="19" t="e">
        <f t="shared" ca="1" si="160"/>
        <v>#VALUE!</v>
      </c>
      <c r="U125" s="19" t="e">
        <f t="shared" ca="1" si="161"/>
        <v>#VALUE!</v>
      </c>
      <c r="V125" s="21">
        <f t="shared" ca="1" si="162"/>
        <v>6.6296397223922585E-3</v>
      </c>
      <c r="W125">
        <f t="shared" ca="1" si="163"/>
        <v>8.1422599580167287E-2</v>
      </c>
      <c r="X125" s="22">
        <f t="shared" ref="X125" ca="1" si="278">BSdelta(1,P125,Strike,W125*AnnualVarConvtr,Dividend,RiskFreeRate,G125/250)</f>
        <v>0.51925745139646962</v>
      </c>
      <c r="Y125" s="22">
        <f t="shared" ca="1" si="169"/>
        <v>9.6631180235707355</v>
      </c>
      <c r="Z125" s="22">
        <f t="shared" ca="1" si="170"/>
        <v>-34.347976685007211</v>
      </c>
      <c r="AA125">
        <f t="shared" si="157"/>
        <v>0.73884103340948371</v>
      </c>
      <c r="AB125">
        <f t="shared" ref="AB125" ca="1" si="279">BSdelta(1,P125,Strike,AA125/AnnualVarConvtr,Dividend,RiskFreeRate,G125/250)</f>
        <v>1.300507436132772E-30</v>
      </c>
      <c r="AC125">
        <f t="shared" ca="1" si="166"/>
        <v>8.8396040959804556E-29</v>
      </c>
      <c r="AD125">
        <f t="shared" ca="1" si="167"/>
        <v>1.8040684917795131</v>
      </c>
    </row>
    <row r="126" spans="7:30" x14ac:dyDescent="0.25">
      <c r="G126" s="19">
        <v>129</v>
      </c>
      <c r="H126" s="19">
        <f t="shared" ca="1" si="217"/>
        <v>0.14502483103818054</v>
      </c>
      <c r="I126" s="19">
        <f t="shared" ca="1" si="217"/>
        <v>0.3706553959445722</v>
      </c>
      <c r="J126" s="19">
        <f t="shared" ca="1" si="151"/>
        <v>-1.351105527001871</v>
      </c>
      <c r="K126" s="19">
        <f t="shared" ca="1" si="152"/>
        <v>1.426959866384645</v>
      </c>
      <c r="L126" s="19">
        <f t="array" aca="1" ref="L126:M126" ca="1">MMULT(J126:K126,TRANSPOSE($B$10:$C$11))</f>
        <v>-1.351105527001871</v>
      </c>
      <c r="M126" s="19">
        <f ca="1"/>
        <v>1.9634958927427228</v>
      </c>
      <c r="N126" s="20">
        <f t="shared" ca="1" si="174"/>
        <v>0.1625765807173522</v>
      </c>
      <c r="O126" s="20">
        <f t="shared" ca="1" si="153"/>
        <v>-3.4454683026633466E-2</v>
      </c>
      <c r="P126" s="19">
        <f t="shared" ca="1" si="159"/>
        <v>65.668507946692642</v>
      </c>
      <c r="Q126" s="19">
        <f ca="1">HCTrans(P126,Strike,RiskFreeRate,Dividend,Variance_T0*AnnualVarConvtr,(Simulation!G126)/250,0.5,Variance_Avg*AnnualVarConvtr,Lambda,SQRT(Simulation!N126),Rho,1,"Call")</f>
        <v>4.5207838030811871</v>
      </c>
      <c r="R126" s="19" t="e">
        <f t="shared" ca="1" si="154"/>
        <v>#VALUE!</v>
      </c>
      <c r="S126" s="19" t="e">
        <f t="shared" ca="1" si="155"/>
        <v>#VALUE!</v>
      </c>
      <c r="T126" s="19" t="e">
        <f t="shared" ca="1" si="160"/>
        <v>#VALUE!</v>
      </c>
      <c r="U126" s="19" t="e">
        <f t="shared" ca="1" si="161"/>
        <v>#VALUE!</v>
      </c>
      <c r="V126" s="21">
        <f t="shared" ca="1" si="162"/>
        <v>5.4004151832251594E-3</v>
      </c>
      <c r="W126">
        <f t="shared" ca="1" si="163"/>
        <v>7.3487517193229213E-2</v>
      </c>
      <c r="X126" s="22">
        <f t="shared" ref="X126" ca="1" si="280">BSdelta(1,P126,Strike,W126*AnnualVarConvtr,Dividend,RiskFreeRate,G126/250)</f>
        <v>0.4655220820323791</v>
      </c>
      <c r="Y126" s="22">
        <f t="shared" ca="1" si="169"/>
        <v>-3.5287215301042423</v>
      </c>
      <c r="Z126" s="22">
        <f t="shared" ca="1" si="170"/>
        <v>-31.630131654302879</v>
      </c>
      <c r="AA126">
        <f t="shared" si="157"/>
        <v>0.73884103340948371</v>
      </c>
      <c r="AB126">
        <f t="shared" ref="AB126" ca="1" si="281">BSdelta(1,P126,Strike,AA126/AnnualVarConvtr,Dividend,RiskFreeRate,G126/250)</f>
        <v>3.205159210553598E-36</v>
      </c>
      <c r="AC126">
        <f t="shared" ca="1" si="166"/>
        <v>-8.5402172426394723E-29</v>
      </c>
      <c r="AD126">
        <f t="shared" ca="1" si="167"/>
        <v>0.99319199237960287</v>
      </c>
    </row>
    <row r="127" spans="7:30" x14ac:dyDescent="0.25">
      <c r="G127" s="19">
        <v>128</v>
      </c>
      <c r="H127" s="19">
        <f t="shared" ca="1" si="217"/>
        <v>0.32709725579935733</v>
      </c>
      <c r="I127" s="19">
        <f t="shared" ca="1" si="217"/>
        <v>0.19116048103565619</v>
      </c>
      <c r="J127" s="19">
        <f t="shared" ca="1" si="151"/>
        <v>0.5401927725991349</v>
      </c>
      <c r="K127" s="19">
        <f t="shared" ca="1" si="152"/>
        <v>1.3939825093408622</v>
      </c>
      <c r="L127" s="19">
        <f t="array" aca="1" ref="L127:M127" ca="1">MMULT(J127:K127,TRANSPOSE($B$10:$C$11))</f>
        <v>0.5401927725991349</v>
      </c>
      <c r="M127" s="19">
        <f ca="1"/>
        <v>0.5853760824984483</v>
      </c>
      <c r="N127" s="20">
        <f t="shared" ca="1" si="174"/>
        <v>0.16759107084447408</v>
      </c>
      <c r="O127" s="20">
        <f t="shared" ca="1" si="153"/>
        <v>1.398634391251273E-2</v>
      </c>
      <c r="P127" s="19">
        <f t="shared" ca="1" si="159"/>
        <v>66.59342329770702</v>
      </c>
      <c r="Q127" s="19">
        <f ca="1">HCTrans(P127,Strike,RiskFreeRate,Dividend,Variance_T0*AnnualVarConvtr,(Simulation!G127)/250,0.5,Variance_Avg*AnnualVarConvtr,Lambda,SQRT(Simulation!N127),Rho,1,"Call")</f>
        <v>4.7457324905673488</v>
      </c>
      <c r="R127" s="19" t="e">
        <f t="shared" ca="1" si="154"/>
        <v>#VALUE!</v>
      </c>
      <c r="S127" s="19" t="e">
        <f t="shared" ca="1" si="155"/>
        <v>#VALUE!</v>
      </c>
      <c r="T127" s="19" t="e">
        <f t="shared" ca="1" si="160"/>
        <v>#VALUE!</v>
      </c>
      <c r="U127" s="19" t="e">
        <f t="shared" ca="1" si="161"/>
        <v>#VALUE!</v>
      </c>
      <c r="V127" s="21">
        <f t="shared" ca="1" si="162"/>
        <v>2.3465330909190874E-3</v>
      </c>
      <c r="W127">
        <f t="shared" ca="1" si="163"/>
        <v>4.8441026939146196E-2</v>
      </c>
      <c r="X127" s="22">
        <f t="shared" ref="X127" ca="1" si="282">BSdelta(1,P127,Strike,W127*AnnualVarConvtr,Dividend,RiskFreeRate,G127/250)</f>
        <v>0.31995757889911675</v>
      </c>
      <c r="Y127" s="22">
        <f t="shared" ca="1" si="169"/>
        <v>-9.6936385742737396</v>
      </c>
      <c r="Z127" s="22">
        <f t="shared" ca="1" si="170"/>
        <v>-21.711544392542976</v>
      </c>
      <c r="AA127">
        <f t="shared" si="157"/>
        <v>0.73884103340948371</v>
      </c>
      <c r="AB127">
        <f t="shared" ref="AB127" ca="1" si="283">BSdelta(1,P127,Strike,AA127/AnnualVarConvtr,Dividend,RiskFreeRate,G127/250)</f>
        <v>3.1355079239718678E-34</v>
      </c>
      <c r="AC127">
        <f t="shared" ca="1" si="166"/>
        <v>2.0666978119392374E-32</v>
      </c>
      <c r="AD127">
        <f t="shared" ca="1" si="167"/>
        <v>1.2181406798657646</v>
      </c>
    </row>
    <row r="128" spans="7:30" x14ac:dyDescent="0.25">
      <c r="G128" s="19">
        <v>127</v>
      </c>
      <c r="H128" s="19">
        <f t="shared" ca="1" si="217"/>
        <v>0.17374815942298028</v>
      </c>
      <c r="I128" s="19">
        <f t="shared" ca="1" si="217"/>
        <v>0.72614929523557481</v>
      </c>
      <c r="J128" s="19">
        <f t="shared" ca="1" si="151"/>
        <v>-0.27932304601555336</v>
      </c>
      <c r="K128" s="19">
        <f t="shared" ca="1" si="152"/>
        <v>-1.8499392994499442</v>
      </c>
      <c r="L128" s="19">
        <f t="array" aca="1" ref="L128:M128" ca="1">MMULT(J128:K128,TRANSPOSE($B$10:$C$11))</f>
        <v>-0.27932304601555336</v>
      </c>
      <c r="M128" s="19">
        <f ca="1"/>
        <v>-1.0903588125831287</v>
      </c>
      <c r="N128" s="20">
        <f t="shared" ca="1" si="174"/>
        <v>0.1559735670281038</v>
      </c>
      <c r="O128" s="20">
        <f t="shared" ca="1" si="153"/>
        <v>-6.9768962878920971E-3</v>
      </c>
      <c r="P128" s="19">
        <f t="shared" ca="1" si="159"/>
        <v>66.130424913871948</v>
      </c>
      <c r="Q128" s="19">
        <f ca="1">HCTrans(P128,Strike,RiskFreeRate,Dividend,Variance_T0*AnnualVarConvtr,(Simulation!G128)/250,0.5,Variance_Avg*AnnualVarConvtr,Lambda,SQRT(Simulation!N128),Rho,1,"Call")</f>
        <v>4.5894702005893464</v>
      </c>
      <c r="R128" s="19" t="e">
        <f t="shared" ca="1" si="154"/>
        <v>#VALUE!</v>
      </c>
      <c r="S128" s="19" t="e">
        <f t="shared" ca="1" si="155"/>
        <v>#VALUE!</v>
      </c>
      <c r="T128" s="19" t="e">
        <f t="shared" ca="1" si="160"/>
        <v>#VALUE!</v>
      </c>
      <c r="U128" s="19" t="e">
        <f t="shared" ca="1" si="161"/>
        <v>#VALUE!</v>
      </c>
      <c r="V128" s="21">
        <f t="shared" ca="1" si="162"/>
        <v>4.3945743969986894E-4</v>
      </c>
      <c r="W128">
        <f t="shared" ca="1" si="163"/>
        <v>2.0963240200404826E-2</v>
      </c>
      <c r="X128" s="22">
        <f t="shared" ref="X128" ca="1" si="284">BSdelta(1,P128,Strike,W128*AnnualVarConvtr,Dividend,RiskFreeRate,G128/250)</f>
        <v>5.1301427887701284E-2</v>
      </c>
      <c r="Y128" s="22">
        <f t="shared" ca="1" si="169"/>
        <v>-17.766345422110255</v>
      </c>
      <c r="Z128" s="22">
        <f t="shared" ca="1" si="170"/>
        <v>-4.1014612604107228</v>
      </c>
      <c r="AA128">
        <f t="shared" si="157"/>
        <v>0.73884103340948371</v>
      </c>
      <c r="AB128">
        <f t="shared" ref="AB128" ca="1" si="285">BSdelta(1,P128,Strike,AA128/AnnualVarConvtr,Dividend,RiskFreeRate,G128/250)</f>
        <v>1.3059397709945035E-35</v>
      </c>
      <c r="AC128">
        <f t="shared" ca="1" si="166"/>
        <v>-1.98716236136293E-32</v>
      </c>
      <c r="AD128">
        <f t="shared" ca="1" si="167"/>
        <v>1.0618783898877622</v>
      </c>
    </row>
    <row r="129" spans="7:30" x14ac:dyDescent="0.25">
      <c r="G129" s="19">
        <v>126</v>
      </c>
      <c r="H129" s="19">
        <f t="shared" ca="1" si="217"/>
        <v>0.79261453229583134</v>
      </c>
      <c r="I129" s="19">
        <f t="shared" ca="1" si="217"/>
        <v>0.17208255502792591</v>
      </c>
      <c r="J129" s="19">
        <f t="shared" ca="1" si="151"/>
        <v>0.3206087966978613</v>
      </c>
      <c r="K129" s="19">
        <f t="shared" ca="1" si="152"/>
        <v>0.60170302170691348</v>
      </c>
      <c r="L129" s="19">
        <f t="array" aca="1" ref="L129:M129" ca="1">MMULT(J129:K129,TRANSPOSE($B$10:$C$11))</f>
        <v>0.3206087966978613</v>
      </c>
      <c r="M129" s="19">
        <f ca="1"/>
        <v>0.19002405792718499</v>
      </c>
      <c r="N129" s="20">
        <f t="shared" ca="1" si="174"/>
        <v>0.15702967697976991</v>
      </c>
      <c r="O129" s="20">
        <f t="shared" ca="1" si="153"/>
        <v>8.0351927365593222E-3</v>
      </c>
      <c r="P129" s="19">
        <f t="shared" ca="1" si="159"/>
        <v>66.663936186276203</v>
      </c>
      <c r="Q129" s="19">
        <f ca="1">HCTrans(P129,Strike,RiskFreeRate,Dividend,Variance_T0*AnnualVarConvtr,(Simulation!G129)/250,0.5,Variance_Avg*AnnualVarConvtr,Lambda,SQRT(Simulation!N129),Rho,1,"Call")</f>
        <v>4.7047358370273997</v>
      </c>
      <c r="R129" s="19" t="e">
        <f t="shared" ca="1" si="154"/>
        <v>#VALUE!</v>
      </c>
      <c r="S129" s="19" t="e">
        <f t="shared" ca="1" si="155"/>
        <v>#VALUE!</v>
      </c>
      <c r="T129" s="19" t="e">
        <f t="shared" ca="1" si="160"/>
        <v>#VALUE!</v>
      </c>
      <c r="U129" s="19" t="e">
        <f t="shared" ca="1" si="161"/>
        <v>#VALUE!</v>
      </c>
      <c r="V129" s="21">
        <f t="shared" ca="1" si="162"/>
        <v>2.2536281687805476E-4</v>
      </c>
      <c r="W129">
        <f t="shared" ca="1" si="163"/>
        <v>1.5012089024451419E-2</v>
      </c>
      <c r="X129" s="22">
        <f t="shared" ref="X129" ca="1" si="286">BSdelta(1,P129,Strike,W129*AnnualVarConvtr,Dividend,RiskFreeRate,G129/250)</f>
        <v>1.0112101276687603E-2</v>
      </c>
      <c r="Y129" s="22">
        <f t="shared" ca="1" si="169"/>
        <v>-2.7458426407523042</v>
      </c>
      <c r="Z129" s="22">
        <f t="shared" ca="1" si="170"/>
        <v>-1.2403529832203652</v>
      </c>
      <c r="AA129">
        <f t="shared" si="157"/>
        <v>0.73884103340948371</v>
      </c>
      <c r="AB129">
        <f t="shared" ref="AB129" ca="1" si="287">BSdelta(1,P129,Strike,AA129/AnnualVarConvtr,Dividend,RiskFreeRate,G129/250)</f>
        <v>1.4248722786653292E-34</v>
      </c>
      <c r="AC129">
        <f t="shared" ca="1" si="166"/>
        <v>8.6281686102869687E-33</v>
      </c>
      <c r="AD129">
        <f t="shared" ca="1" si="167"/>
        <v>1.1771440263258155</v>
      </c>
    </row>
    <row r="130" spans="7:30" x14ac:dyDescent="0.25">
      <c r="G130" s="19">
        <v>125</v>
      </c>
      <c r="H130" s="19">
        <f t="shared" ca="1" si="217"/>
        <v>0.79544925116498066</v>
      </c>
      <c r="I130" s="19">
        <f t="shared" ca="1" si="217"/>
        <v>0.29153886279306862</v>
      </c>
      <c r="J130" s="19">
        <f t="shared" ca="1" si="151"/>
        <v>-0.17457472892181394</v>
      </c>
      <c r="K130" s="19">
        <f t="shared" ca="1" si="152"/>
        <v>0.65362077711811495</v>
      </c>
      <c r="L130" s="19">
        <f t="array" aca="1" ref="L130:M130" ca="1">MMULT(J130:K130,TRANSPOSE($B$10:$C$11))</f>
        <v>-0.17457472892181394</v>
      </c>
      <c r="M130" s="19">
        <f ca="1"/>
        <v>0.5810402100197275</v>
      </c>
      <c r="N130" s="20">
        <f t="shared" ca="1" si="174"/>
        <v>0.16193109443210874</v>
      </c>
      <c r="O130" s="20">
        <f t="shared" ca="1" si="153"/>
        <v>-4.443001885760754E-3</v>
      </c>
      <c r="P130" s="19">
        <f t="shared" ca="1" si="159"/>
        <v>66.368405200606517</v>
      </c>
      <c r="Q130" s="19">
        <f ca="1">HCTrans(P130,Strike,RiskFreeRate,Dividend,Variance_T0*AnnualVarConvtr,(Simulation!G130)/250,0.5,Variance_Avg*AnnualVarConvtr,Lambda,SQRT(Simulation!N130),Rho,1,"Call")</f>
        <v>4.558885664419229</v>
      </c>
      <c r="R130" s="19" t="e">
        <f t="shared" ca="1" si="154"/>
        <v>#VALUE!</v>
      </c>
      <c r="S130" s="19" t="e">
        <f t="shared" ca="1" si="155"/>
        <v>#VALUE!</v>
      </c>
      <c r="T130" s="19" t="e">
        <f t="shared" ca="1" si="160"/>
        <v>#VALUE!</v>
      </c>
      <c r="U130" s="19" t="e">
        <f t="shared" ca="1" si="161"/>
        <v>#VALUE!</v>
      </c>
      <c r="V130" s="21">
        <f t="shared" ca="1" si="162"/>
        <v>1.5570534103249764E-4</v>
      </c>
      <c r="W130">
        <f t="shared" ca="1" si="163"/>
        <v>1.2478194622320075E-2</v>
      </c>
      <c r="X130" s="22">
        <f t="shared" ref="X130" ca="1" si="288">BSdelta(1,P130,Strike,W130*AnnualVarConvtr,Dividend,RiskFreeRate,G130/250)</f>
        <v>2.0606335012105948E-3</v>
      </c>
      <c r="Y130" s="22">
        <f t="shared" ca="1" si="169"/>
        <v>-0.5343630757824841</v>
      </c>
      <c r="Z130" s="22">
        <f t="shared" ca="1" si="170"/>
        <v>-0.85184008004605183</v>
      </c>
      <c r="AA130">
        <f t="shared" si="157"/>
        <v>0.73884103340948371</v>
      </c>
      <c r="AB130">
        <f t="shared" ref="AB130" ca="1" si="289">BSdelta(1,P130,Strike,AA130/AnnualVarConvtr,Dividend,RiskFreeRate,G130/250)</f>
        <v>1.4729140268934303E-35</v>
      </c>
      <c r="AC130">
        <f t="shared" ca="1" si="166"/>
        <v>-8.4791005253320061E-33</v>
      </c>
      <c r="AD130">
        <f t="shared" ca="1" si="167"/>
        <v>1.0312938537176448</v>
      </c>
    </row>
    <row r="131" spans="7:30" x14ac:dyDescent="0.25">
      <c r="G131" s="19">
        <v>124</v>
      </c>
      <c r="H131" s="19">
        <f t="shared" ca="1" si="217"/>
        <v>0.21976363903310014</v>
      </c>
      <c r="I131" s="19">
        <f t="shared" ca="1" si="217"/>
        <v>0.28892069893988115</v>
      </c>
      <c r="J131" s="19">
        <f t="shared" ca="1" si="151"/>
        <v>-0.42147666404673745</v>
      </c>
      <c r="K131" s="19">
        <f t="shared" ca="1" si="152"/>
        <v>1.6890123676516944</v>
      </c>
      <c r="L131" s="19">
        <f t="array" aca="1" ref="L131:M131" ca="1">MMULT(J131:K131,TRANSPOSE($B$10:$C$11))</f>
        <v>-0.42147666404673745</v>
      </c>
      <c r="M131" s="19">
        <f ca="1"/>
        <v>1.4802212545718332</v>
      </c>
      <c r="N131" s="20">
        <f t="shared" ca="1" si="174"/>
        <v>0.17604489477584245</v>
      </c>
      <c r="O131" s="20">
        <f t="shared" ca="1" si="153"/>
        <v>-1.1184465836304308E-2</v>
      </c>
      <c r="P131" s="19">
        <f t="shared" ca="1" si="159"/>
        <v>65.630245694739571</v>
      </c>
      <c r="Q131" s="19">
        <f ca="1">HCTrans(P131,Strike,RiskFreeRate,Dividend,Variance_T0*AnnualVarConvtr,(Simulation!G131)/250,0.5,Variance_Avg*AnnualVarConvtr,Lambda,SQRT(Simulation!N131),Rho,1,"Call")</f>
        <v>4.2640508146987983</v>
      </c>
      <c r="R131" s="19" t="e">
        <f t="shared" ca="1" si="154"/>
        <v>#VALUE!</v>
      </c>
      <c r="S131" s="19" t="e">
        <f t="shared" ca="1" si="155"/>
        <v>#VALUE!</v>
      </c>
      <c r="T131" s="19" t="e">
        <f t="shared" ca="1" si="160"/>
        <v>#VALUE!</v>
      </c>
      <c r="U131" s="19" t="e">
        <f t="shared" ca="1" si="161"/>
        <v>#VALUE!</v>
      </c>
      <c r="V131" s="21">
        <f t="shared" ca="1" si="162"/>
        <v>4.5447336196478304E-5</v>
      </c>
      <c r="W131">
        <f t="shared" ca="1" si="163"/>
        <v>6.7414639505435541E-3</v>
      </c>
      <c r="X131" s="22">
        <f t="shared" ref="X131" ca="1" si="290">BSdelta(1,P131,Strike,W131*AnnualVarConvtr,Dividend,RiskFreeRate,G131/250)</f>
        <v>1.2565532360133486E-8</v>
      </c>
      <c r="Y131" s="22">
        <f t="shared" ca="1" si="169"/>
        <v>-0.13523905829228669</v>
      </c>
      <c r="Z131" s="22">
        <f t="shared" ca="1" si="170"/>
        <v>-1.0114358714741958</v>
      </c>
      <c r="AA131">
        <f t="shared" si="157"/>
        <v>0.73884103340948371</v>
      </c>
      <c r="AB131">
        <f t="shared" ref="AB131" ca="1" si="291">BSdelta(1,P131,Strike,AA131/AnnualVarConvtr,Dividend,RiskFreeRate,G131/250)</f>
        <v>1.0570116311232856E-37</v>
      </c>
      <c r="AC131">
        <f t="shared" ca="1" si="166"/>
        <v>-9.5973990141715884E-34</v>
      </c>
      <c r="AD131">
        <f t="shared" ca="1" si="167"/>
        <v>0.73645900399721409</v>
      </c>
    </row>
    <row r="132" spans="7:30" x14ac:dyDescent="0.25">
      <c r="G132" s="19">
        <v>123</v>
      </c>
      <c r="H132" s="19">
        <f t="shared" ca="1" si="217"/>
        <v>0.46620594957015915</v>
      </c>
      <c r="I132" s="19">
        <f t="shared" ca="1" si="217"/>
        <v>0.31618278349169548</v>
      </c>
      <c r="J132" s="19">
        <f t="shared" ca="1" si="151"/>
        <v>-0.49905577155221698</v>
      </c>
      <c r="K132" s="19">
        <f t="shared" ca="1" si="152"/>
        <v>1.1301322569163039</v>
      </c>
      <c r="L132" s="19">
        <f t="array" aca="1" ref="L132:M132" ca="1">MMULT(J132:K132,TRANSPOSE($B$10:$C$11))</f>
        <v>-0.49905577155221698</v>
      </c>
      <c r="M132" s="19">
        <f ca="1"/>
        <v>1.1459391342455141</v>
      </c>
      <c r="N132" s="20">
        <f t="shared" ca="1" si="174"/>
        <v>0.18713598188148459</v>
      </c>
      <c r="O132" s="20">
        <f t="shared" ca="1" si="153"/>
        <v>-1.365393177030096E-2</v>
      </c>
      <c r="P132" s="19">
        <f t="shared" ca="1" si="159"/>
        <v>64.740224767624895</v>
      </c>
      <c r="Q132" s="19">
        <f ca="1">HCTrans(P132,Strike,RiskFreeRate,Dividend,Variance_T0*AnnualVarConvtr,(Simulation!G132)/250,0.5,Variance_Avg*AnnualVarConvtr,Lambda,SQRT(Simulation!N132),Rho,1,"Call")</f>
        <v>3.9439522360811026</v>
      </c>
      <c r="R132" s="19" t="e">
        <f t="shared" ca="1" si="154"/>
        <v>#VALUE!</v>
      </c>
      <c r="S132" s="19" t="e">
        <f t="shared" ca="1" si="155"/>
        <v>#VALUE!</v>
      </c>
      <c r="T132" s="19" t="e">
        <f t="shared" ca="1" si="160"/>
        <v>#VALUE!</v>
      </c>
      <c r="U132" s="19" t="e">
        <f t="shared" ca="1" si="161"/>
        <v>#VALUE!</v>
      </c>
      <c r="V132" s="21">
        <f t="shared" ca="1" si="162"/>
        <v>6.0982619991699542E-6</v>
      </c>
      <c r="W132">
        <f t="shared" ca="1" si="163"/>
        <v>2.4694659339966514E-3</v>
      </c>
      <c r="X132" s="22">
        <f t="shared" ref="X132" ca="1" si="292">BSdelta(1,P132,Strike,W132*AnnualVarConvtr,Dividend,RiskFreeRate,G132/250)</f>
        <v>5.8450938608743414E-57</v>
      </c>
      <c r="Y132" s="22">
        <f t="shared" ca="1" si="169"/>
        <v>-8.1349538931990595E-7</v>
      </c>
      <c r="Z132" s="22">
        <f t="shared" ca="1" si="170"/>
        <v>-1.3315336365965023</v>
      </c>
      <c r="AA132">
        <f t="shared" si="157"/>
        <v>0.73884103340948371</v>
      </c>
      <c r="AB132">
        <f t="shared" ref="AB132" ca="1" si="293">BSdelta(1,P132,Strike,AA132/AnnualVarConvtr,Dividend,RiskFreeRate,G132/250)</f>
        <v>2.2923376489964689E-40</v>
      </c>
      <c r="AC132">
        <f t="shared" ca="1" si="166"/>
        <v>-6.8282764126276008E-36</v>
      </c>
      <c r="AD132">
        <f t="shared" ca="1" si="167"/>
        <v>0.41636042537951834</v>
      </c>
    </row>
    <row r="133" spans="7:30" x14ac:dyDescent="0.25">
      <c r="G133" s="19">
        <v>122</v>
      </c>
      <c r="H133" s="19">
        <f t="shared" ca="1" si="217"/>
        <v>0.93749993882560878</v>
      </c>
      <c r="I133" s="19">
        <f t="shared" ca="1" si="217"/>
        <v>0.22405365124032639</v>
      </c>
      <c r="J133" s="19">
        <f t="shared" ca="1" si="151"/>
        <v>5.8311659270569638E-2</v>
      </c>
      <c r="K133" s="19">
        <f t="shared" ca="1" si="152"/>
        <v>0.35450941196761976</v>
      </c>
      <c r="L133" s="19">
        <f t="array" aca="1" ref="L133:M133" ca="1">MMULT(J133:K133,TRANSPOSE($B$10:$C$11))</f>
        <v>5.8311659270569638E-2</v>
      </c>
      <c r="M133" s="19">
        <f ca="1"/>
        <v>0.2055208856787149</v>
      </c>
      <c r="N133" s="20">
        <f t="shared" ca="1" si="174"/>
        <v>0.18836765643502512</v>
      </c>
      <c r="O133" s="20">
        <f t="shared" ca="1" si="153"/>
        <v>1.6006211915920914E-3</v>
      </c>
      <c r="P133" s="19">
        <f t="shared" ca="1" si="159"/>
        <v>64.843932319447518</v>
      </c>
      <c r="Q133" s="19">
        <f ca="1">HCTrans(P133,Strike,RiskFreeRate,Dividend,Variance_T0*AnnualVarConvtr,(Simulation!G133)/250,0.5,Variance_Avg*AnnualVarConvtr,Lambda,SQRT(Simulation!N133),Rho,1,"Call")</f>
        <v>3.9288860100427598</v>
      </c>
      <c r="R133" s="19" t="e">
        <f t="shared" ca="1" si="154"/>
        <v>#VALUE!</v>
      </c>
      <c r="S133" s="19" t="e">
        <f t="shared" ca="1" si="155"/>
        <v>#VALUE!</v>
      </c>
      <c r="T133" s="19" t="e">
        <f t="shared" ca="1" si="160"/>
        <v>#VALUE!</v>
      </c>
      <c r="U133" s="19" t="e">
        <f t="shared" ca="1" si="161"/>
        <v>#VALUE!</v>
      </c>
      <c r="V133" s="21">
        <f t="shared" ca="1" si="162"/>
        <v>2.3270138606720005E-4</v>
      </c>
      <c r="W133">
        <f t="shared" ca="1" si="163"/>
        <v>1.5254552961893051E-2</v>
      </c>
      <c r="X133" s="22">
        <f t="shared" ref="X133" ca="1" si="294">BSdelta(1,P133,Strike,W133*AnnualVarConvtr,Dividend,RiskFreeRate,G133/250)</f>
        <v>6.4463926653138626E-3</v>
      </c>
      <c r="Y133" s="22">
        <f t="shared" ca="1" si="169"/>
        <v>0.41800944969419501</v>
      </c>
      <c r="Z133" s="22">
        <f t="shared" ca="1" si="170"/>
        <v>-1.7646093123290401</v>
      </c>
      <c r="AA133">
        <f t="shared" si="157"/>
        <v>0.73884103340948371</v>
      </c>
      <c r="AB133">
        <f t="shared" ref="AB133" ca="1" si="295">BSdelta(1,P133,Strike,AA133/AnnualVarConvtr,Dividend,RiskFreeRate,G133/250)</f>
        <v>2.1363807906663368E-40</v>
      </c>
      <c r="AC133">
        <f t="shared" ca="1" si="166"/>
        <v>-1.0112855966312752E-39</v>
      </c>
      <c r="AD133">
        <f t="shared" ca="1" si="167"/>
        <v>0.40129419934117561</v>
      </c>
    </row>
    <row r="134" spans="7:30" x14ac:dyDescent="0.25">
      <c r="G134" s="19">
        <v>121</v>
      </c>
      <c r="H134" s="19">
        <f t="shared" ca="1" si="217"/>
        <v>0.53519008656632627</v>
      </c>
      <c r="I134" s="19">
        <f t="shared" ca="1" si="217"/>
        <v>0.25845463428148752</v>
      </c>
      <c r="J134" s="19">
        <f t="shared" ref="J134:J197" ca="1" si="296">SQRT(-2*LN(H134))*COS(2*PI()*I134)</f>
        <v>-5.9370639676906388E-2</v>
      </c>
      <c r="K134" s="19">
        <f t="shared" ref="K134:K197" ca="1" si="297">SQRT(-2*LN(H134))*SIN(2*PI()*I134)</f>
        <v>1.116575887944909</v>
      </c>
      <c r="L134" s="19">
        <f t="array" aca="1" ref="L134:M134" ca="1">MMULT(J134:K134,TRANSPOSE($B$10:$C$11))</f>
        <v>-5.9370639676906388E-2</v>
      </c>
      <c r="M134" s="19">
        <f ca="1"/>
        <v>0.82144798925700768</v>
      </c>
      <c r="N134" s="20">
        <f t="shared" ca="1" si="174"/>
        <v>0.19624982400122989</v>
      </c>
      <c r="O134" s="20">
        <f t="shared" ref="O134:O197" ca="1" si="298">GetStockReturns(0,RiskFreeRate,N134,L134,"Daily")</f>
        <v>-1.6634370171990929E-3</v>
      </c>
      <c r="P134" s="19">
        <f t="shared" ca="1" si="159"/>
        <v>64.736158184680349</v>
      </c>
      <c r="Q134" s="19">
        <f ca="1">HCTrans(P134,Strike,RiskFreeRate,Dividend,Variance_T0*AnnualVarConvtr,(Simulation!G134)/250,0.5,Variance_Avg*AnnualVarConvtr,Lambda,SQRT(Simulation!N134),Rho,1,"Call")</f>
        <v>3.8410133454929252</v>
      </c>
      <c r="R134" s="19" t="e">
        <f t="shared" ref="R134:R197" ca="1" si="299">BSvol(1,P134,Strike,Q134,Dividend,RiskFreeRate,G134/250)</f>
        <v>#VALUE!</v>
      </c>
      <c r="S134" s="19" t="e">
        <f t="shared" ref="S134:S197" ca="1" si="300">BSdelta(1,P134,Strike,R134/AnnualVarConvtr,Dividend,RiskFreeRate,G134/250)</f>
        <v>#VALUE!</v>
      </c>
      <c r="T134" s="19" t="e">
        <f t="shared" ca="1" si="160"/>
        <v>#VALUE!</v>
      </c>
      <c r="U134" s="19" t="e">
        <f t="shared" ca="1" si="161"/>
        <v>#VALUE!</v>
      </c>
      <c r="V134" s="21">
        <f t="shared" ca="1" si="162"/>
        <v>1.0654075990377114E-5</v>
      </c>
      <c r="W134">
        <f t="shared" ca="1" si="163"/>
        <v>3.2640582087911842E-3</v>
      </c>
      <c r="X134" s="22">
        <f t="shared" ref="X134" ca="1" si="301">BSdelta(1,P134,Strike,W134*AnnualVarConvtr,Dividend,RiskFreeRate,G134/250)</f>
        <v>5.7292474566858133E-34</v>
      </c>
      <c r="Y134" s="22">
        <f t="shared" ca="1" si="169"/>
        <v>-0.41731469530232135</v>
      </c>
      <c r="Z134" s="22">
        <f t="shared" ca="1" si="170"/>
        <v>-1.4351672815765535</v>
      </c>
      <c r="AA134">
        <f t="shared" ref="AA134:AA197" si="302">$R$5</f>
        <v>0.73884103340948371</v>
      </c>
      <c r="AB134">
        <f t="shared" ref="AB134" ca="1" si="303">BSdelta(1,P134,Strike,AA134/AnnualVarConvtr,Dividend,RiskFreeRate,G134/250)</f>
        <v>5.174890233290271E-41</v>
      </c>
      <c r="AC134">
        <f t="shared" ca="1" si="166"/>
        <v>-1.0480083353422481E-38</v>
      </c>
      <c r="AD134">
        <f t="shared" ca="1" si="167"/>
        <v>0.31342153479134094</v>
      </c>
    </row>
    <row r="135" spans="7:30" x14ac:dyDescent="0.25">
      <c r="G135" s="19">
        <v>120</v>
      </c>
      <c r="H135" s="19">
        <f t="shared" ca="1" si="217"/>
        <v>0.95840857450365557</v>
      </c>
      <c r="I135" s="19">
        <f t="shared" ca="1" si="217"/>
        <v>0.59700980772703671</v>
      </c>
      <c r="J135" s="19">
        <f t="shared" ca="1" si="296"/>
        <v>-0.23899163613308994</v>
      </c>
      <c r="K135" s="19">
        <f t="shared" ca="1" si="297"/>
        <v>-0.16686883414468792</v>
      </c>
      <c r="L135" s="19">
        <f t="array" aca="1" ref="L135:M135" ca="1">MMULT(J135:K135,TRANSPOSE($B$10:$C$11))</f>
        <v>-0.23899163613308994</v>
      </c>
      <c r="M135" s="19">
        <f ca="1"/>
        <v>5.4831962643571736E-2</v>
      </c>
      <c r="N135" s="20">
        <f t="shared" ca="1" si="174"/>
        <v>0.19584288062081262</v>
      </c>
      <c r="O135" s="20">
        <f t="shared" ca="1" si="298"/>
        <v>-6.6890831155937778E-3</v>
      </c>
      <c r="P135" s="19">
        <f t="shared" ref="P135:P198" ca="1" si="304">P134*EXP(O135)</f>
        <v>64.304577690111017</v>
      </c>
      <c r="Q135" s="19">
        <f ca="1">HCTrans(P135,Strike,RiskFreeRate,Dividend,Variance_T0*AnnualVarConvtr,(Simulation!G135)/250,0.5,Variance_Avg*AnnualVarConvtr,Lambda,SQRT(Simulation!N135),Rho,1,"Call")</f>
        <v>3.6837375956169254</v>
      </c>
      <c r="R135" s="19" t="e">
        <f t="shared" ca="1" si="299"/>
        <v>#VALUE!</v>
      </c>
      <c r="S135" s="19" t="e">
        <f t="shared" ca="1" si="300"/>
        <v>#VALUE!</v>
      </c>
      <c r="T135" s="19" t="e">
        <f t="shared" ref="T135:T198" ca="1" si="305">(S135-S134)*P135</f>
        <v>#VALUE!</v>
      </c>
      <c r="U135" s="19" t="e">
        <f t="shared" ref="U135:U198" ca="1" si="306">(Q135-Q134)+U134-T135</f>
        <v>#VALUE!</v>
      </c>
      <c r="V135" s="21">
        <f t="shared" ref="V135:V198" ca="1" si="307">(O135-O134)^2</f>
        <v>2.5257118706309717E-5</v>
      </c>
      <c r="W135">
        <f t="shared" ref="W135:W198" ca="1" si="308">SQRT(V135)</f>
        <v>5.0256460983946847E-3</v>
      </c>
      <c r="X135" s="22">
        <f t="shared" ref="X135" ca="1" si="309">BSdelta(1,P135,Strike,W135*AnnualVarConvtr,Dividend,RiskFreeRate,G135/250)</f>
        <v>6.6004940633254745E-16</v>
      </c>
      <c r="Y135" s="22">
        <f t="shared" ca="1" si="169"/>
        <v>4.244419832882295E-14</v>
      </c>
      <c r="Z135" s="22">
        <f t="shared" ca="1" si="170"/>
        <v>-1.5924430314525957</v>
      </c>
      <c r="AA135">
        <f t="shared" si="302"/>
        <v>0.73884103340948371</v>
      </c>
      <c r="AB135">
        <f t="shared" ref="AB135" ca="1" si="310">BSdelta(1,P135,Strike,AA135/AnnualVarConvtr,Dividend,RiskFreeRate,G135/250)</f>
        <v>1.4746040012229082E-42</v>
      </c>
      <c r="AC135">
        <f t="shared" ref="AC135:AC198" ca="1" si="311">(AB135-AB134)*P135</f>
        <v>-3.2328675228853221E-39</v>
      </c>
      <c r="AD135">
        <f t="shared" ref="AD135:AD198" ca="1" si="312">(Q135-Q134)+AD134-AC135</f>
        <v>0.15614578491534115</v>
      </c>
    </row>
    <row r="136" spans="7:30" x14ac:dyDescent="0.25">
      <c r="G136" s="19">
        <v>119</v>
      </c>
      <c r="H136" s="19">
        <f t="shared" ca="1" si="217"/>
        <v>0.45947871144586949</v>
      </c>
      <c r="I136" s="19">
        <f t="shared" ca="1" si="217"/>
        <v>0.13637230254383392</v>
      </c>
      <c r="J136" s="19">
        <f t="shared" ca="1" si="296"/>
        <v>0.8166430704782669</v>
      </c>
      <c r="K136" s="19">
        <f t="shared" ca="1" si="297"/>
        <v>0.94256004138046767</v>
      </c>
      <c r="L136" s="19">
        <f t="array" aca="1" ref="L136:M136" ca="1">MMULT(J136:K136,TRANSPOSE($B$10:$C$11))</f>
        <v>0.8166430704782669</v>
      </c>
      <c r="M136" s="19">
        <f ca="1"/>
        <v>7.2392957679393688E-2</v>
      </c>
      <c r="N136" s="20">
        <f t="shared" ca="1" si="174"/>
        <v>0.1956283712148594</v>
      </c>
      <c r="O136" s="20">
        <f t="shared" ca="1" si="298"/>
        <v>2.2844317968604696E-2</v>
      </c>
      <c r="P136" s="19">
        <f t="shared" ca="1" si="304"/>
        <v>65.79047949719066</v>
      </c>
      <c r="Q136" s="19">
        <f ca="1">HCTrans(P136,Strike,RiskFreeRate,Dividend,Variance_T0*AnnualVarConvtr,(Simulation!G136)/250,0.5,Variance_Avg*AnnualVarConvtr,Lambda,SQRT(Simulation!N136),Rho,1,"Call")</f>
        <v>4.0530982399059141</v>
      </c>
      <c r="R136" s="19" t="e">
        <f t="shared" ca="1" si="299"/>
        <v>#VALUE!</v>
      </c>
      <c r="S136" s="19" t="e">
        <f t="shared" ca="1" si="300"/>
        <v>#VALUE!</v>
      </c>
      <c r="T136" s="19" t="e">
        <f t="shared" ca="1" si="305"/>
        <v>#VALUE!</v>
      </c>
      <c r="U136" s="19" t="e">
        <f t="shared" ca="1" si="306"/>
        <v>#VALUE!</v>
      </c>
      <c r="V136" s="21">
        <f t="shared" ca="1" si="307"/>
        <v>8.7222177960013571E-4</v>
      </c>
      <c r="W136">
        <f t="shared" ca="1" si="308"/>
        <v>2.9533401084198475E-2</v>
      </c>
      <c r="X136" s="22">
        <f t="shared" ref="X136" ca="1" si="313">BSdelta(1,P136,Strike,W136*AnnualVarConvtr,Dividend,RiskFreeRate,G136/250)</f>
        <v>0.1274521580555755</v>
      </c>
      <c r="Y136" s="22">
        <f t="shared" ref="Y136:Y199" ca="1" si="314">(X136-X135)*P136</f>
        <v>8.3851385914279994</v>
      </c>
      <c r="Z136" s="22">
        <f t="shared" ref="Z136:Z199" ca="1" si="315">(Q136-Q135)+Z135-Y136</f>
        <v>-9.6082209785916071</v>
      </c>
      <c r="AA136">
        <f t="shared" si="302"/>
        <v>0.73884103340948371</v>
      </c>
      <c r="AB136">
        <f t="shared" ref="AB136" ca="1" si="316">BSdelta(1,P136,Strike,AA136/AnnualVarConvtr,Dividend,RiskFreeRate,G136/250)</f>
        <v>8.9324364965459337E-39</v>
      </c>
      <c r="AC136">
        <f t="shared" ca="1" si="311"/>
        <v>5.8757226528165385E-37</v>
      </c>
      <c r="AD136">
        <f t="shared" ca="1" si="312"/>
        <v>0.52550642920432988</v>
      </c>
    </row>
    <row r="137" spans="7:30" x14ac:dyDescent="0.25">
      <c r="G137" s="19">
        <v>118</v>
      </c>
      <c r="H137" s="19">
        <f t="shared" ca="1" si="217"/>
        <v>0.2599995832091605</v>
      </c>
      <c r="I137" s="19">
        <f t="shared" ca="1" si="217"/>
        <v>0.83151045122323564</v>
      </c>
      <c r="J137" s="19">
        <f t="shared" ca="1" si="296"/>
        <v>0.80435894705519795</v>
      </c>
      <c r="K137" s="19">
        <f t="shared" ca="1" si="297"/>
        <v>-1.4307890083137424</v>
      </c>
      <c r="L137" s="19">
        <f t="array" aca="1" ref="L137:M137" ca="1">MMULT(J137:K137,TRANSPOSE($B$10:$C$11))</f>
        <v>0.80435894705519795</v>
      </c>
      <c r="M137" s="19">
        <f ca="1"/>
        <v>-1.574423128191567</v>
      </c>
      <c r="N137" s="20">
        <f t="shared" ca="1" si="174"/>
        <v>0.17792615323414379</v>
      </c>
      <c r="O137" s="20">
        <f t="shared" ca="1" si="298"/>
        <v>2.1458521089029722E-2</v>
      </c>
      <c r="P137" s="19">
        <f t="shared" ca="1" si="304"/>
        <v>67.217502027692021</v>
      </c>
      <c r="Q137" s="19">
        <f ca="1">HCTrans(P137,Strike,RiskFreeRate,Dividend,Variance_T0*AnnualVarConvtr,(Simulation!G137)/250,0.5,Variance_Avg*AnnualVarConvtr,Lambda,SQRT(Simulation!N137),Rho,1,"Call")</f>
        <v>4.4631395440256085</v>
      </c>
      <c r="R137" s="19" t="e">
        <f t="shared" ca="1" si="299"/>
        <v>#VALUE!</v>
      </c>
      <c r="S137" s="19" t="e">
        <f t="shared" ca="1" si="300"/>
        <v>#VALUE!</v>
      </c>
      <c r="T137" s="19" t="e">
        <f t="shared" ca="1" si="305"/>
        <v>#VALUE!</v>
      </c>
      <c r="U137" s="19" t="e">
        <f t="shared" ca="1" si="306"/>
        <v>#VALUE!</v>
      </c>
      <c r="V137" s="21">
        <f t="shared" ca="1" si="307"/>
        <v>1.9204329914397336E-6</v>
      </c>
      <c r="W137">
        <f t="shared" ca="1" si="308"/>
        <v>1.3857968795749735E-3</v>
      </c>
      <c r="X137" s="22">
        <f t="shared" ref="X137" ca="1" si="317">BSdelta(1,P137,Strike,W137*AnnualVarConvtr,Dividend,RiskFreeRate,G137/250)</f>
        <v>1.1439010607191966E-153</v>
      </c>
      <c r="Y137" s="22">
        <f t="shared" ca="1" si="314"/>
        <v>-8.5670156925343708</v>
      </c>
      <c r="Z137" s="22">
        <f t="shared" ca="1" si="315"/>
        <v>-0.63116398193754186</v>
      </c>
      <c r="AA137">
        <f t="shared" si="302"/>
        <v>0.73884103340948371</v>
      </c>
      <c r="AB137">
        <f t="shared" ref="AB137" ca="1" si="318">BSdelta(1,P137,Strike,AA137/AnnualVarConvtr,Dividend,RiskFreeRate,G137/250)</f>
        <v>2.2165208442558727E-35</v>
      </c>
      <c r="AC137">
        <f t="shared" ca="1" si="311"/>
        <v>1.4892895273635887E-33</v>
      </c>
      <c r="AD137">
        <f t="shared" ca="1" si="312"/>
        <v>0.9355477333240243</v>
      </c>
    </row>
    <row r="138" spans="7:30" x14ac:dyDescent="0.25">
      <c r="G138" s="19">
        <v>117</v>
      </c>
      <c r="H138" s="19">
        <f t="shared" ca="1" si="217"/>
        <v>0.80711650722255757</v>
      </c>
      <c r="I138" s="19">
        <f t="shared" ca="1" si="217"/>
        <v>4.1477837029129105E-2</v>
      </c>
      <c r="J138" s="19">
        <f t="shared" ca="1" si="296"/>
        <v>0.63254973844496487</v>
      </c>
      <c r="K138" s="19">
        <f t="shared" ca="1" si="297"/>
        <v>0.16868707446281603</v>
      </c>
      <c r="L138" s="19">
        <f t="array" aca="1" ref="L138:M138" ca="1">MMULT(J138:K138,TRANSPOSE($B$10:$C$11))</f>
        <v>0.63254973844496487</v>
      </c>
      <c r="M138" s="19">
        <f ca="1"/>
        <v>-0.33554796197515552</v>
      </c>
      <c r="N138" s="20">
        <f t="shared" ref="N138:N201" ca="1" si="319">GetVariance(N137,Variance_Avg,Lambda,Eta,M138,"Daily")</f>
        <v>0.17356664030325633</v>
      </c>
      <c r="O138" s="20">
        <f t="shared" ca="1" si="298"/>
        <v>1.6667014170116158E-2</v>
      </c>
      <c r="P138" s="19">
        <f t="shared" ca="1" si="304"/>
        <v>68.347205325394057</v>
      </c>
      <c r="Q138" s="19">
        <f ca="1">HCTrans(P138,Strike,RiskFreeRate,Dividend,Variance_T0*AnnualVarConvtr,(Simulation!G138)/250,0.5,Variance_Avg*AnnualVarConvtr,Lambda,SQRT(Simulation!N138),Rho,1,"Call")</f>
        <v>4.7706391307558036</v>
      </c>
      <c r="R138" s="19" t="e">
        <f t="shared" ca="1" si="299"/>
        <v>#VALUE!</v>
      </c>
      <c r="S138" s="19" t="e">
        <f t="shared" ca="1" si="300"/>
        <v>#VALUE!</v>
      </c>
      <c r="T138" s="19" t="e">
        <f t="shared" ca="1" si="305"/>
        <v>#VALUE!</v>
      </c>
      <c r="U138" s="19" t="e">
        <f t="shared" ca="1" si="306"/>
        <v>#VALUE!</v>
      </c>
      <c r="V138" s="21">
        <f t="shared" ca="1" si="307"/>
        <v>2.2958538553996557E-5</v>
      </c>
      <c r="W138">
        <f t="shared" ca="1" si="308"/>
        <v>4.7915069189135642E-3</v>
      </c>
      <c r="X138" s="22">
        <f t="shared" ref="X138" ca="1" si="320">BSdelta(1,P138,Strike,W138*AnnualVarConvtr,Dividend,RiskFreeRate,G138/250)</f>
        <v>1.2677997050155224E-13</v>
      </c>
      <c r="Y138" s="22">
        <f t="shared" ca="1" si="314"/>
        <v>8.6650566750169923E-12</v>
      </c>
      <c r="Z138" s="22">
        <f t="shared" ca="1" si="315"/>
        <v>-0.32366439521601187</v>
      </c>
      <c r="AA138">
        <f t="shared" si="302"/>
        <v>0.73884103340948371</v>
      </c>
      <c r="AB138">
        <f t="shared" ref="AB138" ca="1" si="321">BSdelta(1,P138,Strike,AA138/AnnualVarConvtr,Dividend,RiskFreeRate,G138/250)</f>
        <v>6.7478724738322611E-33</v>
      </c>
      <c r="AC138">
        <f t="shared" ca="1" si="311"/>
        <v>4.5968329542608461E-31</v>
      </c>
      <c r="AD138">
        <f t="shared" ca="1" si="312"/>
        <v>1.2430473200542194</v>
      </c>
    </row>
    <row r="139" spans="7:30" x14ac:dyDescent="0.25">
      <c r="G139" s="19">
        <v>116</v>
      </c>
      <c r="H139" s="19">
        <f t="shared" ca="1" si="217"/>
        <v>0.71551680592417866</v>
      </c>
      <c r="I139" s="19">
        <f t="shared" ca="1" si="217"/>
        <v>0.86371188564086521</v>
      </c>
      <c r="J139" s="19">
        <f t="shared" ca="1" si="296"/>
        <v>0.53612008984580173</v>
      </c>
      <c r="K139" s="19">
        <f t="shared" ca="1" si="297"/>
        <v>-0.61812266829442775</v>
      </c>
      <c r="L139" s="19">
        <f t="array" aca="1" ref="L139:M139" ca="1">MMULT(J139:K139,TRANSPOSE($B$10:$C$11))</f>
        <v>0.53612008984580173</v>
      </c>
      <c r="M139" s="19">
        <f ca="1"/>
        <v>-0.81532443863948501</v>
      </c>
      <c r="N139" s="20">
        <f t="shared" ca="1" si="319"/>
        <v>0.16445486672059453</v>
      </c>
      <c r="O139" s="20">
        <f t="shared" ca="1" si="298"/>
        <v>1.375040349583E-2</v>
      </c>
      <c r="P139" s="19">
        <f t="shared" ca="1" si="304"/>
        <v>69.29349801975026</v>
      </c>
      <c r="Q139" s="19">
        <f ca="1">HCTrans(P139,Strike,RiskFreeRate,Dividend,Variance_T0*AnnualVarConvtr,(Simulation!G139)/250,0.5,Variance_Avg*AnnualVarConvtr,Lambda,SQRT(Simulation!N139),Rho,1,"Call")</f>
        <v>5.0410612423130488</v>
      </c>
      <c r="R139" s="19" t="e">
        <f t="shared" ca="1" si="299"/>
        <v>#VALUE!</v>
      </c>
      <c r="S139" s="19" t="e">
        <f t="shared" ca="1" si="300"/>
        <v>#VALUE!</v>
      </c>
      <c r="T139" s="19" t="e">
        <f t="shared" ca="1" si="305"/>
        <v>#VALUE!</v>
      </c>
      <c r="U139" s="19" t="e">
        <f t="shared" ca="1" si="306"/>
        <v>#VALUE!</v>
      </c>
      <c r="V139" s="21">
        <f t="shared" ca="1" si="307"/>
        <v>8.5066178253599583E-6</v>
      </c>
      <c r="W139">
        <f t="shared" ca="1" si="308"/>
        <v>2.9166106742861582E-3</v>
      </c>
      <c r="X139" s="22">
        <f t="shared" ref="X139" ca="1" si="322">BSdelta(1,P139,Strike,W139*AnnualVarConvtr,Dividend,RiskFreeRate,G139/250)</f>
        <v>1.0006439237419616E-31</v>
      </c>
      <c r="Y139" s="22">
        <f t="shared" ca="1" si="314"/>
        <v>-8.7850276348933071E-12</v>
      </c>
      <c r="Z139" s="22">
        <f t="shared" ca="1" si="315"/>
        <v>-5.3242283649981681E-2</v>
      </c>
      <c r="AA139">
        <f t="shared" si="302"/>
        <v>0.73884103340948371</v>
      </c>
      <c r="AB139">
        <f t="shared" ref="AB139" ca="1" si="323">BSdelta(1,P139,Strike,AA139/AnnualVarConvtr,Dividend,RiskFreeRate,G139/250)</f>
        <v>5.9897433821565817E-31</v>
      </c>
      <c r="AC139">
        <f t="shared" ca="1" si="311"/>
        <v>4.1037443431124909E-29</v>
      </c>
      <c r="AD139">
        <f t="shared" ca="1" si="312"/>
        <v>1.5134694316114645</v>
      </c>
    </row>
    <row r="140" spans="7:30" x14ac:dyDescent="0.25">
      <c r="G140" s="19">
        <v>115</v>
      </c>
      <c r="H140" s="19">
        <f t="shared" ca="1" si="217"/>
        <v>0.29693861229253871</v>
      </c>
      <c r="I140" s="19">
        <f t="shared" ca="1" si="217"/>
        <v>0.53346537341819023</v>
      </c>
      <c r="J140" s="19">
        <f t="shared" ca="1" si="296"/>
        <v>-1.5240285533381066</v>
      </c>
      <c r="K140" s="19">
        <f t="shared" ca="1" si="297"/>
        <v>-0.32526401112356257</v>
      </c>
      <c r="L140" s="19">
        <f t="array" aca="1" ref="L140:M140" ca="1">MMULT(J140:K140,TRANSPOSE($B$10:$C$11))</f>
        <v>-1.5240285533381066</v>
      </c>
      <c r="M140" s="19">
        <f ca="1"/>
        <v>0.86506648303046552</v>
      </c>
      <c r="N140" s="20">
        <f t="shared" ca="1" si="319"/>
        <v>0.17233487806020101</v>
      </c>
      <c r="O140" s="20">
        <f t="shared" ca="1" si="298"/>
        <v>-4.0013790137376652E-2</v>
      </c>
      <c r="P140" s="19">
        <f t="shared" ca="1" si="304"/>
        <v>66.575543007084192</v>
      </c>
      <c r="Q140" s="19">
        <f ca="1">HCTrans(P140,Strike,RiskFreeRate,Dividend,Variance_T0*AnnualVarConvtr,(Simulation!G140)/250,0.5,Variance_Avg*AnnualVarConvtr,Lambda,SQRT(Simulation!N140),Rho,1,"Call")</f>
        <v>4.1515739424290174</v>
      </c>
      <c r="R140" s="19" t="e">
        <f t="shared" ca="1" si="299"/>
        <v>#VALUE!</v>
      </c>
      <c r="S140" s="19" t="e">
        <f t="shared" ca="1" si="300"/>
        <v>#VALUE!</v>
      </c>
      <c r="T140" s="19" t="e">
        <f t="shared" ca="1" si="305"/>
        <v>#VALUE!</v>
      </c>
      <c r="U140" s="19" t="e">
        <f t="shared" ca="1" si="306"/>
        <v>#VALUE!</v>
      </c>
      <c r="V140" s="21">
        <f t="shared" ca="1" si="307"/>
        <v>2.8905885170289391E-3</v>
      </c>
      <c r="W140">
        <f t="shared" ca="1" si="308"/>
        <v>5.3764193633206656E-2</v>
      </c>
      <c r="X140" s="22">
        <f t="shared" ref="X140" ca="1" si="324">BSdelta(1,P140,Strike,W140*AnnualVarConvtr,Dividend,RiskFreeRate,G140/250)</f>
        <v>0.33821241504780986</v>
      </c>
      <c r="Y140" s="22">
        <f t="shared" ca="1" si="314"/>
        <v>22.516675183545274</v>
      </c>
      <c r="Z140" s="22">
        <f t="shared" ca="1" si="315"/>
        <v>-23.459404767079288</v>
      </c>
      <c r="AA140">
        <f t="shared" si="302"/>
        <v>0.73884103340948371</v>
      </c>
      <c r="AB140">
        <f t="shared" ref="AB140" ca="1" si="325">BSdelta(1,P140,Strike,AA140/AnnualVarConvtr,Dividend,RiskFreeRate,G140/250)</f>
        <v>6.2590872319267621E-38</v>
      </c>
      <c r="AC140">
        <f t="shared" ca="1" si="311"/>
        <v>-3.9877037646995033E-29</v>
      </c>
      <c r="AD140">
        <f t="shared" ca="1" si="312"/>
        <v>0.62398213172743322</v>
      </c>
    </row>
    <row r="141" spans="7:30" x14ac:dyDescent="0.25">
      <c r="G141" s="19">
        <v>114</v>
      </c>
      <c r="H141" s="19">
        <f t="shared" ca="1" si="217"/>
        <v>0.99627064966931433</v>
      </c>
      <c r="I141" s="19">
        <f t="shared" ca="1" si="217"/>
        <v>0.26681250049683813</v>
      </c>
      <c r="J141" s="19">
        <f t="shared" ca="1" si="296"/>
        <v>-9.114677208001536E-3</v>
      </c>
      <c r="K141" s="19">
        <f t="shared" ca="1" si="297"/>
        <v>8.5962585177104436E-2</v>
      </c>
      <c r="L141" s="19">
        <f t="array" aca="1" ref="L141:M141" ca="1">MMULT(J141:K141,TRANSPOSE($B$10:$C$11))</f>
        <v>-9.114677208001536E-3</v>
      </c>
      <c r="M141" s="19">
        <f ca="1"/>
        <v>6.6497055977037506E-2</v>
      </c>
      <c r="N141" s="20">
        <f t="shared" ca="1" si="319"/>
        <v>0.17213619711801359</v>
      </c>
      <c r="O141" s="20">
        <f t="shared" ca="1" si="298"/>
        <v>-2.3917037842179E-4</v>
      </c>
      <c r="P141" s="19">
        <f t="shared" ca="1" si="304"/>
        <v>66.559622013260494</v>
      </c>
      <c r="Q141" s="19">
        <f ca="1">HCTrans(P141,Strike,RiskFreeRate,Dividend,Variance_T0*AnnualVarConvtr,(Simulation!G141)/250,0.5,Variance_Avg*AnnualVarConvtr,Lambda,SQRT(Simulation!N141),Rho,1,"Call")</f>
        <v>4.1025747429249435</v>
      </c>
      <c r="R141" s="19" t="e">
        <f t="shared" ca="1" si="299"/>
        <v>#VALUE!</v>
      </c>
      <c r="S141" s="19" t="e">
        <f t="shared" ca="1" si="300"/>
        <v>#VALUE!</v>
      </c>
      <c r="T141" s="19" t="e">
        <f t="shared" ca="1" si="305"/>
        <v>#VALUE!</v>
      </c>
      <c r="U141" s="19" t="e">
        <f t="shared" ca="1" si="306"/>
        <v>#VALUE!</v>
      </c>
      <c r="V141" s="21">
        <f t="shared" ca="1" si="307"/>
        <v>1.5820203769694424E-3</v>
      </c>
      <c r="W141">
        <f t="shared" ca="1" si="308"/>
        <v>3.9774619758954861E-2</v>
      </c>
      <c r="X141" s="22">
        <f t="shared" ref="X141" ca="1" si="326">BSdelta(1,P141,Strike,W141*AnnualVarConvtr,Dividend,RiskFreeRate,G141/250)</f>
        <v>0.22777107632535959</v>
      </c>
      <c r="Y141" s="22">
        <f t="shared" ca="1" si="314"/>
        <v>-7.3509337600047591</v>
      </c>
      <c r="Z141" s="22">
        <f t="shared" ca="1" si="315"/>
        <v>-16.157470206578601</v>
      </c>
      <c r="AA141">
        <f t="shared" si="302"/>
        <v>0.73884103340948371</v>
      </c>
      <c r="AB141">
        <f t="shared" ref="AB141" ca="1" si="327">BSdelta(1,P141,Strike,AA141/AnnualVarConvtr,Dividend,RiskFreeRate,G141/250)</f>
        <v>2.7422080517641513E-38</v>
      </c>
      <c r="AC141">
        <f t="shared" ca="1" si="311"/>
        <v>-2.3408214889792882E-36</v>
      </c>
      <c r="AD141">
        <f t="shared" ca="1" si="312"/>
        <v>0.57498293222335928</v>
      </c>
    </row>
    <row r="142" spans="7:30" x14ac:dyDescent="0.25">
      <c r="G142" s="19">
        <v>113</v>
      </c>
      <c r="H142" s="19">
        <f t="shared" ca="1" si="217"/>
        <v>0.81114693526567228</v>
      </c>
      <c r="I142" s="19">
        <f t="shared" ca="1" si="217"/>
        <v>0.3296933574690939</v>
      </c>
      <c r="J142" s="19">
        <f t="shared" ca="1" si="296"/>
        <v>-0.3106028320153002</v>
      </c>
      <c r="K142" s="19">
        <f t="shared" ca="1" si="297"/>
        <v>0.56757202849213262</v>
      </c>
      <c r="L142" s="19">
        <f t="array" aca="1" ref="L142:M142" ca="1">MMULT(J142:K142,TRANSPOSE($B$10:$C$11))</f>
        <v>-0.3106028320153002</v>
      </c>
      <c r="M142" s="19">
        <f ca="1"/>
        <v>0.61847784961902375</v>
      </c>
      <c r="N142" s="20">
        <f t="shared" ca="1" si="319"/>
        <v>0.17761047759156953</v>
      </c>
      <c r="O142" s="20">
        <f t="shared" ca="1" si="298"/>
        <v>-8.2788439763703328E-3</v>
      </c>
      <c r="P142" s="19">
        <f t="shared" ca="1" si="304"/>
        <v>66.010859979423955</v>
      </c>
      <c r="Q142" s="19">
        <f ca="1">HCTrans(P142,Strike,RiskFreeRate,Dividend,Variance_T0*AnnualVarConvtr,(Simulation!G142)/250,0.5,Variance_Avg*AnnualVarConvtr,Lambda,SQRT(Simulation!N142),Rho,1,"Call")</f>
        <v>3.8922161860147639</v>
      </c>
      <c r="R142" s="19" t="e">
        <f t="shared" ca="1" si="299"/>
        <v>#VALUE!</v>
      </c>
      <c r="S142" s="19" t="e">
        <f t="shared" ca="1" si="300"/>
        <v>#VALUE!</v>
      </c>
      <c r="T142" s="19" t="e">
        <f t="shared" ca="1" si="305"/>
        <v>#VALUE!</v>
      </c>
      <c r="U142" s="19" t="e">
        <f t="shared" ca="1" si="306"/>
        <v>#VALUE!</v>
      </c>
      <c r="V142" s="21">
        <f t="shared" ca="1" si="307"/>
        <v>6.4636351561550849E-5</v>
      </c>
      <c r="W142">
        <f t="shared" ca="1" si="308"/>
        <v>8.039673597948542E-3</v>
      </c>
      <c r="X142" s="22">
        <f t="shared" ref="X142" ca="1" si="328">BSdelta(1,P142,Strike,W142*AnnualVarConvtr,Dividend,RiskFreeRate,G142/250)</f>
        <v>7.2763235044823243E-7</v>
      </c>
      <c r="Y142" s="22">
        <f t="shared" ca="1" si="314"/>
        <v>-15.035316595038797</v>
      </c>
      <c r="Z142" s="22">
        <f t="shared" ca="1" si="315"/>
        <v>-1.3325121684499841</v>
      </c>
      <c r="AA142">
        <f t="shared" si="302"/>
        <v>0.73884103340948371</v>
      </c>
      <c r="AB142">
        <f t="shared" ref="AB142" ca="1" si="329">BSdelta(1,P142,Strike,AA142/AnnualVarConvtr,Dividend,RiskFreeRate,G142/250)</f>
        <v>4.0880335633107029E-40</v>
      </c>
      <c r="AC142">
        <f t="shared" ca="1" si="311"/>
        <v>-1.7831696562806345E-36</v>
      </c>
      <c r="AD142">
        <f t="shared" ca="1" si="312"/>
        <v>0.3646243753131797</v>
      </c>
    </row>
    <row r="143" spans="7:30" x14ac:dyDescent="0.25">
      <c r="G143" s="19">
        <v>112</v>
      </c>
      <c r="H143" s="19">
        <f t="shared" ca="1" si="217"/>
        <v>0.98756200934586102</v>
      </c>
      <c r="I143" s="19">
        <f t="shared" ca="1" si="217"/>
        <v>0.88209239607212397</v>
      </c>
      <c r="J143" s="19">
        <f t="shared" ca="1" si="296"/>
        <v>0.11674763281798815</v>
      </c>
      <c r="K143" s="19">
        <f t="shared" ca="1" si="297"/>
        <v>-0.10678000767696628</v>
      </c>
      <c r="L143" s="19">
        <f t="array" aca="1" ref="L143:M143" ca="1">MMULT(J143:K143,TRANSPOSE($B$10:$C$11))</f>
        <v>0.11674763281798815</v>
      </c>
      <c r="M143" s="19">
        <f ca="1"/>
        <v>-0.15813803388240472</v>
      </c>
      <c r="N143" s="20">
        <f t="shared" ca="1" si="319"/>
        <v>0.1750758720990267</v>
      </c>
      <c r="O143" s="20">
        <f t="shared" ca="1" si="298"/>
        <v>3.0895215467489851E-3</v>
      </c>
      <c r="P143" s="19">
        <f t="shared" ca="1" si="304"/>
        <v>66.215117319904948</v>
      </c>
      <c r="Q143" s="19">
        <f ca="1">HCTrans(P143,Strike,RiskFreeRate,Dividend,Variance_T0*AnnualVarConvtr,(Simulation!G143)/250,0.5,Variance_Avg*AnnualVarConvtr,Lambda,SQRT(Simulation!N143),Rho,1,"Call")</f>
        <v>3.9100415484015372</v>
      </c>
      <c r="R143" s="19" t="e">
        <f t="shared" ca="1" si="299"/>
        <v>#VALUE!</v>
      </c>
      <c r="S143" s="19" t="e">
        <f t="shared" ca="1" si="300"/>
        <v>#VALUE!</v>
      </c>
      <c r="T143" s="19" t="e">
        <f t="shared" ca="1" si="305"/>
        <v>#VALUE!</v>
      </c>
      <c r="U143" s="19" t="e">
        <f t="shared" ca="1" si="306"/>
        <v>#VALUE!</v>
      </c>
      <c r="V143" s="21">
        <f t="shared" ca="1" si="307"/>
        <v>1.2923973466724795E-4</v>
      </c>
      <c r="W143">
        <f t="shared" ca="1" si="308"/>
        <v>1.1368365523119317E-2</v>
      </c>
      <c r="X143" s="22">
        <f t="shared" ref="X143" ca="1" si="330">BSdelta(1,P143,Strike,W143*AnnualVarConvtr,Dividend,RiskFreeRate,G143/250)</f>
        <v>3.8069573465425178E-4</v>
      </c>
      <c r="Y143" s="22">
        <f t="shared" ca="1" si="314"/>
        <v>2.5159632471867997E-2</v>
      </c>
      <c r="Z143" s="22">
        <f t="shared" ca="1" si="315"/>
        <v>-1.3398464385350788</v>
      </c>
      <c r="AA143">
        <f t="shared" si="302"/>
        <v>0.73884103340948371</v>
      </c>
      <c r="AB143">
        <f t="shared" ref="AB143" ca="1" si="331">BSdelta(1,P143,Strike,AA143/AnnualVarConvtr,Dividend,RiskFreeRate,G143/250)</f>
        <v>6.9315787413410454E-40</v>
      </c>
      <c r="AC143">
        <f t="shared" ca="1" si="311"/>
        <v>1.8828567756772912E-38</v>
      </c>
      <c r="AD143">
        <f t="shared" ca="1" si="312"/>
        <v>0.38244973769995294</v>
      </c>
    </row>
    <row r="144" spans="7:30" x14ac:dyDescent="0.25">
      <c r="G144" s="19">
        <v>111</v>
      </c>
      <c r="H144" s="19">
        <f t="shared" ca="1" si="217"/>
        <v>0.60235187025805348</v>
      </c>
      <c r="I144" s="19">
        <f t="shared" ca="1" si="217"/>
        <v>0.60762755888427455</v>
      </c>
      <c r="J144" s="19">
        <f t="shared" ca="1" si="296"/>
        <v>-0.78530256973356338</v>
      </c>
      <c r="K144" s="19">
        <f t="shared" ca="1" si="297"/>
        <v>-0.63018003669311673</v>
      </c>
      <c r="L144" s="19">
        <f t="array" aca="1" ref="L144:M144" ca="1">MMULT(J144:K144,TRANSPOSE($B$10:$C$11))</f>
        <v>-0.78530256973356338</v>
      </c>
      <c r="M144" s="19">
        <f ca="1"/>
        <v>0.12306383239871016</v>
      </c>
      <c r="N144" s="20">
        <f t="shared" ca="1" si="319"/>
        <v>0.17544999795201133</v>
      </c>
      <c r="O144" s="20">
        <f t="shared" ca="1" si="298"/>
        <v>-2.0803849244694392E-2</v>
      </c>
      <c r="P144" s="19">
        <f t="shared" ca="1" si="304"/>
        <v>64.851818106438003</v>
      </c>
      <c r="Q144" s="19">
        <f ca="1">HCTrans(P144,Strike,RiskFreeRate,Dividend,Variance_T0*AnnualVarConvtr,(Simulation!G144)/250,0.5,Variance_Avg*AnnualVarConvtr,Lambda,SQRT(Simulation!N144),Rho,1,"Call")</f>
        <v>3.4991484915107591</v>
      </c>
      <c r="R144" s="19" t="e">
        <f t="shared" ca="1" si="299"/>
        <v>#VALUE!</v>
      </c>
      <c r="S144" s="19" t="e">
        <f t="shared" ca="1" si="300"/>
        <v>#VALUE!</v>
      </c>
      <c r="T144" s="19" t="e">
        <f t="shared" ca="1" si="305"/>
        <v>#VALUE!</v>
      </c>
      <c r="U144" s="19" t="e">
        <f t="shared" ca="1" si="306"/>
        <v>#VALUE!</v>
      </c>
      <c r="V144" s="21">
        <f t="shared" ca="1" si="307"/>
        <v>5.7089316777739945E-4</v>
      </c>
      <c r="W144">
        <f t="shared" ca="1" si="308"/>
        <v>2.3893370791443377E-2</v>
      </c>
      <c r="X144" s="22">
        <f t="shared" ref="X144" ca="1" si="332">BSdelta(1,P144,Strike,W144*AnnualVarConvtr,Dividend,RiskFreeRate,G144/250)</f>
        <v>5.5414914279214897E-2</v>
      </c>
      <c r="Y144" s="22">
        <f t="shared" ca="1" si="314"/>
        <v>3.5690691306818039</v>
      </c>
      <c r="Z144" s="22">
        <f t="shared" ca="1" si="315"/>
        <v>-5.3198086261076609</v>
      </c>
      <c r="AA144">
        <f t="shared" si="302"/>
        <v>0.73884103340948371</v>
      </c>
      <c r="AB144">
        <f t="shared" ref="AB144" ca="1" si="333">BSdelta(1,P144,Strike,AA144/AnnualVarConvtr,Dividend,RiskFreeRate,G144/250)</f>
        <v>3.4948541569519416E-44</v>
      </c>
      <c r="AC144">
        <f t="shared" ca="1" si="311"/>
        <v>-4.4950281895929247E-38</v>
      </c>
      <c r="AD144">
        <f t="shared" ca="1" si="312"/>
        <v>-2.84433191908251E-2</v>
      </c>
    </row>
    <row r="145" spans="7:30" x14ac:dyDescent="0.25">
      <c r="G145" s="19">
        <v>110</v>
      </c>
      <c r="H145" s="19">
        <f t="shared" ca="1" si="217"/>
        <v>0.32284117716289695</v>
      </c>
      <c r="I145" s="19">
        <f t="shared" ca="1" si="217"/>
        <v>0.72175493631158505</v>
      </c>
      <c r="J145" s="19">
        <f t="shared" ca="1" si="296"/>
        <v>-0.26546594429347437</v>
      </c>
      <c r="K145" s="19">
        <f t="shared" ca="1" si="297"/>
        <v>-1.4801072288651409</v>
      </c>
      <c r="L145" s="19">
        <f t="array" aca="1" ref="L145:M145" ca="1">MMULT(J145:K145,TRANSPOSE($B$10:$C$11))</f>
        <v>-0.26546594429347437</v>
      </c>
      <c r="M145" s="19">
        <f ca="1"/>
        <v>-0.84229734756460961</v>
      </c>
      <c r="N145" s="20">
        <f t="shared" ca="1" si="319"/>
        <v>0.16601286228454801</v>
      </c>
      <c r="O145" s="20">
        <f t="shared" ca="1" si="298"/>
        <v>-6.8408438810690737E-3</v>
      </c>
      <c r="P145" s="19">
        <f t="shared" ca="1" si="304"/>
        <v>64.409690929055856</v>
      </c>
      <c r="Q145" s="19">
        <f ca="1">HCTrans(P145,Strike,RiskFreeRate,Dividend,Variance_T0*AnnualVarConvtr,(Simulation!G145)/250,0.5,Variance_Avg*AnnualVarConvtr,Lambda,SQRT(Simulation!N145),Rho,1,"Call")</f>
        <v>3.3630048205300014</v>
      </c>
      <c r="R145" s="19" t="e">
        <f t="shared" ca="1" si="299"/>
        <v>#VALUE!</v>
      </c>
      <c r="S145" s="19" t="e">
        <f t="shared" ca="1" si="300"/>
        <v>#VALUE!</v>
      </c>
      <c r="T145" s="19" t="e">
        <f t="shared" ca="1" si="305"/>
        <v>#VALUE!</v>
      </c>
      <c r="U145" s="19" t="e">
        <f t="shared" ca="1" si="306"/>
        <v>#VALUE!</v>
      </c>
      <c r="V145" s="21">
        <f t="shared" ca="1" si="307"/>
        <v>1.9496551878462939E-4</v>
      </c>
      <c r="W145">
        <f t="shared" ca="1" si="308"/>
        <v>1.3963005363625318E-2</v>
      </c>
      <c r="X145" s="22">
        <f t="shared" ref="X145" ca="1" si="334">BSdelta(1,P145,Strike,W145*AnnualVarConvtr,Dividend,RiskFreeRate,G145/250)</f>
        <v>1.6911474129764758E-3</v>
      </c>
      <c r="Y145" s="22">
        <f t="shared" ca="1" si="314"/>
        <v>-3.4603312193990683</v>
      </c>
      <c r="Z145" s="22">
        <f t="shared" ca="1" si="315"/>
        <v>-1.9956210776893504</v>
      </c>
      <c r="AA145">
        <f t="shared" si="302"/>
        <v>0.73884103340948371</v>
      </c>
      <c r="AB145">
        <f t="shared" ref="AB145" ca="1" si="335">BSdelta(1,P145,Strike,AA145/AnnualVarConvtr,Dividend,RiskFreeRate,G145/250)</f>
        <v>6.3768189696406512E-46</v>
      </c>
      <c r="AC145">
        <f t="shared" ca="1" si="311"/>
        <v>-2.2099518670194967E-42</v>
      </c>
      <c r="AD145">
        <f t="shared" ca="1" si="312"/>
        <v>-0.16458699017158285</v>
      </c>
    </row>
    <row r="146" spans="7:30" x14ac:dyDescent="0.25">
      <c r="G146" s="19">
        <v>109</v>
      </c>
      <c r="H146" s="19">
        <f t="shared" ca="1" si="217"/>
        <v>0.1668718139562746</v>
      </c>
      <c r="I146" s="19">
        <f t="shared" ca="1" si="217"/>
        <v>0.53451971013653121</v>
      </c>
      <c r="J146" s="19">
        <f t="shared" ca="1" si="296"/>
        <v>-1.8480315148574793</v>
      </c>
      <c r="K146" s="19">
        <f t="shared" ca="1" si="297"/>
        <v>-0.40723237212561375</v>
      </c>
      <c r="L146" s="19">
        <f t="array" aca="1" ref="L146:M146" ca="1">MMULT(J146:K146,TRANSPOSE($B$10:$C$11))</f>
        <v>-1.8480315148574793</v>
      </c>
      <c r="M146" s="19">
        <f ca="1"/>
        <v>1.0400345344260149</v>
      </c>
      <c r="N146" s="20">
        <f t="shared" ca="1" si="319"/>
        <v>0.17572342447757225</v>
      </c>
      <c r="O146" s="20">
        <f t="shared" ca="1" si="298"/>
        <v>-4.8995274795641086E-2</v>
      </c>
      <c r="P146" s="19">
        <f t="shared" ca="1" si="304"/>
        <v>61.32998206837388</v>
      </c>
      <c r="Q146" s="19">
        <f ca="1">HCTrans(P146,Strike,RiskFreeRate,Dividend,Variance_T0*AnnualVarConvtr,(Simulation!G146)/250,0.5,Variance_Avg*AnnualVarConvtr,Lambda,SQRT(Simulation!N146),Rho,1,"Call")</f>
        <v>2.5805110977554904</v>
      </c>
      <c r="R146" s="19" t="e">
        <f t="shared" ca="1" si="299"/>
        <v>#VALUE!</v>
      </c>
      <c r="S146" s="19" t="e">
        <f t="shared" ca="1" si="300"/>
        <v>#VALUE!</v>
      </c>
      <c r="T146" s="19" t="e">
        <f t="shared" ca="1" si="305"/>
        <v>#VALUE!</v>
      </c>
      <c r="U146" s="19" t="e">
        <f t="shared" ca="1" si="306"/>
        <v>#VALUE!</v>
      </c>
      <c r="V146" s="21">
        <f t="shared" ca="1" si="307"/>
        <v>1.7769960457314248E-3</v>
      </c>
      <c r="W146">
        <f t="shared" ca="1" si="308"/>
        <v>4.2154430914572015E-2</v>
      </c>
      <c r="X146" s="22">
        <f t="shared" ref="X146" ca="1" si="336">BSdelta(1,P146,Strike,W146*AnnualVarConvtr,Dividend,RiskFreeRate,G146/250)</f>
        <v>0.1865125193995279</v>
      </c>
      <c r="Y146" s="22">
        <f t="shared" ca="1" si="314"/>
        <v>11.335091429787457</v>
      </c>
      <c r="Z146" s="22">
        <f t="shared" ca="1" si="315"/>
        <v>-14.113206230251318</v>
      </c>
      <c r="AA146">
        <f t="shared" si="302"/>
        <v>0.73884103340948371</v>
      </c>
      <c r="AB146">
        <f t="shared" ref="AB146" ca="1" si="337">BSdelta(1,P146,Strike,AA146/AnnualVarConvtr,Dividend,RiskFreeRate,G146/250)</f>
        <v>9.7001420641971372E-57</v>
      </c>
      <c r="AC146">
        <f t="shared" ca="1" si="311"/>
        <v>-3.9109019305537846E-44</v>
      </c>
      <c r="AD146">
        <f t="shared" ca="1" si="312"/>
        <v>-0.94708071294609386</v>
      </c>
    </row>
    <row r="147" spans="7:30" x14ac:dyDescent="0.25">
      <c r="G147" s="19">
        <v>108</v>
      </c>
      <c r="H147" s="19">
        <f t="shared" ca="1" si="217"/>
        <v>0.20651803991919515</v>
      </c>
      <c r="I147" s="19">
        <f t="shared" ca="1" si="217"/>
        <v>0.9646962374731749</v>
      </c>
      <c r="J147" s="19">
        <f t="shared" ca="1" si="296"/>
        <v>1.7326390987665814</v>
      </c>
      <c r="K147" s="19">
        <f t="shared" ca="1" si="297"/>
        <v>-0.39076434516444453</v>
      </c>
      <c r="L147" s="19">
        <f t="array" aca="1" ref="L147:M147" ca="1">MMULT(J147:K147,TRANSPOSE($B$10:$C$11))</f>
        <v>1.7326390987665814</v>
      </c>
      <c r="M147" s="19">
        <f ca="1"/>
        <v>-1.5140280772077235</v>
      </c>
      <c r="N147" s="20">
        <f t="shared" ca="1" si="319"/>
        <v>0.15961145871239857</v>
      </c>
      <c r="O147" s="20">
        <f t="shared" ca="1" si="298"/>
        <v>4.3779433694199135E-2</v>
      </c>
      <c r="P147" s="19">
        <f t="shared" ca="1" si="304"/>
        <v>64.074614827273876</v>
      </c>
      <c r="Q147" s="19">
        <f ca="1">HCTrans(P147,Strike,RiskFreeRate,Dividend,Variance_T0*AnnualVarConvtr,(Simulation!G147)/250,0.5,Variance_Avg*AnnualVarConvtr,Lambda,SQRT(Simulation!N147),Rho,1,"Call")</f>
        <v>3.2096411517111179</v>
      </c>
      <c r="R147" s="19" t="e">
        <f t="shared" ca="1" si="299"/>
        <v>#VALUE!</v>
      </c>
      <c r="S147" s="19" t="e">
        <f t="shared" ca="1" si="300"/>
        <v>#VALUE!</v>
      </c>
      <c r="T147" s="19" t="e">
        <f t="shared" ca="1" si="305"/>
        <v>#VALUE!</v>
      </c>
      <c r="U147" s="19" t="e">
        <f t="shared" ca="1" si="306"/>
        <v>#VALUE!</v>
      </c>
      <c r="V147" s="21">
        <f t="shared" ca="1" si="307"/>
        <v>8.6071465353748308E-3</v>
      </c>
      <c r="W147">
        <f t="shared" ca="1" si="308"/>
        <v>9.2774708489840221E-2</v>
      </c>
      <c r="X147" s="22">
        <f t="shared" ref="X147" ca="1" si="338">BSdelta(1,P147,Strike,W147*AnnualVarConvtr,Dividend,RiskFreeRate,G147/250)</f>
        <v>0.50813598388035974</v>
      </c>
      <c r="Y147" s="22">
        <f t="shared" ca="1" si="314"/>
        <v>20.607899606022702</v>
      </c>
      <c r="Z147" s="22">
        <f t="shared" ca="1" si="315"/>
        <v>-34.091975782318393</v>
      </c>
      <c r="AA147">
        <f t="shared" si="302"/>
        <v>0.73884103340948371</v>
      </c>
      <c r="AB147">
        <f t="shared" ref="AB147" ca="1" si="339">BSdelta(1,P147,Strike,AA147/AnnualVarConvtr,Dividend,RiskFreeRate,G147/250)</f>
        <v>8.3964058667935817E-48</v>
      </c>
      <c r="AC147">
        <f t="shared" ca="1" si="311"/>
        <v>5.3799647122672851E-46</v>
      </c>
      <c r="AD147">
        <f t="shared" ca="1" si="312"/>
        <v>-0.31795065899046637</v>
      </c>
    </row>
    <row r="148" spans="7:30" x14ac:dyDescent="0.25">
      <c r="G148" s="19">
        <v>107</v>
      </c>
      <c r="H148" s="19">
        <f t="shared" ca="1" si="217"/>
        <v>0.61127560479593168</v>
      </c>
      <c r="I148" s="19">
        <f t="shared" ca="1" si="217"/>
        <v>0.7023855498851167</v>
      </c>
      <c r="J148" s="19">
        <f t="shared" ca="1" si="296"/>
        <v>-0.2924218426862995</v>
      </c>
      <c r="K148" s="19">
        <f t="shared" ca="1" si="297"/>
        <v>-0.94810556668934431</v>
      </c>
      <c r="L148" s="19">
        <f t="array" aca="1" ref="L148:M148" ca="1">MMULT(J148:K148,TRANSPOSE($B$10:$C$11))</f>
        <v>-0.2924218426862995</v>
      </c>
      <c r="M148" s="19">
        <f ca="1"/>
        <v>-0.45186595426249326</v>
      </c>
      <c r="N148" s="20">
        <f t="shared" ca="1" si="319"/>
        <v>0.15440679745766439</v>
      </c>
      <c r="O148" s="20">
        <f t="shared" ca="1" si="298"/>
        <v>-7.2672987323200424E-3</v>
      </c>
      <c r="P148" s="19">
        <f t="shared" ca="1" si="304"/>
        <v>63.610653375357018</v>
      </c>
      <c r="Q148" s="19">
        <f ca="1">HCTrans(P148,Strike,RiskFreeRate,Dividend,Variance_T0*AnnualVarConvtr,(Simulation!G148)/250,0.5,Variance_Avg*AnnualVarConvtr,Lambda,SQRT(Simulation!N148),Rho,1,"Call")</f>
        <v>3.0666565320004295</v>
      </c>
      <c r="R148" s="19" t="e">
        <f t="shared" ca="1" si="299"/>
        <v>#VALUE!</v>
      </c>
      <c r="S148" s="19" t="e">
        <f t="shared" ca="1" si="300"/>
        <v>#VALUE!</v>
      </c>
      <c r="T148" s="19" t="e">
        <f t="shared" ca="1" si="305"/>
        <v>#VALUE!</v>
      </c>
      <c r="U148" s="19" t="e">
        <f t="shared" ca="1" si="306"/>
        <v>#VALUE!</v>
      </c>
      <c r="V148" s="21">
        <f t="shared" ca="1" si="307"/>
        <v>2.6057688914246447E-3</v>
      </c>
      <c r="W148">
        <f t="shared" ca="1" si="308"/>
        <v>5.1046732426519179E-2</v>
      </c>
      <c r="X148" s="22">
        <f t="shared" ref="X148" ca="1" si="340">BSdelta(1,P148,Strike,W148*AnnualVarConvtr,Dividend,RiskFreeRate,G148/250)</f>
        <v>0.2766806303538063</v>
      </c>
      <c r="Y148" s="22">
        <f t="shared" ca="1" si="314"/>
        <v>-14.723026265048308</v>
      </c>
      <c r="Z148" s="22">
        <f t="shared" ca="1" si="315"/>
        <v>-19.511934136980774</v>
      </c>
      <c r="AA148">
        <f t="shared" si="302"/>
        <v>0.73884103340948371</v>
      </c>
      <c r="AB148">
        <f t="shared" ref="AB148" ca="1" si="341">BSdelta(1,P148,Strike,AA148/AnnualVarConvtr,Dividend,RiskFreeRate,G148/250)</f>
        <v>9.4384966176698469E-50</v>
      </c>
      <c r="AC148">
        <f t="shared" ca="1" si="311"/>
        <v>-5.2809697382410984E-46</v>
      </c>
      <c r="AD148">
        <f t="shared" ca="1" si="312"/>
        <v>-0.46093527870115469</v>
      </c>
    </row>
    <row r="149" spans="7:30" x14ac:dyDescent="0.25">
      <c r="G149" s="19">
        <v>106</v>
      </c>
      <c r="H149" s="19">
        <f t="shared" ca="1" si="217"/>
        <v>8.6970443403072473E-2</v>
      </c>
      <c r="I149" s="19">
        <f t="shared" ca="1" si="217"/>
        <v>0.14548241962324526</v>
      </c>
      <c r="J149" s="19">
        <f t="shared" ca="1" si="296"/>
        <v>1.34926311403613</v>
      </c>
      <c r="K149" s="19">
        <f t="shared" ca="1" si="297"/>
        <v>1.7503893701683249</v>
      </c>
      <c r="L149" s="19">
        <f t="array" aca="1" ref="L149:M149" ca="1">MMULT(J149:K149,TRANSPOSE($B$10:$C$11))</f>
        <v>1.34926311403613</v>
      </c>
      <c r="M149" s="19">
        <f ca="1"/>
        <v>0.2543020082360179</v>
      </c>
      <c r="N149" s="20">
        <f t="shared" ca="1" si="319"/>
        <v>0.15608556884293368</v>
      </c>
      <c r="O149" s="20">
        <f t="shared" ca="1" si="298"/>
        <v>3.3713824307294388E-2</v>
      </c>
      <c r="P149" s="19">
        <f t="shared" ca="1" si="304"/>
        <v>65.791772105789832</v>
      </c>
      <c r="Q149" s="19">
        <f ca="1">HCTrans(P149,Strike,RiskFreeRate,Dividend,Variance_T0*AnnualVarConvtr,(Simulation!G149)/250,0.5,Variance_Avg*AnnualVarConvtr,Lambda,SQRT(Simulation!N149),Rho,1,"Call")</f>
        <v>3.5690910917448022</v>
      </c>
      <c r="R149" s="19" t="e">
        <f t="shared" ca="1" si="299"/>
        <v>#VALUE!</v>
      </c>
      <c r="S149" s="19" t="e">
        <f t="shared" ca="1" si="300"/>
        <v>#VALUE!</v>
      </c>
      <c r="T149" s="19" t="e">
        <f t="shared" ca="1" si="305"/>
        <v>#VALUE!</v>
      </c>
      <c r="U149" s="19" t="e">
        <f t="shared" ca="1" si="306"/>
        <v>#VALUE!</v>
      </c>
      <c r="V149" s="21">
        <f t="shared" ca="1" si="307"/>
        <v>1.6794524455880167E-3</v>
      </c>
      <c r="W149">
        <f t="shared" ca="1" si="308"/>
        <v>4.0981123039614431E-2</v>
      </c>
      <c r="X149" s="22">
        <f t="shared" ref="X149" ca="1" si="342">BSdelta(1,P149,Strike,W149*AnnualVarConvtr,Dividend,RiskFreeRate,G149/250)</f>
        <v>0.21730379768134436</v>
      </c>
      <c r="Y149" s="22">
        <f t="shared" ca="1" si="314"/>
        <v>-3.9065070435502318</v>
      </c>
      <c r="Z149" s="22">
        <f t="shared" ca="1" si="315"/>
        <v>-15.102992533686169</v>
      </c>
      <c r="AA149">
        <f t="shared" si="302"/>
        <v>0.73884103340948371</v>
      </c>
      <c r="AB149">
        <f t="shared" ref="AB149" ca="1" si="343">BSdelta(1,P149,Strike,AA149/AnnualVarConvtr,Dividend,RiskFreeRate,G149/250)</f>
        <v>2.742622894606251E-43</v>
      </c>
      <c r="AC149">
        <f t="shared" ca="1" si="311"/>
        <v>1.8044195835651427E-41</v>
      </c>
      <c r="AD149">
        <f t="shared" ca="1" si="312"/>
        <v>4.1499281043217984E-2</v>
      </c>
    </row>
    <row r="150" spans="7:30" x14ac:dyDescent="0.25">
      <c r="G150" s="19">
        <v>105</v>
      </c>
      <c r="H150" s="19">
        <f t="shared" ca="1" si="217"/>
        <v>0.42728304513039173</v>
      </c>
      <c r="I150" s="19">
        <f t="shared" ca="1" si="217"/>
        <v>0.83642825130871479</v>
      </c>
      <c r="J150" s="19">
        <f t="shared" ca="1" si="296"/>
        <v>0.67387546312909141</v>
      </c>
      <c r="K150" s="19">
        <f t="shared" ca="1" si="297"/>
        <v>-1.1164717159809145</v>
      </c>
      <c r="L150" s="19">
        <f t="array" aca="1" ref="L150:M150" ca="1">MMULT(J150:K150,TRANSPOSE($B$10:$C$11))</f>
        <v>0.67387546312909141</v>
      </c>
      <c r="M150" s="19">
        <f ca="1"/>
        <v>-1.2616680262431366</v>
      </c>
      <c r="N150" s="20">
        <f t="shared" ca="1" si="319"/>
        <v>0.1433124645122425</v>
      </c>
      <c r="O150" s="20">
        <f t="shared" ca="1" si="298"/>
        <v>1.6134355477784079E-2</v>
      </c>
      <c r="P150" s="19">
        <f t="shared" ca="1" si="304"/>
        <v>66.861889558062572</v>
      </c>
      <c r="Q150" s="19">
        <f ca="1">HCTrans(P150,Strike,RiskFreeRate,Dividend,Variance_T0*AnnualVarConvtr,(Simulation!G150)/250,0.5,Variance_Avg*AnnualVarConvtr,Lambda,SQRT(Simulation!N150),Rho,1,"Call")</f>
        <v>3.8380872019188459</v>
      </c>
      <c r="R150" s="19" t="e">
        <f t="shared" ca="1" si="299"/>
        <v>#VALUE!</v>
      </c>
      <c r="S150" s="19" t="e">
        <f t="shared" ca="1" si="300"/>
        <v>#VALUE!</v>
      </c>
      <c r="T150" s="19" t="e">
        <f t="shared" ca="1" si="305"/>
        <v>#VALUE!</v>
      </c>
      <c r="U150" s="19" t="e">
        <f t="shared" ca="1" si="306"/>
        <v>#VALUE!</v>
      </c>
      <c r="V150" s="21">
        <f t="shared" ca="1" si="307"/>
        <v>3.0903772432772455E-4</v>
      </c>
      <c r="W150">
        <f t="shared" ca="1" si="308"/>
        <v>1.7579468829510309E-2</v>
      </c>
      <c r="X150" s="22">
        <f t="shared" ref="X150" ca="1" si="344">BSdelta(1,P150,Strike,W150*AnnualVarConvtr,Dividend,RiskFreeRate,G150/250)</f>
        <v>1.599308714620392E-2</v>
      </c>
      <c r="Y150" s="22">
        <f t="shared" ca="1" si="314"/>
        <v>-13.460014494655663</v>
      </c>
      <c r="Z150" s="22">
        <f t="shared" ca="1" si="315"/>
        <v>-1.3739819288564625</v>
      </c>
      <c r="AA150">
        <f t="shared" si="302"/>
        <v>0.73884103340948371</v>
      </c>
      <c r="AB150">
        <f t="shared" ref="AB150" ca="1" si="345">BSdelta(1,P150,Strike,AA150/AnnualVarConvtr,Dividend,RiskFreeRate,G150/250)</f>
        <v>1.5676339337459996E-40</v>
      </c>
      <c r="AC150">
        <f t="shared" ca="1" si="311"/>
        <v>1.0463158999651764E-38</v>
      </c>
      <c r="AD150">
        <f t="shared" ca="1" si="312"/>
        <v>0.31049539121726166</v>
      </c>
    </row>
    <row r="151" spans="7:30" x14ac:dyDescent="0.25">
      <c r="G151" s="19">
        <v>104</v>
      </c>
      <c r="H151" s="19">
        <f t="shared" ca="1" si="217"/>
        <v>0.7255197683438952</v>
      </c>
      <c r="I151" s="19">
        <f t="shared" ca="1" si="217"/>
        <v>7.3590709659435483E-2</v>
      </c>
      <c r="J151" s="19">
        <f t="shared" ca="1" si="296"/>
        <v>0.71696248582933508</v>
      </c>
      <c r="K151" s="19">
        <f t="shared" ca="1" si="297"/>
        <v>0.3573495658210179</v>
      </c>
      <c r="L151" s="19">
        <f t="array" aca="1" ref="L151:M151" ca="1">MMULT(J151:K151,TRANSPOSE($B$10:$C$11))</f>
        <v>0.71696248582933508</v>
      </c>
      <c r="M151" s="19">
        <f ca="1"/>
        <v>-0.26442117688509903</v>
      </c>
      <c r="N151" s="20">
        <f t="shared" ca="1" si="319"/>
        <v>0.14014609169606435</v>
      </c>
      <c r="O151" s="20">
        <f t="shared" ca="1" si="298"/>
        <v>1.6975279099586564E-2</v>
      </c>
      <c r="P151" s="19">
        <f t="shared" ca="1" si="304"/>
        <v>68.006577001212335</v>
      </c>
      <c r="Q151" s="19">
        <f ca="1">HCTrans(P151,Strike,RiskFreeRate,Dividend,Variance_T0*AnnualVarConvtr,(Simulation!G151)/250,0.5,Variance_Avg*AnnualVarConvtr,Lambda,SQRT(Simulation!N151),Rho,1,"Call")</f>
        <v>4.1173434672001292</v>
      </c>
      <c r="R151" s="19" t="e">
        <f t="shared" ca="1" si="299"/>
        <v>#VALUE!</v>
      </c>
      <c r="S151" s="19" t="e">
        <f t="shared" ca="1" si="300"/>
        <v>#VALUE!</v>
      </c>
      <c r="T151" s="19" t="e">
        <f t="shared" ca="1" si="305"/>
        <v>#VALUE!</v>
      </c>
      <c r="U151" s="19" t="e">
        <f t="shared" ca="1" si="306"/>
        <v>#VALUE!</v>
      </c>
      <c r="V151" s="21">
        <f t="shared" ca="1" si="307"/>
        <v>7.0715253770540858E-7</v>
      </c>
      <c r="W151">
        <f t="shared" ca="1" si="308"/>
        <v>8.4092362180248487E-4</v>
      </c>
      <c r="X151" s="22">
        <f t="shared" ref="X151" ca="1" si="346">BSdelta(1,P151,Strike,W151*AnnualVarConvtr,Dividend,RiskFreeRate,G151/250)</f>
        <v>0</v>
      </c>
      <c r="Y151" s="22">
        <f t="shared" ca="1" si="314"/>
        <v>-1.0876351124954162</v>
      </c>
      <c r="Z151" s="22">
        <f t="shared" ca="1" si="315"/>
        <v>-7.0905510797629745E-3</v>
      </c>
      <c r="AA151">
        <f t="shared" si="302"/>
        <v>0.73884103340948371</v>
      </c>
      <c r="AB151">
        <f t="shared" ref="AB151" ca="1" si="347">BSdelta(1,P151,Strike,AA151/AnnualVarConvtr,Dividend,RiskFreeRate,G151/250)</f>
        <v>1.0895985767912748E-37</v>
      </c>
      <c r="AC151">
        <f t="shared" ca="1" si="311"/>
        <v>7.3993260095142195E-36</v>
      </c>
      <c r="AD151">
        <f t="shared" ca="1" si="312"/>
        <v>0.589751656498545</v>
      </c>
    </row>
    <row r="152" spans="7:30" x14ac:dyDescent="0.25">
      <c r="G152" s="19">
        <v>103</v>
      </c>
      <c r="H152" s="19">
        <f t="shared" ca="1" si="217"/>
        <v>0.72770406796969966</v>
      </c>
      <c r="I152" s="19">
        <f t="shared" ca="1" si="217"/>
        <v>0.98138058904666015</v>
      </c>
      <c r="J152" s="19">
        <f t="shared" ca="1" si="296"/>
        <v>0.79187149256141909</v>
      </c>
      <c r="K152" s="19">
        <f t="shared" ca="1" si="297"/>
        <v>-9.3065386743802464E-2</v>
      </c>
      <c r="L152" s="19">
        <f t="array" aca="1" ref="L152:M152" ca="1">MMULT(J152:K152,TRANSPOSE($B$10:$C$11))</f>
        <v>0.79187149256141909</v>
      </c>
      <c r="M152" s="19">
        <f ca="1"/>
        <v>-0.63229713686301781</v>
      </c>
      <c r="N152" s="20">
        <f t="shared" ca="1" si="319"/>
        <v>0.13369645980009037</v>
      </c>
      <c r="O152" s="20">
        <f t="shared" ca="1" si="298"/>
        <v>1.8312374360569237E-2</v>
      </c>
      <c r="P152" s="19">
        <f t="shared" ca="1" si="304"/>
        <v>69.263411588610111</v>
      </c>
      <c r="Q152" s="19">
        <f ca="1">HCTrans(P152,Strike,RiskFreeRate,Dividend,Variance_T0*AnnualVarConvtr,(Simulation!G152)/250,0.5,Variance_Avg*AnnualVarConvtr,Lambda,SQRT(Simulation!N152),Rho,1,"Call")</f>
        <v>4.4483361169393163</v>
      </c>
      <c r="R152" s="19" t="e">
        <f t="shared" ca="1" si="299"/>
        <v>#VALUE!</v>
      </c>
      <c r="S152" s="19" t="e">
        <f t="shared" ca="1" si="300"/>
        <v>#VALUE!</v>
      </c>
      <c r="T152" s="19" t="e">
        <f t="shared" ca="1" si="305"/>
        <v>#VALUE!</v>
      </c>
      <c r="U152" s="19" t="e">
        <f t="shared" ca="1" si="306"/>
        <v>#VALUE!</v>
      </c>
      <c r="V152" s="21">
        <f t="shared" ca="1" si="307"/>
        <v>1.7878237369423222E-6</v>
      </c>
      <c r="W152">
        <f t="shared" ca="1" si="308"/>
        <v>1.3370952609826729E-3</v>
      </c>
      <c r="X152" s="22">
        <f t="shared" ref="X152" ca="1" si="348">BSdelta(1,P152,Strike,W152*AnnualVarConvtr,Dividend,RiskFreeRate,G152/250)</f>
        <v>1.5897043381562178E-161</v>
      </c>
      <c r="Y152" s="22">
        <f t="shared" ca="1" si="314"/>
        <v>1.1010834587791314E-159</v>
      </c>
      <c r="Z152" s="22">
        <f t="shared" ca="1" si="315"/>
        <v>0.3239020986594241</v>
      </c>
      <c r="AA152">
        <f t="shared" si="302"/>
        <v>0.73884103340948371</v>
      </c>
      <c r="AB152">
        <f t="shared" ref="AB152" ca="1" si="349">BSdelta(1,P152,Strike,AA152/AnnualVarConvtr,Dividend,RiskFreeRate,G152/250)</f>
        <v>1.083108979431372E-34</v>
      </c>
      <c r="AC152">
        <f t="shared" ca="1" si="311"/>
        <v>7.4944353722983914E-33</v>
      </c>
      <c r="AD152">
        <f t="shared" ca="1" si="312"/>
        <v>0.92074430623773207</v>
      </c>
    </row>
    <row r="153" spans="7:30" x14ac:dyDescent="0.25">
      <c r="G153" s="19">
        <v>102</v>
      </c>
      <c r="H153" s="19">
        <f t="shared" ca="1" si="217"/>
        <v>0.24532447827245818</v>
      </c>
      <c r="I153" s="19">
        <f t="shared" ca="1" si="217"/>
        <v>0.97852620282428082</v>
      </c>
      <c r="J153" s="19">
        <f t="shared" ca="1" si="296"/>
        <v>1.6611730730010685</v>
      </c>
      <c r="K153" s="19">
        <f t="shared" ca="1" si="297"/>
        <v>-0.22550190393431341</v>
      </c>
      <c r="L153" s="19">
        <f t="array" aca="1" ref="L153:M153" ca="1">MMULT(J153:K153,TRANSPOSE($B$10:$C$11))</f>
        <v>1.6611730730010685</v>
      </c>
      <c r="M153" s="19">
        <f ca="1"/>
        <v>-1.3475377240617563</v>
      </c>
      <c r="N153" s="20">
        <f t="shared" ca="1" si="319"/>
        <v>0.12121634123967769</v>
      </c>
      <c r="O153" s="20">
        <f t="shared" ca="1" si="298"/>
        <v>3.6578463946698905E-2</v>
      </c>
      <c r="P153" s="19">
        <f t="shared" ca="1" si="304"/>
        <v>71.843867640561953</v>
      </c>
      <c r="Q153" s="19">
        <f ca="1">HCTrans(P153,Strike,RiskFreeRate,Dividend,Variance_T0*AnnualVarConvtr,(Simulation!G153)/250,0.5,Variance_Avg*AnnualVarConvtr,Lambda,SQRT(Simulation!N153),Rho,1,"Call")</f>
        <v>5.2289103987146888</v>
      </c>
      <c r="R153" s="19" t="e">
        <f t="shared" ca="1" si="299"/>
        <v>#VALUE!</v>
      </c>
      <c r="S153" s="19" t="e">
        <f t="shared" ca="1" si="300"/>
        <v>#VALUE!</v>
      </c>
      <c r="T153" s="19" t="e">
        <f t="shared" ca="1" si="305"/>
        <v>#VALUE!</v>
      </c>
      <c r="U153" s="19" t="e">
        <f t="shared" ca="1" si="306"/>
        <v>#VALUE!</v>
      </c>
      <c r="V153" s="21">
        <f t="shared" ca="1" si="307"/>
        <v>3.336500287685147E-4</v>
      </c>
      <c r="W153">
        <f t="shared" ca="1" si="308"/>
        <v>1.8266089586129668E-2</v>
      </c>
      <c r="X153" s="22">
        <f t="shared" ref="X153" ca="1" si="350">BSdelta(1,P153,Strike,W153*AnnualVarConvtr,Dividend,RiskFreeRate,G153/250)</f>
        <v>4.4542327424897415E-2</v>
      </c>
      <c r="Y153" s="22">
        <f t="shared" ca="1" si="314"/>
        <v>3.2000930759169028</v>
      </c>
      <c r="Z153" s="22">
        <f t="shared" ca="1" si="315"/>
        <v>-2.0956166954821063</v>
      </c>
      <c r="AA153">
        <f t="shared" si="302"/>
        <v>0.73884103340948371</v>
      </c>
      <c r="AB153">
        <f t="shared" ref="AB153" ca="1" si="351">BSdelta(1,P153,Strike,AA153/AnnualVarConvtr,Dividend,RiskFreeRate,G153/250)</f>
        <v>9.3969030821926667E-29</v>
      </c>
      <c r="AC153">
        <f t="shared" ca="1" si="311"/>
        <v>6.7510908312085697E-27</v>
      </c>
      <c r="AD153">
        <f t="shared" ca="1" si="312"/>
        <v>1.7013185880131045</v>
      </c>
    </row>
    <row r="154" spans="7:30" x14ac:dyDescent="0.25">
      <c r="G154" s="19">
        <v>101</v>
      </c>
      <c r="H154" s="19">
        <f t="shared" ca="1" si="217"/>
        <v>2.3325010635832921E-4</v>
      </c>
      <c r="I154" s="19">
        <f t="shared" ca="1" si="217"/>
        <v>0.2436190007197232</v>
      </c>
      <c r="J154" s="19">
        <f t="shared" ca="1" si="296"/>
        <v>0.16393006823650147</v>
      </c>
      <c r="K154" s="19">
        <f t="shared" ca="1" si="297"/>
        <v>4.0865542278591267</v>
      </c>
      <c r="L154" s="19">
        <f t="array" aca="1" ref="L154:M154" ca="1">MMULT(J154:K154,TRANSPOSE($B$10:$C$11))</f>
        <v>0.16393006823650147</v>
      </c>
      <c r="M154" s="19">
        <f ca="1"/>
        <v>2.7332715835116677</v>
      </c>
      <c r="N154" s="20">
        <f t="shared" ca="1" si="319"/>
        <v>0.145068040627647</v>
      </c>
      <c r="O154" s="20">
        <f t="shared" ca="1" si="298"/>
        <v>3.9488850146883097E-3</v>
      </c>
      <c r="P154" s="19">
        <f t="shared" ca="1" si="304"/>
        <v>72.128131706546426</v>
      </c>
      <c r="Q154" s="19">
        <f ca="1">HCTrans(P154,Strike,RiskFreeRate,Dividend,Variance_T0*AnnualVarConvtr,(Simulation!G154)/250,0.5,Variance_Avg*AnnualVarConvtr,Lambda,SQRT(Simulation!N154),Rho,1,"Call")</f>
        <v>5.211817671111433</v>
      </c>
      <c r="R154" s="19" t="e">
        <f t="shared" ca="1" si="299"/>
        <v>#VALUE!</v>
      </c>
      <c r="S154" s="19" t="e">
        <f t="shared" ca="1" si="300"/>
        <v>#VALUE!</v>
      </c>
      <c r="T154" s="19" t="e">
        <f t="shared" ca="1" si="305"/>
        <v>#VALUE!</v>
      </c>
      <c r="U154" s="19" t="e">
        <f t="shared" ca="1" si="306"/>
        <v>#VALUE!</v>
      </c>
      <c r="V154" s="21">
        <f t="shared" ca="1" si="307"/>
        <v>1.0646894212803096E-3</v>
      </c>
      <c r="W154">
        <f t="shared" ca="1" si="308"/>
        <v>3.2629578932010593E-2</v>
      </c>
      <c r="X154" s="22">
        <f t="shared" ref="X154" ca="1" si="352">BSdelta(1,P154,Strike,W154*AnnualVarConvtr,Dividend,RiskFreeRate,G154/250)</f>
        <v>0.20259508900194639</v>
      </c>
      <c r="Y154" s="22">
        <f t="shared" ca="1" si="314"/>
        <v>11.400050403612768</v>
      </c>
      <c r="Z154" s="22">
        <f t="shared" ca="1" si="315"/>
        <v>-13.512759826698129</v>
      </c>
      <c r="AA154">
        <f t="shared" si="302"/>
        <v>0.73884103340948371</v>
      </c>
      <c r="AB154">
        <f t="shared" ref="AB154" ca="1" si="353">BSdelta(1,P154,Strike,AA154/AnnualVarConvtr,Dividend,RiskFreeRate,G154/250)</f>
        <v>2.2402485512635797E-28</v>
      </c>
      <c r="AC154">
        <f t="shared" ca="1" si="311"/>
        <v>9.3806836246334835E-27</v>
      </c>
      <c r="AD154">
        <f t="shared" ca="1" si="312"/>
        <v>1.6842258604098488</v>
      </c>
    </row>
    <row r="155" spans="7:30" x14ac:dyDescent="0.25">
      <c r="G155" s="19">
        <v>100</v>
      </c>
      <c r="H155" s="19">
        <f t="shared" ca="1" si="217"/>
        <v>0.47704263997406471</v>
      </c>
      <c r="I155" s="19">
        <f t="shared" ca="1" si="217"/>
        <v>0.22722804502072258</v>
      </c>
      <c r="J155" s="19">
        <f t="shared" ca="1" si="296"/>
        <v>0.17348904358943942</v>
      </c>
      <c r="K155" s="19">
        <f t="shared" ca="1" si="297"/>
        <v>1.2042426466348553</v>
      </c>
      <c r="L155" s="19">
        <f t="array" aca="1" ref="L155:M155" ca="1">MMULT(J155:K155,TRANSPOSE($B$10:$C$11))</f>
        <v>0.17348904358943942</v>
      </c>
      <c r="M155" s="19">
        <f ca="1"/>
        <v>0.71575922539813219</v>
      </c>
      <c r="N155" s="20">
        <f t="shared" ca="1" si="319"/>
        <v>0.15109801252746841</v>
      </c>
      <c r="O155" s="20">
        <f t="shared" ca="1" si="298"/>
        <v>4.26512166769848E-3</v>
      </c>
      <c r="P155" s="19">
        <f t="shared" ca="1" si="304"/>
        <v>72.436423948547343</v>
      </c>
      <c r="Q155" s="19">
        <f ca="1">HCTrans(P155,Strike,RiskFreeRate,Dividend,Variance_T0*AnnualVarConvtr,(Simulation!G155)/250,0.5,Variance_Avg*AnnualVarConvtr,Lambda,SQRT(Simulation!N155),Rho,1,"Call")</f>
        <v>5.2436732653555254</v>
      </c>
      <c r="R155" s="19" t="e">
        <f t="shared" ca="1" si="299"/>
        <v>#VALUE!</v>
      </c>
      <c r="S155" s="19" t="e">
        <f t="shared" ca="1" si="300"/>
        <v>#VALUE!</v>
      </c>
      <c r="T155" s="19" t="e">
        <f t="shared" ca="1" si="305"/>
        <v>#VALUE!</v>
      </c>
      <c r="U155" s="19" t="e">
        <f t="shared" ca="1" si="306"/>
        <v>#VALUE!</v>
      </c>
      <c r="V155" s="21">
        <f t="shared" ca="1" si="307"/>
        <v>1.0000562070707489E-7</v>
      </c>
      <c r="W155">
        <f t="shared" ca="1" si="308"/>
        <v>3.1623665301017036E-4</v>
      </c>
      <c r="X155" s="22">
        <f t="shared" ref="X155" ca="1" si="354">BSdelta(1,P155,Strike,W155*AnnualVarConvtr,Dividend,RiskFreeRate,G155/250)</f>
        <v>0</v>
      </c>
      <c r="Y155" s="22">
        <f t="shared" ca="1" si="314"/>
        <v>-14.675263756838671</v>
      </c>
      <c r="Z155" s="22">
        <f t="shared" ca="1" si="315"/>
        <v>1.1943595243846339</v>
      </c>
      <c r="AA155">
        <f t="shared" si="302"/>
        <v>0.73884103340948371</v>
      </c>
      <c r="AB155">
        <f t="shared" ref="AB155" ca="1" si="355">BSdelta(1,P155,Strike,AA155/AnnualVarConvtr,Dividend,RiskFreeRate,G155/250)</f>
        <v>6.004518614149981E-28</v>
      </c>
      <c r="AC155">
        <f t="shared" ca="1" si="311"/>
        <v>2.7267026213206432E-26</v>
      </c>
      <c r="AD155">
        <f t="shared" ca="1" si="312"/>
        <v>1.7160814546539411</v>
      </c>
    </row>
    <row r="156" spans="7:30" x14ac:dyDescent="0.25">
      <c r="G156" s="19">
        <v>99</v>
      </c>
      <c r="H156" s="19">
        <f t="shared" ca="1" si="217"/>
        <v>0.9054327111254542</v>
      </c>
      <c r="I156" s="19">
        <f t="shared" ca="1" si="217"/>
        <v>0.22883034576530814</v>
      </c>
      <c r="J156" s="19">
        <f t="shared" ca="1" si="296"/>
        <v>5.9114550874350545E-2</v>
      </c>
      <c r="K156" s="19">
        <f t="shared" ca="1" si="297"/>
        <v>0.44180323821573314</v>
      </c>
      <c r="L156" s="19">
        <f t="array" aca="1" ref="L156:M156" ca="1">MMULT(J156:K156,TRANSPOSE($B$10:$C$11))</f>
        <v>5.9114550874350545E-2</v>
      </c>
      <c r="M156" s="19">
        <f ca="1"/>
        <v>0.26584066018870378</v>
      </c>
      <c r="N156" s="20">
        <f t="shared" ca="1" si="319"/>
        <v>0.15287881040303727</v>
      </c>
      <c r="O156" s="20">
        <f t="shared" ca="1" si="298"/>
        <v>1.4618339282411298E-3</v>
      </c>
      <c r="P156" s="19">
        <f t="shared" ca="1" si="304"/>
        <v>72.542391405256865</v>
      </c>
      <c r="Q156" s="19">
        <f ca="1">HCTrans(P156,Strike,RiskFreeRate,Dividend,Variance_T0*AnnualVarConvtr,(Simulation!G156)/250,0.5,Variance_Avg*AnnualVarConvtr,Lambda,SQRT(Simulation!N156),Rho,1,"Call")</f>
        <v>5.2178126849040893</v>
      </c>
      <c r="R156" s="19" t="e">
        <f t="shared" ca="1" si="299"/>
        <v>#VALUE!</v>
      </c>
      <c r="S156" s="19" t="e">
        <f t="shared" ca="1" si="300"/>
        <v>#VALUE!</v>
      </c>
      <c r="T156" s="19" t="e">
        <f t="shared" ca="1" si="305"/>
        <v>#VALUE!</v>
      </c>
      <c r="U156" s="19" t="e">
        <f t="shared" ca="1" si="306"/>
        <v>#VALUE!</v>
      </c>
      <c r="V156" s="21">
        <f t="shared" ca="1" si="307"/>
        <v>7.8584221501919005E-6</v>
      </c>
      <c r="W156">
        <f t="shared" ca="1" si="308"/>
        <v>2.8032877394573502E-3</v>
      </c>
      <c r="X156" s="22">
        <f t="shared" ref="X156" ca="1" si="356">BSdelta(1,P156,Strike,W156*AnnualVarConvtr,Dividend,RiskFreeRate,G156/250)</f>
        <v>7.0256905750520794E-31</v>
      </c>
      <c r="Y156" s="22">
        <f t="shared" ca="1" si="314"/>
        <v>5.0966039558765208E-29</v>
      </c>
      <c r="Z156" s="22">
        <f t="shared" ca="1" si="315"/>
        <v>1.1684989439331979</v>
      </c>
      <c r="AA156">
        <f t="shared" si="302"/>
        <v>0.73884103340948371</v>
      </c>
      <c r="AB156">
        <f t="shared" ref="AB156" ca="1" si="357">BSdelta(1,P156,Strike,AA156/AnnualVarConvtr,Dividend,RiskFreeRate,G156/250)</f>
        <v>5.6629880208848583E-28</v>
      </c>
      <c r="AC156">
        <f t="shared" ca="1" si="311"/>
        <v>-2.4775445973508113E-27</v>
      </c>
      <c r="AD156">
        <f t="shared" ca="1" si="312"/>
        <v>1.6902208742025051</v>
      </c>
    </row>
    <row r="157" spans="7:30" x14ac:dyDescent="0.25">
      <c r="G157" s="19">
        <v>98</v>
      </c>
      <c r="H157" s="19">
        <f t="shared" ca="1" si="217"/>
        <v>0.25937429860814953</v>
      </c>
      <c r="I157" s="19">
        <f t="shared" ca="1" si="217"/>
        <v>0.73584097654820835</v>
      </c>
      <c r="J157" s="19">
        <f t="shared" ca="1" si="296"/>
        <v>-0.14596168406319446</v>
      </c>
      <c r="K157" s="19">
        <f t="shared" ca="1" si="297"/>
        <v>-1.6363561260036885</v>
      </c>
      <c r="L157" s="19">
        <f t="array" aca="1" ref="L157:M157" ca="1">MMULT(J157:K157,TRANSPOSE($B$10:$C$11))</f>
        <v>-0.14596168406319446</v>
      </c>
      <c r="M157" s="19">
        <f ca="1"/>
        <v>-1.0369193636990968</v>
      </c>
      <c r="N157" s="20">
        <f t="shared" ca="1" si="319"/>
        <v>0.14232600681896526</v>
      </c>
      <c r="O157" s="20">
        <f t="shared" ca="1" si="298"/>
        <v>-3.4826593234784176E-3</v>
      </c>
      <c r="P157" s="19">
        <f t="shared" ca="1" si="304"/>
        <v>72.290190389501745</v>
      </c>
      <c r="Q157" s="19">
        <f ca="1">HCTrans(P157,Strike,RiskFreeRate,Dividend,Variance_T0*AnnualVarConvtr,(Simulation!G157)/250,0.5,Variance_Avg*AnnualVarConvtr,Lambda,SQRT(Simulation!N157),Rho,1,"Call")</f>
        <v>5.1004423182982634</v>
      </c>
      <c r="R157" s="19" t="e">
        <f t="shared" ca="1" si="299"/>
        <v>#VALUE!</v>
      </c>
      <c r="S157" s="19" t="e">
        <f t="shared" ca="1" si="300"/>
        <v>#VALUE!</v>
      </c>
      <c r="T157" s="19" t="e">
        <f t="shared" ca="1" si="305"/>
        <v>#VALUE!</v>
      </c>
      <c r="U157" s="19" t="e">
        <f t="shared" ca="1" si="306"/>
        <v>#VALUE!</v>
      </c>
      <c r="V157" s="21">
        <f t="shared" ca="1" si="307"/>
        <v>2.4448013516300143E-5</v>
      </c>
      <c r="W157">
        <f t="shared" ca="1" si="308"/>
        <v>4.9444932517195474E-3</v>
      </c>
      <c r="X157" s="22">
        <f t="shared" ref="X157" ca="1" si="358">BSdelta(1,P157,Strike,W157*AnnualVarConvtr,Dividend,RiskFreeRate,G157/250)</f>
        <v>1.992431482117238E-11</v>
      </c>
      <c r="Y157" s="22">
        <f t="shared" ca="1" si="314"/>
        <v>1.4403325118029228E-9</v>
      </c>
      <c r="Z157" s="22">
        <f t="shared" ca="1" si="315"/>
        <v>1.0511285758870395</v>
      </c>
      <c r="AA157">
        <f t="shared" si="302"/>
        <v>0.73884103340948371</v>
      </c>
      <c r="AB157">
        <f t="shared" ref="AB157" ca="1" si="359">BSdelta(1,P157,Strike,AA157/AnnualVarConvtr,Dividend,RiskFreeRate,G157/250)</f>
        <v>8.1783804506717167E-29</v>
      </c>
      <c r="AC157">
        <f t="shared" ca="1" si="311"/>
        <v>-3.5025681421755036E-26</v>
      </c>
      <c r="AD157">
        <f t="shared" ca="1" si="312"/>
        <v>1.5728505075966792</v>
      </c>
    </row>
    <row r="158" spans="7:30" x14ac:dyDescent="0.25">
      <c r="G158" s="19">
        <v>97</v>
      </c>
      <c r="H158" s="19">
        <f t="shared" ca="1" si="217"/>
        <v>0.6136521908543674</v>
      </c>
      <c r="I158" s="19">
        <f t="shared" ca="1" si="217"/>
        <v>0.47139916281543925</v>
      </c>
      <c r="J158" s="19">
        <f t="shared" ca="1" si="296"/>
        <v>-0.97234370277150795</v>
      </c>
      <c r="K158" s="19">
        <f t="shared" ca="1" si="297"/>
        <v>0.17663995914535333</v>
      </c>
      <c r="L158" s="19">
        <f t="array" aca="1" ref="L158:M158" ca="1">MMULT(J158:K158,TRANSPOSE($B$10:$C$11))</f>
        <v>-0.97234370277150795</v>
      </c>
      <c r="M158" s="19">
        <f ca="1"/>
        <v>0.81990601834987697</v>
      </c>
      <c r="N158" s="20">
        <f t="shared" ca="1" si="319"/>
        <v>0.14929449367893882</v>
      </c>
      <c r="O158" s="20">
        <f t="shared" ca="1" si="298"/>
        <v>-2.3761382021313993E-2</v>
      </c>
      <c r="P158" s="19">
        <f t="shared" ca="1" si="304"/>
        <v>70.59272251614243</v>
      </c>
      <c r="Q158" s="19">
        <f ca="1">HCTrans(P158,Strike,RiskFreeRate,Dividend,Variance_T0*AnnualVarConvtr,(Simulation!G158)/250,0.5,Variance_Avg*AnnualVarConvtr,Lambda,SQRT(Simulation!N158),Rho,1,"Call")</f>
        <v>4.4983941942804506</v>
      </c>
      <c r="R158" s="19" t="e">
        <f t="shared" ca="1" si="299"/>
        <v>#VALUE!</v>
      </c>
      <c r="S158" s="19" t="e">
        <f t="shared" ca="1" si="300"/>
        <v>#VALUE!</v>
      </c>
      <c r="T158" s="19" t="e">
        <f t="shared" ca="1" si="305"/>
        <v>#VALUE!</v>
      </c>
      <c r="U158" s="19" t="e">
        <f t="shared" ca="1" si="306"/>
        <v>#VALUE!</v>
      </c>
      <c r="V158" s="21">
        <f t="shared" ca="1" si="307"/>
        <v>4.112265942557118E-4</v>
      </c>
      <c r="W158">
        <f t="shared" ca="1" si="308"/>
        <v>2.0278722697835577E-2</v>
      </c>
      <c r="X158" s="22">
        <f t="shared" ref="X158" ca="1" si="360">BSdelta(1,P158,Strike,W158*AnnualVarConvtr,Dividend,RiskFreeRate,G158/250)</f>
        <v>5.0111247529410763E-2</v>
      </c>
      <c r="Y158" s="22">
        <f t="shared" ca="1" si="314"/>
        <v>3.5374893903749105</v>
      </c>
      <c r="Z158" s="22">
        <f t="shared" ca="1" si="315"/>
        <v>-3.0884089385056841</v>
      </c>
      <c r="AA158">
        <f t="shared" si="302"/>
        <v>0.73884103340948371</v>
      </c>
      <c r="AB158">
        <f t="shared" ref="AB158" ca="1" si="361">BSdelta(1,P158,Strike,AA158/AnnualVarConvtr,Dividend,RiskFreeRate,G158/250)</f>
        <v>3.257911427931662E-33</v>
      </c>
      <c r="AC158">
        <f t="shared" ca="1" si="311"/>
        <v>-5.7731114330197093E-27</v>
      </c>
      <c r="AD158">
        <f t="shared" ca="1" si="312"/>
        <v>0.97080238357886639</v>
      </c>
    </row>
    <row r="159" spans="7:30" x14ac:dyDescent="0.25">
      <c r="G159" s="19">
        <v>96</v>
      </c>
      <c r="H159" s="19">
        <f t="shared" ref="H159:I222" ca="1" si="362">RAND()</f>
        <v>0.79953975500132379</v>
      </c>
      <c r="I159" s="19">
        <f t="shared" ca="1" si="362"/>
        <v>0.6615311636456811</v>
      </c>
      <c r="J159" s="19">
        <f t="shared" ca="1" si="296"/>
        <v>-0.35296888777398699</v>
      </c>
      <c r="K159" s="19">
        <f t="shared" ca="1" si="297"/>
        <v>-0.56819979804025023</v>
      </c>
      <c r="L159" s="19">
        <f t="array" aca="1" ref="L159:M159" ca="1">MMULT(J159:K159,TRANSPOSE($B$10:$C$11))</f>
        <v>-0.35296888777398699</v>
      </c>
      <c r="M159" s="19">
        <f ca="1"/>
        <v>-0.14346663632310075</v>
      </c>
      <c r="N159" s="20">
        <f t="shared" ca="1" si="319"/>
        <v>0.14718425100420518</v>
      </c>
      <c r="O159" s="20">
        <f t="shared" ca="1" si="298"/>
        <v>-8.5644029656939836E-3</v>
      </c>
      <c r="P159" s="19">
        <f t="shared" ca="1" si="304"/>
        <v>69.990719571658559</v>
      </c>
      <c r="Q159" s="19">
        <f ca="1">HCTrans(P159,Strike,RiskFreeRate,Dividend,Variance_T0*AnnualVarConvtr,(Simulation!G159)/250,0.5,Variance_Avg*AnnualVarConvtr,Lambda,SQRT(Simulation!N159),Rho,1,"Call")</f>
        <v>4.2697534810300084</v>
      </c>
      <c r="R159" s="19" t="e">
        <f t="shared" ca="1" si="299"/>
        <v>#VALUE!</v>
      </c>
      <c r="S159" s="19" t="e">
        <f t="shared" ca="1" si="300"/>
        <v>#VALUE!</v>
      </c>
      <c r="T159" s="19" t="e">
        <f t="shared" ca="1" si="305"/>
        <v>#VALUE!</v>
      </c>
      <c r="U159" s="19" t="e">
        <f t="shared" ca="1" si="306"/>
        <v>#VALUE!</v>
      </c>
      <c r="V159" s="21">
        <f t="shared" ca="1" si="307"/>
        <v>2.3094817241695324E-4</v>
      </c>
      <c r="W159">
        <f t="shared" ca="1" si="308"/>
        <v>1.519697905562001E-2</v>
      </c>
      <c r="X159" s="22">
        <f t="shared" ref="X159" ca="1" si="363">BSdelta(1,P159,Strike,W159*AnnualVarConvtr,Dividend,RiskFreeRate,G159/250)</f>
        <v>1.0120507145722E-2</v>
      </c>
      <c r="Y159" s="22">
        <f t="shared" ca="1" si="314"/>
        <v>-2.7989806956577614</v>
      </c>
      <c r="Z159" s="22">
        <f t="shared" ca="1" si="315"/>
        <v>-0.5180689560983649</v>
      </c>
      <c r="AA159">
        <f t="shared" si="302"/>
        <v>0.73884103340948371</v>
      </c>
      <c r="AB159">
        <f t="shared" ref="AB159" ca="1" si="364">BSdelta(1,P159,Strike,AA159/AnnualVarConvtr,Dividend,RiskFreeRate,G159/250)</f>
        <v>4.1169434794268356E-35</v>
      </c>
      <c r="AC159">
        <f t="shared" ca="1" si="311"/>
        <v>-2.2514208677605736E-31</v>
      </c>
      <c r="AD159">
        <f t="shared" ca="1" si="312"/>
        <v>0.74216167032842417</v>
      </c>
    </row>
    <row r="160" spans="7:30" x14ac:dyDescent="0.25">
      <c r="G160" s="19">
        <v>95</v>
      </c>
      <c r="H160" s="19">
        <f t="shared" ca="1" si="362"/>
        <v>0.20558851329977224</v>
      </c>
      <c r="I160" s="19">
        <f t="shared" ca="1" si="362"/>
        <v>8.1893602572325364E-2</v>
      </c>
      <c r="J160" s="19">
        <f t="shared" ca="1" si="296"/>
        <v>1.5483773669990666</v>
      </c>
      <c r="K160" s="19">
        <f t="shared" ca="1" si="297"/>
        <v>0.8753769254543069</v>
      </c>
      <c r="L160" s="19">
        <f t="array" aca="1" ref="L160:M160" ca="1">MMULT(J160:K160,TRANSPOSE($B$10:$C$11))</f>
        <v>1.5483773669990666</v>
      </c>
      <c r="M160" s="19">
        <f ca="1"/>
        <v>-0.49876074020364558</v>
      </c>
      <c r="N160" s="20">
        <f t="shared" ca="1" si="319"/>
        <v>0.14178684102383335</v>
      </c>
      <c r="O160" s="20">
        <f t="shared" ca="1" si="298"/>
        <v>3.6874383957047271E-2</v>
      </c>
      <c r="P160" s="19">
        <f t="shared" ca="1" si="304"/>
        <v>72.619758443283118</v>
      </c>
      <c r="Q160" s="19">
        <f ca="1">HCTrans(P160,Strike,RiskFreeRate,Dividend,Variance_T0*AnnualVarConvtr,(Simulation!G160)/250,0.5,Variance_Avg*AnnualVarConvtr,Lambda,SQRT(Simulation!N160),Rho,1,"Call")</f>
        <v>5.0352508070734103</v>
      </c>
      <c r="R160" s="19" t="e">
        <f t="shared" ca="1" si="299"/>
        <v>#VALUE!</v>
      </c>
      <c r="S160" s="19" t="e">
        <f t="shared" ca="1" si="300"/>
        <v>#VALUE!</v>
      </c>
      <c r="T160" s="19" t="e">
        <f t="shared" ca="1" si="305"/>
        <v>#VALUE!</v>
      </c>
      <c r="U160" s="19" t="e">
        <f t="shared" ca="1" si="306"/>
        <v>#VALUE!</v>
      </c>
      <c r="V160" s="21">
        <f t="shared" ca="1" si="307"/>
        <v>2.0646833570102815E-3</v>
      </c>
      <c r="W160">
        <f t="shared" ca="1" si="308"/>
        <v>4.5438786922741253E-2</v>
      </c>
      <c r="X160" s="22">
        <f t="shared" ref="X160" ca="1" si="365">BSdelta(1,P160,Strike,W160*AnnualVarConvtr,Dividend,RiskFreeRate,G160/250)</f>
        <v>0.30820419481673245</v>
      </c>
      <c r="Y160" s="22">
        <f t="shared" ca="1" si="314"/>
        <v>21.646765394551828</v>
      </c>
      <c r="Z160" s="22">
        <f t="shared" ca="1" si="315"/>
        <v>-21.39933702460679</v>
      </c>
      <c r="AA160">
        <f t="shared" si="302"/>
        <v>0.73884103340948371</v>
      </c>
      <c r="AB160">
        <f t="shared" ref="AB160" ca="1" si="366">BSdelta(1,P160,Strike,AA160/AnnualVarConvtr,Dividend,RiskFreeRate,G160/250)</f>
        <v>6.8337989899927111E-29</v>
      </c>
      <c r="AC160">
        <f t="shared" ca="1" si="311"/>
        <v>4.9626853293178184E-27</v>
      </c>
      <c r="AD160">
        <f t="shared" ca="1" si="312"/>
        <v>1.5076589963718261</v>
      </c>
    </row>
    <row r="161" spans="7:30" x14ac:dyDescent="0.25">
      <c r="G161" s="19">
        <v>94</v>
      </c>
      <c r="H161" s="19">
        <f t="shared" ca="1" si="362"/>
        <v>0.80545713831032595</v>
      </c>
      <c r="I161" s="19">
        <f t="shared" ca="1" si="362"/>
        <v>0.58541150400535258</v>
      </c>
      <c r="J161" s="19">
        <f t="shared" ca="1" si="296"/>
        <v>-0.56532174333815399</v>
      </c>
      <c r="K161" s="19">
        <f t="shared" ca="1" si="297"/>
        <v>-0.33630626613236125</v>
      </c>
      <c r="L161" s="19">
        <f t="array" aca="1" ref="L161:M161" ca="1">MMULT(J161:K161,TRANSPOSE($B$10:$C$11))</f>
        <v>-0.56532174333815399</v>
      </c>
      <c r="M161" s="19">
        <f ca="1"/>
        <v>0.17045011911211033</v>
      </c>
      <c r="N161" s="20">
        <f t="shared" ca="1" si="319"/>
        <v>0.14265068814230827</v>
      </c>
      <c r="O161" s="20">
        <f t="shared" ca="1" si="298"/>
        <v>-1.3504005953192242E-2</v>
      </c>
      <c r="P161" s="19">
        <f t="shared" ca="1" si="304"/>
        <v>71.645692491513984</v>
      </c>
      <c r="Q161" s="19">
        <f ca="1">HCTrans(P161,Strike,RiskFreeRate,Dividend,Variance_T0*AnnualVarConvtr,(Simulation!G161)/250,0.5,Variance_Avg*AnnualVarConvtr,Lambda,SQRT(Simulation!N161),Rho,1,"Call")</f>
        <v>4.6682915690027187</v>
      </c>
      <c r="R161" s="19" t="e">
        <f t="shared" ca="1" si="299"/>
        <v>#VALUE!</v>
      </c>
      <c r="S161" s="19" t="e">
        <f t="shared" ca="1" si="300"/>
        <v>#VALUE!</v>
      </c>
      <c r="T161" s="19" t="e">
        <f t="shared" ca="1" si="305"/>
        <v>#VALUE!</v>
      </c>
      <c r="U161" s="19" t="e">
        <f t="shared" ca="1" si="306"/>
        <v>#VALUE!</v>
      </c>
      <c r="V161" s="21">
        <f t="shared" ca="1" si="307"/>
        <v>2.5379821699481222E-3</v>
      </c>
      <c r="W161">
        <f t="shared" ca="1" si="308"/>
        <v>5.0378389910239511E-2</v>
      </c>
      <c r="X161" s="22">
        <f t="shared" ref="X161" ca="1" si="367">BSdelta(1,P161,Strike,W161*AnnualVarConvtr,Dividend,RiskFreeRate,G161/250)</f>
        <v>0.33053231107533088</v>
      </c>
      <c r="Y161" s="22">
        <f t="shared" ca="1" si="314"/>
        <v>1.5997133513783168</v>
      </c>
      <c r="Z161" s="22">
        <f t="shared" ca="1" si="315"/>
        <v>-23.366009614055798</v>
      </c>
      <c r="AA161">
        <f t="shared" si="302"/>
        <v>0.73884103340948371</v>
      </c>
      <c r="AB161">
        <f t="shared" ref="AB161" ca="1" si="368">BSdelta(1,P161,Strike,AA161/AnnualVarConvtr,Dividend,RiskFreeRate,G161/250)</f>
        <v>1.5814177603381662E-31</v>
      </c>
      <c r="AC161">
        <f t="shared" ca="1" si="311"/>
        <v>-4.8847924328025853E-27</v>
      </c>
      <c r="AD161">
        <f t="shared" ca="1" si="312"/>
        <v>1.1406997583011345</v>
      </c>
    </row>
    <row r="162" spans="7:30" x14ac:dyDescent="0.25">
      <c r="G162" s="19">
        <v>93</v>
      </c>
      <c r="H162" s="19">
        <f t="shared" ca="1" si="362"/>
        <v>0.93646581952297159</v>
      </c>
      <c r="I162" s="19">
        <f t="shared" ca="1" si="362"/>
        <v>0.87268056077047884</v>
      </c>
      <c r="J162" s="19">
        <f t="shared" ca="1" si="296"/>
        <v>0.25244654152567081</v>
      </c>
      <c r="K162" s="19">
        <f t="shared" ca="1" si="297"/>
        <v>-0.25991393847479877</v>
      </c>
      <c r="L162" s="19">
        <f t="array" aca="1" ref="L162:M162" ca="1">MMULT(J162:K162,TRANSPOSE($B$10:$C$11))</f>
        <v>0.25244654152567081</v>
      </c>
      <c r="M162" s="19">
        <f ca="1"/>
        <v>-0.36219055534171896</v>
      </c>
      <c r="N162" s="20">
        <f t="shared" ca="1" si="319"/>
        <v>0.13859725346342691</v>
      </c>
      <c r="O162" s="20">
        <f t="shared" ca="1" si="298"/>
        <v>5.9439716999209373E-3</v>
      </c>
      <c r="P162" s="19">
        <f t="shared" ca="1" si="304"/>
        <v>72.072820621298504</v>
      </c>
      <c r="Q162" s="19">
        <f ca="1">HCTrans(P162,Strike,RiskFreeRate,Dividend,Variance_T0*AnnualVarConvtr,(Simulation!G162)/250,0.5,Variance_Avg*AnnualVarConvtr,Lambda,SQRT(Simulation!N162),Rho,1,"Call")</f>
        <v>4.7523371481614447</v>
      </c>
      <c r="R162" s="19" t="e">
        <f t="shared" ca="1" si="299"/>
        <v>#VALUE!</v>
      </c>
      <c r="S162" s="19" t="e">
        <f t="shared" ca="1" si="300"/>
        <v>#VALUE!</v>
      </c>
      <c r="T162" s="19" t="e">
        <f t="shared" ca="1" si="305"/>
        <v>#VALUE!</v>
      </c>
      <c r="U162" s="19" t="e">
        <f t="shared" ca="1" si="306"/>
        <v>#VALUE!</v>
      </c>
      <c r="V162" s="21">
        <f t="shared" ca="1" si="307"/>
        <v>3.7822383479598962E-4</v>
      </c>
      <c r="W162">
        <f t="shared" ca="1" si="308"/>
        <v>1.944797765311318E-2</v>
      </c>
      <c r="X162" s="22">
        <f t="shared" ref="X162" ca="1" si="369">BSdelta(1,P162,Strike,W162*AnnualVarConvtr,Dividend,RiskFreeRate,G162/250)</f>
        <v>4.9227076621903926E-2</v>
      </c>
      <c r="Y162" s="22">
        <f t="shared" ca="1" si="314"/>
        <v>-20.274461702594159</v>
      </c>
      <c r="Z162" s="22">
        <f t="shared" ca="1" si="315"/>
        <v>-3.0075023323029129</v>
      </c>
      <c r="AA162">
        <f t="shared" si="302"/>
        <v>0.73884103340948371</v>
      </c>
      <c r="AB162">
        <f t="shared" ref="AB162" ca="1" si="370">BSdelta(1,P162,Strike,AA162/AnnualVarConvtr,Dividend,RiskFreeRate,G162/250)</f>
        <v>8.6537185094484388E-31</v>
      </c>
      <c r="AC162">
        <f t="shared" ca="1" si="311"/>
        <v>5.0972066327049967E-29</v>
      </c>
      <c r="AD162">
        <f t="shared" ca="1" si="312"/>
        <v>1.2247453374598605</v>
      </c>
    </row>
    <row r="163" spans="7:30" x14ac:dyDescent="0.25">
      <c r="G163" s="19">
        <v>92</v>
      </c>
      <c r="H163" s="19">
        <f t="shared" ca="1" si="362"/>
        <v>0.27282526738330892</v>
      </c>
      <c r="I163" s="19">
        <f t="shared" ca="1" si="362"/>
        <v>0.51282976425116089</v>
      </c>
      <c r="J163" s="19">
        <f t="shared" ca="1" si="296"/>
        <v>-1.6065498798511175</v>
      </c>
      <c r="K163" s="19">
        <f t="shared" ca="1" si="297"/>
        <v>-0.12978810965850524</v>
      </c>
      <c r="L163" s="19">
        <f t="array" aca="1" ref="L163:M163" ca="1">MMULT(J163:K163,TRANSPOSE($B$10:$C$11))</f>
        <v>-1.6065498798511175</v>
      </c>
      <c r="M163" s="19">
        <f ca="1"/>
        <v>1.0605544790065229</v>
      </c>
      <c r="N163" s="20">
        <f t="shared" ca="1" si="319"/>
        <v>0.14775029318822891</v>
      </c>
      <c r="O163" s="20">
        <f t="shared" ca="1" si="298"/>
        <v>-3.9056056048965872E-2</v>
      </c>
      <c r="P163" s="19">
        <f t="shared" ca="1" si="304"/>
        <v>69.312200865685824</v>
      </c>
      <c r="Q163" s="19">
        <f ca="1">HCTrans(P163,Strike,RiskFreeRate,Dividend,Variance_T0*AnnualVarConvtr,(Simulation!G163)/250,0.5,Variance_Avg*AnnualVarConvtr,Lambda,SQRT(Simulation!N163),Rho,1,"Call")</f>
        <v>3.8643105507539559</v>
      </c>
      <c r="R163" s="19" t="e">
        <f t="shared" ca="1" si="299"/>
        <v>#VALUE!</v>
      </c>
      <c r="S163" s="19" t="e">
        <f t="shared" ca="1" si="300"/>
        <v>#VALUE!</v>
      </c>
      <c r="T163" s="19" t="e">
        <f t="shared" ca="1" si="305"/>
        <v>#VALUE!</v>
      </c>
      <c r="U163" s="19" t="e">
        <f t="shared" ca="1" si="306"/>
        <v>#VALUE!</v>
      </c>
      <c r="V163" s="21">
        <f t="shared" ca="1" si="307"/>
        <v>2.0250024974005831E-3</v>
      </c>
      <c r="W163">
        <f t="shared" ca="1" si="308"/>
        <v>4.5000027748886812E-2</v>
      </c>
      <c r="X163" s="22">
        <f t="shared" ref="X163" ca="1" si="371">BSdelta(1,P163,Strike,W163*AnnualVarConvtr,Dividend,RiskFreeRate,G163/250)</f>
        <v>0.26323034763813435</v>
      </c>
      <c r="Y163" s="22">
        <f t="shared" ca="1" si="314"/>
        <v>14.833037706590765</v>
      </c>
      <c r="Z163" s="22">
        <f t="shared" ca="1" si="315"/>
        <v>-18.728566636301167</v>
      </c>
      <c r="AA163">
        <f t="shared" si="302"/>
        <v>0.73884103340948371</v>
      </c>
      <c r="AB163">
        <f t="shared" ref="AB163" ca="1" si="372">BSdelta(1,P163,Strike,AA163/AnnualVarConvtr,Dividend,RiskFreeRate,G163/250)</f>
        <v>1.8120765628466617E-38</v>
      </c>
      <c r="AC163">
        <f t="shared" ca="1" si="311"/>
        <v>-5.9980826300209205E-29</v>
      </c>
      <c r="AD163">
        <f t="shared" ca="1" si="312"/>
        <v>0.33671874005237168</v>
      </c>
    </row>
    <row r="164" spans="7:30" x14ac:dyDescent="0.25">
      <c r="G164" s="19">
        <v>91</v>
      </c>
      <c r="H164" s="19">
        <f t="shared" ca="1" si="362"/>
        <v>0.3039355528883545</v>
      </c>
      <c r="I164" s="19">
        <f t="shared" ca="1" si="362"/>
        <v>0.84920100825713807</v>
      </c>
      <c r="J164" s="19">
        <f t="shared" ca="1" si="296"/>
        <v>0.90086928339896</v>
      </c>
      <c r="K164" s="19">
        <f t="shared" ca="1" si="297"/>
        <v>-1.2531215936551214</v>
      </c>
      <c r="L164" s="19">
        <f t="array" aca="1" ref="L164:M164" ca="1">MMULT(J164:K164,TRANSPOSE($B$10:$C$11))</f>
        <v>0.90086928339896</v>
      </c>
      <c r="M164" s="19">
        <f ca="1"/>
        <v>-1.5196342891648027</v>
      </c>
      <c r="N164" s="20">
        <f t="shared" ca="1" si="319"/>
        <v>0.13302866539745548</v>
      </c>
      <c r="O164" s="20">
        <f t="shared" ca="1" si="298"/>
        <v>2.0780901885556455E-2</v>
      </c>
      <c r="P164" s="19">
        <f t="shared" ca="1" si="304"/>
        <v>70.767641216125696</v>
      </c>
      <c r="Q164" s="19">
        <f ca="1">HCTrans(P164,Strike,RiskFreeRate,Dividend,Variance_T0*AnnualVarConvtr,(Simulation!G164)/250,0.5,Variance_Avg*AnnualVarConvtr,Lambda,SQRT(Simulation!N164),Rho,1,"Call")</f>
        <v>4.2553321901707335</v>
      </c>
      <c r="R164" s="19" t="e">
        <f t="shared" ca="1" si="299"/>
        <v>#VALUE!</v>
      </c>
      <c r="S164" s="19" t="e">
        <f t="shared" ca="1" si="300"/>
        <v>#VALUE!</v>
      </c>
      <c r="T164" s="19" t="e">
        <f t="shared" ca="1" si="305"/>
        <v>#VALUE!</v>
      </c>
      <c r="U164" s="19" t="e">
        <f t="shared" ca="1" si="306"/>
        <v>#VALUE!</v>
      </c>
      <c r="V164" s="21">
        <f t="shared" ca="1" si="307"/>
        <v>3.5804615348577948E-3</v>
      </c>
      <c r="W164">
        <f t="shared" ca="1" si="308"/>
        <v>5.9836957934522331E-2</v>
      </c>
      <c r="X164" s="22">
        <f t="shared" ref="X164" ca="1" si="373">BSdelta(1,P164,Strike,W164*AnnualVarConvtr,Dividend,RiskFreeRate,G164/250)</f>
        <v>0.37435222347675967</v>
      </c>
      <c r="Y164" s="22">
        <f t="shared" ca="1" si="314"/>
        <v>7.8638330406107029</v>
      </c>
      <c r="Z164" s="22">
        <f t="shared" ca="1" si="315"/>
        <v>-26.201378037495093</v>
      </c>
      <c r="AA164">
        <f t="shared" si="302"/>
        <v>0.73884103340948371</v>
      </c>
      <c r="AB164">
        <f t="shared" ref="AB164" ca="1" si="374">BSdelta(1,P164,Strike,AA164/AnnualVarConvtr,Dividend,RiskFreeRate,G164/250)</f>
        <v>8.3473819760997974E-35</v>
      </c>
      <c r="AC164">
        <f t="shared" ca="1" si="311"/>
        <v>5.9059629639452916E-33</v>
      </c>
      <c r="AD164">
        <f t="shared" ca="1" si="312"/>
        <v>0.72774037946914927</v>
      </c>
    </row>
    <row r="165" spans="7:30" x14ac:dyDescent="0.25">
      <c r="G165" s="19">
        <v>90</v>
      </c>
      <c r="H165" s="19">
        <f t="shared" ca="1" si="362"/>
        <v>0.47855717943447473</v>
      </c>
      <c r="I165" s="19">
        <f t="shared" ca="1" si="362"/>
        <v>0.95023751754769314</v>
      </c>
      <c r="J165" s="19">
        <f t="shared" ca="1" si="296"/>
        <v>1.1552051191556205</v>
      </c>
      <c r="K165" s="19">
        <f t="shared" ca="1" si="297"/>
        <v>-0.37344382259169612</v>
      </c>
      <c r="L165" s="19">
        <f t="array" aca="1" ref="L165:M165" ca="1">MMULT(J165:K165,TRANSPOSE($B$10:$C$11))</f>
        <v>1.1552051191556205</v>
      </c>
      <c r="M165" s="19">
        <f ca="1"/>
        <v>-1.0882140578545099</v>
      </c>
      <c r="N165" s="20">
        <f t="shared" ca="1" si="319"/>
        <v>0.12280656658157235</v>
      </c>
      <c r="O165" s="20">
        <f t="shared" ca="1" si="298"/>
        <v>2.5603532881458217E-2</v>
      </c>
      <c r="P165" s="19">
        <f t="shared" ca="1" si="304"/>
        <v>72.602937622666545</v>
      </c>
      <c r="Q165" s="19">
        <f ca="1">HCTrans(P165,Strike,RiskFreeRate,Dividend,Variance_T0*AnnualVarConvtr,(Simulation!G165)/250,0.5,Variance_Avg*AnnualVarConvtr,Lambda,SQRT(Simulation!N165),Rho,1,"Call")</f>
        <v>4.775521208964193</v>
      </c>
      <c r="R165" s="19" t="e">
        <f t="shared" ca="1" si="299"/>
        <v>#VALUE!</v>
      </c>
      <c r="S165" s="19" t="e">
        <f t="shared" ca="1" si="300"/>
        <v>#VALUE!</v>
      </c>
      <c r="T165" s="19" t="e">
        <f t="shared" ca="1" si="305"/>
        <v>#VALUE!</v>
      </c>
      <c r="U165" s="19" t="e">
        <f t="shared" ca="1" si="306"/>
        <v>#VALUE!</v>
      </c>
      <c r="V165" s="21">
        <f t="shared" ca="1" si="307"/>
        <v>2.3257769722632418E-5</v>
      </c>
      <c r="W165">
        <f t="shared" ca="1" si="308"/>
        <v>4.8226309959017617E-3</v>
      </c>
      <c r="X165" s="22">
        <f t="shared" ref="X165" ca="1" si="375">BSdelta(1,P165,Strike,W165*AnnualVarConvtr,Dividend,RiskFreeRate,G165/250)</f>
        <v>1.5289912644859147E-12</v>
      </c>
      <c r="Y165" s="22">
        <f t="shared" ca="1" si="314"/>
        <v>-27.1790711298787</v>
      </c>
      <c r="Z165" s="22">
        <f t="shared" ca="1" si="315"/>
        <v>1.4978821111770664</v>
      </c>
      <c r="AA165">
        <f t="shared" si="302"/>
        <v>0.73884103340948371</v>
      </c>
      <c r="AB165">
        <f t="shared" ref="AB165" ca="1" si="376">BSdelta(1,P165,Strike,AA165/AnnualVarConvtr,Dividend,RiskFreeRate,G165/250)</f>
        <v>1.9664129764594703E-30</v>
      </c>
      <c r="AC165">
        <f t="shared" ca="1" si="311"/>
        <v>1.4276129822575977E-28</v>
      </c>
      <c r="AD165">
        <f t="shared" ca="1" si="312"/>
        <v>1.2479293982626087</v>
      </c>
    </row>
    <row r="166" spans="7:30" x14ac:dyDescent="0.25">
      <c r="G166" s="19">
        <v>89</v>
      </c>
      <c r="H166" s="19">
        <f t="shared" ca="1" si="362"/>
        <v>5.052948995917339E-2</v>
      </c>
      <c r="I166" s="19">
        <f t="shared" ca="1" si="362"/>
        <v>0.42613855601003414</v>
      </c>
      <c r="J166" s="19">
        <f t="shared" ca="1" si="296"/>
        <v>-2.1850003604386479</v>
      </c>
      <c r="K166" s="19">
        <f t="shared" ca="1" si="297"/>
        <v>1.0936954475472327</v>
      </c>
      <c r="L166" s="19">
        <f t="array" aca="1" ref="L166:M166" ca="1">MMULT(J166:K166,TRANSPOSE($B$10:$C$11))</f>
        <v>-2.1850003604386479</v>
      </c>
      <c r="M166" s="19">
        <f ca="1"/>
        <v>2.328500584317271</v>
      </c>
      <c r="N166" s="20">
        <f t="shared" ca="1" si="319"/>
        <v>0.14301629743156657</v>
      </c>
      <c r="O166" s="20">
        <f t="shared" ca="1" si="298"/>
        <v>-5.2260585831872389E-2</v>
      </c>
      <c r="P166" s="19">
        <f t="shared" ca="1" si="304"/>
        <v>68.906106208046751</v>
      </c>
      <c r="Q166" s="19">
        <f ca="1">HCTrans(P166,Strike,RiskFreeRate,Dividend,Variance_T0*AnnualVarConvtr,(Simulation!G166)/250,0.5,Variance_Avg*AnnualVarConvtr,Lambda,SQRT(Simulation!N166),Rho,1,"Call")</f>
        <v>3.6069680576205343</v>
      </c>
      <c r="R166" s="19" t="e">
        <f t="shared" ca="1" si="299"/>
        <v>#VALUE!</v>
      </c>
      <c r="S166" s="19" t="e">
        <f t="shared" ca="1" si="300"/>
        <v>#VALUE!</v>
      </c>
      <c r="T166" s="19" t="e">
        <f t="shared" ca="1" si="305"/>
        <v>#VALUE!</v>
      </c>
      <c r="U166" s="19" t="e">
        <f t="shared" ca="1" si="306"/>
        <v>#VALUE!</v>
      </c>
      <c r="V166" s="21">
        <f t="shared" ca="1" si="307"/>
        <v>6.0628209830036403E-3</v>
      </c>
      <c r="W166">
        <f t="shared" ca="1" si="308"/>
        <v>7.7864118713330599E-2</v>
      </c>
      <c r="X166" s="22">
        <f t="shared" ref="X166" ca="1" si="377">BSdelta(1,P166,Strike,W166*AnnualVarConvtr,Dividend,RiskFreeRate,G166/250)</f>
        <v>0.44444280325622304</v>
      </c>
      <c r="Y166" s="22">
        <f t="shared" ca="1" si="314"/>
        <v>30.624823004469974</v>
      </c>
      <c r="Z166" s="22">
        <f t="shared" ca="1" si="315"/>
        <v>-30.295494044636566</v>
      </c>
      <c r="AA166">
        <f t="shared" si="302"/>
        <v>0.73884103340948371</v>
      </c>
      <c r="AB166">
        <f t="shared" ref="AB166" ca="1" si="378">BSdelta(1,P166,Strike,AA166/AnnualVarConvtr,Dividend,RiskFreeRate,G166/250)</f>
        <v>6.4356023343937355E-41</v>
      </c>
      <c r="AC166">
        <f t="shared" ca="1" si="311"/>
        <v>-1.3549786140036307E-28</v>
      </c>
      <c r="AD166">
        <f t="shared" ca="1" si="312"/>
        <v>7.9376246918950066E-2</v>
      </c>
    </row>
    <row r="167" spans="7:30" x14ac:dyDescent="0.25">
      <c r="G167" s="19">
        <v>88</v>
      </c>
      <c r="H167" s="19">
        <f t="shared" ca="1" si="362"/>
        <v>0.35864150706528564</v>
      </c>
      <c r="I167" s="19">
        <f t="shared" ca="1" si="362"/>
        <v>0.53300963440111904</v>
      </c>
      <c r="J167" s="19">
        <f t="shared" ca="1" si="296"/>
        <v>-1.4013919918863964</v>
      </c>
      <c r="K167" s="19">
        <f t="shared" ca="1" si="297"/>
        <v>-0.29489733642339605</v>
      </c>
      <c r="L167" s="19">
        <f t="array" aca="1" ref="L167:M167" ca="1">MMULT(J167:K167,TRANSPOSE($B$10:$C$11))</f>
        <v>-1.4013919918863964</v>
      </c>
      <c r="M167" s="19">
        <f ca="1"/>
        <v>0.79838078702798099</v>
      </c>
      <c r="N167" s="20">
        <f t="shared" ca="1" si="319"/>
        <v>0.14979465692122484</v>
      </c>
      <c r="O167" s="20">
        <f t="shared" ca="1" si="298"/>
        <v>-3.4303449043249216E-2</v>
      </c>
      <c r="P167" s="19">
        <f t="shared" ca="1" si="304"/>
        <v>66.582471303198375</v>
      </c>
      <c r="Q167" s="19">
        <f ca="1">HCTrans(P167,Strike,RiskFreeRate,Dividend,Variance_T0*AnnualVarConvtr,(Simulation!G167)/250,0.5,Variance_Avg*AnnualVarConvtr,Lambda,SQRT(Simulation!N167),Rho,1,"Call")</f>
        <v>2.9593872574439146</v>
      </c>
      <c r="R167" s="19" t="e">
        <f t="shared" ca="1" si="299"/>
        <v>#VALUE!</v>
      </c>
      <c r="S167" s="19" t="e">
        <f t="shared" ca="1" si="300"/>
        <v>#VALUE!</v>
      </c>
      <c r="T167" s="19" t="e">
        <f t="shared" ca="1" si="305"/>
        <v>#VALUE!</v>
      </c>
      <c r="U167" s="19" t="e">
        <f t="shared" ca="1" si="306"/>
        <v>#VALUE!</v>
      </c>
      <c r="V167" s="21">
        <f t="shared" ca="1" si="307"/>
        <v>3.2245876164532371E-4</v>
      </c>
      <c r="W167">
        <f t="shared" ca="1" si="308"/>
        <v>1.7957136788623172E-2</v>
      </c>
      <c r="X167" s="22">
        <f t="shared" ref="X167" ca="1" si="379">BSdelta(1,P167,Strike,W167*AnnualVarConvtr,Dividend,RiskFreeRate,G167/250)</f>
        <v>9.8959472486253881E-3</v>
      </c>
      <c r="Y167" s="22">
        <f t="shared" ca="1" si="314"/>
        <v>-28.933203570020947</v>
      </c>
      <c r="Z167" s="22">
        <f t="shared" ca="1" si="315"/>
        <v>-2.0098712747922391</v>
      </c>
      <c r="AA167">
        <f t="shared" si="302"/>
        <v>0.73884103340948371</v>
      </c>
      <c r="AB167">
        <f t="shared" ref="AB167" ca="1" si="380">BSdelta(1,P167,Strike,AA167/AnnualVarConvtr,Dividend,RiskFreeRate,G167/250)</f>
        <v>6.0853121658132658E-49</v>
      </c>
      <c r="AC167">
        <f t="shared" ca="1" si="311"/>
        <v>-4.2849830369681617E-39</v>
      </c>
      <c r="AD167">
        <f t="shared" ca="1" si="312"/>
        <v>-0.56820455325766961</v>
      </c>
    </row>
    <row r="168" spans="7:30" x14ac:dyDescent="0.25">
      <c r="G168" s="19">
        <v>87</v>
      </c>
      <c r="H168" s="19">
        <f t="shared" ca="1" si="362"/>
        <v>0.65215288803206783</v>
      </c>
      <c r="I168" s="19">
        <f t="shared" ca="1" si="362"/>
        <v>4.1661462612711642E-2</v>
      </c>
      <c r="J168" s="19">
        <f t="shared" ca="1" si="296"/>
        <v>0.89313802167192624</v>
      </c>
      <c r="K168" s="19">
        <f t="shared" ca="1" si="297"/>
        <v>0.23928431130943265</v>
      </c>
      <c r="L168" s="19">
        <f t="array" aca="1" ref="L168:M168" ca="1">MMULT(J168:K168,TRANSPOSE($B$10:$C$11))</f>
        <v>0.89313802167192624</v>
      </c>
      <c r="M168" s="19">
        <f ca="1"/>
        <v>-0.47301174579901356</v>
      </c>
      <c r="N168" s="20">
        <f t="shared" ca="1" si="319"/>
        <v>0.14458258581404568</v>
      </c>
      <c r="O168" s="20">
        <f t="shared" ca="1" si="298"/>
        <v>2.1478629547166485E-2</v>
      </c>
      <c r="P168" s="19">
        <f t="shared" ca="1" si="304"/>
        <v>68.028040386612915</v>
      </c>
      <c r="Q168" s="19">
        <f ca="1">HCTrans(P168,Strike,RiskFreeRate,Dividend,Variance_T0*AnnualVarConvtr,(Simulation!G168)/250,0.5,Variance_Avg*AnnualVarConvtr,Lambda,SQRT(Simulation!N168),Rho,1,"Call")</f>
        <v>3.2743122744846147</v>
      </c>
      <c r="R168" s="19" t="e">
        <f t="shared" ca="1" si="299"/>
        <v>#VALUE!</v>
      </c>
      <c r="S168" s="19" t="e">
        <f t="shared" ca="1" si="300"/>
        <v>#VALUE!</v>
      </c>
      <c r="T168" s="19" t="e">
        <f t="shared" ca="1" si="305"/>
        <v>#VALUE!</v>
      </c>
      <c r="U168" s="19" t="e">
        <f t="shared" ca="1" si="306"/>
        <v>#VALUE!</v>
      </c>
      <c r="V168" s="21">
        <f t="shared" ca="1" si="307"/>
        <v>3.1116402918673139E-3</v>
      </c>
      <c r="W168">
        <f t="shared" ca="1" si="308"/>
        <v>5.5782078590415701E-2</v>
      </c>
      <c r="X168" s="22">
        <f t="shared" ref="X168" ca="1" si="381">BSdelta(1,P168,Strike,W168*AnnualVarConvtr,Dividend,RiskFreeRate,G168/250)</f>
        <v>0.31551149876174372</v>
      </c>
      <c r="Y168" s="22">
        <f t="shared" ca="1" si="314"/>
        <v>20.790427081111392</v>
      </c>
      <c r="Z168" s="22">
        <f t="shared" ca="1" si="315"/>
        <v>-22.485373338862932</v>
      </c>
      <c r="AA168">
        <f t="shared" si="302"/>
        <v>0.73884103340948371</v>
      </c>
      <c r="AB168">
        <f t="shared" ref="AB168" ca="1" si="382">BSdelta(1,P168,Strike,AA168/AnnualVarConvtr,Dividend,RiskFreeRate,G168/250)</f>
        <v>1.3316715454392197E-44</v>
      </c>
      <c r="AC168">
        <f t="shared" ca="1" si="311"/>
        <v>9.0586865956224669E-43</v>
      </c>
      <c r="AD168">
        <f t="shared" ca="1" si="312"/>
        <v>-0.25327953621696953</v>
      </c>
    </row>
    <row r="169" spans="7:30" x14ac:dyDescent="0.25">
      <c r="G169" s="19">
        <v>86</v>
      </c>
      <c r="H169" s="19">
        <f t="shared" ca="1" si="362"/>
        <v>0.39285308433630561</v>
      </c>
      <c r="I169" s="19">
        <f t="shared" ca="1" si="362"/>
        <v>0.46707249852303079</v>
      </c>
      <c r="J169" s="19">
        <f t="shared" ca="1" si="296"/>
        <v>-1.3378302981722638</v>
      </c>
      <c r="K169" s="19">
        <f t="shared" ca="1" si="297"/>
        <v>0.28080105005738576</v>
      </c>
      <c r="L169" s="19">
        <f t="array" aca="1" ref="L169:M169" ca="1">MMULT(J169:K169,TRANSPOSE($B$10:$C$11))</f>
        <v>-1.3378302981722638</v>
      </c>
      <c r="M169" s="19">
        <f ca="1"/>
        <v>1.1544385963943309</v>
      </c>
      <c r="N169" s="20">
        <f t="shared" ca="1" si="319"/>
        <v>0.15481732753256297</v>
      </c>
      <c r="O169" s="20">
        <f t="shared" ca="1" si="298"/>
        <v>-3.3292070539468678E-2</v>
      </c>
      <c r="P169" s="19">
        <f t="shared" ca="1" si="304"/>
        <v>65.80053100390333</v>
      </c>
      <c r="Q169" s="19">
        <f ca="1">HCTrans(P169,Strike,RiskFreeRate,Dividend,Variance_T0*AnnualVarConvtr,(Simulation!G169)/250,0.5,Variance_Avg*AnnualVarConvtr,Lambda,SQRT(Simulation!N169),Rho,1,"Call")</f>
        <v>2.6786093726474149</v>
      </c>
      <c r="R169" s="19" t="e">
        <f t="shared" ca="1" si="299"/>
        <v>#VALUE!</v>
      </c>
      <c r="S169" s="19" t="e">
        <f t="shared" ca="1" si="300"/>
        <v>#VALUE!</v>
      </c>
      <c r="T169" s="19" t="e">
        <f t="shared" ca="1" si="305"/>
        <v>#VALUE!</v>
      </c>
      <c r="U169" s="19" t="e">
        <f t="shared" ca="1" si="306"/>
        <v>#VALUE!</v>
      </c>
      <c r="V169" s="21">
        <f t="shared" ca="1" si="307"/>
        <v>2.9998295879801371E-3</v>
      </c>
      <c r="W169">
        <f t="shared" ca="1" si="308"/>
        <v>5.4770700086635163E-2</v>
      </c>
      <c r="X169" s="22">
        <f t="shared" ref="X169" ca="1" si="383">BSdelta(1,P169,Strike,W169*AnnualVarConvtr,Dividend,RiskFreeRate,G169/250)</f>
        <v>0.28431632474253166</v>
      </c>
      <c r="Y169" s="22">
        <f t="shared" ca="1" si="314"/>
        <v>-2.0526590152233233</v>
      </c>
      <c r="Z169" s="22">
        <f t="shared" ca="1" si="315"/>
        <v>-21.028417225476808</v>
      </c>
      <c r="AA169">
        <f t="shared" si="302"/>
        <v>0.73884103340948371</v>
      </c>
      <c r="AB169">
        <f t="shared" ref="AB169" ca="1" si="384">BSdelta(1,P169,Strike,AA169/AnnualVarConvtr,Dividend,RiskFreeRate,G169/250)</f>
        <v>7.3151441981408037E-53</v>
      </c>
      <c r="AC169">
        <f t="shared" ca="1" si="311"/>
        <v>-8.7624694331348864E-43</v>
      </c>
      <c r="AD169">
        <f t="shared" ca="1" si="312"/>
        <v>-0.84898243805416929</v>
      </c>
    </row>
    <row r="170" spans="7:30" x14ac:dyDescent="0.25">
      <c r="G170" s="19">
        <v>85</v>
      </c>
      <c r="H170" s="19">
        <f t="shared" ca="1" si="362"/>
        <v>3.0710325845740183E-2</v>
      </c>
      <c r="I170" s="19">
        <f t="shared" ca="1" si="362"/>
        <v>0.16021024281646812</v>
      </c>
      <c r="J170" s="19">
        <f t="shared" ca="1" si="296"/>
        <v>1.4113040237818537</v>
      </c>
      <c r="K170" s="19">
        <f t="shared" ca="1" si="297"/>
        <v>2.2303662526153287</v>
      </c>
      <c r="L170" s="19">
        <f t="array" aca="1" ref="L170:M170" ca="1">MMULT(J170:K170,TRANSPOSE($B$10:$C$11))</f>
        <v>1.4113040237818537</v>
      </c>
      <c r="M170" s="19">
        <f ca="1"/>
        <v>0.5446753737384078</v>
      </c>
      <c r="N170" s="20">
        <f t="shared" ca="1" si="319"/>
        <v>0.15933356140086227</v>
      </c>
      <c r="O170" s="20">
        <f t="shared" ca="1" si="298"/>
        <v>3.5629047091867046E-2</v>
      </c>
      <c r="P170" s="19">
        <f t="shared" ca="1" si="304"/>
        <v>68.187206232887576</v>
      </c>
      <c r="Q170" s="19">
        <f ca="1">HCTrans(P170,Strike,RiskFreeRate,Dividend,Variance_T0*AnnualVarConvtr,(Simulation!G170)/250,0.5,Variance_Avg*AnnualVarConvtr,Lambda,SQRT(Simulation!N170),Rho,1,"Call")</f>
        <v>3.1880313997065457</v>
      </c>
      <c r="R170" s="19" t="e">
        <f t="shared" ca="1" si="299"/>
        <v>#VALUE!</v>
      </c>
      <c r="S170" s="19" t="e">
        <f t="shared" ca="1" si="300"/>
        <v>#VALUE!</v>
      </c>
      <c r="T170" s="19" t="e">
        <f t="shared" ca="1" si="305"/>
        <v>#VALUE!</v>
      </c>
      <c r="U170" s="19" t="e">
        <f t="shared" ca="1" si="306"/>
        <v>#VALUE!</v>
      </c>
      <c r="V170" s="21">
        <f t="shared" ca="1" si="307"/>
        <v>4.7501204555524161E-3</v>
      </c>
      <c r="W170">
        <f t="shared" ca="1" si="308"/>
        <v>6.8921117631335724E-2</v>
      </c>
      <c r="X170" s="22">
        <f t="shared" ref="X170" ca="1" si="385">BSdelta(1,P170,Strike,W170*AnnualVarConvtr,Dividend,RiskFreeRate,G170/250)</f>
        <v>0.38785942509387666</v>
      </c>
      <c r="Y170" s="22">
        <f t="shared" ca="1" si="314"/>
        <v>7.0603147376497359</v>
      </c>
      <c r="Z170" s="22">
        <f t="shared" ca="1" si="315"/>
        <v>-27.579309936067414</v>
      </c>
      <c r="AA170">
        <f t="shared" si="302"/>
        <v>0.73884103340948371</v>
      </c>
      <c r="AB170">
        <f t="shared" ref="AB170" ca="1" si="386">BSdelta(1,P170,Strike,AA170/AnnualVarConvtr,Dividend,RiskFreeRate,G170/250)</f>
        <v>4.4526869639129611E-45</v>
      </c>
      <c r="AC170">
        <f t="shared" ca="1" si="311"/>
        <v>3.0361627931083065E-43</v>
      </c>
      <c r="AD170">
        <f t="shared" ca="1" si="312"/>
        <v>-0.33956041099503853</v>
      </c>
    </row>
    <row r="171" spans="7:30" x14ac:dyDescent="0.25">
      <c r="G171" s="19">
        <v>84</v>
      </c>
      <c r="H171" s="19">
        <f t="shared" ca="1" si="362"/>
        <v>6.8840055323308169E-2</v>
      </c>
      <c r="I171" s="19">
        <f t="shared" ca="1" si="362"/>
        <v>0.95107356713784474</v>
      </c>
      <c r="J171" s="19">
        <f t="shared" ca="1" si="296"/>
        <v>2.2049708259656828</v>
      </c>
      <c r="K171" s="19">
        <f t="shared" ca="1" si="297"/>
        <v>-0.70003047406326013</v>
      </c>
      <c r="L171" s="19">
        <f t="array" aca="1" ref="L171:M171" ca="1">MMULT(J171:K171,TRANSPOSE($B$10:$C$11))</f>
        <v>2.2049708259656828</v>
      </c>
      <c r="M171" s="19">
        <f ca="1"/>
        <v>-2.0681938190534548</v>
      </c>
      <c r="N171" s="20">
        <f t="shared" ca="1" si="319"/>
        <v>0.13892639515547578</v>
      </c>
      <c r="O171" s="20">
        <f t="shared" ca="1" si="298"/>
        <v>5.1978677651612661E-2</v>
      </c>
      <c r="P171" s="19">
        <f t="shared" ca="1" si="304"/>
        <v>71.825217496841915</v>
      </c>
      <c r="Q171" s="19">
        <f ca="1">HCTrans(P171,Strike,RiskFreeRate,Dividend,Variance_T0*AnnualVarConvtr,(Simulation!G171)/250,0.5,Variance_Avg*AnnualVarConvtr,Lambda,SQRT(Simulation!N171),Rho,1,"Call")</f>
        <v>4.1546821866188282</v>
      </c>
      <c r="R171" s="19" t="e">
        <f t="shared" ca="1" si="299"/>
        <v>#VALUE!</v>
      </c>
      <c r="S171" s="19" t="e">
        <f t="shared" ca="1" si="300"/>
        <v>#VALUE!</v>
      </c>
      <c r="T171" s="19" t="e">
        <f t="shared" ca="1" si="305"/>
        <v>#VALUE!</v>
      </c>
      <c r="U171" s="19" t="e">
        <f t="shared" ca="1" si="306"/>
        <v>#VALUE!</v>
      </c>
      <c r="V171" s="21">
        <f t="shared" ca="1" si="307"/>
        <v>2.673104194401677E-4</v>
      </c>
      <c r="W171">
        <f t="shared" ca="1" si="308"/>
        <v>1.6349630559745615E-2</v>
      </c>
      <c r="X171" s="22">
        <f t="shared" ref="X171" ca="1" si="387">BSdelta(1,P171,Strike,W171*AnnualVarConvtr,Dividend,RiskFreeRate,G171/250)</f>
        <v>1.643932751579984E-2</v>
      </c>
      <c r="Y171" s="22">
        <f t="shared" ca="1" si="314"/>
        <v>-26.677329291243613</v>
      </c>
      <c r="Z171" s="22">
        <f t="shared" ca="1" si="315"/>
        <v>6.4670142088480986E-2</v>
      </c>
      <c r="AA171">
        <f t="shared" si="302"/>
        <v>0.73884103340948371</v>
      </c>
      <c r="AB171">
        <f t="shared" ref="AB171" ca="1" si="388">BSdelta(1,P171,Strike,AA171/AnnualVarConvtr,Dividend,RiskFreeRate,G171/250)</f>
        <v>1.475732604362073E-34</v>
      </c>
      <c r="AC171">
        <f t="shared" ca="1" si="311"/>
        <v>1.0599481527228871E-32</v>
      </c>
      <c r="AD171">
        <f t="shared" ca="1" si="312"/>
        <v>0.62709037591724393</v>
      </c>
    </row>
    <row r="172" spans="7:30" x14ac:dyDescent="0.25">
      <c r="G172" s="19">
        <v>83</v>
      </c>
      <c r="H172" s="19">
        <f t="shared" ca="1" si="362"/>
        <v>0.16032889923589366</v>
      </c>
      <c r="I172" s="19">
        <f t="shared" ca="1" si="362"/>
        <v>0.69010101656338385</v>
      </c>
      <c r="J172" s="19">
        <f t="shared" ca="1" si="296"/>
        <v>-0.7032360213629526</v>
      </c>
      <c r="K172" s="19">
        <f t="shared" ca="1" si="297"/>
        <v>-1.7794704282730269</v>
      </c>
      <c r="L172" s="19">
        <f t="array" aca="1" ref="L172:M172" ca="1">MMULT(J172:K172,TRANSPOSE($B$10:$C$11))</f>
        <v>-0.7032360213629526</v>
      </c>
      <c r="M172" s="19">
        <f ca="1"/>
        <v>-0.73746699087261047</v>
      </c>
      <c r="N172" s="20">
        <f t="shared" ca="1" si="319"/>
        <v>0.13156900417622311</v>
      </c>
      <c r="O172" s="20">
        <f t="shared" ca="1" si="298"/>
        <v>-1.6132731196751321E-2</v>
      </c>
      <c r="P172" s="19">
        <f t="shared" ca="1" si="304"/>
        <v>70.675777304456759</v>
      </c>
      <c r="Q172" s="19">
        <f ca="1">HCTrans(P172,Strike,RiskFreeRate,Dividend,Variance_T0*AnnualVarConvtr,(Simulation!G172)/250,0.5,Variance_Avg*AnnualVarConvtr,Lambda,SQRT(Simulation!N172),Rho,1,"Call")</f>
        <v>3.7849977579197827</v>
      </c>
      <c r="R172" s="19" t="e">
        <f t="shared" ca="1" si="299"/>
        <v>#VALUE!</v>
      </c>
      <c r="S172" s="19" t="e">
        <f t="shared" ca="1" si="300"/>
        <v>#VALUE!</v>
      </c>
      <c r="T172" s="19" t="e">
        <f t="shared" ca="1" si="305"/>
        <v>#VALUE!</v>
      </c>
      <c r="U172" s="19" t="e">
        <f t="shared" ca="1" si="306"/>
        <v>#VALUE!</v>
      </c>
      <c r="V172" s="21">
        <f t="shared" ca="1" si="307"/>
        <v>4.639164015308994E-3</v>
      </c>
      <c r="W172">
        <f t="shared" ca="1" si="308"/>
        <v>6.8111408848363975E-2</v>
      </c>
      <c r="X172" s="22">
        <f t="shared" ref="X172" ca="1" si="389">BSdelta(1,P172,Strike,W172*AnnualVarConvtr,Dividend,RiskFreeRate,G172/250)</f>
        <v>0.40166082871021624</v>
      </c>
      <c r="Y172" s="22">
        <f t="shared" ca="1" si="314"/>
        <v>27.225829031305096</v>
      </c>
      <c r="Z172" s="22">
        <f t="shared" ca="1" si="315"/>
        <v>-27.530843317915661</v>
      </c>
      <c r="AA172">
        <f t="shared" si="302"/>
        <v>0.73884103340948371</v>
      </c>
      <c r="AB172">
        <f t="shared" ref="AB172" ca="1" si="390">BSdelta(1,P172,Strike,AA172/AnnualVarConvtr,Dividend,RiskFreeRate,G172/250)</f>
        <v>3.0380452418746323E-38</v>
      </c>
      <c r="AC172">
        <f t="shared" ca="1" si="311"/>
        <v>-1.0427707728592431E-32</v>
      </c>
      <c r="AD172">
        <f t="shared" ca="1" si="312"/>
        <v>0.25740594721819843</v>
      </c>
    </row>
    <row r="173" spans="7:30" x14ac:dyDescent="0.25">
      <c r="G173" s="19">
        <v>82</v>
      </c>
      <c r="H173" s="19">
        <f t="shared" ca="1" si="362"/>
        <v>0.78485812070682826</v>
      </c>
      <c r="I173" s="19">
        <f t="shared" ca="1" si="362"/>
        <v>2.6233276103305614E-2</v>
      </c>
      <c r="J173" s="19">
        <f t="shared" ca="1" si="296"/>
        <v>0.68662957287744941</v>
      </c>
      <c r="K173" s="19">
        <f t="shared" ca="1" si="297"/>
        <v>0.11421234883279012</v>
      </c>
      <c r="L173" s="19">
        <f t="array" aca="1" ref="L173:M173" ca="1">MMULT(J173:K173,TRANSPOSE($B$10:$C$11))</f>
        <v>0.68662957287744941</v>
      </c>
      <c r="M173" s="19">
        <f ca="1"/>
        <v>-0.41229702874966101</v>
      </c>
      <c r="N173" s="20">
        <f t="shared" ca="1" si="319"/>
        <v>0.12726741708229866</v>
      </c>
      <c r="O173" s="20">
        <f t="shared" ca="1" si="298"/>
        <v>1.5492129374312404E-2</v>
      </c>
      <c r="P173" s="19">
        <f t="shared" ca="1" si="304"/>
        <v>71.779220865952126</v>
      </c>
      <c r="Q173" s="19">
        <f ca="1">HCTrans(P173,Strike,RiskFreeRate,Dividend,Variance_T0*AnnualVarConvtr,(Simulation!G173)/250,0.5,Variance_Avg*AnnualVarConvtr,Lambda,SQRT(Simulation!N173),Rho,1,"Call")</f>
        <v>4.0459151349267586</v>
      </c>
      <c r="R173" s="19" t="e">
        <f t="shared" ca="1" si="299"/>
        <v>#VALUE!</v>
      </c>
      <c r="S173" s="19" t="e">
        <f t="shared" ca="1" si="300"/>
        <v>#VALUE!</v>
      </c>
      <c r="T173" s="19" t="e">
        <f t="shared" ca="1" si="305"/>
        <v>#VALUE!</v>
      </c>
      <c r="U173" s="19" t="e">
        <f t="shared" ca="1" si="306"/>
        <v>#VALUE!</v>
      </c>
      <c r="V173" s="21">
        <f t="shared" ca="1" si="307"/>
        <v>1.0001318061392214E-3</v>
      </c>
      <c r="W173">
        <f t="shared" ca="1" si="308"/>
        <v>3.1624860571063729E-2</v>
      </c>
      <c r="X173" s="22">
        <f t="shared" ref="X173" ca="1" si="391">BSdelta(1,P173,Strike,W173*AnnualVarConvtr,Dividend,RiskFreeRate,G173/250)</f>
        <v>0.15513713043175251</v>
      </c>
      <c r="Y173" s="22">
        <f t="shared" ca="1" si="314"/>
        <v>-17.69527898742119</v>
      </c>
      <c r="Z173" s="22">
        <f t="shared" ca="1" si="315"/>
        <v>-9.5746469534874947</v>
      </c>
      <c r="AA173">
        <f t="shared" si="302"/>
        <v>0.73884103340948371</v>
      </c>
      <c r="AB173">
        <f t="shared" ref="AB173" ca="1" si="392">BSdelta(1,P173,Strike,AA173/AnnualVarConvtr,Dividend,RiskFreeRate,G173/250)</f>
        <v>1.7533579767795314E-35</v>
      </c>
      <c r="AC173">
        <f t="shared" ca="1" si="311"/>
        <v>1.2563660095191967E-33</v>
      </c>
      <c r="AD173">
        <f t="shared" ca="1" si="312"/>
        <v>0.51832332422517435</v>
      </c>
    </row>
    <row r="174" spans="7:30" x14ac:dyDescent="0.25">
      <c r="G174" s="19">
        <v>81</v>
      </c>
      <c r="H174" s="19">
        <f t="shared" ca="1" si="362"/>
        <v>0.95531829737169993</v>
      </c>
      <c r="I174" s="19">
        <f t="shared" ca="1" si="362"/>
        <v>0.5377652116740731</v>
      </c>
      <c r="J174" s="19">
        <f t="shared" ca="1" si="296"/>
        <v>-0.29388746284843814</v>
      </c>
      <c r="K174" s="19">
        <f t="shared" ca="1" si="297"/>
        <v>-7.1074298380692277E-2</v>
      </c>
      <c r="L174" s="19">
        <f t="array" aca="1" ref="L174:M174" ca="1">MMULT(J174:K174,TRANSPOSE($B$10:$C$11))</f>
        <v>-0.29388746284843814</v>
      </c>
      <c r="M174" s="19">
        <f ca="1"/>
        <v>0.16098985405470156</v>
      </c>
      <c r="N174" s="20">
        <f t="shared" ca="1" si="319"/>
        <v>0.1280422542105619</v>
      </c>
      <c r="O174" s="20">
        <f t="shared" ca="1" si="298"/>
        <v>-6.6510116867541805E-3</v>
      </c>
      <c r="P174" s="19">
        <f t="shared" ca="1" si="304"/>
        <v>71.30340052645532</v>
      </c>
      <c r="Q174" s="19">
        <f ca="1">HCTrans(P174,Strike,RiskFreeRate,Dividend,Variance_T0*AnnualVarConvtr,(Simulation!G174)/250,0.5,Variance_Avg*AnnualVarConvtr,Lambda,SQRT(Simulation!N174),Rho,1,"Call")</f>
        <v>3.8513727634677366</v>
      </c>
      <c r="R174" s="19" t="e">
        <f t="shared" ca="1" si="299"/>
        <v>#VALUE!</v>
      </c>
      <c r="S174" s="19" t="e">
        <f t="shared" ca="1" si="300"/>
        <v>#VALUE!</v>
      </c>
      <c r="T174" s="19" t="e">
        <f t="shared" ca="1" si="305"/>
        <v>#VALUE!</v>
      </c>
      <c r="U174" s="19" t="e">
        <f t="shared" ca="1" si="306"/>
        <v>#VALUE!</v>
      </c>
      <c r="V174" s="21">
        <f t="shared" ca="1" si="307"/>
        <v>4.9031869605029293E-4</v>
      </c>
      <c r="W174">
        <f t="shared" ca="1" si="308"/>
        <v>2.2143141061066584E-2</v>
      </c>
      <c r="X174" s="22">
        <f t="shared" ref="X174" ca="1" si="393">BSdelta(1,P174,Strike,W174*AnnualVarConvtr,Dividend,RiskFreeRate,G174/250)</f>
        <v>5.5074215860797394E-2</v>
      </c>
      <c r="Y174" s="22">
        <f t="shared" ca="1" si="314"/>
        <v>-7.134826075497295</v>
      </c>
      <c r="Z174" s="22">
        <f t="shared" ca="1" si="315"/>
        <v>-2.6343632494492217</v>
      </c>
      <c r="AA174">
        <f t="shared" si="302"/>
        <v>0.73884103340948371</v>
      </c>
      <c r="AB174">
        <f t="shared" ref="AB174" ca="1" si="394">BSdelta(1,P174,Strike,AA174/AnnualVarConvtr,Dividend,RiskFreeRate,G174/250)</f>
        <v>2.8527914040231201E-37</v>
      </c>
      <c r="AC174">
        <f t="shared" ca="1" si="311"/>
        <v>-1.2298624880357138E-33</v>
      </c>
      <c r="AD174">
        <f t="shared" ca="1" si="312"/>
        <v>0.32378095276615237</v>
      </c>
    </row>
    <row r="175" spans="7:30" x14ac:dyDescent="0.25">
      <c r="G175" s="19">
        <v>80</v>
      </c>
      <c r="H175" s="19">
        <f t="shared" ca="1" si="362"/>
        <v>0.72328399527424025</v>
      </c>
      <c r="I175" s="19">
        <f t="shared" ca="1" si="362"/>
        <v>0.87695312415224358</v>
      </c>
      <c r="J175" s="19">
        <f t="shared" ca="1" si="296"/>
        <v>0.57611070295544797</v>
      </c>
      <c r="K175" s="19">
        <f t="shared" ca="1" si="297"/>
        <v>-0.56214155105360541</v>
      </c>
      <c r="L175" s="19">
        <f t="array" aca="1" ref="L175:M175" ca="1">MMULT(J175:K175,TRANSPOSE($B$10:$C$11))</f>
        <v>0.57611070295544797</v>
      </c>
      <c r="M175" s="19">
        <f ca="1"/>
        <v>-0.80492600818672633</v>
      </c>
      <c r="N175" s="20">
        <f t="shared" ca="1" si="319"/>
        <v>0.12043571615538784</v>
      </c>
      <c r="O175" s="20">
        <f t="shared" ca="1" si="298"/>
        <v>1.2644847295635381E-2</v>
      </c>
      <c r="P175" s="19">
        <f t="shared" ca="1" si="304"/>
        <v>72.210745668404826</v>
      </c>
      <c r="Q175" s="19">
        <f ca="1">HCTrans(P175,Strike,RiskFreeRate,Dividend,Variance_T0*AnnualVarConvtr,(Simulation!G175)/250,0.5,Variance_Avg*AnnualVarConvtr,Lambda,SQRT(Simulation!N175),Rho,1,"Call")</f>
        <v>4.0637171937720922</v>
      </c>
      <c r="R175" s="19" t="e">
        <f t="shared" ca="1" si="299"/>
        <v>#VALUE!</v>
      </c>
      <c r="S175" s="19" t="e">
        <f t="shared" ca="1" si="300"/>
        <v>#VALUE!</v>
      </c>
      <c r="T175" s="19" t="e">
        <f t="shared" ca="1" si="305"/>
        <v>#VALUE!</v>
      </c>
      <c r="U175" s="19" t="e">
        <f t="shared" ca="1" si="306"/>
        <v>#VALUE!</v>
      </c>
      <c r="V175" s="21">
        <f t="shared" ca="1" si="307"/>
        <v>3.723301738682639E-4</v>
      </c>
      <c r="W175">
        <f t="shared" ca="1" si="308"/>
        <v>1.9295858982389561E-2</v>
      </c>
      <c r="X175" s="22">
        <f t="shared" ref="X175" ca="1" si="395">BSdelta(1,P175,Strike,W175*AnnualVarConvtr,Dividend,RiskFreeRate,G175/250)</f>
        <v>3.5916243257137825E-2</v>
      </c>
      <c r="Y175" s="22">
        <f t="shared" ca="1" si="314"/>
        <v>-1.3834114872051286</v>
      </c>
      <c r="Z175" s="22">
        <f t="shared" ca="1" si="315"/>
        <v>-1.0386073319397375</v>
      </c>
      <c r="AA175">
        <f t="shared" si="302"/>
        <v>0.73884103340948371</v>
      </c>
      <c r="AB175">
        <f t="shared" ref="AB175" ca="1" si="396">BSdelta(1,P175,Strike,AA175/AnnualVarConvtr,Dividend,RiskFreeRate,G175/250)</f>
        <v>4.3236639980798395E-35</v>
      </c>
      <c r="AC175">
        <f t="shared" ca="1" si="311"/>
        <v>3.1015497937577241E-33</v>
      </c>
      <c r="AD175">
        <f t="shared" ca="1" si="312"/>
        <v>0.53612538307050794</v>
      </c>
    </row>
    <row r="176" spans="7:30" x14ac:dyDescent="0.25">
      <c r="G176" s="19">
        <v>79</v>
      </c>
      <c r="H176" s="19">
        <f t="shared" ca="1" si="362"/>
        <v>0.33775385613725972</v>
      </c>
      <c r="I176" s="19">
        <f t="shared" ca="1" si="362"/>
        <v>0.9607517165929147</v>
      </c>
      <c r="J176" s="19">
        <f t="shared" ca="1" si="296"/>
        <v>1.428814707489952</v>
      </c>
      <c r="K176" s="19">
        <f t="shared" ca="1" si="297"/>
        <v>-0.35967249242181804</v>
      </c>
      <c r="L176" s="19">
        <f t="array" aca="1" ref="L176:M176" ca="1">MMULT(J176:K176,TRANSPOSE($B$10:$C$11))</f>
        <v>1.428814707489952</v>
      </c>
      <c r="M176" s="19">
        <f ca="1"/>
        <v>-1.2746486257390117</v>
      </c>
      <c r="N176" s="20">
        <f t="shared" ca="1" si="319"/>
        <v>0.10923222106676211</v>
      </c>
      <c r="O176" s="20">
        <f t="shared" ca="1" si="298"/>
        <v>2.9866290832307983E-2</v>
      </c>
      <c r="P176" s="19">
        <f t="shared" ca="1" si="304"/>
        <v>74.39994165480104</v>
      </c>
      <c r="Q176" s="19">
        <f ca="1">HCTrans(P176,Strike,RiskFreeRate,Dividend,Variance_T0*AnnualVarConvtr,(Simulation!G176)/250,0.5,Variance_Avg*AnnualVarConvtr,Lambda,SQRT(Simulation!N176),Rho,1,"Call")</f>
        <v>4.6796242830845074</v>
      </c>
      <c r="R176" s="19" t="e">
        <f t="shared" ca="1" si="299"/>
        <v>#VALUE!</v>
      </c>
      <c r="S176" s="19" t="e">
        <f t="shared" ca="1" si="300"/>
        <v>#VALUE!</v>
      </c>
      <c r="T176" s="19" t="e">
        <f t="shared" ca="1" si="305"/>
        <v>#VALUE!</v>
      </c>
      <c r="U176" s="19" t="e">
        <f t="shared" ca="1" si="306"/>
        <v>#VALUE!</v>
      </c>
      <c r="V176" s="21">
        <f t="shared" ca="1" si="307"/>
        <v>2.9657811748680255E-4</v>
      </c>
      <c r="W176">
        <f t="shared" ca="1" si="308"/>
        <v>1.7221443536672602E-2</v>
      </c>
      <c r="X176" s="22">
        <f t="shared" ref="X176" ca="1" si="397">BSdelta(1,P176,Strike,W176*AnnualVarConvtr,Dividend,RiskFreeRate,G176/250)</f>
        <v>3.1770177976240245E-2</v>
      </c>
      <c r="Y176" s="22">
        <f t="shared" ca="1" si="314"/>
        <v>-0.30846701499577628</v>
      </c>
      <c r="Z176" s="22">
        <f t="shared" ca="1" si="315"/>
        <v>-0.11423322763154603</v>
      </c>
      <c r="AA176">
        <f t="shared" si="302"/>
        <v>0.73884103340948371</v>
      </c>
      <c r="AB176">
        <f t="shared" ref="AB176" ca="1" si="398">BSdelta(1,P176,Strike,AA176/AnnualVarConvtr,Dividend,RiskFreeRate,G176/250)</f>
        <v>1.2318208197476532E-29</v>
      </c>
      <c r="AC176">
        <f t="shared" ca="1" si="311"/>
        <v>9.1647075438045402E-28</v>
      </c>
      <c r="AD176">
        <f t="shared" ca="1" si="312"/>
        <v>1.1520324723829232</v>
      </c>
    </row>
    <row r="177" spans="7:30" x14ac:dyDescent="0.25">
      <c r="G177" s="19">
        <v>78</v>
      </c>
      <c r="H177" s="19">
        <f t="shared" ca="1" si="362"/>
        <v>0.68779029064581565</v>
      </c>
      <c r="I177" s="19">
        <f t="shared" ca="1" si="362"/>
        <v>0.5059364376251072</v>
      </c>
      <c r="J177" s="19">
        <f t="shared" ca="1" si="296"/>
        <v>-0.86458177920981272</v>
      </c>
      <c r="K177" s="19">
        <f t="shared" ca="1" si="297"/>
        <v>-3.2263637422330613E-2</v>
      </c>
      <c r="L177" s="19">
        <f t="array" aca="1" ref="L177:M177" ca="1">MMULT(J177:K177,TRANSPOSE($B$10:$C$11))</f>
        <v>-0.86458177920981272</v>
      </c>
      <c r="M177" s="19">
        <f ca="1"/>
        <v>0.59696614781843593</v>
      </c>
      <c r="N177" s="20">
        <f t="shared" ca="1" si="319"/>
        <v>0.11358190974517855</v>
      </c>
      <c r="O177" s="20">
        <f t="shared" ca="1" si="298"/>
        <v>-1.8428528457669669E-2</v>
      </c>
      <c r="P177" s="19">
        <f t="shared" ca="1" si="304"/>
        <v>73.041416470032615</v>
      </c>
      <c r="Q177" s="19">
        <f ca="1">HCTrans(P177,Strike,RiskFreeRate,Dividend,Variance_T0*AnnualVarConvtr,(Simulation!G177)/250,0.5,Variance_Avg*AnnualVarConvtr,Lambda,SQRT(Simulation!N177),Rho,1,"Call")</f>
        <v>4.1954205408769525</v>
      </c>
      <c r="R177" s="19" t="e">
        <f t="shared" ca="1" si="299"/>
        <v>#VALUE!</v>
      </c>
      <c r="S177" s="19" t="e">
        <f t="shared" ca="1" si="300"/>
        <v>#VALUE!</v>
      </c>
      <c r="T177" s="19" t="e">
        <f t="shared" ca="1" si="305"/>
        <v>#VALUE!</v>
      </c>
      <c r="U177" s="19" t="e">
        <f t="shared" ca="1" si="306"/>
        <v>#VALUE!</v>
      </c>
      <c r="V177" s="21">
        <f t="shared" ca="1" si="307"/>
        <v>2.3323895702515979E-3</v>
      </c>
      <c r="W177">
        <f t="shared" ca="1" si="308"/>
        <v>4.8294819289977656E-2</v>
      </c>
      <c r="X177" s="22">
        <f t="shared" ref="X177" ca="1" si="399">BSdelta(1,P177,Strike,W177*AnnualVarConvtr,Dividend,RiskFreeRate,G177/250)</f>
        <v>0.30040060770416366</v>
      </c>
      <c r="Y177" s="22">
        <f t="shared" ca="1" si="314"/>
        <v>19.621147094281081</v>
      </c>
      <c r="Z177" s="22">
        <f t="shared" ca="1" si="315"/>
        <v>-20.219584064120184</v>
      </c>
      <c r="AA177">
        <f t="shared" si="302"/>
        <v>0.73884103340948371</v>
      </c>
      <c r="AB177">
        <f t="shared" ref="AB177" ca="1" si="400">BSdelta(1,P177,Strike,AA177/AnnualVarConvtr,Dividend,RiskFreeRate,G177/250)</f>
        <v>1.3515158674887603E-33</v>
      </c>
      <c r="AC177">
        <f t="shared" ca="1" si="311"/>
        <v>-8.9964065848311002E-28</v>
      </c>
      <c r="AD177">
        <f t="shared" ca="1" si="312"/>
        <v>0.66782873017536826</v>
      </c>
    </row>
    <row r="178" spans="7:30" x14ac:dyDescent="0.25">
      <c r="G178" s="19">
        <v>77</v>
      </c>
      <c r="H178" s="19">
        <f t="shared" ca="1" si="362"/>
        <v>0.25471581783202712</v>
      </c>
      <c r="I178" s="19">
        <f t="shared" ca="1" si="362"/>
        <v>0.87226202338606373</v>
      </c>
      <c r="J178" s="19">
        <f t="shared" ca="1" si="296"/>
        <v>1.1491569138075111</v>
      </c>
      <c r="K178" s="19">
        <f t="shared" ca="1" si="297"/>
        <v>-1.1893914316760354</v>
      </c>
      <c r="L178" s="19">
        <f t="array" aca="1" ref="L178:M178" ca="1">MMULT(J178:K178,TRANSPOSE($B$10:$C$11))</f>
        <v>1.1491569138075111</v>
      </c>
      <c r="M178" s="19">
        <f ca="1"/>
        <v>-1.6530750380271038</v>
      </c>
      <c r="N178" s="20">
        <f t="shared" ca="1" si="319"/>
        <v>9.9767189917752533E-2</v>
      </c>
      <c r="O178" s="20">
        <f t="shared" ca="1" si="298"/>
        <v>2.2956369155206522E-2</v>
      </c>
      <c r="P178" s="19">
        <f t="shared" ca="1" si="304"/>
        <v>74.737576540177002</v>
      </c>
      <c r="Q178" s="19">
        <f ca="1">HCTrans(P178,Strike,RiskFreeRate,Dividend,Variance_T0*AnnualVarConvtr,(Simulation!G178)/250,0.5,Variance_Avg*AnnualVarConvtr,Lambda,SQRT(Simulation!N178),Rho,1,"Call")</f>
        <v>4.6715871677946836</v>
      </c>
      <c r="R178" s="19" t="e">
        <f t="shared" ca="1" si="299"/>
        <v>#VALUE!</v>
      </c>
      <c r="S178" s="19" t="e">
        <f t="shared" ca="1" si="300"/>
        <v>#VALUE!</v>
      </c>
      <c r="T178" s="19" t="e">
        <f t="shared" ca="1" si="305"/>
        <v>#VALUE!</v>
      </c>
      <c r="U178" s="19" t="e">
        <f t="shared" ca="1" si="306"/>
        <v>#VALUE!</v>
      </c>
      <c r="V178" s="21">
        <f t="shared" ca="1" si="307"/>
        <v>1.7127097504282456E-3</v>
      </c>
      <c r="W178">
        <f t="shared" ca="1" si="308"/>
        <v>4.1384897612876191E-2</v>
      </c>
      <c r="X178" s="22">
        <f t="shared" ref="X178" ca="1" si="401">BSdelta(1,P178,Strike,W178*AnnualVarConvtr,Dividend,RiskFreeRate,G178/250)</f>
        <v>0.26754347448173987</v>
      </c>
      <c r="Y178" s="22">
        <f t="shared" ca="1" si="314"/>
        <v>-2.4556625091016904</v>
      </c>
      <c r="Z178" s="22">
        <f t="shared" ca="1" si="315"/>
        <v>-17.287754928100764</v>
      </c>
      <c r="AA178">
        <f t="shared" si="302"/>
        <v>0.73884103340948371</v>
      </c>
      <c r="AB178">
        <f t="shared" ref="AB178" ca="1" si="402">BSdelta(1,P178,Strike,AA178/AnnualVarConvtr,Dividend,RiskFreeRate,G178/250)</f>
        <v>1.7135109068078558E-29</v>
      </c>
      <c r="AC178">
        <f t="shared" ca="1" si="311"/>
        <v>1.2805355164792106E-27</v>
      </c>
      <c r="AD178">
        <f t="shared" ca="1" si="312"/>
        <v>1.1439953570930994</v>
      </c>
    </row>
    <row r="179" spans="7:30" x14ac:dyDescent="0.25">
      <c r="G179" s="19">
        <v>76</v>
      </c>
      <c r="H179" s="19">
        <f t="shared" ca="1" si="362"/>
        <v>0.51337464996411841</v>
      </c>
      <c r="I179" s="19">
        <f t="shared" ca="1" si="362"/>
        <v>0.70662614479117258</v>
      </c>
      <c r="J179" s="19">
        <f t="shared" ca="1" si="296"/>
        <v>-0.3108242979749265</v>
      </c>
      <c r="K179" s="19">
        <f t="shared" ca="1" si="297"/>
        <v>-1.1121542307005636</v>
      </c>
      <c r="L179" s="19">
        <f t="array" aca="1" ref="L179:M179" ca="1">MMULT(J179:K179,TRANSPOSE($B$10:$C$11))</f>
        <v>-0.3108242979749265</v>
      </c>
      <c r="M179" s="19">
        <f ca="1"/>
        <v>-0.55311882541349744</v>
      </c>
      <c r="N179" s="20">
        <f t="shared" ca="1" si="319"/>
        <v>9.5037753595344054E-2</v>
      </c>
      <c r="O179" s="20">
        <f t="shared" ca="1" si="298"/>
        <v>-6.0602848582550989E-3</v>
      </c>
      <c r="P179" s="19">
        <f t="shared" ca="1" si="304"/>
        <v>74.286015213904179</v>
      </c>
      <c r="Q179" s="19">
        <f ca="1">HCTrans(P179,Strike,RiskFreeRate,Dividend,Variance_T0*AnnualVarConvtr,(Simulation!G179)/250,0.5,Variance_Avg*AnnualVarConvtr,Lambda,SQRT(Simulation!N179),Rho,1,"Call")</f>
        <v>4.4753639413856661</v>
      </c>
      <c r="R179" s="19" t="e">
        <f t="shared" ca="1" si="299"/>
        <v>#VALUE!</v>
      </c>
      <c r="S179" s="19" t="e">
        <f t="shared" ca="1" si="300"/>
        <v>#VALUE!</v>
      </c>
      <c r="T179" s="19" t="e">
        <f t="shared" ca="1" si="305"/>
        <v>#VALUE!</v>
      </c>
      <c r="U179" s="19" t="e">
        <f t="shared" ca="1" si="306"/>
        <v>#VALUE!</v>
      </c>
      <c r="V179" s="21">
        <f t="shared" ca="1" si="307"/>
        <v>8.4196621013693832E-4</v>
      </c>
      <c r="W179">
        <f t="shared" ca="1" si="308"/>
        <v>2.901665401346162E-2</v>
      </c>
      <c r="X179" s="22">
        <f t="shared" ref="X179" ca="1" si="403">BSdelta(1,P179,Strike,W179*AnnualVarConvtr,Dividend,RiskFreeRate,G179/250)</f>
        <v>0.14718339310226436</v>
      </c>
      <c r="Y179" s="22">
        <f t="shared" ca="1" si="314"/>
        <v>-8.9410708365024636</v>
      </c>
      <c r="Z179" s="22">
        <f t="shared" ca="1" si="315"/>
        <v>-8.5429073180073178</v>
      </c>
      <c r="AA179">
        <f t="shared" si="302"/>
        <v>0.73884103340948371</v>
      </c>
      <c r="AB179">
        <f t="shared" ref="AB179" ca="1" si="404">BSdelta(1,P179,Strike,AA179/AnnualVarConvtr,Dividend,RiskFreeRate,G179/250)</f>
        <v>4.974923338272798E-31</v>
      </c>
      <c r="AC179">
        <f t="shared" ca="1" si="311"/>
        <v>-1.2359422498436973E-27</v>
      </c>
      <c r="AD179">
        <f t="shared" ca="1" si="312"/>
        <v>0.94777213068408184</v>
      </c>
    </row>
    <row r="180" spans="7:30" x14ac:dyDescent="0.25">
      <c r="G180" s="19">
        <v>75</v>
      </c>
      <c r="H180" s="19">
        <f t="shared" ca="1" si="362"/>
        <v>7.9077473426505618E-2</v>
      </c>
      <c r="I180" s="19">
        <f t="shared" ca="1" si="362"/>
        <v>8.9296119755791992E-2</v>
      </c>
      <c r="J180" s="19">
        <f t="shared" ca="1" si="296"/>
        <v>1.907336710089482</v>
      </c>
      <c r="K180" s="19">
        <f t="shared" ca="1" si="297"/>
        <v>1.1986330280378461</v>
      </c>
      <c r="L180" s="19">
        <f t="array" aca="1" ref="L180:M180" ca="1">MMULT(J180:K180,TRANSPOSE($B$10:$C$11))</f>
        <v>1.907336710089482</v>
      </c>
      <c r="M180" s="19">
        <f ca="1"/>
        <v>-0.53045582516974588</v>
      </c>
      <c r="N180" s="20">
        <f t="shared" ca="1" si="319"/>
        <v>9.0603782150887407E-2</v>
      </c>
      <c r="O180" s="20">
        <f t="shared" ca="1" si="298"/>
        <v>3.6310357669243419E-2</v>
      </c>
      <c r="P180" s="19">
        <f t="shared" ca="1" si="304"/>
        <v>77.032936036895919</v>
      </c>
      <c r="Q180" s="19">
        <f ca="1">HCTrans(P180,Strike,RiskFreeRate,Dividend,Variance_T0*AnnualVarConvtr,(Simulation!G180)/250,0.5,Variance_Avg*AnnualVarConvtr,Lambda,SQRT(Simulation!N180),Rho,1,"Call")</f>
        <v>5.2945775826496515</v>
      </c>
      <c r="R180" s="19">
        <f t="shared" ca="1" si="299"/>
        <v>0.72507088099487549</v>
      </c>
      <c r="S180" s="19">
        <f t="shared" ca="1" si="300"/>
        <v>1.5905026652252578E-25</v>
      </c>
      <c r="T180" s="19" t="e">
        <f t="shared" ca="1" si="305"/>
        <v>#VALUE!</v>
      </c>
      <c r="U180" s="19" t="e">
        <f t="shared" ca="1" si="306"/>
        <v>#VALUE!</v>
      </c>
      <c r="V180" s="21">
        <f t="shared" ca="1" si="307"/>
        <v>1.7952713481930659E-3</v>
      </c>
      <c r="W180">
        <f t="shared" ca="1" si="308"/>
        <v>4.2370642527498517E-2</v>
      </c>
      <c r="X180" s="22">
        <f t="shared" ref="X180" ca="1" si="405">BSdelta(1,P180,Strike,W180*AnnualVarConvtr,Dividend,RiskFreeRate,G180/250)</f>
        <v>0.29887277809723078</v>
      </c>
      <c r="Y180" s="22">
        <f t="shared" ca="1" si="314"/>
        <v>11.685078691793327</v>
      </c>
      <c r="Z180" s="22">
        <f t="shared" ca="1" si="315"/>
        <v>-19.40877236853666</v>
      </c>
      <c r="AA180">
        <f t="shared" si="302"/>
        <v>0.73884103340948371</v>
      </c>
      <c r="AB180">
        <f t="shared" ref="AB180" ca="1" si="406">BSdelta(1,P180,Strike,AA180/AnnualVarConvtr,Dividend,RiskFreeRate,G180/250)</f>
        <v>1.1885371026363949E-24</v>
      </c>
      <c r="AC180">
        <f t="shared" ca="1" si="311"/>
        <v>9.1556464281571871E-23</v>
      </c>
      <c r="AD180">
        <f t="shared" ca="1" si="312"/>
        <v>1.7669857719480673</v>
      </c>
    </row>
    <row r="181" spans="7:30" x14ac:dyDescent="0.25">
      <c r="G181" s="19">
        <v>74</v>
      </c>
      <c r="H181" s="19">
        <f t="shared" ca="1" si="362"/>
        <v>0.68338633105165691</v>
      </c>
      <c r="I181" s="19">
        <f t="shared" ca="1" si="362"/>
        <v>0.82708973139344311</v>
      </c>
      <c r="J181" s="19">
        <f t="shared" ca="1" si="296"/>
        <v>0.40631536714011574</v>
      </c>
      <c r="K181" s="19">
        <f t="shared" ca="1" si="297"/>
        <v>-0.77220314956824188</v>
      </c>
      <c r="L181" s="19">
        <f t="array" aca="1" ref="L181:M181" ca="1">MMULT(J181:K181,TRANSPOSE($B$10:$C$11))</f>
        <v>0.40631536714011574</v>
      </c>
      <c r="M181" s="19">
        <f ca="1"/>
        <v>-0.82980390958446426</v>
      </c>
      <c r="N181" s="20">
        <f t="shared" ca="1" si="319"/>
        <v>8.4139771537098756E-2</v>
      </c>
      <c r="O181" s="20">
        <f t="shared" ca="1" si="298"/>
        <v>7.4540775696677374E-3</v>
      </c>
      <c r="P181" s="19">
        <f t="shared" ca="1" si="304"/>
        <v>77.609290945956161</v>
      </c>
      <c r="Q181" s="19">
        <f ca="1">HCTrans(P181,Strike,RiskFreeRate,Dividend,Variance_T0*AnnualVarConvtr,(Simulation!G181)/250,0.5,Variance_Avg*AnnualVarConvtr,Lambda,SQRT(Simulation!N181),Rho,1,"Call")</f>
        <v>5.4294754462132317</v>
      </c>
      <c r="R181" s="19">
        <f t="shared" ca="1" si="299"/>
        <v>0.72645919742456633</v>
      </c>
      <c r="S181" s="19">
        <f t="shared" ca="1" si="300"/>
        <v>2.074010507078335E-24</v>
      </c>
      <c r="T181" s="19">
        <f t="shared" ca="1" si="305"/>
        <v>1.48618706459234E-22</v>
      </c>
      <c r="U181" s="19" t="e">
        <f t="shared" ca="1" si="306"/>
        <v>#VALUE!</v>
      </c>
      <c r="V181" s="21">
        <f t="shared" ca="1" si="307"/>
        <v>8.326849011851676E-4</v>
      </c>
      <c r="W181">
        <f t="shared" ca="1" si="308"/>
        <v>2.8856280099575683E-2</v>
      </c>
      <c r="X181" s="22">
        <f t="shared" ref="X181" ca="1" si="407">BSdelta(1,P181,Strike,W181*AnnualVarConvtr,Dividend,RiskFreeRate,G181/250)</f>
        <v>0.1848482885746261</v>
      </c>
      <c r="Y181" s="22">
        <f t="shared" ca="1" si="314"/>
        <v>-8.8493597823239565</v>
      </c>
      <c r="Z181" s="22">
        <f t="shared" ca="1" si="315"/>
        <v>-10.424514722649123</v>
      </c>
      <c r="AA181">
        <f t="shared" si="302"/>
        <v>0.73884103340948371</v>
      </c>
      <c r="AB181">
        <f t="shared" ref="AB181" ca="1" si="408">BSdelta(1,P181,Strike,AA181/AnnualVarConvtr,Dividend,RiskFreeRate,G181/250)</f>
        <v>1.1645867667067182E-23</v>
      </c>
      <c r="AC181">
        <f t="shared" ca="1" si="311"/>
        <v>8.1158601029294885E-22</v>
      </c>
      <c r="AD181">
        <f t="shared" ca="1" si="312"/>
        <v>1.9018836355116475</v>
      </c>
    </row>
    <row r="182" spans="7:30" x14ac:dyDescent="0.25">
      <c r="G182" s="19">
        <v>73</v>
      </c>
      <c r="H182" s="19">
        <f t="shared" ca="1" si="362"/>
        <v>0.28152207732188395</v>
      </c>
      <c r="I182" s="19">
        <f t="shared" ca="1" si="362"/>
        <v>0.83666157712914191</v>
      </c>
      <c r="J182" s="19">
        <f t="shared" ca="1" si="296"/>
        <v>0.82475709579063328</v>
      </c>
      <c r="K182" s="19">
        <f t="shared" ca="1" si="297"/>
        <v>-1.3619341199323542</v>
      </c>
      <c r="L182" s="19">
        <f t="array" aca="1" ref="L182:M182" ca="1">MMULT(J182:K182,TRANSPOSE($B$10:$C$11))</f>
        <v>0.82475709579063328</v>
      </c>
      <c r="M182" s="19">
        <f ca="1"/>
        <v>-1.541006120450201</v>
      </c>
      <c r="N182" s="20">
        <f t="shared" ca="1" si="319"/>
        <v>7.3127513608339856E-2</v>
      </c>
      <c r="O182" s="20">
        <f t="shared" ca="1" si="298"/>
        <v>1.4105759014804379E-2</v>
      </c>
      <c r="P182" s="19">
        <f t="shared" ca="1" si="304"/>
        <v>78.711786388406225</v>
      </c>
      <c r="Q182" s="19">
        <f ca="1">HCTrans(P182,Strike,RiskFreeRate,Dividend,Variance_T0*AnnualVarConvtr,(Simulation!G182)/250,0.5,Variance_Avg*AnnualVarConvtr,Lambda,SQRT(Simulation!N182),Rho,1,"Call")</f>
        <v>5.7589936064653244</v>
      </c>
      <c r="R182" s="19" t="e">
        <f t="shared" ca="1" si="299"/>
        <v>#VALUE!</v>
      </c>
      <c r="S182" s="19" t="e">
        <f t="shared" ca="1" si="300"/>
        <v>#VALUE!</v>
      </c>
      <c r="T182" s="19" t="e">
        <f t="shared" ca="1" si="305"/>
        <v>#VALUE!</v>
      </c>
      <c r="U182" s="19" t="e">
        <f t="shared" ca="1" si="306"/>
        <v>#VALUE!</v>
      </c>
      <c r="V182" s="21">
        <f t="shared" ca="1" si="307"/>
        <v>4.4244866047575077E-5</v>
      </c>
      <c r="W182">
        <f t="shared" ca="1" si="308"/>
        <v>6.6516814451366415E-3</v>
      </c>
      <c r="X182" s="22">
        <f t="shared" ref="X182" ca="1" si="409">BSdelta(1,P182,Strike,W182*AnnualVarConvtr,Dividend,RiskFreeRate,G182/250)</f>
        <v>1.4346414577670136E-5</v>
      </c>
      <c r="Y182" s="22">
        <f t="shared" ca="1" si="314"/>
        <v>-14.548609772628762</v>
      </c>
      <c r="Z182" s="22">
        <f t="shared" ca="1" si="315"/>
        <v>4.4536132102317314</v>
      </c>
      <c r="AA182">
        <f t="shared" si="302"/>
        <v>0.73884103340948371</v>
      </c>
      <c r="AB182">
        <f t="shared" ref="AB182" ca="1" si="410">BSdelta(1,P182,Strike,AA182/AnnualVarConvtr,Dividend,RiskFreeRate,G182/250)</f>
        <v>1.434178998304291E-21</v>
      </c>
      <c r="AC182">
        <f t="shared" ca="1" si="311"/>
        <v>1.1197012390914794E-19</v>
      </c>
      <c r="AD182">
        <f t="shared" ca="1" si="312"/>
        <v>2.2314017957637402</v>
      </c>
    </row>
    <row r="183" spans="7:30" x14ac:dyDescent="0.25">
      <c r="G183" s="19">
        <v>72</v>
      </c>
      <c r="H183" s="19">
        <f t="shared" ca="1" si="362"/>
        <v>0.12983418342919939</v>
      </c>
      <c r="I183" s="19">
        <f t="shared" ca="1" si="362"/>
        <v>0.73947111401520671</v>
      </c>
      <c r="J183" s="19">
        <f t="shared" ca="1" si="296"/>
        <v>-0.13357797406188221</v>
      </c>
      <c r="K183" s="19">
        <f t="shared" ca="1" si="297"/>
        <v>-2.0162220201110395</v>
      </c>
      <c r="L183" s="19">
        <f t="array" aca="1" ref="L183:M183" ca="1">MMULT(J183:K183,TRANSPOSE($B$10:$C$11))</f>
        <v>-0.13357797406188221</v>
      </c>
      <c r="M183" s="19">
        <f ca="1"/>
        <v>-1.3107818360835084</v>
      </c>
      <c r="N183" s="20">
        <f t="shared" ca="1" si="319"/>
        <v>6.4343920786148298E-2</v>
      </c>
      <c r="O183" s="20">
        <f t="shared" ca="1" si="298"/>
        <v>-2.142982421132708E-3</v>
      </c>
      <c r="P183" s="19">
        <f t="shared" ca="1" si="304"/>
        <v>78.543289021770832</v>
      </c>
      <c r="Q183" s="19">
        <f ca="1">HCTrans(P183,Strike,RiskFreeRate,Dividend,Variance_T0*AnnualVarConvtr,(Simulation!G183)/250,0.5,Variance_Avg*AnnualVarConvtr,Lambda,SQRT(Simulation!N183),Rho,1,"Call")</f>
        <v>5.6421552211084247</v>
      </c>
      <c r="R183" s="19">
        <f t="shared" ca="1" si="299"/>
        <v>0.73003206493986406</v>
      </c>
      <c r="S183" s="19">
        <f t="shared" ca="1" si="300"/>
        <v>1.0697748591085592E-22</v>
      </c>
      <c r="T183" s="19" t="e">
        <f t="shared" ca="1" si="305"/>
        <v>#VALUE!</v>
      </c>
      <c r="U183" s="19" t="e">
        <f t="shared" ca="1" si="306"/>
        <v>#VALUE!</v>
      </c>
      <c r="V183" s="21">
        <f t="shared" ca="1" si="307"/>
        <v>2.6402159825193879E-4</v>
      </c>
      <c r="W183">
        <f t="shared" ca="1" si="308"/>
        <v>1.6248741435937086E-2</v>
      </c>
      <c r="X183" s="22">
        <f t="shared" ref="X183" ca="1" si="411">BSdelta(1,P183,Strike,W183*AnnualVarConvtr,Dividend,RiskFreeRate,G183/250)</f>
        <v>4.6207474672977235E-2</v>
      </c>
      <c r="Y183" s="22">
        <f t="shared" ca="1" si="314"/>
        <v>3.6281602236192065</v>
      </c>
      <c r="Z183" s="22">
        <f t="shared" ca="1" si="315"/>
        <v>0.70861460125562514</v>
      </c>
      <c r="AA183">
        <f t="shared" si="302"/>
        <v>0.73884103340948371</v>
      </c>
      <c r="AB183">
        <f t="shared" ref="AB183" ca="1" si="412">BSdelta(1,P183,Strike,AA183/AnnualVarConvtr,Dividend,RiskFreeRate,G183/250)</f>
        <v>3.3376022245681589E-22</v>
      </c>
      <c r="AC183">
        <f t="shared" ca="1" si="311"/>
        <v>-8.6430509956371499E-20</v>
      </c>
      <c r="AD183">
        <f t="shared" ca="1" si="312"/>
        <v>2.1145634104068405</v>
      </c>
    </row>
    <row r="184" spans="7:30" x14ac:dyDescent="0.25">
      <c r="G184" s="19">
        <v>71</v>
      </c>
      <c r="H184" s="19">
        <f t="shared" ca="1" si="362"/>
        <v>0.15295827086383795</v>
      </c>
      <c r="I184" s="19">
        <f t="shared" ca="1" si="362"/>
        <v>0.84008356492320502</v>
      </c>
      <c r="J184" s="19">
        <f t="shared" ca="1" si="296"/>
        <v>1.0391994994635549</v>
      </c>
      <c r="K184" s="19">
        <f t="shared" ca="1" si="297"/>
        <v>-1.6356175191035696</v>
      </c>
      <c r="L184" s="19">
        <f t="array" aca="1" ref="L184:M184" ca="1">MMULT(J184:K184,TRANSPOSE($B$10:$C$11))</f>
        <v>1.0391994994635549</v>
      </c>
      <c r="M184" s="19">
        <f ca="1"/>
        <v>-1.8855721090569173</v>
      </c>
      <c r="N184" s="20">
        <f t="shared" ca="1" si="319"/>
        <v>5.2846619943076899E-2</v>
      </c>
      <c r="O184" s="20">
        <f t="shared" ca="1" si="298"/>
        <v>1.5109063001995597E-2</v>
      </c>
      <c r="P184" s="19">
        <f t="shared" ca="1" si="304"/>
        <v>79.739014926011819</v>
      </c>
      <c r="Q184" s="19">
        <f ca="1">HCTrans(P184,Strike,RiskFreeRate,Dividend,Variance_T0*AnnualVarConvtr,(Simulation!G184)/250,0.5,Variance_Avg*AnnualVarConvtr,Lambda,SQRT(Simulation!N184),Rho,1,"Call")</f>
        <v>6.0130890064478564</v>
      </c>
      <c r="R184" s="19">
        <f t="shared" ca="1" si="299"/>
        <v>0.73258109116948933</v>
      </c>
      <c r="S184" s="19">
        <f t="shared" ca="1" si="300"/>
        <v>2.6603508382031716E-20</v>
      </c>
      <c r="T184" s="19">
        <f t="shared" ca="1" si="305"/>
        <v>2.1128072726133145E-18</v>
      </c>
      <c r="U184" s="19" t="e">
        <f t="shared" ca="1" si="306"/>
        <v>#VALUE!</v>
      </c>
      <c r="V184" s="21">
        <f t="shared" ca="1" si="307"/>
        <v>2.9763307128168227E-4</v>
      </c>
      <c r="W184">
        <f t="shared" ca="1" si="308"/>
        <v>1.7252045423128304E-2</v>
      </c>
      <c r="X184" s="22">
        <f t="shared" ref="X184" ca="1" si="413">BSdelta(1,P184,Strike,W184*AnnualVarConvtr,Dividend,RiskFreeRate,G184/250)</f>
        <v>6.8796269516370634E-2</v>
      </c>
      <c r="Y184" s="22">
        <f t="shared" ca="1" si="314"/>
        <v>1.8012082491779651</v>
      </c>
      <c r="Z184" s="22">
        <f t="shared" ca="1" si="315"/>
        <v>-0.72165986258290826</v>
      </c>
      <c r="AA184">
        <f t="shared" si="302"/>
        <v>0.73884103340948371</v>
      </c>
      <c r="AB184">
        <f t="shared" ref="AB184" ca="1" si="414">BSdelta(1,P184,Strike,AA184/AnnualVarConvtr,Dividend,RiskFreeRate,G184/250)</f>
        <v>5.4530721823679474E-20</v>
      </c>
      <c r="AC184">
        <f t="shared" ca="1" si="311"/>
        <v>4.3216123300643829E-18</v>
      </c>
      <c r="AD184">
        <f t="shared" ca="1" si="312"/>
        <v>2.4854971957462721</v>
      </c>
    </row>
    <row r="185" spans="7:30" x14ac:dyDescent="0.25">
      <c r="G185" s="19">
        <v>70</v>
      </c>
      <c r="H185" s="19">
        <f t="shared" ca="1" si="362"/>
        <v>0.2893912348154094</v>
      </c>
      <c r="I185" s="19">
        <f t="shared" ca="1" si="362"/>
        <v>0.85527343630649477</v>
      </c>
      <c r="J185" s="19">
        <f t="shared" ca="1" si="296"/>
        <v>0.96733394486729429</v>
      </c>
      <c r="K185" s="19">
        <f t="shared" ca="1" si="297"/>
        <v>-1.2426650974701767</v>
      </c>
      <c r="L185" s="19">
        <f t="array" aca="1" ref="L185:M185" ca="1">MMULT(J185:K185,TRANSPOSE($B$10:$C$11))</f>
        <v>0.96733394486729429</v>
      </c>
      <c r="M185" s="19">
        <f ca="1"/>
        <v>-1.5599619023476321</v>
      </c>
      <c r="N185" s="20">
        <f t="shared" ca="1" si="319"/>
        <v>4.41763710613578E-2</v>
      </c>
      <c r="O185" s="20">
        <f t="shared" ca="1" si="298"/>
        <v>1.2858829627531917E-2</v>
      </c>
      <c r="P185" s="19">
        <f t="shared" ca="1" si="304"/>
        <v>80.770986084646978</v>
      </c>
      <c r="Q185" s="19">
        <f ca="1">HCTrans(P185,Strike,RiskFreeRate,Dividend,Variance_T0*AnnualVarConvtr,(Simulation!G185)/250,0.5,Variance_Avg*AnnualVarConvtr,Lambda,SQRT(Simulation!N185),Rho,1,"Call")</f>
        <v>6.3293391804106989</v>
      </c>
      <c r="R185" s="19">
        <f t="shared" ca="1" si="299"/>
        <v>0.73458031057773798</v>
      </c>
      <c r="S185" s="19">
        <f t="shared" ca="1" si="300"/>
        <v>2.0780693882943022E-18</v>
      </c>
      <c r="T185" s="19">
        <f t="shared" ca="1" si="305"/>
        <v>1.6569892203952208E-16</v>
      </c>
      <c r="U185" s="19" t="e">
        <f t="shared" ca="1" si="306"/>
        <v>#VALUE!</v>
      </c>
      <c r="V185" s="21">
        <f t="shared" ca="1" si="307"/>
        <v>5.0635502395501984E-6</v>
      </c>
      <c r="W185">
        <f t="shared" ca="1" si="308"/>
        <v>2.2502333744636796E-3</v>
      </c>
      <c r="X185" s="22">
        <f t="shared" ref="X185" ca="1" si="415">BSdelta(1,P185,Strike,W185*AnnualVarConvtr,Dividend,RiskFreeRate,G185/250)</f>
        <v>4.4733984183301977E-30</v>
      </c>
      <c r="Y185" s="22">
        <f t="shared" ca="1" si="314"/>
        <v>-5.5567425277823954</v>
      </c>
      <c r="Z185" s="22">
        <f t="shared" ca="1" si="315"/>
        <v>5.1513328391623299</v>
      </c>
      <c r="AA185">
        <f t="shared" si="302"/>
        <v>0.73884103340948371</v>
      </c>
      <c r="AB185">
        <f t="shared" ref="AB185" ca="1" si="416">BSdelta(1,P185,Strike,AA185/AnnualVarConvtr,Dividend,RiskFreeRate,G185/250)</f>
        <v>3.2251953298690721E-18</v>
      </c>
      <c r="AC185">
        <f t="shared" ca="1" si="311"/>
        <v>2.5609770693551705E-16</v>
      </c>
      <c r="AD185">
        <f t="shared" ca="1" si="312"/>
        <v>2.8017473697091142</v>
      </c>
    </row>
    <row r="186" spans="7:30" x14ac:dyDescent="0.25">
      <c r="G186" s="19">
        <v>69</v>
      </c>
      <c r="H186" s="19">
        <f t="shared" ca="1" si="362"/>
        <v>0.45949744604110943</v>
      </c>
      <c r="I186" s="19">
        <f t="shared" ca="1" si="362"/>
        <v>0.57757342886674046</v>
      </c>
      <c r="J186" s="19">
        <f t="shared" ca="1" si="296"/>
        <v>-1.1018695879506248</v>
      </c>
      <c r="K186" s="19">
        <f t="shared" ca="1" si="297"/>
        <v>-0.5840609572683112</v>
      </c>
      <c r="L186" s="19">
        <f t="array" aca="1" ref="L186:M186" ca="1">MMULT(J186:K186,TRANSPOSE($B$10:$C$11))</f>
        <v>-1.1018695879506248</v>
      </c>
      <c r="M186" s="19">
        <f ca="1"/>
        <v>0.3820561754223244</v>
      </c>
      <c r="N186" s="20">
        <f t="shared" ca="1" si="319"/>
        <v>4.597048548126649E-2</v>
      </c>
      <c r="O186" s="20">
        <f t="shared" ca="1" si="298"/>
        <v>-1.4941690536256703E-2</v>
      </c>
      <c r="P186" s="19">
        <f t="shared" ca="1" si="304"/>
        <v>79.573102495162061</v>
      </c>
      <c r="Q186" s="19">
        <f ca="1">HCTrans(P186,Strike,RiskFreeRate,Dividend,Variance_T0*AnnualVarConvtr,(Simulation!G186)/250,0.5,Variance_Avg*AnnualVarConvtr,Lambda,SQRT(Simulation!N186),Rho,1,"Call")</f>
        <v>5.808917831537201</v>
      </c>
      <c r="R186" s="19" t="e">
        <f t="shared" ca="1" si="299"/>
        <v>#VALUE!</v>
      </c>
      <c r="S186" s="19" t="e">
        <f t="shared" ca="1" si="300"/>
        <v>#VALUE!</v>
      </c>
      <c r="T186" s="19" t="e">
        <f t="shared" ca="1" si="305"/>
        <v>#VALUE!</v>
      </c>
      <c r="U186" s="19" t="e">
        <f t="shared" ca="1" si="306"/>
        <v>#VALUE!</v>
      </c>
      <c r="V186" s="21">
        <f t="shared" ca="1" si="307"/>
        <v>7.728689213772177E-4</v>
      </c>
      <c r="W186">
        <f t="shared" ca="1" si="308"/>
        <v>2.780052016378862E-2</v>
      </c>
      <c r="X186" s="22">
        <f t="shared" ref="X186" ca="1" si="417">BSdelta(1,P186,Strike,W186*AnnualVarConvtr,Dividend,RiskFreeRate,G186/250)</f>
        <v>0.19106077398438559</v>
      </c>
      <c r="Y186" s="22">
        <f t="shared" ca="1" si="314"/>
        <v>15.203298551064508</v>
      </c>
      <c r="Z186" s="22">
        <f t="shared" ca="1" si="315"/>
        <v>-10.572387060775675</v>
      </c>
      <c r="AA186">
        <f t="shared" si="302"/>
        <v>0.73884103340948371</v>
      </c>
      <c r="AB186">
        <f t="shared" ref="AB186" ca="1" si="418">BSdelta(1,P186,Strike,AA186/AnnualVarConvtr,Dividend,RiskFreeRate,G186/250)</f>
        <v>7.3353771940317899E-21</v>
      </c>
      <c r="AC186">
        <f t="shared" ca="1" si="311"/>
        <v>-2.5605509982928829E-16</v>
      </c>
      <c r="AD186">
        <f t="shared" ca="1" si="312"/>
        <v>2.2813260208356168</v>
      </c>
    </row>
    <row r="187" spans="7:30" x14ac:dyDescent="0.25">
      <c r="G187" s="19">
        <v>68</v>
      </c>
      <c r="H187" s="19">
        <f t="shared" ca="1" si="362"/>
        <v>0.25768729157325643</v>
      </c>
      <c r="I187" s="19">
        <f t="shared" ca="1" si="362"/>
        <v>0.37291215179306803</v>
      </c>
      <c r="J187" s="19">
        <f t="shared" ca="1" si="296"/>
        <v>-1.1491019998389775</v>
      </c>
      <c r="K187" s="19">
        <f t="shared" ca="1" si="297"/>
        <v>1.1796531476104879</v>
      </c>
      <c r="L187" s="19">
        <f t="array" aca="1" ref="L187:M187" ca="1">MMULT(J187:K187,TRANSPOSE($B$10:$C$11))</f>
        <v>-1.1491019998389775</v>
      </c>
      <c r="M187" s="19">
        <f ca="1"/>
        <v>1.6462423909127508</v>
      </c>
      <c r="N187" s="20">
        <f t="shared" ca="1" si="319"/>
        <v>5.4826340237396846E-2</v>
      </c>
      <c r="O187" s="20">
        <f t="shared" ca="1" si="298"/>
        <v>-1.7017008060493114E-2</v>
      </c>
      <c r="P187" s="19">
        <f t="shared" ca="1" si="304"/>
        <v>78.230462625169125</v>
      </c>
      <c r="Q187" s="19">
        <f ca="1">HCTrans(P187,Strike,RiskFreeRate,Dividend,Variance_T0*AnnualVarConvtr,(Simulation!G187)/250,0.5,Variance_Avg*AnnualVarConvtr,Lambda,SQRT(Simulation!N187),Rho,1,"Call")</f>
        <v>5.2454362946487691</v>
      </c>
      <c r="R187" s="19">
        <f t="shared" ca="1" si="299"/>
        <v>0.73142723432233525</v>
      </c>
      <c r="S187" s="19">
        <f t="shared" ca="1" si="300"/>
        <v>1.4332927839443175E-24</v>
      </c>
      <c r="T187" s="19" t="e">
        <f t="shared" ca="1" si="305"/>
        <v>#VALUE!</v>
      </c>
      <c r="U187" s="19" t="e">
        <f t="shared" ca="1" si="306"/>
        <v>#VALUE!</v>
      </c>
      <c r="V187" s="21">
        <f t="shared" ca="1" si="307"/>
        <v>4.3069428264027476E-6</v>
      </c>
      <c r="W187">
        <f t="shared" ca="1" si="308"/>
        <v>2.0753175242364114E-3</v>
      </c>
      <c r="X187" s="22">
        <f t="shared" ref="X187" ca="1" si="419">BSdelta(1,P187,Strike,W187*AnnualVarConvtr,Dividend,RiskFreeRate,G187/250)</f>
        <v>6.3798928830065784E-47</v>
      </c>
      <c r="Y187" s="22">
        <f t="shared" ca="1" si="314"/>
        <v>-14.946772738321362</v>
      </c>
      <c r="Z187" s="22">
        <f t="shared" ca="1" si="315"/>
        <v>3.8109041406572555</v>
      </c>
      <c r="AA187">
        <f t="shared" si="302"/>
        <v>0.73884103340948371</v>
      </c>
      <c r="AB187">
        <f t="shared" ref="AB187" ca="1" si="420">BSdelta(1,P187,Strike,AA187/AnnualVarConvtr,Dividend,RiskFreeRate,G187/250)</f>
        <v>4.0705917939656215E-24</v>
      </c>
      <c r="AC187">
        <f t="shared" ca="1" si="311"/>
        <v>-5.7353150714002175E-19</v>
      </c>
      <c r="AD187">
        <f t="shared" ca="1" si="312"/>
        <v>1.7178444839471849</v>
      </c>
    </row>
    <row r="188" spans="7:30" x14ac:dyDescent="0.25">
      <c r="G188" s="19">
        <v>67</v>
      </c>
      <c r="H188" s="19">
        <f t="shared" ca="1" si="362"/>
        <v>0.86016804046163764</v>
      </c>
      <c r="I188" s="19">
        <f t="shared" ca="1" si="362"/>
        <v>0.22548326645517847</v>
      </c>
      <c r="J188" s="19">
        <f t="shared" ca="1" si="296"/>
        <v>8.4215238164229711E-2</v>
      </c>
      <c r="K188" s="19">
        <f t="shared" ca="1" si="297"/>
        <v>0.54236778991145707</v>
      </c>
      <c r="L188" s="19">
        <f t="array" aca="1" ref="L188:M188" ca="1">MMULT(J188:K188,TRANSPOSE($B$10:$C$11))</f>
        <v>8.4215238164229711E-2</v>
      </c>
      <c r="M188" s="19">
        <f ca="1"/>
        <v>0.31800855085453356</v>
      </c>
      <c r="N188" s="20">
        <f t="shared" ca="1" si="319"/>
        <v>5.6414072238093367E-2</v>
      </c>
      <c r="O188" s="20">
        <f t="shared" ca="1" si="298"/>
        <v>1.2650695486637531E-3</v>
      </c>
      <c r="P188" s="19">
        <f t="shared" ca="1" si="304"/>
        <v>78.329492227674109</v>
      </c>
      <c r="Q188" s="19">
        <f ca="1">HCTrans(P188,Strike,RiskFreeRate,Dividend,Variance_T0*AnnualVarConvtr,(Simulation!G188)/250,0.5,Variance_Avg*AnnualVarConvtr,Lambda,SQRT(Simulation!N188),Rho,1,"Call")</f>
        <v>5.196130156108353</v>
      </c>
      <c r="R188" s="19">
        <f t="shared" ca="1" si="299"/>
        <v>0.73127821320266773</v>
      </c>
      <c r="S188" s="19">
        <f t="shared" ca="1" si="300"/>
        <v>1.1086026394473695E-24</v>
      </c>
      <c r="T188" s="19">
        <f t="shared" ca="1" si="305"/>
        <v>-2.5432814149776075E-23</v>
      </c>
      <c r="U188" s="19" t="e">
        <f t="shared" ca="1" si="306"/>
        <v>#VALUE!</v>
      </c>
      <c r="V188" s="21">
        <f t="shared" ca="1" si="307"/>
        <v>3.342343617072349E-4</v>
      </c>
      <c r="W188">
        <f t="shared" ca="1" si="308"/>
        <v>1.8282077609156868E-2</v>
      </c>
      <c r="X188" s="22">
        <f t="shared" ref="X188" ca="1" si="421">BSdelta(1,P188,Strike,W188*AnnualVarConvtr,Dividend,RiskFreeRate,G188/250)</f>
        <v>5.9694411847616043E-2</v>
      </c>
      <c r="Y188" s="22">
        <f t="shared" ca="1" si="314"/>
        <v>4.6758329688534177</v>
      </c>
      <c r="Z188" s="22">
        <f t="shared" ca="1" si="315"/>
        <v>-0.91423496673657834</v>
      </c>
      <c r="AA188">
        <f t="shared" si="302"/>
        <v>0.73884103340948371</v>
      </c>
      <c r="AB188">
        <f t="shared" ref="AB188" ca="1" si="422">BSdelta(1,P188,Strike,AA188/AnnualVarConvtr,Dividend,RiskFreeRate,G188/250)</f>
        <v>3.2315442487330514E-24</v>
      </c>
      <c r="AC188">
        <f t="shared" ca="1" si="311"/>
        <v>-6.5722168172943641E-23</v>
      </c>
      <c r="AD188">
        <f t="shared" ca="1" si="312"/>
        <v>1.6685383454067688</v>
      </c>
    </row>
    <row r="189" spans="7:30" x14ac:dyDescent="0.25">
      <c r="G189" s="19">
        <v>66</v>
      </c>
      <c r="H189" s="19">
        <f t="shared" ca="1" si="362"/>
        <v>0.58676918952674562</v>
      </c>
      <c r="I189" s="19">
        <f t="shared" ca="1" si="362"/>
        <v>0.86960257686522635</v>
      </c>
      <c r="J189" s="19">
        <f t="shared" ca="1" si="296"/>
        <v>0.70497645144532817</v>
      </c>
      <c r="K189" s="19">
        <f t="shared" ca="1" si="297"/>
        <v>-0.75449034647839652</v>
      </c>
      <c r="L189" s="19">
        <f t="array" aca="1" ref="L189:M189" ca="1">MMULT(J189:K189,TRANSPOSE($B$10:$C$11))</f>
        <v>0.70497645144532817</v>
      </c>
      <c r="M189" s="19">
        <f ca="1"/>
        <v>-1.0314383537022791</v>
      </c>
      <c r="N189" s="20">
        <f t="shared" ca="1" si="319"/>
        <v>5.0305200621041955E-2</v>
      </c>
      <c r="O189" s="20">
        <f t="shared" ca="1" si="298"/>
        <v>1.0000254408713357E-2</v>
      </c>
      <c r="P189" s="19">
        <f t="shared" ca="1" si="304"/>
        <v>79.116736840164933</v>
      </c>
      <c r="Q189" s="19">
        <f ca="1">HCTrans(P189,Strike,RiskFreeRate,Dividend,Variance_T0*AnnualVarConvtr,(Simulation!G189)/250,0.5,Variance_Avg*AnnualVarConvtr,Lambda,SQRT(Simulation!N189),Rho,1,"Call")</f>
        <v>5.3957003377670532</v>
      </c>
      <c r="R189" s="19">
        <f t="shared" ca="1" si="299"/>
        <v>0.7327741000231428</v>
      </c>
      <c r="S189" s="19">
        <f t="shared" ca="1" si="300"/>
        <v>4.3827437497551022E-23</v>
      </c>
      <c r="T189" s="19">
        <f t="shared" ca="1" si="305"/>
        <v>3.3797748155870514E-21</v>
      </c>
      <c r="U189" s="19" t="e">
        <f t="shared" ca="1" si="306"/>
        <v>#VALUE!</v>
      </c>
      <c r="V189" s="21">
        <f t="shared" ca="1" si="307"/>
        <v>7.6303454539239829E-5</v>
      </c>
      <c r="W189">
        <f t="shared" ca="1" si="308"/>
        <v>8.7351848600496045E-3</v>
      </c>
      <c r="X189" s="22">
        <f t="shared" ref="X189" ca="1" si="423">BSdelta(1,P189,Strike,W189*AnnualVarConvtr,Dividend,RiskFreeRate,G189/250)</f>
        <v>5.4658354481629181E-4</v>
      </c>
      <c r="Y189" s="22">
        <f t="shared" ca="1" si="314"/>
        <v>-4.6795831664998673</v>
      </c>
      <c r="Z189" s="22">
        <f t="shared" ca="1" si="315"/>
        <v>3.964918381421989</v>
      </c>
      <c r="AA189">
        <f t="shared" si="302"/>
        <v>0.73884103340948371</v>
      </c>
      <c r="AB189">
        <f t="shared" ref="AB189" ca="1" si="424">BSdelta(1,P189,Strike,AA189/AnnualVarConvtr,Dividend,RiskFreeRate,G189/250)</f>
        <v>9.7486502597752192E-23</v>
      </c>
      <c r="AC189">
        <f t="shared" ca="1" si="311"/>
        <v>7.4571447355800543E-21</v>
      </c>
      <c r="AD189">
        <f t="shared" ca="1" si="312"/>
        <v>1.8681085270654689</v>
      </c>
    </row>
    <row r="190" spans="7:30" x14ac:dyDescent="0.25">
      <c r="G190" s="19">
        <v>65</v>
      </c>
      <c r="H190" s="19">
        <f t="shared" ca="1" si="362"/>
        <v>0.39680729066821296</v>
      </c>
      <c r="I190" s="19">
        <f t="shared" ca="1" si="362"/>
        <v>0.69547123903061581</v>
      </c>
      <c r="J190" s="19">
        <f t="shared" ca="1" si="296"/>
        <v>-0.45677041066356461</v>
      </c>
      <c r="K190" s="19">
        <f t="shared" ca="1" si="297"/>
        <v>-1.280613076656272</v>
      </c>
      <c r="L190" s="19">
        <f t="array" aca="1" ref="L190:M190" ca="1">MMULT(J190:K190,TRANSPOSE($B$10:$C$11))</f>
        <v>-0.45677041066356461</v>
      </c>
      <c r="M190" s="19">
        <f ca="1"/>
        <v>-0.56606315203231661</v>
      </c>
      <c r="N190" s="20">
        <f t="shared" ca="1" si="319"/>
        <v>4.7010908696816719E-2</v>
      </c>
      <c r="O190" s="20">
        <f t="shared" ca="1" si="298"/>
        <v>-6.2636471039098519E-3</v>
      </c>
      <c r="P190" s="19">
        <f t="shared" ca="1" si="304"/>
        <v>78.622726289599001</v>
      </c>
      <c r="Q190" s="19">
        <f ca="1">HCTrans(P190,Strike,RiskFreeRate,Dividend,Variance_T0*AnnualVarConvtr,(Simulation!G190)/250,0.5,Variance_Avg*AnnualVarConvtr,Lambda,SQRT(Simulation!N190),Rho,1,"Call")</f>
        <v>5.1559806483982413</v>
      </c>
      <c r="R190" s="19">
        <f t="shared" ca="1" si="299"/>
        <v>0.73304595240380965</v>
      </c>
      <c r="S190" s="19">
        <f t="shared" ca="1" si="300"/>
        <v>1.4649756707096409E-24</v>
      </c>
      <c r="T190" s="19">
        <f t="shared" ca="1" si="305"/>
        <v>-3.3306522411653361E-21</v>
      </c>
      <c r="U190" s="19" t="e">
        <f t="shared" ca="1" si="306"/>
        <v>#VALUE!</v>
      </c>
      <c r="V190" s="21">
        <f t="shared" ca="1" si="307"/>
        <v>2.6451449241230747E-4</v>
      </c>
      <c r="W190">
        <f t="shared" ca="1" si="308"/>
        <v>1.6263901512623209E-2</v>
      </c>
      <c r="X190" s="22">
        <f t="shared" ref="X190" ca="1" si="425">BSdelta(1,P190,Strike,W190*AnnualVarConvtr,Dividend,RiskFreeRate,G190/250)</f>
        <v>3.8475755748323702E-2</v>
      </c>
      <c r="Y190" s="22">
        <f t="shared" ca="1" si="314"/>
        <v>2.9820949245474297</v>
      </c>
      <c r="Z190" s="22">
        <f t="shared" ca="1" si="315"/>
        <v>0.74310376750574747</v>
      </c>
      <c r="AA190">
        <f t="shared" si="302"/>
        <v>0.73884103340948371</v>
      </c>
      <c r="AB190">
        <f t="shared" ref="AB190" ca="1" si="426">BSdelta(1,P190,Strike,AA190/AnnualVarConvtr,Dividend,RiskFreeRate,G190/250)</f>
        <v>3.3143164719413839E-24</v>
      </c>
      <c r="AC190">
        <f t="shared" ca="1" si="311"/>
        <v>-7.4040740138627962E-21</v>
      </c>
      <c r="AD190">
        <f t="shared" ca="1" si="312"/>
        <v>1.6283888376966571</v>
      </c>
    </row>
    <row r="191" spans="7:30" x14ac:dyDescent="0.25">
      <c r="G191" s="19">
        <v>64</v>
      </c>
      <c r="H191" s="19">
        <f t="shared" ca="1" si="362"/>
        <v>0.1859086996694046</v>
      </c>
      <c r="I191" s="19">
        <f t="shared" ca="1" si="362"/>
        <v>2.8449706705215849E-3</v>
      </c>
      <c r="J191" s="19">
        <f t="shared" ca="1" si="296"/>
        <v>1.8341003415182868</v>
      </c>
      <c r="K191" s="19">
        <f t="shared" ca="1" si="297"/>
        <v>3.2788912602337801E-2</v>
      </c>
      <c r="L191" s="19">
        <f t="array" aca="1" ref="L191:M191" ca="1">MMULT(J191:K191,TRANSPOSE($B$10:$C$11))</f>
        <v>1.8341003415182868</v>
      </c>
      <c r="M191" s="19">
        <f ca="1"/>
        <v>-1.291259772527485</v>
      </c>
      <c r="N191" s="20">
        <f t="shared" ca="1" si="319"/>
        <v>4.0184695919261201E-2</v>
      </c>
      <c r="O191" s="20">
        <f t="shared" ca="1" si="298"/>
        <v>2.325323767197985E-2</v>
      </c>
      <c r="P191" s="19">
        <f t="shared" ca="1" si="304"/>
        <v>80.472381118477443</v>
      </c>
      <c r="Q191" s="19">
        <f ca="1">HCTrans(P191,Strike,RiskFreeRate,Dividend,Variance_T0*AnnualVarConvtr,(Simulation!G191)/250,0.5,Variance_Avg*AnnualVarConvtr,Lambda,SQRT(Simulation!N191),Rho,1,"Call")</f>
        <v>5.7238728202035105</v>
      </c>
      <c r="R191" s="19">
        <f t="shared" ca="1" si="299"/>
        <v>0.7352655198831054</v>
      </c>
      <c r="S191" s="19">
        <f t="shared" ca="1" si="300"/>
        <v>1.4583010491372397E-20</v>
      </c>
      <c r="T191" s="19">
        <f t="shared" ca="1" si="305"/>
        <v>1.1734116880359719E-18</v>
      </c>
      <c r="U191" s="19" t="e">
        <f t="shared" ca="1" si="306"/>
        <v>#VALUE!</v>
      </c>
      <c r="V191" s="21">
        <f t="shared" ca="1" si="307"/>
        <v>8.7124648687314911E-4</v>
      </c>
      <c r="W191">
        <f t="shared" ca="1" si="308"/>
        <v>2.95168847758897E-2</v>
      </c>
      <c r="X191" s="22">
        <f t="shared" ref="X191" ca="1" si="427">BSdelta(1,P191,Strike,W191*AnnualVarConvtr,Dividend,RiskFreeRate,G191/250)</f>
        <v>0.21128146202120687</v>
      </c>
      <c r="Y191" s="22">
        <f t="shared" ca="1" si="314"/>
        <v>13.906086654639122</v>
      </c>
      <c r="Z191" s="22">
        <f t="shared" ca="1" si="315"/>
        <v>-12.595090715328105</v>
      </c>
      <c r="AA191">
        <f t="shared" si="302"/>
        <v>0.73884103340948371</v>
      </c>
      <c r="AB191">
        <f t="shared" ref="AB191" ca="1" si="428">BSdelta(1,P191,Strike,AA191/AnnualVarConvtr,Dividend,RiskFreeRate,G191/250)</f>
        <v>2.2114340425532978E-20</v>
      </c>
      <c r="AC191">
        <f t="shared" ca="1" si="311"/>
        <v>1.7793269199689651E-18</v>
      </c>
      <c r="AD191">
        <f t="shared" ca="1" si="312"/>
        <v>2.1962810095019263</v>
      </c>
    </row>
    <row r="192" spans="7:30" x14ac:dyDescent="0.25">
      <c r="G192" s="19">
        <v>63</v>
      </c>
      <c r="H192" s="19">
        <f t="shared" ca="1" si="362"/>
        <v>0.22812683694474856</v>
      </c>
      <c r="I192" s="19">
        <f t="shared" ca="1" si="362"/>
        <v>0.63479020632147964</v>
      </c>
      <c r="J192" s="19">
        <f t="shared" ca="1" si="296"/>
        <v>-1.138637516088171</v>
      </c>
      <c r="K192" s="19">
        <f t="shared" ca="1" si="297"/>
        <v>-1.2881038822979611</v>
      </c>
      <c r="L192" s="19">
        <f t="array" aca="1" ref="L192:M192" ca="1">MMULT(J192:K192,TRANSPOSE($B$10:$C$11))</f>
        <v>-1.138637516088171</v>
      </c>
      <c r="M192" s="19">
        <f ca="1"/>
        <v>-8.27308603149427E-2</v>
      </c>
      <c r="N192" s="20">
        <f t="shared" ca="1" si="319"/>
        <v>3.9603396070194571E-2</v>
      </c>
      <c r="O192" s="20">
        <f t="shared" ca="1" si="298"/>
        <v>-1.433117169723145E-2</v>
      </c>
      <c r="P192" s="19">
        <f t="shared" ca="1" si="304"/>
        <v>79.327342080820742</v>
      </c>
      <c r="Q192" s="19">
        <f ca="1">HCTrans(P192,Strike,RiskFreeRate,Dividend,Variance_T0*AnnualVarConvtr,(Simulation!G192)/250,0.5,Variance_Avg*AnnualVarConvtr,Lambda,SQRT(Simulation!N192),Rho,1,"Call")</f>
        <v>5.2456557051194039</v>
      </c>
      <c r="R192" s="19">
        <f t="shared" ca="1" si="299"/>
        <v>0.73477625783011735</v>
      </c>
      <c r="S192" s="19">
        <f t="shared" ca="1" si="300"/>
        <v>1.780623926367243E-23</v>
      </c>
      <c r="T192" s="19">
        <f t="shared" ca="1" si="305"/>
        <v>-1.1554189401840537E-18</v>
      </c>
      <c r="U192" s="19" t="e">
        <f t="shared" ca="1" si="306"/>
        <v>#VALUE!</v>
      </c>
      <c r="V192" s="21">
        <f t="shared" ca="1" si="307"/>
        <v>1.4125878276324581E-3</v>
      </c>
      <c r="W192">
        <f t="shared" ca="1" si="308"/>
        <v>3.75844093692113E-2</v>
      </c>
      <c r="X192" s="22">
        <f t="shared" ref="X192" ca="1" si="429">BSdelta(1,P192,Strike,W192*AnnualVarConvtr,Dividend,RiskFreeRate,G192/250)</f>
        <v>0.26527902918540974</v>
      </c>
      <c r="Y192" s="22">
        <f t="shared" ca="1" si="314"/>
        <v>4.2834834819668144</v>
      </c>
      <c r="Z192" s="22">
        <f t="shared" ca="1" si="315"/>
        <v>-17.356791312379027</v>
      </c>
      <c r="AA192">
        <f t="shared" si="302"/>
        <v>0.73884103340948371</v>
      </c>
      <c r="AB192">
        <f t="shared" ref="AB192" ca="1" si="430">BSdelta(1,P192,Strike,AA192/AnnualVarConvtr,Dividend,RiskFreeRate,G192/250)</f>
        <v>3.0742925699330677E-23</v>
      </c>
      <c r="AC192">
        <f t="shared" ca="1" si="311"/>
        <v>-1.7518330932444617E-18</v>
      </c>
      <c r="AD192">
        <f t="shared" ca="1" si="312"/>
        <v>1.7180638944178197</v>
      </c>
    </row>
    <row r="193" spans="7:30" x14ac:dyDescent="0.25">
      <c r="G193" s="19">
        <v>62</v>
      </c>
      <c r="H193" s="19">
        <f t="shared" ca="1" si="362"/>
        <v>6.360563931316443E-2</v>
      </c>
      <c r="I193" s="19">
        <f t="shared" ca="1" si="362"/>
        <v>0.16012046774460453</v>
      </c>
      <c r="J193" s="19">
        <f t="shared" ca="1" si="296"/>
        <v>1.2562786860643269</v>
      </c>
      <c r="K193" s="19">
        <f t="shared" ca="1" si="297"/>
        <v>1.9828943872991003</v>
      </c>
      <c r="L193" s="19">
        <f t="array" aca="1" ref="L193:M193" ca="1">MMULT(J193:K193,TRANSPOSE($B$10:$C$11))</f>
        <v>1.2562786860643269</v>
      </c>
      <c r="M193" s="19">
        <f ca="1"/>
        <v>0.48311784949932901</v>
      </c>
      <c r="N193" s="20">
        <f t="shared" ca="1" si="319"/>
        <v>4.1823348958028271E-2</v>
      </c>
      <c r="O193" s="20">
        <f t="shared" ca="1" si="298"/>
        <v>1.624895328301617E-2</v>
      </c>
      <c r="P193" s="19">
        <f t="shared" ca="1" si="304"/>
        <v>80.626857647926926</v>
      </c>
      <c r="Q193" s="19">
        <f ca="1">HCTrans(P193,Strike,RiskFreeRate,Dividend,Variance_T0*AnnualVarConvtr,(Simulation!G193)/250,0.5,Variance_Avg*AnnualVarConvtr,Lambda,SQRT(Simulation!N193),Rho,1,"Call")</f>
        <v>5.6015849557898463</v>
      </c>
      <c r="R193" s="19">
        <f t="shared" ca="1" si="299"/>
        <v>0.73514778017566051</v>
      </c>
      <c r="S193" s="19">
        <f t="shared" ca="1" si="300"/>
        <v>7.8169955047493971E-21</v>
      </c>
      <c r="T193" s="19">
        <f t="shared" ca="1" si="305"/>
        <v>6.2882412267755733E-19</v>
      </c>
      <c r="U193" s="19" t="e">
        <f t="shared" ca="1" si="306"/>
        <v>#VALUE!</v>
      </c>
      <c r="V193" s="21">
        <f t="shared" ca="1" si="307"/>
        <v>9.3514404380756451E-4</v>
      </c>
      <c r="W193">
        <f t="shared" ca="1" si="308"/>
        <v>3.0580124980247619E-2</v>
      </c>
      <c r="X193" s="22">
        <f t="shared" ref="X193" ca="1" si="431">BSdelta(1,P193,Strike,W193*AnnualVarConvtr,Dividend,RiskFreeRate,G193/250)</f>
        <v>0.21949132992137643</v>
      </c>
      <c r="Y193" s="22">
        <f t="shared" ca="1" si="314"/>
        <v>-3.6917183105873024</v>
      </c>
      <c r="Z193" s="22">
        <f t="shared" ca="1" si="315"/>
        <v>-13.309143751121283</v>
      </c>
      <c r="AA193">
        <f t="shared" si="302"/>
        <v>0.73884103340948371</v>
      </c>
      <c r="AB193">
        <f t="shared" ref="AB193" ca="1" si="432">BSdelta(1,P193,Strike,AA193/AnnualVarConvtr,Dividend,RiskFreeRate,G193/250)</f>
        <v>1.2091303870138212E-20</v>
      </c>
      <c r="AC193">
        <f t="shared" ca="1" si="311"/>
        <v>9.7240513042142069E-19</v>
      </c>
      <c r="AD193">
        <f t="shared" ca="1" si="312"/>
        <v>2.073993145088262</v>
      </c>
    </row>
    <row r="194" spans="7:30" x14ac:dyDescent="0.25">
      <c r="G194" s="19">
        <v>61</v>
      </c>
      <c r="H194" s="19">
        <f t="shared" ca="1" si="362"/>
        <v>0.68913944100869617</v>
      </c>
      <c r="I194" s="19">
        <f t="shared" ca="1" si="362"/>
        <v>0.31730222318592805</v>
      </c>
      <c r="J194" s="19">
        <f t="shared" ca="1" si="296"/>
        <v>-0.35412456232629425</v>
      </c>
      <c r="K194" s="19">
        <f t="shared" ca="1" si="297"/>
        <v>0.78690475141309701</v>
      </c>
      <c r="L194" s="19">
        <f t="array" aca="1" ref="L194:M194" ca="1">MMULT(J194:K194,TRANSPOSE($B$10:$C$11))</f>
        <v>-0.35412456232629425</v>
      </c>
      <c r="M194" s="19">
        <f ca="1"/>
        <v>0.80266484560430817</v>
      </c>
      <c r="N194" s="20">
        <f t="shared" ca="1" si="319"/>
        <v>4.5760860362431578E-2</v>
      </c>
      <c r="O194" s="20">
        <f t="shared" ca="1" si="298"/>
        <v>-4.7910768490106032E-3</v>
      </c>
      <c r="P194" s="19">
        <f t="shared" ca="1" si="304"/>
        <v>80.241492072039236</v>
      </c>
      <c r="Q194" s="19">
        <f ca="1">HCTrans(P194,Strike,RiskFreeRate,Dividend,Variance_T0*AnnualVarConvtr,(Simulation!G194)/250,0.5,Variance_Avg*AnnualVarConvtr,Lambda,SQRT(Simulation!N194),Rho,1,"Call")</f>
        <v>5.371930421553472</v>
      </c>
      <c r="R194" s="19" t="e">
        <f t="shared" ca="1" si="299"/>
        <v>#VALUE!</v>
      </c>
      <c r="S194" s="19" t="e">
        <f t="shared" ca="1" si="300"/>
        <v>#VALUE!</v>
      </c>
      <c r="T194" s="19" t="e">
        <f t="shared" ca="1" si="305"/>
        <v>#VALUE!</v>
      </c>
      <c r="U194" s="19" t="e">
        <f t="shared" ca="1" si="306"/>
        <v>#VALUE!</v>
      </c>
      <c r="V194" s="21">
        <f t="shared" ca="1" si="307"/>
        <v>4.4268286795659452E-4</v>
      </c>
      <c r="W194">
        <f t="shared" ca="1" si="308"/>
        <v>2.1040030132026773E-2</v>
      </c>
      <c r="X194" s="22">
        <f t="shared" ref="X194" ca="1" si="433">BSdelta(1,P194,Strike,W194*AnnualVarConvtr,Dividend,RiskFreeRate,G194/250)</f>
        <v>0.10430250632125267</v>
      </c>
      <c r="Y194" s="22">
        <f t="shared" ca="1" si="314"/>
        <v>-9.2429230756968579</v>
      </c>
      <c r="Z194" s="22">
        <f t="shared" ca="1" si="315"/>
        <v>-4.2958752096607995</v>
      </c>
      <c r="AA194">
        <f t="shared" si="302"/>
        <v>0.73884103340948371</v>
      </c>
      <c r="AB194">
        <f t="shared" ref="AB194" ca="1" si="434">BSdelta(1,P194,Strike,AA194/AnnualVarConvtr,Dividend,RiskFreeRate,G194/250)</f>
        <v>8.2323281875356915E-22</v>
      </c>
      <c r="AC194">
        <f t="shared" ca="1" si="311"/>
        <v>-9.041668339368557E-19</v>
      </c>
      <c r="AD194">
        <f t="shared" ca="1" si="312"/>
        <v>1.8443386108518878</v>
      </c>
    </row>
    <row r="195" spans="7:30" x14ac:dyDescent="0.25">
      <c r="G195" s="19">
        <v>60</v>
      </c>
      <c r="H195" s="19">
        <f t="shared" ca="1" si="362"/>
        <v>0.74136282053143121</v>
      </c>
      <c r="I195" s="19">
        <f t="shared" ca="1" si="362"/>
        <v>0.703444391313785</v>
      </c>
      <c r="J195" s="19">
        <f t="shared" ca="1" si="296"/>
        <v>-0.22309183067258806</v>
      </c>
      <c r="K195" s="19">
        <f t="shared" ca="1" si="297"/>
        <v>-0.74078357800058658</v>
      </c>
      <c r="L195" s="19">
        <f t="array" aca="1" ref="L195:M195" ca="1">MMULT(J195:K195,TRANSPOSE($B$10:$C$11))</f>
        <v>-0.22309183067258806</v>
      </c>
      <c r="M195" s="19">
        <f ca="1"/>
        <v>-0.35691576481072695</v>
      </c>
      <c r="N195" s="20">
        <f t="shared" ca="1" si="319"/>
        <v>4.3702630788948982E-2</v>
      </c>
      <c r="O195" s="20">
        <f t="shared" ca="1" si="298"/>
        <v>-2.949629401104542E-3</v>
      </c>
      <c r="P195" s="19">
        <f t="shared" ca="1" si="304"/>
        <v>80.005158127958282</v>
      </c>
      <c r="Q195" s="19">
        <f ca="1">HCTrans(P195,Strike,RiskFreeRate,Dividend,Variance_T0*AnnualVarConvtr,(Simulation!G195)/250,0.5,Variance_Avg*AnnualVarConvtr,Lambda,SQRT(Simulation!N195),Rho,1,"Call")</f>
        <v>5.2096399534924984</v>
      </c>
      <c r="R195" s="19">
        <f t="shared" ca="1" si="299"/>
        <v>0.73456462974583192</v>
      </c>
      <c r="S195" s="19">
        <f t="shared" ca="1" si="300"/>
        <v>6.2064907855342475E-23</v>
      </c>
      <c r="T195" s="19" t="e">
        <f t="shared" ca="1" si="305"/>
        <v>#VALUE!</v>
      </c>
      <c r="U195" s="19" t="e">
        <f t="shared" ca="1" si="306"/>
        <v>#VALUE!</v>
      </c>
      <c r="V195" s="21">
        <f t="shared" ca="1" si="307"/>
        <v>3.3909287033997458E-6</v>
      </c>
      <c r="W195">
        <f t="shared" ca="1" si="308"/>
        <v>1.8414474479060612E-3</v>
      </c>
      <c r="X195" s="22">
        <f t="shared" ref="X195" ca="1" si="435">BSdelta(1,P195,Strike,W195*AnnualVarConvtr,Dividend,RiskFreeRate,G195/250)</f>
        <v>2.18978689590505E-55</v>
      </c>
      <c r="Y195" s="22">
        <f t="shared" ca="1" si="314"/>
        <v>-8.344738511374187</v>
      </c>
      <c r="Z195" s="22">
        <f t="shared" ca="1" si="315"/>
        <v>3.8865728336524139</v>
      </c>
      <c r="AA195">
        <f t="shared" si="302"/>
        <v>0.73884103340948371</v>
      </c>
      <c r="AB195">
        <f t="shared" ref="AB195" ca="1" si="436">BSdelta(1,P195,Strike,AA195/AnnualVarConvtr,Dividend,RiskFreeRate,G195/250)</f>
        <v>1.0867082088750034E-22</v>
      </c>
      <c r="AC195">
        <f t="shared" ca="1" si="311"/>
        <v>-5.7168645631504623E-20</v>
      </c>
      <c r="AD195">
        <f t="shared" ca="1" si="312"/>
        <v>1.6820481427909142</v>
      </c>
    </row>
    <row r="196" spans="7:30" x14ac:dyDescent="0.25">
      <c r="G196" s="19">
        <v>59</v>
      </c>
      <c r="H196" s="19">
        <f t="shared" ca="1" si="362"/>
        <v>0.90805633932581431</v>
      </c>
      <c r="I196" s="19">
        <f t="shared" ca="1" si="362"/>
        <v>0.15533250310182622</v>
      </c>
      <c r="J196" s="19">
        <f t="shared" ca="1" si="296"/>
        <v>0.24610826137345171</v>
      </c>
      <c r="K196" s="19">
        <f t="shared" ca="1" si="297"/>
        <v>0.3637697525411851</v>
      </c>
      <c r="L196" s="19">
        <f t="array" aca="1" ref="L196:M196" ca="1">MMULT(J196:K196,TRANSPOSE($B$10:$C$11))</f>
        <v>0.24610826137345171</v>
      </c>
      <c r="M196" s="19">
        <f ca="1"/>
        <v>7.7424514317503246E-2</v>
      </c>
      <c r="N196" s="20">
        <f t="shared" ca="1" si="319"/>
        <v>4.3906085602884219E-2</v>
      </c>
      <c r="O196" s="20">
        <f t="shared" ca="1" si="298"/>
        <v>3.261508749549264E-3</v>
      </c>
      <c r="P196" s="19">
        <f t="shared" ca="1" si="304"/>
        <v>80.266521639204569</v>
      </c>
      <c r="Q196" s="19">
        <f ca="1">HCTrans(P196,Strike,RiskFreeRate,Dividend,Variance_T0*AnnualVarConvtr,(Simulation!G196)/250,0.5,Variance_Avg*AnnualVarConvtr,Lambda,SQRT(Simulation!N196),Rho,1,"Call")</f>
        <v>5.2106935979790592</v>
      </c>
      <c r="R196" s="19">
        <f t="shared" ca="1" si="299"/>
        <v>0.73471566110519504</v>
      </c>
      <c r="S196" s="19">
        <f t="shared" ca="1" si="300"/>
        <v>1.1630788183135865E-22</v>
      </c>
      <c r="T196" s="19">
        <f t="shared" ca="1" si="305"/>
        <v>4.3538948444207127E-21</v>
      </c>
      <c r="U196" s="19" t="e">
        <f t="shared" ca="1" si="306"/>
        <v>#VALUE!</v>
      </c>
      <c r="V196" s="21">
        <f t="shared" ca="1" si="307"/>
        <v>3.857823712650718E-5</v>
      </c>
      <c r="W196">
        <f t="shared" ca="1" si="308"/>
        <v>6.211138150653806E-3</v>
      </c>
      <c r="X196" s="22">
        <f t="shared" ref="X196" ca="1" si="437">BSdelta(1,P196,Strike,W196*AnnualVarConvtr,Dividend,RiskFreeRate,G196/250)</f>
        <v>2.2847076989732748E-6</v>
      </c>
      <c r="Y196" s="22">
        <f t="shared" ca="1" si="314"/>
        <v>1.8338553995889565E-4</v>
      </c>
      <c r="Z196" s="22">
        <f t="shared" ca="1" si="315"/>
        <v>3.8874430925990158</v>
      </c>
      <c r="AA196">
        <f t="shared" si="302"/>
        <v>0.73884103340948371</v>
      </c>
      <c r="AB196">
        <f t="shared" ref="AB196" ca="1" si="438">BSdelta(1,P196,Strike,AA196/AnnualVarConvtr,Dividend,RiskFreeRate,G196/250)</f>
        <v>1.9828642117360369E-22</v>
      </c>
      <c r="AC196">
        <f t="shared" ca="1" si="311"/>
        <v>7.1931325195748214E-21</v>
      </c>
      <c r="AD196">
        <f t="shared" ca="1" si="312"/>
        <v>1.6831017872774749</v>
      </c>
    </row>
    <row r="197" spans="7:30" x14ac:dyDescent="0.25">
      <c r="G197" s="19">
        <v>58</v>
      </c>
      <c r="H197" s="19">
        <f t="shared" ca="1" si="362"/>
        <v>3.5986604979361236E-2</v>
      </c>
      <c r="I197" s="19">
        <f t="shared" ca="1" si="362"/>
        <v>0.91054683406034176</v>
      </c>
      <c r="J197" s="19">
        <f t="shared" ca="1" si="296"/>
        <v>2.1819248006675505</v>
      </c>
      <c r="K197" s="19">
        <f t="shared" ca="1" si="297"/>
        <v>-1.3741983668953968</v>
      </c>
      <c r="L197" s="19">
        <f t="array" aca="1" ref="L197:M197" ca="1">MMULT(J197:K197,TRANSPOSE($B$10:$C$11))</f>
        <v>2.1819248006675505</v>
      </c>
      <c r="M197" s="19">
        <f ca="1"/>
        <v>-2.5219721613608996</v>
      </c>
      <c r="N197" s="20">
        <f t="shared" ca="1" si="319"/>
        <v>3.1708997664293144E-2</v>
      </c>
      <c r="O197" s="20">
        <f t="shared" ca="1" si="298"/>
        <v>2.4573161297362471E-2</v>
      </c>
      <c r="P197" s="19">
        <f t="shared" ca="1" si="304"/>
        <v>82.263357628833347</v>
      </c>
      <c r="Q197" s="19">
        <f ca="1">HCTrans(P197,Strike,RiskFreeRate,Dividend,Variance_T0*AnnualVarConvtr,(Simulation!G197)/250,0.5,Variance_Avg*AnnualVarConvtr,Lambda,SQRT(Simulation!N197),Rho,1,"Call")</f>
        <v>5.8488710382234217</v>
      </c>
      <c r="R197" s="19">
        <f t="shared" ca="1" si="299"/>
        <v>0.73778001511075975</v>
      </c>
      <c r="S197" s="19">
        <f t="shared" ca="1" si="300"/>
        <v>2.0510918230811035E-18</v>
      </c>
      <c r="T197" s="19">
        <f t="shared" ca="1" si="305"/>
        <v>1.6872013229481845E-16</v>
      </c>
      <c r="U197" s="19" t="e">
        <f t="shared" ca="1" si="306"/>
        <v>#VALUE!</v>
      </c>
      <c r="V197" s="21">
        <f t="shared" ca="1" si="307"/>
        <v>4.5418653431871322E-4</v>
      </c>
      <c r="W197">
        <f t="shared" ca="1" si="308"/>
        <v>2.1311652547813208E-2</v>
      </c>
      <c r="X197" s="22">
        <f t="shared" ref="X197" ca="1" si="439">BSdelta(1,P197,Strike,W197*AnnualVarConvtr,Dividend,RiskFreeRate,G197/250)</f>
        <v>0.13097430225546811</v>
      </c>
      <c r="Y197" s="22">
        <f t="shared" ca="1" si="314"/>
        <v>10.774197918901969</v>
      </c>
      <c r="Z197" s="22">
        <f t="shared" ca="1" si="315"/>
        <v>-6.2485773860585905</v>
      </c>
      <c r="AA197">
        <f t="shared" si="302"/>
        <v>0.73884103340948371</v>
      </c>
      <c r="AB197">
        <f t="shared" ref="AB197" ca="1" si="440">BSdelta(1,P197,Strike,AA197/AnnualVarConvtr,Dividend,RiskFreeRate,G197/250)</f>
        <v>2.2889051658442793E-18</v>
      </c>
      <c r="AC197">
        <f t="shared" ca="1" si="311"/>
        <v>1.8827671252955411E-16</v>
      </c>
      <c r="AD197">
        <f t="shared" ca="1" si="312"/>
        <v>2.3212792275218375</v>
      </c>
    </row>
    <row r="198" spans="7:30" x14ac:dyDescent="0.25">
      <c r="G198" s="19">
        <v>57</v>
      </c>
      <c r="H198" s="19">
        <f t="shared" ca="1" si="362"/>
        <v>0.61772183453442153</v>
      </c>
      <c r="I198" s="19">
        <f t="shared" ca="1" si="362"/>
        <v>0.81730406089277652</v>
      </c>
      <c r="J198" s="19">
        <f t="shared" ref="J198:J254" ca="1" si="441">SQRT(-2*LN(H198))*COS(2*PI()*I198)</f>
        <v>0.40281893985655393</v>
      </c>
      <c r="K198" s="19">
        <f t="shared" ref="K198:K254" ca="1" si="442">SQRT(-2*LN(H198))*SIN(2*PI()*I198)</f>
        <v>-0.89508153777218025</v>
      </c>
      <c r="L198" s="19">
        <f t="array" aca="1" ref="L198:M198" ca="1">MMULT(J198:K198,TRANSPOSE($B$10:$C$11))</f>
        <v>0.40281893985655393</v>
      </c>
      <c r="M198" s="19">
        <f ca="1"/>
        <v>-0.91301709685115484</v>
      </c>
      <c r="N198" s="20">
        <f t="shared" ca="1" si="319"/>
        <v>2.77170141302003E-2</v>
      </c>
      <c r="O198" s="20">
        <f t="shared" ref="O198:O254" ca="1" si="443">GetStockReturns(0,RiskFreeRate,N198,L198,"Daily")</f>
        <v>4.2414377697142175E-3</v>
      </c>
      <c r="P198" s="19">
        <f t="shared" ca="1" si="304"/>
        <v>82.613013538648588</v>
      </c>
      <c r="Q198" s="19">
        <f ca="1">HCTrans(P198,Strike,RiskFreeRate,Dividend,Variance_T0*AnnualVarConvtr,(Simulation!G198)/250,0.5,Variance_Avg*AnnualVarConvtr,Lambda,SQRT(Simulation!N198),Rho,1,"Call")</f>
        <v>5.8917768269016904</v>
      </c>
      <c r="R198" s="19">
        <f t="shared" ref="R198:R254" ca="1" si="444">BSvol(1,P198,Strike,Q198,Dividend,RiskFreeRate,G198/250)</f>
        <v>0.73865814880214642</v>
      </c>
      <c r="S198" s="19">
        <f t="shared" ref="S198:S254" ca="1" si="445">BSdelta(1,P198,Strike,R198/AnnualVarConvtr,Dividend,RiskFreeRate,G198/250)</f>
        <v>6.0844725211578671E-18</v>
      </c>
      <c r="T198" s="19">
        <f t="shared" ca="1" si="305"/>
        <v>3.3320973421673961E-16</v>
      </c>
      <c r="U198" s="19" t="e">
        <f t="shared" ca="1" si="306"/>
        <v>#VALUE!</v>
      </c>
      <c r="V198" s="21">
        <f t="shared" ca="1" si="307"/>
        <v>4.1337898160472556E-4</v>
      </c>
      <c r="W198">
        <f t="shared" ca="1" si="308"/>
        <v>2.0331723527648254E-2</v>
      </c>
      <c r="X198" s="22">
        <f t="shared" ref="X198" ca="1" si="446">BSdelta(1,P198,Strike,W198*AnnualVarConvtr,Dividend,RiskFreeRate,G198/250)</f>
        <v>0.12149231800733953</v>
      </c>
      <c r="Y198" s="22">
        <f t="shared" ca="1" si="314"/>
        <v>-0.78333529306389837</v>
      </c>
      <c r="Z198" s="22">
        <f t="shared" ca="1" si="315"/>
        <v>-5.4223363043164232</v>
      </c>
      <c r="AA198">
        <f t="shared" ref="AA198:AA240" si="447">$R$5</f>
        <v>0.73884103340948371</v>
      </c>
      <c r="AB198">
        <f t="shared" ref="AB198" ca="1" si="448">BSdelta(1,P198,Strike,AA198/AnnualVarConvtr,Dividend,RiskFreeRate,G198/250)</f>
        <v>6.1973849623947089E-18</v>
      </c>
      <c r="AC198">
        <f t="shared" ca="1" si="311"/>
        <v>3.2289129434795516E-16</v>
      </c>
      <c r="AD198">
        <f t="shared" ca="1" si="312"/>
        <v>2.3641850162001057</v>
      </c>
    </row>
    <row r="199" spans="7:30" x14ac:dyDescent="0.25">
      <c r="G199" s="19">
        <v>56</v>
      </c>
      <c r="H199" s="19">
        <f t="shared" ca="1" si="362"/>
        <v>0.89752195015228609</v>
      </c>
      <c r="I199" s="19">
        <f t="shared" ca="1" si="362"/>
        <v>0.4803966011129841</v>
      </c>
      <c r="J199" s="19">
        <f t="shared" ca="1" si="441"/>
        <v>-0.461488234531093</v>
      </c>
      <c r="K199" s="19">
        <f t="shared" ca="1" si="442"/>
        <v>5.7131543288578356E-2</v>
      </c>
      <c r="L199" s="19">
        <f t="array" aca="1" ref="L199:M199" ca="1">MMULT(J199:K199,TRANSPOSE($B$10:$C$11))</f>
        <v>-0.461488234531093</v>
      </c>
      <c r="M199" s="19">
        <f ca="1"/>
        <v>0.3705105471478008</v>
      </c>
      <c r="N199" s="20">
        <f t="shared" ca="1" si="319"/>
        <v>2.9140580991161645E-2</v>
      </c>
      <c r="O199" s="20">
        <f t="shared" ca="1" si="443"/>
        <v>-4.9824130928253002E-3</v>
      </c>
      <c r="P199" s="19">
        <f t="shared" ref="P199:P254" ca="1" si="449">P198*EXP(O199)</f>
        <v>82.20242508837643</v>
      </c>
      <c r="Q199" s="19">
        <f ca="1">HCTrans(P199,Strike,RiskFreeRate,Dividend,Variance_T0*AnnualVarConvtr,(Simulation!G199)/250,0.5,Variance_Avg*AnnualVarConvtr,Lambda,SQRT(Simulation!N199),Rho,1,"Call")</f>
        <v>5.6455241187638734</v>
      </c>
      <c r="R199" s="19">
        <f t="shared" ca="1" si="444"/>
        <v>0.73825327156114751</v>
      </c>
      <c r="S199" s="19">
        <f t="shared" ca="1" si="445"/>
        <v>4.0826709347486098E-19</v>
      </c>
      <c r="T199" s="19">
        <f t="shared" ref="T199:T254" ca="1" si="450">(S199-S198)*P199</f>
        <v>-4.6659785145534801E-16</v>
      </c>
      <c r="U199" s="19" t="e">
        <f t="shared" ref="U199:U254" ca="1" si="451">(Q199-Q198)+U198-T199</f>
        <v>#VALUE!</v>
      </c>
      <c r="V199" s="21">
        <f t="shared" ref="V199:V254" ca="1" si="452">(O199-O198)^2</f>
        <v>8.5079424734371009E-5</v>
      </c>
      <c r="W199">
        <f t="shared" ref="W199:W254" ca="1" si="453">SQRT(V199)</f>
        <v>9.2238508625395177E-3</v>
      </c>
      <c r="X199" s="22">
        <f t="shared" ref="X199" ca="1" si="454">BSdelta(1,P199,Strike,W199*AnnualVarConvtr,Dividend,RiskFreeRate,G199/250)</f>
        <v>2.5171759913929755E-3</v>
      </c>
      <c r="Y199" s="22">
        <f t="shared" ca="1" si="314"/>
        <v>-9.7800451989447943</v>
      </c>
      <c r="Z199" s="22">
        <f t="shared" ca="1" si="315"/>
        <v>4.1114561864905541</v>
      </c>
      <c r="AA199">
        <f t="shared" si="447"/>
        <v>0.73884103340948371</v>
      </c>
      <c r="AB199">
        <f t="shared" ref="AB199" ca="1" si="455">BSdelta(1,P199,Strike,AA199/AnnualVarConvtr,Dividend,RiskFreeRate,G199/250)</f>
        <v>4.3495697576455412E-19</v>
      </c>
      <c r="AC199">
        <f t="shared" ref="AC199:AC254" ca="1" si="456">(AB199-AB198)*P199</f>
        <v>-4.7368555489812909E-16</v>
      </c>
      <c r="AD199">
        <f t="shared" ref="AD199:AD254" ca="1" si="457">(Q199-Q198)+AD198-AC199</f>
        <v>2.1179323080622892</v>
      </c>
    </row>
    <row r="200" spans="7:30" x14ac:dyDescent="0.25">
      <c r="G200" s="19">
        <v>55</v>
      </c>
      <c r="H200" s="19">
        <f t="shared" ca="1" si="362"/>
        <v>6.7484498521558245E-2</v>
      </c>
      <c r="I200" s="19">
        <f t="shared" ca="1" si="362"/>
        <v>0.49243469401800488</v>
      </c>
      <c r="J200" s="19">
        <f t="shared" ca="1" si="441"/>
        <v>-2.3193838191481384</v>
      </c>
      <c r="K200" s="19">
        <f t="shared" ca="1" si="442"/>
        <v>0.11033321120108679</v>
      </c>
      <c r="L200" s="19">
        <f t="array" aca="1" ref="L200:M200" ca="1">MMULT(J200:K200,TRANSPOSE($B$10:$C$11))</f>
        <v>-2.3193838191481384</v>
      </c>
      <c r="M200" s="19">
        <f ca="1"/>
        <v>1.7388055302992771</v>
      </c>
      <c r="N200" s="20">
        <f t="shared" ca="1" si="319"/>
        <v>3.6756142297516392E-2</v>
      </c>
      <c r="O200" s="20">
        <f t="shared" ca="1" si="443"/>
        <v>-2.8123384258478393E-2</v>
      </c>
      <c r="P200" s="19">
        <f t="shared" ca="1" si="449"/>
        <v>79.922820052515974</v>
      </c>
      <c r="Q200" s="19">
        <f ca="1">HCTrans(P200,Strike,RiskFreeRate,Dividend,Variance_T0*AnnualVarConvtr,(Simulation!G200)/250,0.5,Variance_Avg*AnnualVarConvtr,Lambda,SQRT(Simulation!N200),Rho,1,"Call")</f>
        <v>4.7601992994476916</v>
      </c>
      <c r="R200" s="19">
        <f t="shared" ca="1" si="444"/>
        <v>0.73584220389852295</v>
      </c>
      <c r="S200" s="19">
        <f t="shared" ca="1" si="445"/>
        <v>5.5706379031245526E-25</v>
      </c>
      <c r="T200" s="19">
        <f t="shared" ca="1" si="450"/>
        <v>-3.2629812923045959E-17</v>
      </c>
      <c r="U200" s="19" t="e">
        <f t="shared" ca="1" si="451"/>
        <v>#VALUE!</v>
      </c>
      <c r="V200" s="21">
        <f t="shared" ca="1" si="452"/>
        <v>5.3550454648958786E-4</v>
      </c>
      <c r="W200">
        <f t="shared" ca="1" si="453"/>
        <v>2.3140971165653092E-2</v>
      </c>
      <c r="X200" s="22">
        <f t="shared" ref="X200" ca="1" si="458">BSdelta(1,P200,Strike,W200*AnnualVarConvtr,Dividend,RiskFreeRate,G200/250)</f>
        <v>0.11122317342375429</v>
      </c>
      <c r="Y200" s="22">
        <f t="shared" ref="Y200:Y254" ca="1" si="459">(X200-X199)*P200</f>
        <v>8.6880898714158761</v>
      </c>
      <c r="Z200" s="22">
        <f t="shared" ref="Z200:Z254" ca="1" si="460">(Q200-Q199)+Z199-Y200</f>
        <v>-5.4619585042415038</v>
      </c>
      <c r="AA200">
        <f t="shared" si="447"/>
        <v>0.73884103340948371</v>
      </c>
      <c r="AB200">
        <f t="shared" ref="AB200" ca="1" si="461">BSdelta(1,P200,Strike,AA200/AnnualVarConvtr,Dividend,RiskFreeRate,G200/250)</f>
        <v>8.5717124043570968E-25</v>
      </c>
      <c r="AC200">
        <f t="shared" ca="1" si="456"/>
        <v>-3.4762919597074207E-17</v>
      </c>
      <c r="AD200">
        <f t="shared" ca="1" si="457"/>
        <v>1.2326074887461074</v>
      </c>
    </row>
    <row r="201" spans="7:30" x14ac:dyDescent="0.25">
      <c r="G201" s="19">
        <v>54</v>
      </c>
      <c r="H201" s="19">
        <f t="shared" ca="1" si="362"/>
        <v>1.9078834127299493E-2</v>
      </c>
      <c r="I201" s="19">
        <f t="shared" ca="1" si="362"/>
        <v>0.84035733506168941</v>
      </c>
      <c r="J201" s="19">
        <f t="shared" ca="1" si="441"/>
        <v>1.5131238931283737</v>
      </c>
      <c r="K201" s="19">
        <f t="shared" ca="1" si="442"/>
        <v>-2.3725108055771615</v>
      </c>
      <c r="L201" s="19">
        <f t="array" aca="1" ref="L201:M201" ca="1">MMULT(J201:K201,TRANSPOSE($B$10:$C$11))</f>
        <v>1.5131238931283737</v>
      </c>
      <c r="M201" s="19">
        <f ca="1"/>
        <v>-2.7391861814546274</v>
      </c>
      <c r="N201" s="20">
        <f t="shared" ca="1" si="319"/>
        <v>2.4849519330511861E-2</v>
      </c>
      <c r="O201" s="20">
        <f t="shared" ca="1" si="443"/>
        <v>1.5085631017309632E-2</v>
      </c>
      <c r="P201" s="19">
        <f t="shared" ca="1" si="449"/>
        <v>81.137646397973953</v>
      </c>
      <c r="Q201" s="19">
        <f ca="1">HCTrans(P201,Strike,RiskFreeRate,Dividend,Variance_T0*AnnualVarConvtr,(Simulation!G201)/250,0.5,Variance_Avg*AnnualVarConvtr,Lambda,SQRT(Simulation!N201),Rho,1,"Call")</f>
        <v>5.0999679932224922</v>
      </c>
      <c r="R201" s="19" t="e">
        <f t="shared" ca="1" si="444"/>
        <v>#VALUE!</v>
      </c>
      <c r="S201" s="19" t="e">
        <f t="shared" ca="1" si="445"/>
        <v>#VALUE!</v>
      </c>
      <c r="T201" s="19" t="e">
        <f t="shared" ca="1" si="450"/>
        <v>#VALUE!</v>
      </c>
      <c r="U201" s="19" t="e">
        <f t="shared" ca="1" si="451"/>
        <v>#VALUE!</v>
      </c>
      <c r="V201" s="21">
        <f t="shared" ca="1" si="452"/>
        <v>1.8670190011032825E-3</v>
      </c>
      <c r="W201">
        <f t="shared" ca="1" si="453"/>
        <v>4.3209015275788021E-2</v>
      </c>
      <c r="X201" s="22">
        <f t="shared" ref="X201" ca="1" si="462">BSdelta(1,P201,Strike,W201*AnnualVarConvtr,Dividend,RiskFreeRate,G201/250)</f>
        <v>0.30869992665687984</v>
      </c>
      <c r="Y201" s="22">
        <f t="shared" ca="1" si="459"/>
        <v>16.022798975649302</v>
      </c>
      <c r="Z201" s="22">
        <f t="shared" ca="1" si="460"/>
        <v>-21.144988786116006</v>
      </c>
      <c r="AA201">
        <f t="shared" si="447"/>
        <v>0.73884103340948371</v>
      </c>
      <c r="AB201">
        <f t="shared" ref="AB201" ca="1" si="463">BSdelta(1,P201,Strike,AA201/AnnualVarConvtr,Dividend,RiskFreeRate,G201/250)</f>
        <v>3.4951333172141158E-22</v>
      </c>
      <c r="AC201">
        <f t="shared" ca="1" si="456"/>
        <v>2.8289140263580678E-20</v>
      </c>
      <c r="AD201">
        <f t="shared" ca="1" si="457"/>
        <v>1.5723761825209079</v>
      </c>
    </row>
    <row r="202" spans="7:30" x14ac:dyDescent="0.25">
      <c r="G202" s="19">
        <v>53</v>
      </c>
      <c r="H202" s="19">
        <f t="shared" ca="1" si="362"/>
        <v>0.25203364198611122</v>
      </c>
      <c r="I202" s="19">
        <f t="shared" ca="1" si="362"/>
        <v>0.26136029161735108</v>
      </c>
      <c r="J202" s="19">
        <f t="shared" ca="1" si="441"/>
        <v>-0.11840511727522982</v>
      </c>
      <c r="K202" s="19">
        <f t="shared" ca="1" si="442"/>
        <v>1.6560089459526914</v>
      </c>
      <c r="L202" s="19">
        <f t="array" aca="1" ref="L202:M202" ca="1">MMULT(J202:K202,TRANSPOSE($B$10:$C$11))</f>
        <v>-0.11840511727522982</v>
      </c>
      <c r="M202" s="19">
        <f ca="1"/>
        <v>1.2400477303628723</v>
      </c>
      <c r="N202" s="20">
        <f t="shared" ref="N202:N254" ca="1" si="464">GetVariance(N201,Variance_Avg,Lambda,Eta,M202,"Daily")</f>
        <v>2.977944867938746E-2</v>
      </c>
      <c r="O202" s="20">
        <f t="shared" ca="1" si="443"/>
        <v>-1.2922864616242355E-3</v>
      </c>
      <c r="P202" s="19">
        <f t="shared" ca="1" si="449"/>
        <v>81.03286103694019</v>
      </c>
      <c r="Q202" s="19">
        <f ca="1">HCTrans(P202,Strike,RiskFreeRate,Dividend,Variance_T0*AnnualVarConvtr,(Simulation!G202)/250,0.5,Variance_Avg*AnnualVarConvtr,Lambda,SQRT(Simulation!N202),Rho,1,"Call")</f>
        <v>4.9590882701445622</v>
      </c>
      <c r="R202" s="19">
        <f t="shared" ca="1" si="444"/>
        <v>0.7376874774917932</v>
      </c>
      <c r="S202" s="19">
        <f t="shared" ca="1" si="445"/>
        <v>6.883142021007735E-23</v>
      </c>
      <c r="T202" s="19" t="e">
        <f t="shared" ca="1" si="450"/>
        <v>#VALUE!</v>
      </c>
      <c r="U202" s="19" t="e">
        <f t="shared" ca="1" si="451"/>
        <v>#VALUE!</v>
      </c>
      <c r="V202" s="21">
        <f t="shared" ca="1" si="452"/>
        <v>2.6823618094676748E-4</v>
      </c>
      <c r="W202">
        <f t="shared" ca="1" si="453"/>
        <v>1.6377917478933867E-2</v>
      </c>
      <c r="X202" s="22">
        <f t="shared" ref="X202" ca="1" si="465">BSdelta(1,P202,Strike,W202*AnnualVarConvtr,Dividend,RiskFreeRate,G202/250)</f>
        <v>4.4163862888828259E-2</v>
      </c>
      <c r="Y202" s="22">
        <f t="shared" ca="1" si="459"/>
        <v>-21.436114094575675</v>
      </c>
      <c r="Z202" s="22">
        <f t="shared" ca="1" si="460"/>
        <v>0.15024558538173949</v>
      </c>
      <c r="AA202">
        <f t="shared" si="447"/>
        <v>0.73884103340948371</v>
      </c>
      <c r="AB202">
        <f t="shared" ref="AB202" ca="1" si="466">BSdelta(1,P202,Strike,AA202/AnnualVarConvtr,Dividend,RiskFreeRate,G202/250)</f>
        <v>8.0056479943118229E-23</v>
      </c>
      <c r="AC202">
        <f t="shared" ca="1" si="456"/>
        <v>-2.1834859625601834E-20</v>
      </c>
      <c r="AD202">
        <f t="shared" ca="1" si="457"/>
        <v>1.431496459442978</v>
      </c>
    </row>
    <row r="203" spans="7:30" x14ac:dyDescent="0.25">
      <c r="G203" s="19">
        <v>52</v>
      </c>
      <c r="H203" s="19">
        <f t="shared" ca="1" si="362"/>
        <v>0.39955789188859148</v>
      </c>
      <c r="I203" s="19">
        <f t="shared" ca="1" si="362"/>
        <v>0.81368276606877765</v>
      </c>
      <c r="J203" s="19">
        <f t="shared" ca="1" si="441"/>
        <v>0.52764778185014716</v>
      </c>
      <c r="K203" s="19">
        <f t="shared" ca="1" si="442"/>
        <v>-1.2475500170883957</v>
      </c>
      <c r="L203" s="19">
        <f t="array" aca="1" ref="L203:M203" ca="1">MMULT(J203:K203,TRANSPOSE($B$10:$C$11))</f>
        <v>0.52764778185014716</v>
      </c>
      <c r="M203" s="19">
        <f ca="1"/>
        <v>-1.2483344234137348</v>
      </c>
      <c r="N203" s="20">
        <f t="shared" ca="1" si="464"/>
        <v>2.4610966191656064E-2</v>
      </c>
      <c r="O203" s="20">
        <f t="shared" ca="1" si="443"/>
        <v>5.2352622822364001E-3</v>
      </c>
      <c r="P203" s="19">
        <f t="shared" ca="1" si="449"/>
        <v>81.458201731519623</v>
      </c>
      <c r="Q203" s="19">
        <f ca="1">HCTrans(P203,Strike,RiskFreeRate,Dividend,Variance_T0*AnnualVarConvtr,(Simulation!G203)/250,0.5,Variance_Avg*AnnualVarConvtr,Lambda,SQRT(Simulation!N203),Rho,1,"Call")</f>
        <v>5.0200294195805526</v>
      </c>
      <c r="R203" s="19" t="e">
        <f t="shared" ca="1" si="444"/>
        <v>#VALUE!</v>
      </c>
      <c r="S203" s="19" t="e">
        <f t="shared" ca="1" si="445"/>
        <v>#VALUE!</v>
      </c>
      <c r="T203" s="19" t="e">
        <f t="shared" ca="1" si="450"/>
        <v>#VALUE!</v>
      </c>
      <c r="U203" s="19" t="e">
        <f t="shared" ca="1" si="451"/>
        <v>#VALUE!</v>
      </c>
      <c r="V203" s="21">
        <f t="shared" ca="1" si="452"/>
        <v>4.2608892603476561E-5</v>
      </c>
      <c r="W203">
        <f t="shared" ca="1" si="453"/>
        <v>6.5275487438606356E-3</v>
      </c>
      <c r="X203" s="22">
        <f t="shared" ref="X203" ca="1" si="467">BSdelta(1,P203,Strike,W203*AnnualVarConvtr,Dividend,RiskFreeRate,G203/250)</f>
        <v>7.3443028265694315E-6</v>
      </c>
      <c r="Y203" s="22">
        <f t="shared" ca="1" si="459"/>
        <v>-3.5969105987401213</v>
      </c>
      <c r="Z203" s="22">
        <f t="shared" ca="1" si="460"/>
        <v>3.8080973335578512</v>
      </c>
      <c r="AA203">
        <f t="shared" si="447"/>
        <v>0.73884103340948371</v>
      </c>
      <c r="AB203">
        <f t="shared" ref="AB203" ca="1" si="468">BSdelta(1,P203,Strike,AA203/AnnualVarConvtr,Dividend,RiskFreeRate,G203/250)</f>
        <v>3.5454105027693145E-22</v>
      </c>
      <c r="AC203">
        <f t="shared" ca="1" si="456"/>
        <v>2.2359019502441243E-20</v>
      </c>
      <c r="AD203">
        <f t="shared" ca="1" si="457"/>
        <v>1.4924376088789684</v>
      </c>
    </row>
    <row r="204" spans="7:30" x14ac:dyDescent="0.25">
      <c r="G204" s="19">
        <v>51</v>
      </c>
      <c r="H204" s="19">
        <f t="shared" ca="1" si="362"/>
        <v>0.43527282940377676</v>
      </c>
      <c r="I204" s="19">
        <f t="shared" ca="1" si="362"/>
        <v>0.77711758477009873</v>
      </c>
      <c r="J204" s="19">
        <f t="shared" ca="1" si="441"/>
        <v>0.21869926681881816</v>
      </c>
      <c r="K204" s="19">
        <f t="shared" ca="1" si="442"/>
        <v>-1.2711157034764482</v>
      </c>
      <c r="L204" s="19">
        <f t="array" aca="1" ref="L204:M204" ca="1">MMULT(J204:K204,TRANSPOSE($B$10:$C$11))</f>
        <v>0.21869926681881816</v>
      </c>
      <c r="M204" s="19">
        <f ca="1"/>
        <v>-1.0434119310165886</v>
      </c>
      <c r="N204" s="20">
        <f t="shared" ca="1" si="464"/>
        <v>2.0667785487237109E-2</v>
      </c>
      <c r="O204" s="20">
        <f t="shared" ca="1" si="443"/>
        <v>1.9884940480964482E-3</v>
      </c>
      <c r="P204" s="19">
        <f t="shared" ca="1" si="449"/>
        <v>81.620342034918821</v>
      </c>
      <c r="Q204" s="19">
        <f ca="1">HCTrans(P204,Strike,RiskFreeRate,Dividend,Variance_T0*AnnualVarConvtr,(Simulation!G204)/250,0.5,Variance_Avg*AnnualVarConvtr,Lambda,SQRT(Simulation!N204),Rho,1,"Call")</f>
        <v>4.9891428336620578</v>
      </c>
      <c r="R204" s="19" t="e">
        <f t="shared" ca="1" si="444"/>
        <v>#VALUE!</v>
      </c>
      <c r="S204" s="19" t="e">
        <f t="shared" ca="1" si="445"/>
        <v>#VALUE!</v>
      </c>
      <c r="T204" s="19" t="e">
        <f t="shared" ca="1" si="450"/>
        <v>#VALUE!</v>
      </c>
      <c r="U204" s="19" t="e">
        <f t="shared" ca="1" si="451"/>
        <v>#VALUE!</v>
      </c>
      <c r="V204" s="21">
        <f t="shared" ca="1" si="452"/>
        <v>1.0541503966220262E-5</v>
      </c>
      <c r="W204">
        <f t="shared" ca="1" si="453"/>
        <v>3.2467682341399519E-3</v>
      </c>
      <c r="X204" s="22">
        <f t="shared" ref="X204" ca="1" si="469">BSdelta(1,P204,Strike,W204*AnnualVarConvtr,Dividend,RiskFreeRate,G204/250)</f>
        <v>1.0913248237871028E-18</v>
      </c>
      <c r="Y204" s="22">
        <f t="shared" ca="1" si="459"/>
        <v>-5.99444508712529E-4</v>
      </c>
      <c r="Z204" s="22">
        <f t="shared" ca="1" si="460"/>
        <v>3.7778101921480691</v>
      </c>
      <c r="AA204">
        <f t="shared" si="447"/>
        <v>0.73884103340948371</v>
      </c>
      <c r="AB204">
        <f t="shared" ref="AB204" ca="1" si="470">BSdelta(1,P204,Strike,AA204/AnnualVarConvtr,Dividend,RiskFreeRate,G204/250)</f>
        <v>3.5532908935190027E-22</v>
      </c>
      <c r="AC204">
        <f t="shared" ca="1" si="456"/>
        <v>6.4320018835835897E-23</v>
      </c>
      <c r="AD204">
        <f t="shared" ca="1" si="457"/>
        <v>1.4615510229604736</v>
      </c>
    </row>
    <row r="205" spans="7:30" x14ac:dyDescent="0.25">
      <c r="G205" s="19">
        <v>50</v>
      </c>
      <c r="H205" s="19">
        <f t="shared" ca="1" si="362"/>
        <v>0.24923077029631546</v>
      </c>
      <c r="I205" s="19">
        <f t="shared" ca="1" si="362"/>
        <v>0.37909036763039172</v>
      </c>
      <c r="J205" s="19">
        <f t="shared" ca="1" si="441"/>
        <v>-1.2086190475536276</v>
      </c>
      <c r="K205" s="19">
        <f t="shared" ca="1" si="442"/>
        <v>1.1480383463345114</v>
      </c>
      <c r="L205" s="19">
        <f t="array" aca="1" ref="L205:M205" ca="1">MMULT(J205:K205,TRANSPOSE($B$10:$C$11))</f>
        <v>-1.2086190475536276</v>
      </c>
      <c r="M205" s="19">
        <f ca="1"/>
        <v>1.6668322783349923</v>
      </c>
      <c r="N205" s="20">
        <f t="shared" ca="1" si="464"/>
        <v>2.688895538400677E-2</v>
      </c>
      <c r="O205" s="20">
        <f t="shared" ca="1" si="443"/>
        <v>-1.2534482123081482E-2</v>
      </c>
      <c r="P205" s="19">
        <f t="shared" ca="1" si="449"/>
        <v>80.603658429212544</v>
      </c>
      <c r="Q205" s="19">
        <f ca="1">HCTrans(P205,Strike,RiskFreeRate,Dividend,Variance_T0*AnnualVarConvtr,(Simulation!G205)/250,0.5,Variance_Avg*AnnualVarConvtr,Lambda,SQRT(Simulation!N205),Rho,1,"Call")</f>
        <v>4.5456348937268274</v>
      </c>
      <c r="R205" s="19">
        <f t="shared" ca="1" si="444"/>
        <v>0.73811322157711767</v>
      </c>
      <c r="S205" s="19">
        <f t="shared" ca="1" si="445"/>
        <v>2.9222604151135137E-25</v>
      </c>
      <c r="T205" s="19" t="e">
        <f t="shared" ca="1" si="450"/>
        <v>#VALUE!</v>
      </c>
      <c r="U205" s="19" t="e">
        <f t="shared" ca="1" si="451"/>
        <v>#VALUE!</v>
      </c>
      <c r="V205" s="21">
        <f t="shared" ca="1" si="452"/>
        <v>2.1091683686860196E-4</v>
      </c>
      <c r="W205">
        <f t="shared" ca="1" si="453"/>
        <v>1.4522976171177929E-2</v>
      </c>
      <c r="X205" s="22">
        <f t="shared" ref="X205" ca="1" si="471">BSdelta(1,P205,Strike,W205*AnnualVarConvtr,Dividend,RiskFreeRate,G205/250)</f>
        <v>2.0261846010006902E-2</v>
      </c>
      <c r="Y205" s="22">
        <f t="shared" ca="1" si="459"/>
        <v>1.6331789149358993</v>
      </c>
      <c r="Z205" s="22">
        <f t="shared" ca="1" si="460"/>
        <v>1.7011233372769394</v>
      </c>
      <c r="AA205">
        <f t="shared" si="447"/>
        <v>0.73884103340948371</v>
      </c>
      <c r="AB205">
        <f t="shared" ref="AB205" ca="1" si="472">BSdelta(1,P205,Strike,AA205/AnnualVarConvtr,Dividend,RiskFreeRate,G205/250)</f>
        <v>3.2490380884882851E-25</v>
      </c>
      <c r="AC205">
        <f t="shared" ca="1" si="456"/>
        <v>-2.8614636112452914E-20</v>
      </c>
      <c r="AD205">
        <f t="shared" ca="1" si="457"/>
        <v>1.0180430830252432</v>
      </c>
    </row>
    <row r="206" spans="7:30" x14ac:dyDescent="0.25">
      <c r="G206" s="19">
        <v>49</v>
      </c>
      <c r="H206" s="19">
        <f t="shared" ca="1" si="362"/>
        <v>0.69224201158516407</v>
      </c>
      <c r="I206" s="19">
        <f t="shared" ca="1" si="362"/>
        <v>0.23350098468823344</v>
      </c>
      <c r="J206" s="19">
        <f t="shared" ca="1" si="441"/>
        <v>8.8754873033443218E-2</v>
      </c>
      <c r="K206" s="19">
        <f t="shared" ca="1" si="442"/>
        <v>0.85308961198356714</v>
      </c>
      <c r="L206" s="19">
        <f t="array" aca="1" ref="L206:M206" ca="1">MMULT(J206:K206,TRANSPOSE($B$10:$C$11))</f>
        <v>8.8754873033443218E-2</v>
      </c>
      <c r="M206" s="19">
        <f ca="1"/>
        <v>0.53151143454495464</v>
      </c>
      <c r="N206" s="20">
        <f t="shared" ca="1" si="464"/>
        <v>2.8963329051736007E-2</v>
      </c>
      <c r="O206" s="20">
        <f t="shared" ca="1" si="443"/>
        <v>9.5531465893172675E-4</v>
      </c>
      <c r="P206" s="19">
        <f t="shared" ca="1" si="449"/>
        <v>80.680697077889732</v>
      </c>
      <c r="Q206" s="19">
        <f ca="1">HCTrans(P206,Strike,RiskFreeRate,Dividend,Variance_T0*AnnualVarConvtr,(Simulation!G206)/250,0.5,Variance_Avg*AnnualVarConvtr,Lambda,SQRT(Simulation!N206),Rho,1,"Call")</f>
        <v>4.4709282805684722</v>
      </c>
      <c r="R206" s="19">
        <f t="shared" ca="1" si="444"/>
        <v>0.73778776596707885</v>
      </c>
      <c r="S206" s="19">
        <f t="shared" ca="1" si="445"/>
        <v>1.5082249951240026E-25</v>
      </c>
      <c r="T206" s="19">
        <f t="shared" ca="1" si="450"/>
        <v>-1.1408536337758033E-23</v>
      </c>
      <c r="U206" s="19" t="e">
        <f t="shared" ca="1" si="451"/>
        <v>#VALUE!</v>
      </c>
      <c r="V206" s="21">
        <f t="shared" ca="1" si="452"/>
        <v>1.8197461722001395E-4</v>
      </c>
      <c r="W206">
        <f t="shared" ca="1" si="453"/>
        <v>1.3489796782013209E-2</v>
      </c>
      <c r="X206" s="22">
        <f t="shared" ref="X206" ca="1" si="473">BSdelta(1,P206,Strike,W206*AnnualVarConvtr,Dividend,RiskFreeRate,G206/250)</f>
        <v>1.3001969662528118E-2</v>
      </c>
      <c r="Y206" s="22">
        <f t="shared" ca="1" si="459"/>
        <v>-0.58573188441387225</v>
      </c>
      <c r="Z206" s="22">
        <f t="shared" ca="1" si="460"/>
        <v>2.2121486085324564</v>
      </c>
      <c r="AA206">
        <f t="shared" si="447"/>
        <v>0.73884103340948371</v>
      </c>
      <c r="AB206">
        <f t="shared" ref="AB206" ca="1" si="474">BSdelta(1,P206,Strike,AA206/AnnualVarConvtr,Dividend,RiskFreeRate,G206/250)</f>
        <v>1.7615053663729857E-25</v>
      </c>
      <c r="AC206">
        <f t="shared" ca="1" si="456"/>
        <v>-1.2001517694643319E-23</v>
      </c>
      <c r="AD206">
        <f t="shared" ca="1" si="457"/>
        <v>0.94333646986688802</v>
      </c>
    </row>
    <row r="207" spans="7:30" x14ac:dyDescent="0.25">
      <c r="G207" s="19">
        <v>48</v>
      </c>
      <c r="H207" s="19">
        <f t="shared" ca="1" si="362"/>
        <v>0.73305301295854841</v>
      </c>
      <c r="I207" s="19">
        <f t="shared" ca="1" si="362"/>
        <v>0.7879559757852016</v>
      </c>
      <c r="J207" s="19">
        <f t="shared" ca="1" si="441"/>
        <v>0.18616897732477228</v>
      </c>
      <c r="K207" s="19">
        <f t="shared" ca="1" si="442"/>
        <v>-0.76577779071918295</v>
      </c>
      <c r="L207" s="19">
        <f t="array" aca="1" ref="L207:M207" ca="1">MMULT(J207:K207,TRANSPOSE($B$10:$C$11))</f>
        <v>0.18616897732477228</v>
      </c>
      <c r="M207" s="19">
        <f ca="1"/>
        <v>-0.66758677389145926</v>
      </c>
      <c r="N207" s="20">
        <f t="shared" ca="1" si="464"/>
        <v>2.6128279191399005E-2</v>
      </c>
      <c r="O207" s="20">
        <f t="shared" ca="1" si="443"/>
        <v>1.9032363018968779E-3</v>
      </c>
      <c r="P207" s="19">
        <f t="shared" ca="1" si="449"/>
        <v>80.834397727362642</v>
      </c>
      <c r="Q207" s="19">
        <f ca="1">HCTrans(P207,Strike,RiskFreeRate,Dividend,Variance_T0*AnnualVarConvtr,(Simulation!G207)/250,0.5,Variance_Avg*AnnualVarConvtr,Lambda,SQRT(Simulation!N207),Rho,1,"Call")</f>
        <v>4.4309941064193481</v>
      </c>
      <c r="R207" s="19">
        <f t="shared" ca="1" si="444"/>
        <v>0.73841709366815467</v>
      </c>
      <c r="S207" s="19">
        <f t="shared" ca="1" si="445"/>
        <v>1.4188244251039552E-25</v>
      </c>
      <c r="T207" s="19">
        <f t="shared" ca="1" si="450"/>
        <v>-7.2266412340534429E-25</v>
      </c>
      <c r="U207" s="19" t="e">
        <f t="shared" ca="1" si="451"/>
        <v>#VALUE!</v>
      </c>
      <c r="V207" s="21">
        <f t="shared" ca="1" si="452"/>
        <v>8.985554412017515E-7</v>
      </c>
      <c r="W207">
        <f t="shared" ca="1" si="453"/>
        <v>9.4792164296515118E-4</v>
      </c>
      <c r="X207" s="22">
        <f t="shared" ref="X207" ca="1" si="475">BSdelta(1,P207,Strike,W207*AnnualVarConvtr,Dividend,RiskFreeRate,G207/250)</f>
        <v>1.6517317815016484E-230</v>
      </c>
      <c r="Y207" s="22">
        <f t="shared" ca="1" si="459"/>
        <v>-1.0510063869399009</v>
      </c>
      <c r="Z207" s="22">
        <f t="shared" ca="1" si="460"/>
        <v>3.223220821323233</v>
      </c>
      <c r="AA207">
        <f t="shared" si="447"/>
        <v>0.73884103340948371</v>
      </c>
      <c r="AB207">
        <f t="shared" ref="AB207" ca="1" si="476">BSdelta(1,P207,Strike,AA207/AnnualVarConvtr,Dividend,RiskFreeRate,G207/250)</f>
        <v>1.510446564855522E-25</v>
      </c>
      <c r="AC207">
        <f t="shared" ca="1" si="456"/>
        <v>-2.0294187014817655E-24</v>
      </c>
      <c r="AD207">
        <f t="shared" ca="1" si="457"/>
        <v>0.90340229571776387</v>
      </c>
    </row>
    <row r="208" spans="7:30" x14ac:dyDescent="0.25">
      <c r="G208" s="19">
        <v>47</v>
      </c>
      <c r="H208" s="19">
        <f t="shared" ca="1" si="362"/>
        <v>0.28636880468168135</v>
      </c>
      <c r="I208" s="19">
        <f t="shared" ca="1" si="362"/>
        <v>0.21558330942956483</v>
      </c>
      <c r="J208" s="19">
        <f t="shared" ca="1" si="441"/>
        <v>0.33932148928920403</v>
      </c>
      <c r="K208" s="19">
        <f t="shared" ca="1" si="442"/>
        <v>1.5446068985228649</v>
      </c>
      <c r="L208" s="19">
        <f t="array" aca="1" ref="L208:M208" ca="1">MMULT(J208:K208,TRANSPOSE($B$10:$C$11))</f>
        <v>0.33932148928920403</v>
      </c>
      <c r="M208" s="19">
        <f ca="1"/>
        <v>0.83437398652389771</v>
      </c>
      <c r="N208" s="20">
        <f t="shared" ca="1" si="464"/>
        <v>2.9438821954123836E-2</v>
      </c>
      <c r="O208" s="20">
        <f t="shared" ca="1" si="443"/>
        <v>3.6821508240487549E-3</v>
      </c>
      <c r="P208" s="19">
        <f t="shared" ca="1" si="449"/>
        <v>81.132590830642158</v>
      </c>
      <c r="Q208" s="19">
        <f ca="1">HCTrans(P208,Strike,RiskFreeRate,Dividend,Variance_T0*AnnualVarConvtr,(Simulation!G208)/250,0.5,Variance_Avg*AnnualVarConvtr,Lambda,SQRT(Simulation!N208),Rho,1,"Call")</f>
        <v>4.4211947993757263</v>
      </c>
      <c r="R208" s="19">
        <f t="shared" ca="1" si="444"/>
        <v>0.7379727078401509</v>
      </c>
      <c r="S208" s="19">
        <f t="shared" ca="1" si="445"/>
        <v>2.8124661541354981E-25</v>
      </c>
      <c r="T208" s="19">
        <f t="shared" ca="1" si="450"/>
        <v>1.1306976416602484E-23</v>
      </c>
      <c r="U208" s="19" t="e">
        <f t="shared" ca="1" si="451"/>
        <v>#VALUE!</v>
      </c>
      <c r="V208" s="21">
        <f t="shared" ca="1" si="452"/>
        <v>3.1645368771228407E-6</v>
      </c>
      <c r="W208">
        <f t="shared" ca="1" si="453"/>
        <v>1.778914522151877E-3</v>
      </c>
      <c r="X208" s="22">
        <f t="shared" ref="X208" ca="1" si="477">BSdelta(1,P208,Strike,W208*AnnualVarConvtr,Dividend,RiskFreeRate,G208/250)</f>
        <v>3.8496409910328555E-66</v>
      </c>
      <c r="Y208" s="22">
        <f t="shared" ca="1" si="459"/>
        <v>3.1233134737033647E-64</v>
      </c>
      <c r="Z208" s="22">
        <f t="shared" ca="1" si="460"/>
        <v>3.2134215142796112</v>
      </c>
      <c r="AA208">
        <f t="shared" si="447"/>
        <v>0.73884103340948371</v>
      </c>
      <c r="AB208">
        <f t="shared" ref="AB208" ca="1" si="478">BSdelta(1,P208,Strike,AA208/AnnualVarConvtr,Dividend,RiskFreeRate,G208/250)</f>
        <v>3.191841066534046E-25</v>
      </c>
      <c r="AC208">
        <f t="shared" ca="1" si="456"/>
        <v>1.3641589212957517E-23</v>
      </c>
      <c r="AD208">
        <f t="shared" ca="1" si="457"/>
        <v>0.89360298867414212</v>
      </c>
    </row>
    <row r="209" spans="7:30" x14ac:dyDescent="0.25">
      <c r="G209" s="19">
        <v>46</v>
      </c>
      <c r="H209" s="19">
        <f t="shared" ca="1" si="362"/>
        <v>0.1968472830684076</v>
      </c>
      <c r="I209" s="19">
        <f t="shared" ca="1" si="362"/>
        <v>0.47723784366671029</v>
      </c>
      <c r="J209" s="19">
        <f t="shared" ca="1" si="441"/>
        <v>-1.7845492660249542</v>
      </c>
      <c r="K209" s="19">
        <f t="shared" ca="1" si="442"/>
        <v>0.25697868507964511</v>
      </c>
      <c r="L209" s="19">
        <f t="array" aca="1" ref="L209:M209" ca="1">MMULT(J209:K209,TRANSPOSE($B$10:$C$11))</f>
        <v>-1.7845492660249542</v>
      </c>
      <c r="M209" s="19">
        <f ca="1"/>
        <v>1.4578945625671933</v>
      </c>
      <c r="N209" s="20">
        <f t="shared" ca="1" si="464"/>
        <v>3.5773145234175817E-2</v>
      </c>
      <c r="O209" s="20">
        <f t="shared" ca="1" si="443"/>
        <v>-2.1347012310635686E-2</v>
      </c>
      <c r="P209" s="19">
        <f t="shared" ca="1" si="449"/>
        <v>79.419007430468156</v>
      </c>
      <c r="Q209" s="19">
        <f ca="1">HCTrans(P209,Strike,RiskFreeRate,Dividend,Variance_T0*AnnualVarConvtr,(Simulation!G209)/250,0.5,Variance_Avg*AnnualVarConvtr,Lambda,SQRT(Simulation!N209),Rho,1,"Call")</f>
        <v>3.7935841007810751</v>
      </c>
      <c r="R209" s="19" t="e">
        <f t="shared" ca="1" si="444"/>
        <v>#VALUE!</v>
      </c>
      <c r="S209" s="19" t="e">
        <f t="shared" ca="1" si="445"/>
        <v>#VALUE!</v>
      </c>
      <c r="T209" s="19" t="e">
        <f t="shared" ca="1" si="450"/>
        <v>#VALUE!</v>
      </c>
      <c r="U209" s="19" t="e">
        <f t="shared" ca="1" si="451"/>
        <v>#VALUE!</v>
      </c>
      <c r="V209" s="21">
        <f t="shared" ca="1" si="452"/>
        <v>6.2645900722264663E-4</v>
      </c>
      <c r="W209">
        <f t="shared" ca="1" si="453"/>
        <v>2.5029163134684441E-2</v>
      </c>
      <c r="X209" s="22">
        <f t="shared" ref="X209" ca="1" si="479">BSdelta(1,P209,Strike,W209*AnnualVarConvtr,Dividend,RiskFreeRate,G209/250)</f>
        <v>0.10158799892056666</v>
      </c>
      <c r="Y209" s="22">
        <f t="shared" ca="1" si="459"/>
        <v>8.068018041118874</v>
      </c>
      <c r="Z209" s="22">
        <f t="shared" ca="1" si="460"/>
        <v>-5.482207225433914</v>
      </c>
      <c r="AA209">
        <f t="shared" si="447"/>
        <v>0.73884103340948371</v>
      </c>
      <c r="AB209">
        <f t="shared" ref="AB209" ca="1" si="480">BSdelta(1,P209,Strike,AA209/AnnualVarConvtr,Dividend,RiskFreeRate,G209/250)</f>
        <v>7.7419073655542722E-31</v>
      </c>
      <c r="AC209">
        <f t="shared" ca="1" si="456"/>
        <v>-2.5349223452534223E-23</v>
      </c>
      <c r="AD209">
        <f t="shared" ca="1" si="457"/>
        <v>0.26599229007949088</v>
      </c>
    </row>
    <row r="210" spans="7:30" x14ac:dyDescent="0.25">
      <c r="G210" s="19">
        <v>45</v>
      </c>
      <c r="H210" s="19">
        <f t="shared" ca="1" si="362"/>
        <v>8.8230280113535953E-2</v>
      </c>
      <c r="I210" s="19">
        <f t="shared" ca="1" si="362"/>
        <v>0.24903859947840246</v>
      </c>
      <c r="J210" s="19">
        <f t="shared" ca="1" si="441"/>
        <v>1.3310779365146796E-2</v>
      </c>
      <c r="K210" s="19">
        <f t="shared" ca="1" si="442"/>
        <v>2.2035046968495196</v>
      </c>
      <c r="L210" s="19">
        <f t="array" aca="1" ref="L210:M210" ca="1">MMULT(J210:K210,TRANSPOSE($B$10:$C$11))</f>
        <v>1.3310779365146796E-2</v>
      </c>
      <c r="M210" s="19">
        <f ca="1"/>
        <v>1.5275992588075211</v>
      </c>
      <c r="N210" s="20">
        <f t="shared" ca="1" si="464"/>
        <v>4.30561911035231E-2</v>
      </c>
      <c r="O210" s="20">
        <f t="shared" ca="1" si="443"/>
        <v>1.7468325846281348E-4</v>
      </c>
      <c r="P210" s="19">
        <f t="shared" ca="1" si="449"/>
        <v>79.432881813245913</v>
      </c>
      <c r="Q210" s="19">
        <f ca="1">HCTrans(P210,Strike,RiskFreeRate,Dividend,Variance_T0*AnnualVarConvtr,(Simulation!G210)/250,0.5,Variance_Avg*AnnualVarConvtr,Lambda,SQRT(Simulation!N210),Rho,1,"Call")</f>
        <v>3.69164203056188</v>
      </c>
      <c r="R210" s="19" t="e">
        <f t="shared" ca="1" si="444"/>
        <v>#VALUE!</v>
      </c>
      <c r="S210" s="19" t="e">
        <f t="shared" ca="1" si="445"/>
        <v>#VALUE!</v>
      </c>
      <c r="T210" s="19" t="e">
        <f t="shared" ca="1" si="450"/>
        <v>#VALUE!</v>
      </c>
      <c r="U210" s="19" t="e">
        <f t="shared" ca="1" si="451"/>
        <v>#VALUE!</v>
      </c>
      <c r="V210" s="21">
        <f t="shared" ca="1" si="452"/>
        <v>4.6318338016895392E-4</v>
      </c>
      <c r="W210">
        <f t="shared" ca="1" si="453"/>
        <v>2.1521695569098498E-2</v>
      </c>
      <c r="X210" s="22">
        <f t="shared" ref="X210" ca="1" si="481">BSdelta(1,P210,Strike,W210*AnnualVarConvtr,Dividend,RiskFreeRate,G210/250)</f>
        <v>6.3916003197291432E-2</v>
      </c>
      <c r="Y210" s="22">
        <f t="shared" ca="1" si="459"/>
        <v>-2.992395183956027</v>
      </c>
      <c r="Z210" s="22">
        <f t="shared" ca="1" si="460"/>
        <v>-2.5917541116970821</v>
      </c>
      <c r="AA210">
        <f t="shared" si="447"/>
        <v>0.73884103340948371</v>
      </c>
      <c r="AB210">
        <f t="shared" ref="AB210" ca="1" si="482">BSdelta(1,P210,Strike,AA210/AnnualVarConvtr,Dividend,RiskFreeRate,G210/250)</f>
        <v>1.9549537913002306E-31</v>
      </c>
      <c r="AC210">
        <f t="shared" ca="1" si="456"/>
        <v>-4.5967439932246232E-29</v>
      </c>
      <c r="AD210">
        <f t="shared" ca="1" si="457"/>
        <v>0.16405021986029578</v>
      </c>
    </row>
    <row r="211" spans="7:30" x14ac:dyDescent="0.25">
      <c r="G211" s="19">
        <v>44</v>
      </c>
      <c r="H211" s="19">
        <f t="shared" ca="1" si="362"/>
        <v>0.30512559534350736</v>
      </c>
      <c r="I211" s="19">
        <f t="shared" ca="1" si="362"/>
        <v>0.72112653670009397</v>
      </c>
      <c r="J211" s="19">
        <f t="shared" ca="1" si="441"/>
        <v>-0.27799695293068483</v>
      </c>
      <c r="K211" s="19">
        <f t="shared" ca="1" si="442"/>
        <v>-1.5155135408205815</v>
      </c>
      <c r="L211" s="19">
        <f t="array" aca="1" ref="L211:M211" ca="1">MMULT(J211:K211,TRANSPOSE($B$10:$C$11))</f>
        <v>-0.27799695293068483</v>
      </c>
      <c r="M211" s="19">
        <f ca="1"/>
        <v>-0.85801786604801411</v>
      </c>
      <c r="N211" s="20">
        <f t="shared" ca="1" si="464"/>
        <v>3.8610391481656119E-2</v>
      </c>
      <c r="O211" s="20">
        <f t="shared" ca="1" si="443"/>
        <v>-3.4547938190514571E-3</v>
      </c>
      <c r="P211" s="19">
        <f t="shared" ca="1" si="449"/>
        <v>79.158931078261531</v>
      </c>
      <c r="Q211" s="19">
        <f ca="1">HCTrans(P211,Strike,RiskFreeRate,Dividend,Variance_T0*AnnualVarConvtr,(Simulation!G211)/250,0.5,Variance_Avg*AnnualVarConvtr,Lambda,SQRT(Simulation!N211),Rho,1,"Call")</f>
        <v>3.5301692760768333</v>
      </c>
      <c r="R211" s="19" t="e">
        <f t="shared" ca="1" si="444"/>
        <v>#VALUE!</v>
      </c>
      <c r="S211" s="19" t="e">
        <f t="shared" ca="1" si="445"/>
        <v>#VALUE!</v>
      </c>
      <c r="T211" s="19" t="e">
        <f t="shared" ca="1" si="450"/>
        <v>#VALUE!</v>
      </c>
      <c r="U211" s="19" t="e">
        <f t="shared" ca="1" si="451"/>
        <v>#VALUE!</v>
      </c>
      <c r="V211" s="21">
        <f t="shared" ca="1" si="452"/>
        <v>1.3173103856201529E-5</v>
      </c>
      <c r="W211">
        <f t="shared" ca="1" si="453"/>
        <v>3.6294770775142705E-3</v>
      </c>
      <c r="X211" s="22">
        <f t="shared" ref="X211" ca="1" si="483">BSdelta(1,P211,Strike,W211*AnnualVarConvtr,Dividend,RiskFreeRate,G211/250)</f>
        <v>1.5745592238319723E-22</v>
      </c>
      <c r="Y211" s="22">
        <f t="shared" ca="1" si="459"/>
        <v>-5.059522491892336</v>
      </c>
      <c r="Z211" s="22">
        <f t="shared" ca="1" si="460"/>
        <v>2.3062956257102072</v>
      </c>
      <c r="AA211">
        <f t="shared" si="447"/>
        <v>0.73884103340948371</v>
      </c>
      <c r="AB211">
        <f t="shared" ref="AB211" ca="1" si="484">BSdelta(1,P211,Strike,AA211/AnnualVarConvtr,Dividend,RiskFreeRate,G211/250)</f>
        <v>5.1196748750330942E-33</v>
      </c>
      <c r="AC211">
        <f t="shared" ca="1" si="456"/>
        <v>-1.5069937252096251E-29</v>
      </c>
      <c r="AD211">
        <f t="shared" ca="1" si="457"/>
        <v>2.5774653752490551E-3</v>
      </c>
    </row>
    <row r="212" spans="7:30" x14ac:dyDescent="0.25">
      <c r="G212" s="19">
        <v>43</v>
      </c>
      <c r="H212" s="19">
        <f t="shared" ca="1" si="362"/>
        <v>7.7819782532462134E-2</v>
      </c>
      <c r="I212" s="19">
        <f t="shared" ca="1" si="362"/>
        <v>0.88435886986348655</v>
      </c>
      <c r="J212" s="19">
        <f t="shared" ca="1" si="441"/>
        <v>1.6890710082967635</v>
      </c>
      <c r="K212" s="19">
        <f t="shared" ca="1" si="442"/>
        <v>-1.5012522575433491</v>
      </c>
      <c r="L212" s="19">
        <f t="array" aca="1" ref="L212:M212" ca="1">MMULT(J212:K212,TRANSPOSE($B$10:$C$11))</f>
        <v>1.6890710082967635</v>
      </c>
      <c r="M212" s="19">
        <f ca="1"/>
        <v>-2.2574735731473834</v>
      </c>
      <c r="N212" s="20">
        <f t="shared" ca="1" si="464"/>
        <v>2.8332289939179914E-2</v>
      </c>
      <c r="O212" s="20">
        <f t="shared" ca="1" si="443"/>
        <v>1.7981202916852047E-2</v>
      </c>
      <c r="P212" s="19">
        <f t="shared" ca="1" si="449"/>
        <v>80.595177905978431</v>
      </c>
      <c r="Q212" s="19">
        <f ca="1">HCTrans(P212,Strike,RiskFreeRate,Dividend,Variance_T0*AnnualVarConvtr,(Simulation!G212)/250,0.5,Variance_Avg*AnnualVarConvtr,Lambda,SQRT(Simulation!N212),Rho,1,"Call")</f>
        <v>3.8685660081043238</v>
      </c>
      <c r="R212" s="19" t="e">
        <f t="shared" ca="1" si="444"/>
        <v>#VALUE!</v>
      </c>
      <c r="S212" s="19" t="e">
        <f t="shared" ca="1" si="445"/>
        <v>#VALUE!</v>
      </c>
      <c r="T212" s="19" t="e">
        <f t="shared" ca="1" si="450"/>
        <v>#VALUE!</v>
      </c>
      <c r="U212" s="19" t="e">
        <f t="shared" ca="1" si="451"/>
        <v>#VALUE!</v>
      </c>
      <c r="V212" s="21">
        <f t="shared" ca="1" si="452"/>
        <v>4.5950195606166567E-4</v>
      </c>
      <c r="W212">
        <f t="shared" ca="1" si="453"/>
        <v>2.1435996735903504E-2</v>
      </c>
      <c r="X212" s="22">
        <f t="shared" ref="X212" ca="1" si="485">BSdelta(1,P212,Strike,W212*AnnualVarConvtr,Dividend,RiskFreeRate,G212/250)</f>
        <v>7.1534234106582301E-2</v>
      </c>
      <c r="Y212" s="22">
        <f t="shared" ca="1" si="459"/>
        <v>5.7653143241879103</v>
      </c>
      <c r="Z212" s="22">
        <f t="shared" ca="1" si="460"/>
        <v>-3.1206219664502126</v>
      </c>
      <c r="AA212">
        <f t="shared" si="447"/>
        <v>0.73884103340948371</v>
      </c>
      <c r="AB212">
        <f t="shared" ref="AB212" ca="1" si="486">BSdelta(1,P212,Strike,AA212/AnnualVarConvtr,Dividend,RiskFreeRate,G212/250)</f>
        <v>4.8926402394521112E-29</v>
      </c>
      <c r="AC212">
        <f t="shared" ca="1" si="456"/>
        <v>3.9428194841785445E-27</v>
      </c>
      <c r="AD212">
        <f t="shared" ca="1" si="457"/>
        <v>0.3409741974027396</v>
      </c>
    </row>
    <row r="213" spans="7:30" x14ac:dyDescent="0.25">
      <c r="G213" s="19">
        <v>42</v>
      </c>
      <c r="H213" s="19">
        <f t="shared" ca="1" si="362"/>
        <v>6.4959827391285141E-2</v>
      </c>
      <c r="I213" s="19">
        <f t="shared" ca="1" si="362"/>
        <v>0.34070633650917925</v>
      </c>
      <c r="J213" s="19">
        <f t="shared" ca="1" si="441"/>
        <v>-1.2617109849741206</v>
      </c>
      <c r="K213" s="19">
        <f t="shared" ca="1" si="442"/>
        <v>1.968770649661318</v>
      </c>
      <c r="L213" s="19">
        <f t="array" aca="1" ref="L213:M213" ca="1">MMULT(J213:K213,TRANSPOSE($B$10:$C$11))</f>
        <v>-1.2617109849741206</v>
      </c>
      <c r="M213" s="19">
        <f ca="1"/>
        <v>2.2774049117408293</v>
      </c>
      <c r="N213" s="20">
        <f t="shared" ca="1" si="464"/>
        <v>3.8398592725724136E-2</v>
      </c>
      <c r="O213" s="20">
        <f t="shared" ca="1" si="443"/>
        <v>-1.563678748954889E-2</v>
      </c>
      <c r="P213" s="19">
        <f t="shared" ca="1" si="449"/>
        <v>79.344730207562407</v>
      </c>
      <c r="Q213" s="19">
        <f ca="1">HCTrans(P213,Strike,RiskFreeRate,Dividend,Variance_T0*AnnualVarConvtr,(Simulation!G213)/250,0.5,Variance_Avg*AnnualVarConvtr,Lambda,SQRT(Simulation!N213),Rho,1,"Call")</f>
        <v>3.396507267729902</v>
      </c>
      <c r="R213" s="19" t="e">
        <f t="shared" ca="1" si="444"/>
        <v>#VALUE!</v>
      </c>
      <c r="S213" s="19" t="e">
        <f t="shared" ca="1" si="445"/>
        <v>#VALUE!</v>
      </c>
      <c r="T213" s="19" t="e">
        <f t="shared" ca="1" si="450"/>
        <v>#VALUE!</v>
      </c>
      <c r="U213" s="19" t="e">
        <f t="shared" ca="1" si="451"/>
        <v>#VALUE!</v>
      </c>
      <c r="V213" s="21">
        <f t="shared" ca="1" si="452"/>
        <v>1.1301692789648656E-3</v>
      </c>
      <c r="W213">
        <f t="shared" ca="1" si="453"/>
        <v>3.3617990406400941E-2</v>
      </c>
      <c r="X213" s="22">
        <f t="shared" ref="X213" ca="1" si="487">BSdelta(1,P213,Strike,W213*AnnualVarConvtr,Dividend,RiskFreeRate,G213/250)</f>
        <v>0.17028923866822343</v>
      </c>
      <c r="Y213" s="22">
        <f t="shared" ca="1" si="459"/>
        <v>7.8356891935900101</v>
      </c>
      <c r="Z213" s="22">
        <f t="shared" ca="1" si="460"/>
        <v>-11.428369900414644</v>
      </c>
      <c r="AA213">
        <f t="shared" si="447"/>
        <v>0.73884103340948371</v>
      </c>
      <c r="AB213">
        <f t="shared" ref="AB213" ca="1" si="488">BSdelta(1,P213,Strike,AA213/AnnualVarConvtr,Dividend,RiskFreeRate,G213/250)</f>
        <v>7.5651035346920434E-34</v>
      </c>
      <c r="AC213">
        <f t="shared" ca="1" si="456"/>
        <v>-3.881992172910018E-27</v>
      </c>
      <c r="AD213">
        <f t="shared" ca="1" si="457"/>
        <v>-0.13108454297168226</v>
      </c>
    </row>
    <row r="214" spans="7:30" x14ac:dyDescent="0.25">
      <c r="G214" s="19">
        <v>41</v>
      </c>
      <c r="H214" s="19">
        <f t="shared" ca="1" si="362"/>
        <v>0.77543645653325644</v>
      </c>
      <c r="I214" s="19">
        <f t="shared" ca="1" si="362"/>
        <v>0.43552505015728016</v>
      </c>
      <c r="J214" s="19">
        <f t="shared" ca="1" si="441"/>
        <v>-0.65547619002464985</v>
      </c>
      <c r="K214" s="19">
        <f t="shared" ca="1" si="442"/>
        <v>0.28108618103491834</v>
      </c>
      <c r="L214" s="19">
        <f t="array" aca="1" ref="L214:M214" ca="1">MMULT(J214:K214,TRANSPOSE($B$10:$C$11))</f>
        <v>-0.65547619002464985</v>
      </c>
      <c r="M214" s="19">
        <f ca="1"/>
        <v>0.66573078159583243</v>
      </c>
      <c r="N214" s="20">
        <f t="shared" ca="1" si="464"/>
        <v>4.1497766063095146E-2</v>
      </c>
      <c r="O214" s="20">
        <f t="shared" ca="1" si="443"/>
        <v>-8.4449926399650863E-3</v>
      </c>
      <c r="P214" s="19">
        <f t="shared" ca="1" si="449"/>
        <v>78.677485946908277</v>
      </c>
      <c r="Q214" s="19">
        <f ca="1">HCTrans(P214,Strike,RiskFreeRate,Dividend,Variance_T0*AnnualVarConvtr,(Simulation!G214)/250,0.5,Variance_Avg*AnnualVarConvtr,Lambda,SQRT(Simulation!N214),Rho,1,"Call")</f>
        <v>3.1196700049679151</v>
      </c>
      <c r="R214" s="19" t="e">
        <f t="shared" ca="1" si="444"/>
        <v>#VALUE!</v>
      </c>
      <c r="S214" s="19" t="e">
        <f t="shared" ca="1" si="445"/>
        <v>#VALUE!</v>
      </c>
      <c r="T214" s="19" t="e">
        <f t="shared" ca="1" si="450"/>
        <v>#VALUE!</v>
      </c>
      <c r="U214" s="19" t="e">
        <f t="shared" ca="1" si="451"/>
        <v>#VALUE!</v>
      </c>
      <c r="V214" s="21">
        <f t="shared" ca="1" si="452"/>
        <v>5.1721913158500131E-5</v>
      </c>
      <c r="W214">
        <f t="shared" ca="1" si="453"/>
        <v>7.191794849583804E-3</v>
      </c>
      <c r="X214" s="22">
        <f t="shared" ref="X214" ca="1" si="489">BSdelta(1,P214,Strike,W214*AnnualVarConvtr,Dividend,RiskFreeRate,G214/250)</f>
        <v>1.0821117388265217E-7</v>
      </c>
      <c r="Y214" s="22">
        <f t="shared" ca="1" si="459"/>
        <v>-13.397920668445746</v>
      </c>
      <c r="Z214" s="22">
        <f t="shared" ca="1" si="460"/>
        <v>1.6927135052691149</v>
      </c>
      <c r="AA214">
        <f t="shared" si="447"/>
        <v>0.73884103340948371</v>
      </c>
      <c r="AB214">
        <f t="shared" ref="AB214" ca="1" si="490">BSdelta(1,P214,Strike,AA214/AnnualVarConvtr,Dividend,RiskFreeRate,G214/250)</f>
        <v>4.7243373753818264E-37</v>
      </c>
      <c r="AC214">
        <f t="shared" ca="1" si="456"/>
        <v>-5.948316280501793E-32</v>
      </c>
      <c r="AD214">
        <f t="shared" ca="1" si="457"/>
        <v>-0.4079218057336691</v>
      </c>
    </row>
    <row r="215" spans="7:30" x14ac:dyDescent="0.25">
      <c r="G215" s="19">
        <v>40</v>
      </c>
      <c r="H215" s="19">
        <f t="shared" ca="1" si="362"/>
        <v>0.1220434990685576</v>
      </c>
      <c r="I215" s="19">
        <f t="shared" ca="1" si="362"/>
        <v>0.93334766909903533</v>
      </c>
      <c r="J215" s="19">
        <f t="shared" ca="1" si="441"/>
        <v>1.8737912759799189</v>
      </c>
      <c r="K215" s="19">
        <f t="shared" ca="1" si="442"/>
        <v>-0.83406339697427501</v>
      </c>
      <c r="L215" s="19">
        <f t="array" aca="1" ref="L215:M215" ca="1">MMULT(J215:K215,TRANSPOSE($B$10:$C$11))</f>
        <v>1.8737912759799189</v>
      </c>
      <c r="M215" s="19">
        <f ca="1"/>
        <v>-1.9244033083255445</v>
      </c>
      <c r="N215" s="20">
        <f t="shared" ca="1" si="464"/>
        <v>3.225932784873814E-2</v>
      </c>
      <c r="O215" s="20">
        <f t="shared" ca="1" si="443"/>
        <v>2.1285255390329019E-2</v>
      </c>
      <c r="P215" s="19">
        <f t="shared" ca="1" si="449"/>
        <v>80.370106352870465</v>
      </c>
      <c r="Q215" s="19">
        <f ca="1">HCTrans(P215,Strike,RiskFreeRate,Dividend,Variance_T0*AnnualVarConvtr,(Simulation!G215)/250,0.5,Variance_Avg*AnnualVarConvtr,Lambda,SQRT(Simulation!N215),Rho,1,"Call")</f>
        <v>3.500695061579421</v>
      </c>
      <c r="R215" s="19" t="e">
        <f t="shared" ca="1" si="444"/>
        <v>#VALUE!</v>
      </c>
      <c r="S215" s="19" t="e">
        <f t="shared" ca="1" si="445"/>
        <v>#VALUE!</v>
      </c>
      <c r="T215" s="19" t="e">
        <f t="shared" ca="1" si="450"/>
        <v>#VALUE!</v>
      </c>
      <c r="U215" s="19" t="e">
        <f t="shared" ca="1" si="451"/>
        <v>#VALUE!</v>
      </c>
      <c r="V215" s="21">
        <f t="shared" ca="1" si="452"/>
        <v>8.8388764794280648E-4</v>
      </c>
      <c r="W215">
        <f t="shared" ca="1" si="453"/>
        <v>2.9730248030294105E-2</v>
      </c>
      <c r="X215" s="22">
        <f t="shared" ref="X215" ca="1" si="491">BSdelta(1,P215,Strike,W215*AnnualVarConvtr,Dividend,RiskFreeRate,G215/250)</f>
        <v>0.14272012646575222</v>
      </c>
      <c r="Y215" s="22">
        <f t="shared" ca="1" si="459"/>
        <v>11.470423045804075</v>
      </c>
      <c r="Z215" s="22">
        <f t="shared" ca="1" si="460"/>
        <v>-9.3966844839234547</v>
      </c>
      <c r="AA215">
        <f t="shared" si="447"/>
        <v>0.73884103340948371</v>
      </c>
      <c r="AB215">
        <f t="shared" ref="AB215" ca="1" si="492">BSdelta(1,P215,Strike,AA215/AnnualVarConvtr,Dividend,RiskFreeRate,G215/250)</f>
        <v>7.8737844908573453E-32</v>
      </c>
      <c r="AC215">
        <f t="shared" ca="1" si="456"/>
        <v>6.3281309997481386E-30</v>
      </c>
      <c r="AD215">
        <f t="shared" ca="1" si="457"/>
        <v>-2.6896749122163222E-2</v>
      </c>
    </row>
    <row r="216" spans="7:30" x14ac:dyDescent="0.25">
      <c r="G216" s="19">
        <v>39</v>
      </c>
      <c r="H216" s="19">
        <f t="shared" ca="1" si="362"/>
        <v>0.39703271040694832</v>
      </c>
      <c r="I216" s="19">
        <f t="shared" ca="1" si="362"/>
        <v>0.36298441104416368</v>
      </c>
      <c r="J216" s="19">
        <f t="shared" ca="1" si="441"/>
        <v>-0.88588307974651015</v>
      </c>
      <c r="K216" s="19">
        <f t="shared" ca="1" si="442"/>
        <v>1.0308658421214669</v>
      </c>
      <c r="L216" s="19">
        <f t="array" aca="1" ref="L216:M216" ca="1">MMULT(J216:K216,TRANSPOSE($B$10:$C$11))</f>
        <v>-0.88588307974651015</v>
      </c>
      <c r="M216" s="19">
        <f ca="1"/>
        <v>1.3538539310025439</v>
      </c>
      <c r="N216" s="20">
        <f t="shared" ca="1" si="464"/>
        <v>3.8363631585680014E-2</v>
      </c>
      <c r="O216" s="20">
        <f t="shared" ca="1" si="443"/>
        <v>-1.0974032911253326E-2</v>
      </c>
      <c r="P216" s="19">
        <f t="shared" ca="1" si="449"/>
        <v>79.492943968106445</v>
      </c>
      <c r="Q216" s="19">
        <f ca="1">HCTrans(P216,Strike,RiskFreeRate,Dividend,Variance_T0*AnnualVarConvtr,(Simulation!G216)/250,0.5,Variance_Avg*AnnualVarConvtr,Lambda,SQRT(Simulation!N216),Rho,1,"Call")</f>
        <v>3.1527178745015334</v>
      </c>
      <c r="R216" s="19" t="e">
        <f t="shared" ca="1" si="444"/>
        <v>#VALUE!</v>
      </c>
      <c r="S216" s="19" t="e">
        <f t="shared" ca="1" si="445"/>
        <v>#VALUE!</v>
      </c>
      <c r="T216" s="19" t="e">
        <f t="shared" ca="1" si="450"/>
        <v>#VALUE!</v>
      </c>
      <c r="U216" s="19" t="e">
        <f t="shared" ca="1" si="451"/>
        <v>#VALUE!</v>
      </c>
      <c r="V216" s="21">
        <f t="shared" ca="1" si="452"/>
        <v>1.0406616817246076E-3</v>
      </c>
      <c r="W216">
        <f t="shared" ca="1" si="453"/>
        <v>3.2259288301582346E-2</v>
      </c>
      <c r="X216" s="22">
        <f t="shared" ref="X216" ca="1" si="493">BSdelta(1,P216,Strike,W216*AnnualVarConvtr,Dividend,RiskFreeRate,G216/250)</f>
        <v>0.14952600018378917</v>
      </c>
      <c r="Y216" s="22">
        <f t="shared" ca="1" si="459"/>
        <v>0.54101893812191981</v>
      </c>
      <c r="Z216" s="22">
        <f t="shared" ca="1" si="460"/>
        <v>-10.285680609123261</v>
      </c>
      <c r="AA216">
        <f t="shared" si="447"/>
        <v>0.73884103340948371</v>
      </c>
      <c r="AB216">
        <f t="shared" ref="AB216" ca="1" si="494">BSdelta(1,P216,Strike,AA216/AnnualVarConvtr,Dividend,RiskFreeRate,G216/250)</f>
        <v>9.4788465790033128E-36</v>
      </c>
      <c r="AC216">
        <f t="shared" ca="1" si="456"/>
        <v>-6.258349592066698E-30</v>
      </c>
      <c r="AD216">
        <f t="shared" ca="1" si="457"/>
        <v>-0.37487393620005083</v>
      </c>
    </row>
    <row r="217" spans="7:30" x14ac:dyDescent="0.25">
      <c r="G217" s="19">
        <v>38</v>
      </c>
      <c r="H217" s="19">
        <f t="shared" ca="1" si="362"/>
        <v>0.44604239360752906</v>
      </c>
      <c r="I217" s="19">
        <f t="shared" ca="1" si="362"/>
        <v>0.27579808894971047</v>
      </c>
      <c r="J217" s="19">
        <f t="shared" ca="1" si="441"/>
        <v>-0.20507253472479409</v>
      </c>
      <c r="K217" s="19">
        <f t="shared" ca="1" si="442"/>
        <v>1.2540445815826575</v>
      </c>
      <c r="L217" s="19">
        <f t="array" aca="1" ref="L217:M217" ca="1">MMULT(J217:K217,TRANSPOSE($B$10:$C$11))</f>
        <v>-0.20507253472479409</v>
      </c>
      <c r="M217" s="19">
        <f ca="1"/>
        <v>1.0217397832034718</v>
      </c>
      <c r="N217" s="20">
        <f t="shared" ca="1" si="464"/>
        <v>4.3261639131109614E-2</v>
      </c>
      <c r="O217" s="20">
        <f t="shared" ca="1" si="443"/>
        <v>-2.6976709808596323E-3</v>
      </c>
      <c r="P217" s="19">
        <f t="shared" ca="1" si="449"/>
        <v>79.278787152170338</v>
      </c>
      <c r="Q217" s="19">
        <f ca="1">HCTrans(P217,Strike,RiskFreeRate,Dividend,Variance_T0*AnnualVarConvtr,(Simulation!G217)/250,0.5,Variance_Avg*AnnualVarConvtr,Lambda,SQRT(Simulation!N217),Rho,1,"Call")</f>
        <v>2.993399649784692</v>
      </c>
      <c r="R217" s="19" t="e">
        <f t="shared" ca="1" si="444"/>
        <v>#VALUE!</v>
      </c>
      <c r="S217" s="19" t="e">
        <f t="shared" ca="1" si="445"/>
        <v>#VALUE!</v>
      </c>
      <c r="T217" s="19" t="e">
        <f t="shared" ca="1" si="450"/>
        <v>#VALUE!</v>
      </c>
      <c r="U217" s="19" t="e">
        <f t="shared" ca="1" si="451"/>
        <v>#VALUE!</v>
      </c>
      <c r="V217" s="21">
        <f t="shared" ca="1" si="452"/>
        <v>6.8498166802870026E-5</v>
      </c>
      <c r="W217">
        <f t="shared" ca="1" si="453"/>
        <v>8.2763619303936938E-3</v>
      </c>
      <c r="X217" s="22">
        <f t="shared" ref="X217" ca="1" si="495">BSdelta(1,P217,Strike,W217*AnnualVarConvtr,Dividend,RiskFreeRate,G217/250)</f>
        <v>3.009294888754112E-6</v>
      </c>
      <c r="Y217" s="22">
        <f t="shared" ca="1" si="459"/>
        <v>-11.854001369037041</v>
      </c>
      <c r="Z217" s="22">
        <f t="shared" ca="1" si="460"/>
        <v>1.4090025351969384</v>
      </c>
      <c r="AA217">
        <f t="shared" si="447"/>
        <v>0.73884103340948371</v>
      </c>
      <c r="AB217">
        <f t="shared" ref="AB217" ca="1" si="496">BSdelta(1,P217,Strike,AA217/AnnualVarConvtr,Dividend,RiskFreeRate,G217/250)</f>
        <v>1.8546138231770231E-37</v>
      </c>
      <c r="AC217">
        <f t="shared" ca="1" si="456"/>
        <v>-7.3676830693116919E-34</v>
      </c>
      <c r="AD217">
        <f t="shared" ca="1" si="457"/>
        <v>-0.53419216091689226</v>
      </c>
    </row>
    <row r="218" spans="7:30" x14ac:dyDescent="0.25">
      <c r="G218" s="19">
        <v>37</v>
      </c>
      <c r="H218" s="19">
        <f t="shared" ca="1" si="362"/>
        <v>0.48835364039395535</v>
      </c>
      <c r="I218" s="19">
        <f t="shared" ca="1" si="362"/>
        <v>5.5134996129253433E-2</v>
      </c>
      <c r="J218" s="19">
        <f t="shared" ca="1" si="441"/>
        <v>1.1261342794481892</v>
      </c>
      <c r="K218" s="19">
        <f t="shared" ca="1" si="442"/>
        <v>0.40651261964435753</v>
      </c>
      <c r="L218" s="19">
        <f t="array" aca="1" ref="L218:M218" ca="1">MMULT(J218:K218,TRANSPOSE($B$10:$C$11))</f>
        <v>1.1261342794481892</v>
      </c>
      <c r="M218" s="19">
        <f ca="1"/>
        <v>-0.52329725529514071</v>
      </c>
      <c r="N218" s="20">
        <f t="shared" ca="1" si="464"/>
        <v>4.0441953297714002E-2</v>
      </c>
      <c r="O218" s="20">
        <f t="shared" ca="1" si="443"/>
        <v>1.4323074006188001E-2</v>
      </c>
      <c r="P218" s="19">
        <f t="shared" ca="1" si="449"/>
        <v>80.422474091752235</v>
      </c>
      <c r="Q218" s="19">
        <f ca="1">HCTrans(P218,Strike,RiskFreeRate,Dividend,Variance_T0*AnnualVarConvtr,(Simulation!G218)/250,0.5,Variance_Avg*AnnualVarConvtr,Lambda,SQRT(Simulation!N218),Rho,1,"Call")</f>
        <v>3.2025048841193495</v>
      </c>
      <c r="R218" s="19" t="e">
        <f t="shared" ca="1" si="444"/>
        <v>#VALUE!</v>
      </c>
      <c r="S218" s="19" t="e">
        <f t="shared" ca="1" si="445"/>
        <v>#VALUE!</v>
      </c>
      <c r="T218" s="19" t="e">
        <f t="shared" ca="1" si="450"/>
        <v>#VALUE!</v>
      </c>
      <c r="U218" s="19" t="e">
        <f t="shared" ca="1" si="451"/>
        <v>#VALUE!</v>
      </c>
      <c r="V218" s="21">
        <f t="shared" ca="1" si="452"/>
        <v>2.8970575991410719E-4</v>
      </c>
      <c r="W218">
        <f t="shared" ca="1" si="453"/>
        <v>1.7020744987047635E-2</v>
      </c>
      <c r="X218" s="22">
        <f t="shared" ref="X218" ca="1" si="497">BSdelta(1,P218,Strike,W218*AnnualVarConvtr,Dividend,RiskFreeRate,G218/250)</f>
        <v>2.0053434249987512E-2</v>
      </c>
      <c r="Y218" s="22">
        <f t="shared" ca="1" si="459"/>
        <v>1.6125047814800524</v>
      </c>
      <c r="Z218" s="22">
        <f t="shared" ca="1" si="460"/>
        <v>5.6029880515435782E-3</v>
      </c>
      <c r="AA218">
        <f t="shared" si="447"/>
        <v>0.73884103340948371</v>
      </c>
      <c r="AB218">
        <f t="shared" ref="AB218" ca="1" si="498">BSdelta(1,P218,Strike,AA218/AnnualVarConvtr,Dividend,RiskFreeRate,G218/250)</f>
        <v>4.6237731897341864E-34</v>
      </c>
      <c r="AC218">
        <f t="shared" ca="1" si="456"/>
        <v>3.7170612692539154E-32</v>
      </c>
      <c r="AD218">
        <f t="shared" ca="1" si="457"/>
        <v>-0.3250869265822347</v>
      </c>
    </row>
    <row r="219" spans="7:30" x14ac:dyDescent="0.25">
      <c r="G219" s="19">
        <v>36</v>
      </c>
      <c r="H219" s="19">
        <f t="shared" ca="1" si="362"/>
        <v>6.981732859805545E-2</v>
      </c>
      <c r="I219" s="19">
        <f t="shared" ca="1" si="362"/>
        <v>0.13094930801715687</v>
      </c>
      <c r="J219" s="19">
        <f t="shared" ca="1" si="441"/>
        <v>1.5694118390757381</v>
      </c>
      <c r="K219" s="19">
        <f t="shared" ca="1" si="442"/>
        <v>1.6913581991953868</v>
      </c>
      <c r="L219" s="19">
        <f t="array" aca="1" ref="L219:M219" ca="1">MMULT(J219:K219,TRANSPOSE($B$10:$C$11))</f>
        <v>1.5694118390757381</v>
      </c>
      <c r="M219" s="19">
        <f ca="1"/>
        <v>5.5386063887910231E-2</v>
      </c>
      <c r="N219" s="20">
        <f t="shared" ca="1" si="464"/>
        <v>4.0538487694599612E-2</v>
      </c>
      <c r="O219" s="20">
        <f t="shared" ca="1" si="443"/>
        <v>1.998484073864425E-2</v>
      </c>
      <c r="P219" s="19">
        <f t="shared" ca="1" si="449"/>
        <v>82.045872072427528</v>
      </c>
      <c r="Q219" s="19">
        <f ca="1">HCTrans(P219,Strike,RiskFreeRate,Dividend,Variance_T0*AnnualVarConvtr,(Simulation!G219)/250,0.5,Variance_Avg*AnnualVarConvtr,Lambda,SQRT(Simulation!N219),Rho,1,"Call")</f>
        <v>3.5541886574668666</v>
      </c>
      <c r="R219" s="19" t="e">
        <f t="shared" ca="1" si="444"/>
        <v>#VALUE!</v>
      </c>
      <c r="S219" s="19" t="e">
        <f t="shared" ca="1" si="445"/>
        <v>#VALUE!</v>
      </c>
      <c r="T219" s="19" t="e">
        <f t="shared" ca="1" si="450"/>
        <v>#VALUE!</v>
      </c>
      <c r="U219" s="19" t="e">
        <f t="shared" ca="1" si="451"/>
        <v>#VALUE!</v>
      </c>
      <c r="V219" s="21">
        <f t="shared" ca="1" si="452"/>
        <v>3.2055602532748308E-5</v>
      </c>
      <c r="W219">
        <f t="shared" ca="1" si="453"/>
        <v>5.6617667324562488E-3</v>
      </c>
      <c r="X219" s="22">
        <f t="shared" ref="X219" ca="1" si="499">BSdelta(1,P219,Strike,W219*AnnualVarConvtr,Dividend,RiskFreeRate,G219/250)</f>
        <v>3.1537209585733271E-9</v>
      </c>
      <c r="Y219" s="22">
        <f t="shared" ca="1" si="459"/>
        <v>-1.6453012423375257</v>
      </c>
      <c r="Z219" s="22">
        <f t="shared" ca="1" si="460"/>
        <v>2.0025880037365864</v>
      </c>
      <c r="AA219">
        <f t="shared" si="447"/>
        <v>0.73884103340948371</v>
      </c>
      <c r="AB219">
        <f t="shared" ref="AB219" ca="1" si="500">BSdelta(1,P219,Strike,AA219/AnnualVarConvtr,Dividend,RiskFreeRate,G219/250)</f>
        <v>3.5338670267498962E-29</v>
      </c>
      <c r="AC219">
        <f t="shared" ca="1" si="456"/>
        <v>2.8993540838265564E-27</v>
      </c>
      <c r="AD219">
        <f t="shared" ca="1" si="457"/>
        <v>2.65968467652824E-2</v>
      </c>
    </row>
    <row r="220" spans="7:30" x14ac:dyDescent="0.25">
      <c r="G220" s="19">
        <v>35</v>
      </c>
      <c r="H220" s="19">
        <f t="shared" ca="1" si="362"/>
        <v>0.45535158162640543</v>
      </c>
      <c r="I220" s="19">
        <f t="shared" ca="1" si="362"/>
        <v>6.3590975269846473E-2</v>
      </c>
      <c r="J220" s="19">
        <f t="shared" ca="1" si="441"/>
        <v>1.1555422038534997</v>
      </c>
      <c r="K220" s="19">
        <f t="shared" ca="1" si="442"/>
        <v>0.487947864225103</v>
      </c>
      <c r="L220" s="19">
        <f t="array" aca="1" ref="L220:M220" ca="1">MMULT(J220:K220,TRANSPOSE($B$10:$C$11))</f>
        <v>1.1555422038534997</v>
      </c>
      <c r="M220" s="19">
        <f ca="1"/>
        <v>-0.48755985773214716</v>
      </c>
      <c r="N220" s="20">
        <f t="shared" ca="1" si="464"/>
        <v>3.7989604152082176E-2</v>
      </c>
      <c r="O220" s="20">
        <f t="shared" ca="1" si="443"/>
        <v>1.4244532211471346E-2</v>
      </c>
      <c r="P220" s="19">
        <f t="shared" ca="1" si="449"/>
        <v>83.222940632634703</v>
      </c>
      <c r="Q220" s="19">
        <f ca="1">HCTrans(P220,Strike,RiskFreeRate,Dividend,Variance_T0*AnnualVarConvtr,(Simulation!G220)/250,0.5,Variance_Avg*AnnualVarConvtr,Lambda,SQRT(Simulation!N220),Rho,1,"Call")</f>
        <v>3.7979342973293484</v>
      </c>
      <c r="R220" s="19">
        <f t="shared" ca="1" si="444"/>
        <v>0.73809941054028005</v>
      </c>
      <c r="S220" s="19">
        <f t="shared" ca="1" si="445"/>
        <v>4.0768903312472151E-26</v>
      </c>
      <c r="T220" s="19" t="e">
        <f t="shared" ca="1" si="450"/>
        <v>#VALUE!</v>
      </c>
      <c r="U220" s="19" t="e">
        <f t="shared" ca="1" si="451"/>
        <v>#VALUE!</v>
      </c>
      <c r="V220" s="21">
        <f t="shared" ca="1" si="452"/>
        <v>3.2951141987133954E-5</v>
      </c>
      <c r="W220">
        <f t="shared" ca="1" si="453"/>
        <v>5.7403085271729038E-3</v>
      </c>
      <c r="X220" s="22">
        <f t="shared" ref="X220" ca="1" si="501">BSdelta(1,P220,Strike,W220*AnnualVarConvtr,Dividend,RiskFreeRate,G220/250)</f>
        <v>3.5082297889842086E-8</v>
      </c>
      <c r="Y220" s="22">
        <f t="shared" ca="1" si="459"/>
        <v>2.6571900624354896E-6</v>
      </c>
      <c r="Z220" s="22">
        <f t="shared" ca="1" si="460"/>
        <v>2.2463309864090055</v>
      </c>
      <c r="AA220">
        <f t="shared" si="447"/>
        <v>0.73884103340948371</v>
      </c>
      <c r="AB220">
        <f t="shared" ref="AB220" ca="1" si="502">BSdelta(1,P220,Strike,AA220/AnnualVarConvtr,Dividend,RiskFreeRate,G220/250)</f>
        <v>4.5595839815739101E-26</v>
      </c>
      <c r="AC220">
        <f t="shared" ca="1" si="456"/>
        <v>3.7916788820226687E-24</v>
      </c>
      <c r="AD220">
        <f t="shared" ca="1" si="457"/>
        <v>0.27034248662776417</v>
      </c>
    </row>
    <row r="221" spans="7:30" x14ac:dyDescent="0.25">
      <c r="G221" s="19">
        <v>34</v>
      </c>
      <c r="H221" s="19">
        <f t="shared" ca="1" si="362"/>
        <v>0.89604545831374716</v>
      </c>
      <c r="I221" s="19">
        <f t="shared" ca="1" si="362"/>
        <v>0.25960980324213156</v>
      </c>
      <c r="J221" s="19">
        <f t="shared" ca="1" si="441"/>
        <v>-2.8273245572547703E-2</v>
      </c>
      <c r="K221" s="19">
        <f t="shared" ca="1" si="442"/>
        <v>0.4676846038975459</v>
      </c>
      <c r="L221" s="19">
        <f t="array" aca="1" ref="L221:M221" ca="1">MMULT(J221:K221,TRANSPOSE($B$10:$C$11))</f>
        <v>-2.8273245572547703E-2</v>
      </c>
      <c r="M221" s="19">
        <f ca="1"/>
        <v>0.34650852294871104</v>
      </c>
      <c r="N221" s="20">
        <f t="shared" ca="1" si="464"/>
        <v>3.9499657331187529E-2</v>
      </c>
      <c r="O221" s="20">
        <f t="shared" ca="1" si="443"/>
        <v>-3.5538764457563135E-4</v>
      </c>
      <c r="P221" s="19">
        <f t="shared" ca="1" si="449"/>
        <v>83.193369482710509</v>
      </c>
      <c r="Q221" s="19">
        <f ca="1">HCTrans(P221,Strike,RiskFreeRate,Dividend,Variance_T0*AnnualVarConvtr,(Simulation!G221)/250,0.5,Variance_Avg*AnnualVarConvtr,Lambda,SQRT(Simulation!N221),Rho,1,"Call")</f>
        <v>3.6728266733062185</v>
      </c>
      <c r="R221" s="19">
        <f t="shared" ca="1" si="444"/>
        <v>0.73791942672260569</v>
      </c>
      <c r="S221" s="19">
        <f t="shared" ca="1" si="445"/>
        <v>6.1575620543285954E-27</v>
      </c>
      <c r="T221" s="19">
        <f t="shared" ca="1" si="450"/>
        <v>-2.8794341015809195E-24</v>
      </c>
      <c r="U221" s="19" t="e">
        <f t="shared" ca="1" si="451"/>
        <v>#VALUE!</v>
      </c>
      <c r="V221" s="21">
        <f t="shared" ca="1" si="452"/>
        <v>2.131576598029948E-4</v>
      </c>
      <c r="W221">
        <f t="shared" ca="1" si="453"/>
        <v>1.4599919856046977E-2</v>
      </c>
      <c r="X221" s="22">
        <f t="shared" ref="X221" ca="1" si="503">BSdelta(1,P221,Strike,W221*AnnualVarConvtr,Dividend,RiskFreeRate,G221/250)</f>
        <v>1.7052504479614063E-2</v>
      </c>
      <c r="Y221" s="22">
        <f t="shared" ca="1" si="459"/>
        <v>1.4186523871635381</v>
      </c>
      <c r="Z221" s="22">
        <f t="shared" ca="1" si="460"/>
        <v>0.70257097522233747</v>
      </c>
      <c r="AA221">
        <f t="shared" si="447"/>
        <v>0.73884103340948371</v>
      </c>
      <c r="AB221">
        <f t="shared" ref="AB221" ca="1" si="504">BSdelta(1,P221,Strike,AA221/AnnualVarConvtr,Dividend,RiskFreeRate,G221/250)</f>
        <v>7.1092030830506921E-27</v>
      </c>
      <c r="AC221">
        <f t="shared" ca="1" si="456"/>
        <v>-3.2018329898494049E-24</v>
      </c>
      <c r="AD221">
        <f t="shared" ca="1" si="457"/>
        <v>0.14523486260463425</v>
      </c>
    </row>
    <row r="222" spans="7:30" x14ac:dyDescent="0.25">
      <c r="G222" s="19">
        <v>33</v>
      </c>
      <c r="H222" s="19">
        <f t="shared" ca="1" si="362"/>
        <v>0.3367304140591556</v>
      </c>
      <c r="I222" s="19">
        <f t="shared" ca="1" si="362"/>
        <v>0.60182402555595527</v>
      </c>
      <c r="J222" s="19">
        <f t="shared" ca="1" si="441"/>
        <v>-1.1836446674003938</v>
      </c>
      <c r="K222" s="19">
        <f t="shared" ca="1" si="442"/>
        <v>-0.88086920449733841</v>
      </c>
      <c r="L222" s="19">
        <f t="array" aca="1" ref="L222:M222" ca="1">MMULT(J222:K222,TRANSPOSE($B$10:$C$11))</f>
        <v>-1.1836446674003938</v>
      </c>
      <c r="M222" s="19">
        <f ca="1"/>
        <v>0.23359841797875702</v>
      </c>
      <c r="N222" s="20">
        <f t="shared" ca="1" si="464"/>
        <v>4.0474208527866012E-2</v>
      </c>
      <c r="O222" s="20">
        <f t="shared" ca="1" si="443"/>
        <v>-1.5060539308323366E-2</v>
      </c>
      <c r="P222" s="19">
        <f t="shared" ca="1" si="449"/>
        <v>81.949820237616379</v>
      </c>
      <c r="Q222" s="19">
        <f ca="1">HCTrans(P222,Strike,RiskFreeRate,Dividend,Variance_T0*AnnualVarConvtr,(Simulation!G222)/250,0.5,Variance_Avg*AnnualVarConvtr,Lambda,SQRT(Simulation!N222),Rho,1,"Call")</f>
        <v>3.2005686257986099</v>
      </c>
      <c r="R222" s="19" t="e">
        <f t="shared" ca="1" si="444"/>
        <v>#VALUE!</v>
      </c>
      <c r="S222" s="19" t="e">
        <f t="shared" ca="1" si="445"/>
        <v>#VALUE!</v>
      </c>
      <c r="T222" s="19" t="e">
        <f t="shared" ca="1" si="450"/>
        <v>#VALUE!</v>
      </c>
      <c r="U222" s="19" t="e">
        <f t="shared" ca="1" si="451"/>
        <v>#VALUE!</v>
      </c>
      <c r="V222" s="21">
        <f t="shared" ca="1" si="452"/>
        <v>2.1624148545382278E-4</v>
      </c>
      <c r="W222">
        <f t="shared" ca="1" si="453"/>
        <v>1.4705151663747735E-2</v>
      </c>
      <c r="X222" s="22">
        <f t="shared" ref="X222" ca="1" si="505">BSdelta(1,P222,Strike,W222*AnnualVarConvtr,Dividend,RiskFreeRate,G222/250)</f>
        <v>1.0327137306542437E-2</v>
      </c>
      <c r="Y222" s="22">
        <f t="shared" ca="1" si="459"/>
        <v>-0.551142630865186</v>
      </c>
      <c r="Z222" s="22">
        <f t="shared" ca="1" si="460"/>
        <v>0.78145555857991489</v>
      </c>
      <c r="AA222">
        <f t="shared" si="447"/>
        <v>0.73884103340948371</v>
      </c>
      <c r="AB222">
        <f t="shared" ref="AB222" ca="1" si="506">BSdelta(1,P222,Strike,AA222/AnnualVarConvtr,Dividend,RiskFreeRate,G222/250)</f>
        <v>5.2286837422989339E-32</v>
      </c>
      <c r="AC222">
        <f t="shared" ca="1" si="456"/>
        <v>-5.825936297917848E-25</v>
      </c>
      <c r="AD222">
        <f t="shared" ca="1" si="457"/>
        <v>-0.32702318490297433</v>
      </c>
    </row>
    <row r="223" spans="7:30" x14ac:dyDescent="0.25">
      <c r="G223" s="19">
        <v>32</v>
      </c>
      <c r="H223" s="19">
        <f t="shared" ref="H223:I254" ca="1" si="507">RAND()</f>
        <v>0.23337304743758869</v>
      </c>
      <c r="I223" s="19">
        <f t="shared" ca="1" si="507"/>
        <v>0.97949698224211024</v>
      </c>
      <c r="J223" s="19">
        <f t="shared" ca="1" si="441"/>
        <v>1.691804755400349</v>
      </c>
      <c r="K223" s="19">
        <f t="shared" ca="1" si="442"/>
        <v>-0.21915920509169617</v>
      </c>
      <c r="L223" s="19">
        <f t="array" aca="1" ref="L223:M223" ca="1">MMULT(J223:K223,TRANSPOSE($B$10:$C$11))</f>
        <v>1.691804755400349</v>
      </c>
      <c r="M223" s="19">
        <f ca="1"/>
        <v>-1.3650607396639929</v>
      </c>
      <c r="N223" s="20">
        <f t="shared" ca="1" si="464"/>
        <v>3.3843181986035586E-2</v>
      </c>
      <c r="O223" s="20">
        <f t="shared" ca="1" si="443"/>
        <v>1.9684112191470874E-2</v>
      </c>
      <c r="P223" s="19">
        <f t="shared" ca="1" si="449"/>
        <v>83.578910692025815</v>
      </c>
      <c r="Q223" s="19">
        <f ca="1">HCTrans(P223,Strike,RiskFreeRate,Dividend,Variance_T0*AnnualVarConvtr,(Simulation!G223)/250,0.5,Variance_Avg*AnnualVarConvtr,Lambda,SQRT(Simulation!N223),Rho,1,"Call")</f>
        <v>3.5635158760642724</v>
      </c>
      <c r="R223" s="19">
        <f t="shared" ca="1" si="444"/>
        <v>0.73896643303462484</v>
      </c>
      <c r="S223" s="19">
        <f t="shared" ca="1" si="445"/>
        <v>4.1238230415265051E-27</v>
      </c>
      <c r="T223" s="19" t="e">
        <f t="shared" ca="1" si="450"/>
        <v>#VALUE!</v>
      </c>
      <c r="U223" s="19" t="e">
        <f t="shared" ca="1" si="451"/>
        <v>#VALUE!</v>
      </c>
      <c r="V223" s="21">
        <f t="shared" ca="1" si="452"/>
        <v>1.2071908078421542E-3</v>
      </c>
      <c r="W223">
        <f t="shared" ca="1" si="453"/>
        <v>3.4744651499794242E-2</v>
      </c>
      <c r="X223" s="22">
        <f t="shared" ref="X223" ca="1" si="508">BSdelta(1,P223,Strike,W223*AnnualVarConvtr,Dividend,RiskFreeRate,G223/250)</f>
        <v>0.20771183621220268</v>
      </c>
      <c r="Y223" s="22">
        <f t="shared" ca="1" si="459"/>
        <v>16.497198121808584</v>
      </c>
      <c r="Z223" s="22">
        <f t="shared" ca="1" si="460"/>
        <v>-15.352795312963007</v>
      </c>
      <c r="AA223">
        <f t="shared" si="447"/>
        <v>0.73884103340948371</v>
      </c>
      <c r="AB223">
        <f t="shared" ref="AB223" ca="1" si="509">BSdelta(1,P223,Strike,AA223/AnnualVarConvtr,Dividend,RiskFreeRate,G223/250)</f>
        <v>4.0433715092405198E-27</v>
      </c>
      <c r="AC223">
        <f t="shared" ca="1" si="456"/>
        <v>3.3793621618857969E-25</v>
      </c>
      <c r="AD223">
        <f t="shared" ca="1" si="457"/>
        <v>3.5924065362688218E-2</v>
      </c>
    </row>
    <row r="224" spans="7:30" x14ac:dyDescent="0.25">
      <c r="G224" s="19">
        <v>31</v>
      </c>
      <c r="H224" s="19">
        <f t="shared" ca="1" si="507"/>
        <v>0.66614958143122771</v>
      </c>
      <c r="I224" s="19">
        <f t="shared" ca="1" si="507"/>
        <v>0.82547108711524431</v>
      </c>
      <c r="J224" s="19">
        <f t="shared" ca="1" si="441"/>
        <v>0.41159241316501921</v>
      </c>
      <c r="K224" s="19">
        <f t="shared" ca="1" si="442"/>
        <v>-0.80191879841880953</v>
      </c>
      <c r="L224" s="19">
        <f t="array" aca="1" ref="L224:M224" ca="1">MMULT(J224:K224,TRANSPOSE($B$10:$C$11))</f>
        <v>0.41159241316501921</v>
      </c>
      <c r="M224" s="19">
        <f ca="1"/>
        <v>-0.85431416611016642</v>
      </c>
      <c r="N224" s="20">
        <f t="shared" ca="1" si="464"/>
        <v>2.9957119073029038E-2</v>
      </c>
      <c r="O224" s="20">
        <f t="shared" ca="1" si="443"/>
        <v>4.5055454949138188E-3</v>
      </c>
      <c r="P224" s="19">
        <f t="shared" ca="1" si="449"/>
        <v>83.956328875498542</v>
      </c>
      <c r="Q224" s="19">
        <f ca="1">HCTrans(P224,Strike,RiskFreeRate,Dividend,Variance_T0*AnnualVarConvtr,(Simulation!G224)/250,0.5,Variance_Avg*AnnualVarConvtr,Lambda,SQRT(Simulation!N224),Rho,1,"Call")</f>
        <v>3.5619973712755808</v>
      </c>
      <c r="R224" s="19">
        <f t="shared" ca="1" si="444"/>
        <v>0.73973510400144049</v>
      </c>
      <c r="S224" s="19">
        <f t="shared" ca="1" si="445"/>
        <v>1.3907539149892043E-26</v>
      </c>
      <c r="T224" s="19">
        <f t="shared" ca="1" si="450"/>
        <v>8.2140488721844984E-25</v>
      </c>
      <c r="U224" s="19" t="e">
        <f t="shared" ca="1" si="451"/>
        <v>#VALUE!</v>
      </c>
      <c r="V224" s="21">
        <f t="shared" ca="1" si="452"/>
        <v>2.3038888696183098E-4</v>
      </c>
      <c r="W224">
        <f t="shared" ca="1" si="453"/>
        <v>1.5178566696557056E-2</v>
      </c>
      <c r="X224" s="22">
        <f t="shared" ref="X224" ca="1" si="510">BSdelta(1,P224,Strike,W224*AnnualVarConvtr,Dividend,RiskFreeRate,G224/250)</f>
        <v>2.13316691952667E-2</v>
      </c>
      <c r="Y224" s="22">
        <f t="shared" ca="1" si="459"/>
        <v>-15.647794597944225</v>
      </c>
      <c r="Z224" s="22">
        <f t="shared" ca="1" si="460"/>
        <v>0.29348078019252632</v>
      </c>
      <c r="AA224">
        <f t="shared" si="447"/>
        <v>0.73884103340948371</v>
      </c>
      <c r="AB224">
        <f t="shared" ref="AB224" ca="1" si="511">BSdelta(1,P224,Strike,AA224/AnnualVarConvtr,Dividend,RiskFreeRate,G224/250)</f>
        <v>1.2119486223599206E-26</v>
      </c>
      <c r="AC224">
        <f t="shared" ca="1" si="456"/>
        <v>6.7804094299495089E-25</v>
      </c>
      <c r="AD224">
        <f t="shared" ca="1" si="457"/>
        <v>3.4405560573996574E-2</v>
      </c>
    </row>
    <row r="225" spans="7:30" x14ac:dyDescent="0.25">
      <c r="G225" s="19">
        <v>30</v>
      </c>
      <c r="H225" s="19">
        <f t="shared" ca="1" si="507"/>
        <v>0.67544156222570673</v>
      </c>
      <c r="I225" s="19">
        <f t="shared" ca="1" si="507"/>
        <v>0.34688614419331287</v>
      </c>
      <c r="J225" s="19">
        <f t="shared" ca="1" si="441"/>
        <v>-0.50658443688979005</v>
      </c>
      <c r="K225" s="19">
        <f t="shared" ca="1" si="442"/>
        <v>0.72673893506995857</v>
      </c>
      <c r="L225" s="19">
        <f t="array" aca="1" ref="L225:M225" ca="1">MMULT(J225:K225,TRANSPOSE($B$10:$C$11))</f>
        <v>-0.50658443688979005</v>
      </c>
      <c r="M225" s="19">
        <f ca="1"/>
        <v>0.86993144890832741</v>
      </c>
      <c r="N225" s="20">
        <f t="shared" ca="1" si="464"/>
        <v>3.3641407116467507E-2</v>
      </c>
      <c r="O225" s="20">
        <f t="shared" ca="1" si="443"/>
        <v>-5.8765023672059397E-3</v>
      </c>
      <c r="P225" s="19">
        <f t="shared" ca="1" si="449"/>
        <v>83.464406118384474</v>
      </c>
      <c r="Q225" s="19">
        <f ca="1">HCTrans(P225,Strike,RiskFreeRate,Dividend,Variance_T0*AnnualVarConvtr,(Simulation!G225)/250,0.5,Variance_Avg*AnnualVarConvtr,Lambda,SQRT(Simulation!N225),Rho,1,"Call")</f>
        <v>3.292226927335804</v>
      </c>
      <c r="R225" s="19">
        <f t="shared" ca="1" si="444"/>
        <v>0.73901081860462836</v>
      </c>
      <c r="S225" s="19">
        <f t="shared" ca="1" si="445"/>
        <v>3.3631324888203207E-29</v>
      </c>
      <c r="T225" s="19">
        <f t="shared" ca="1" si="450"/>
        <v>-1.1579774771551529E-24</v>
      </c>
      <c r="U225" s="19" t="e">
        <f t="shared" ca="1" si="451"/>
        <v>#VALUE!</v>
      </c>
      <c r="V225" s="21">
        <f t="shared" ca="1" si="452"/>
        <v>1.0778691781134547E-4</v>
      </c>
      <c r="W225">
        <f t="shared" ca="1" si="453"/>
        <v>1.0382047862119759E-2</v>
      </c>
      <c r="X225" s="22">
        <f t="shared" ref="X225" ca="1" si="512">BSdelta(1,P225,Strike,W225*AnnualVarConvtr,Dividend,RiskFreeRate,G225/250)</f>
        <v>8.1591320341583022E-4</v>
      </c>
      <c r="Y225" s="22">
        <f t="shared" ca="1" si="459"/>
        <v>-1.7123353899295206</v>
      </c>
      <c r="Z225" s="22">
        <f t="shared" ca="1" si="460"/>
        <v>1.7360457261822702</v>
      </c>
      <c r="AA225">
        <f t="shared" si="447"/>
        <v>0.73884103340948371</v>
      </c>
      <c r="AB225">
        <f t="shared" ref="AB225" ca="1" si="513">BSdelta(1,P225,Strike,AA225/AnnualVarConvtr,Dividend,RiskFreeRate,G225/250)</f>
        <v>3.2674299105256525E-29</v>
      </c>
      <c r="AC225">
        <f t="shared" ca="1" si="456"/>
        <v>-1.0088185791424953E-24</v>
      </c>
      <c r="AD225">
        <f t="shared" ca="1" si="457"/>
        <v>-0.23536488336578021</v>
      </c>
    </row>
    <row r="226" spans="7:30" x14ac:dyDescent="0.25">
      <c r="G226" s="19">
        <v>29</v>
      </c>
      <c r="H226" s="19">
        <f t="shared" ca="1" si="507"/>
        <v>0.59884625080772103</v>
      </c>
      <c r="I226" s="19">
        <f t="shared" ca="1" si="507"/>
        <v>0.40777367875232584</v>
      </c>
      <c r="J226" s="19">
        <f t="shared" ca="1" si="441"/>
        <v>-0.84735193985104651</v>
      </c>
      <c r="K226" s="19">
        <f t="shared" ca="1" si="442"/>
        <v>0.55452274124139822</v>
      </c>
      <c r="L226" s="19">
        <f t="array" aca="1" ref="L226:M226" ca="1">MMULT(J226:K226,TRANSPOSE($B$10:$C$11))</f>
        <v>-0.84735193985104651</v>
      </c>
      <c r="M226" s="19">
        <f ca="1"/>
        <v>0.99395557104607535</v>
      </c>
      <c r="N226" s="20">
        <f t="shared" ca="1" si="464"/>
        <v>3.8119147926603474E-2</v>
      </c>
      <c r="O226" s="20">
        <f t="shared" ca="1" si="443"/>
        <v>-1.0463221420348081E-2</v>
      </c>
      <c r="P226" s="19">
        <f t="shared" ca="1" si="449"/>
        <v>82.595652463219324</v>
      </c>
      <c r="Q226" s="19">
        <f ca="1">HCTrans(P226,Strike,RiskFreeRate,Dividend,Variance_T0*AnnualVarConvtr,(Simulation!G226)/250,0.5,Variance_Avg*AnnualVarConvtr,Lambda,SQRT(Simulation!N226),Rho,1,"Call")</f>
        <v>2.9274998663786107</v>
      </c>
      <c r="R226" s="19" t="e">
        <f t="shared" ca="1" si="444"/>
        <v>#VALUE!</v>
      </c>
      <c r="S226" s="19" t="e">
        <f t="shared" ca="1" si="445"/>
        <v>#VALUE!</v>
      </c>
      <c r="T226" s="19" t="e">
        <f t="shared" ca="1" si="450"/>
        <v>#VALUE!</v>
      </c>
      <c r="U226" s="19" t="e">
        <f t="shared" ca="1" si="451"/>
        <v>#VALUE!</v>
      </c>
      <c r="V226" s="21">
        <f t="shared" ca="1" si="452"/>
        <v>2.1037991672457142E-5</v>
      </c>
      <c r="W226">
        <f t="shared" ca="1" si="453"/>
        <v>4.5867190531421412E-3</v>
      </c>
      <c r="X226" s="22">
        <f t="shared" ref="X226" ca="1" si="514">BSdelta(1,P226,Strike,W226*AnnualVarConvtr,Dividend,RiskFreeRate,G226/250)</f>
        <v>5.4198200797277639E-15</v>
      </c>
      <c r="Y226" s="22">
        <f t="shared" ca="1" si="459"/>
        <v>-6.7390883389038231E-2</v>
      </c>
      <c r="Z226" s="22">
        <f t="shared" ca="1" si="460"/>
        <v>1.438709548614115</v>
      </c>
      <c r="AA226">
        <f t="shared" si="447"/>
        <v>0.73884103340948371</v>
      </c>
      <c r="AB226">
        <f t="shared" ref="AB226" ca="1" si="515">BSdelta(1,P226,Strike,AA226/AnnualVarConvtr,Dividend,RiskFreeRate,G226/250)</f>
        <v>1.6403112668007502E-33</v>
      </c>
      <c r="AC226">
        <f t="shared" ca="1" si="456"/>
        <v>-2.6986195707977217E-27</v>
      </c>
      <c r="AD226">
        <f t="shared" ca="1" si="457"/>
        <v>-0.60009194432297353</v>
      </c>
    </row>
    <row r="227" spans="7:30" x14ac:dyDescent="0.25">
      <c r="G227" s="19">
        <v>28</v>
      </c>
      <c r="H227" s="19">
        <f t="shared" ca="1" si="507"/>
        <v>0.80982468008734754</v>
      </c>
      <c r="I227" s="19">
        <f t="shared" ca="1" si="507"/>
        <v>0.59716494287306654</v>
      </c>
      <c r="J227" s="19">
        <f t="shared" ca="1" si="441"/>
        <v>-0.53218890343241554</v>
      </c>
      <c r="K227" s="19">
        <f t="shared" ca="1" si="442"/>
        <v>-0.37235731391075988</v>
      </c>
      <c r="L227" s="19">
        <f t="array" aca="1" ref="L227:M227" ca="1">MMULT(J227:K227,TRANSPOSE($B$10:$C$11))</f>
        <v>-0.53218890343241554</v>
      </c>
      <c r="M227" s="19">
        <f ca="1"/>
        <v>0.12156169376026482</v>
      </c>
      <c r="N227" s="20">
        <f t="shared" ca="1" si="464"/>
        <v>3.8538604411427389E-2</v>
      </c>
      <c r="O227" s="20">
        <f t="shared" ca="1" si="443"/>
        <v>-6.6076008806835737E-3</v>
      </c>
      <c r="P227" s="19">
        <f t="shared" ca="1" si="449"/>
        <v>82.05169247164639</v>
      </c>
      <c r="Q227" s="19">
        <f ca="1">HCTrans(P227,Strike,RiskFreeRate,Dividend,Variance_T0*AnnualVarConvtr,(Simulation!G227)/250,0.5,Variance_Avg*AnnualVarConvtr,Lambda,SQRT(Simulation!N227),Rho,1,"Call")</f>
        <v>2.6697988485774573</v>
      </c>
      <c r="R227" s="19" t="e">
        <f t="shared" ca="1" si="444"/>
        <v>#VALUE!</v>
      </c>
      <c r="S227" s="19" t="e">
        <f t="shared" ca="1" si="445"/>
        <v>#VALUE!</v>
      </c>
      <c r="T227" s="19" t="e">
        <f t="shared" ca="1" si="450"/>
        <v>#VALUE!</v>
      </c>
      <c r="U227" s="19" t="e">
        <f t="shared" ca="1" si="451"/>
        <v>#VALUE!</v>
      </c>
      <c r="V227" s="21">
        <f t="shared" ca="1" si="452"/>
        <v>1.4865809745882826E-5</v>
      </c>
      <c r="W227">
        <f t="shared" ca="1" si="453"/>
        <v>3.8556205396645072E-3</v>
      </c>
      <c r="X227" s="22">
        <f t="shared" ref="X227" ca="1" si="516">BSdelta(1,P227,Strike,W227*AnnualVarConvtr,Dividend,RiskFreeRate,G227/250)</f>
        <v>1.7302044423006287E-22</v>
      </c>
      <c r="Y227" s="22">
        <f t="shared" ca="1" si="459"/>
        <v>-4.4470539623685621E-13</v>
      </c>
      <c r="Z227" s="22">
        <f t="shared" ca="1" si="460"/>
        <v>1.1810085308134064</v>
      </c>
      <c r="AA227">
        <f t="shared" si="447"/>
        <v>0.73884103340948371</v>
      </c>
      <c r="AB227">
        <f t="shared" ref="AB227" ca="1" si="517">BSdelta(1,P227,Strike,AA227/AnnualVarConvtr,Dividend,RiskFreeRate,G227/250)</f>
        <v>6.1988865890080312E-37</v>
      </c>
      <c r="AC227">
        <f t="shared" ca="1" si="456"/>
        <v>-1.3453945270770508E-31</v>
      </c>
      <c r="AD227">
        <f t="shared" ca="1" si="457"/>
        <v>-0.85779296212412692</v>
      </c>
    </row>
    <row r="228" spans="7:30" x14ac:dyDescent="0.25">
      <c r="G228" s="19">
        <v>27</v>
      </c>
      <c r="H228" s="19">
        <f t="shared" ca="1" si="507"/>
        <v>0.96378215842244208</v>
      </c>
      <c r="I228" s="19">
        <f t="shared" ca="1" si="507"/>
        <v>0.36938598514058596</v>
      </c>
      <c r="J228" s="19">
        <f t="shared" ca="1" si="441"/>
        <v>-0.18517461436610541</v>
      </c>
      <c r="K228" s="19">
        <f t="shared" ca="1" si="442"/>
        <v>0.1987217539454077</v>
      </c>
      <c r="L228" s="19">
        <f t="array" aca="1" ref="L228:M228" ca="1">MMULT(J228:K228,TRANSPOSE($B$10:$C$11))</f>
        <v>-0.18517461436610541</v>
      </c>
      <c r="M228" s="19">
        <f ca="1"/>
        <v>0.27130334151347624</v>
      </c>
      <c r="N228" s="20">
        <f t="shared" ca="1" si="464"/>
        <v>3.9688675651306675E-2</v>
      </c>
      <c r="O228" s="20">
        <f t="shared" ca="1" si="443"/>
        <v>-2.3331612143773217E-3</v>
      </c>
      <c r="P228" s="19">
        <f t="shared" ca="1" si="449"/>
        <v>81.860475801599478</v>
      </c>
      <c r="Q228" s="19">
        <f ca="1">HCTrans(P228,Strike,RiskFreeRate,Dividend,Variance_T0*AnnualVarConvtr,(Simulation!G228)/250,0.5,Variance_Avg*AnnualVarConvtr,Lambda,SQRT(Simulation!N228),Rho,1,"Call")</f>
        <v>2.5065541565886065</v>
      </c>
      <c r="R228" s="19" t="e">
        <f t="shared" ca="1" si="444"/>
        <v>#VALUE!</v>
      </c>
      <c r="S228" s="19" t="e">
        <f t="shared" ca="1" si="445"/>
        <v>#VALUE!</v>
      </c>
      <c r="T228" s="19" t="e">
        <f t="shared" ca="1" si="450"/>
        <v>#VALUE!</v>
      </c>
      <c r="U228" s="19" t="e">
        <f t="shared" ca="1" si="451"/>
        <v>#VALUE!</v>
      </c>
      <c r="V228" s="21">
        <f t="shared" ca="1" si="452"/>
        <v>1.8270834460892305E-5</v>
      </c>
      <c r="W228">
        <f t="shared" ca="1" si="453"/>
        <v>4.274439666306252E-3</v>
      </c>
      <c r="X228" s="22">
        <f t="shared" ref="X228" ca="1" si="518">BSdelta(1,P228,Strike,W228*AnnualVarConvtr,Dividend,RiskFreeRate,G228/250)</f>
        <v>1.1232846609741152E-19</v>
      </c>
      <c r="Y228" s="22">
        <f t="shared" ca="1" si="459"/>
        <v>9.1810981449098678E-18</v>
      </c>
      <c r="Z228" s="22">
        <f t="shared" ca="1" si="460"/>
        <v>1.0177638388245556</v>
      </c>
      <c r="AA228">
        <f t="shared" si="447"/>
        <v>0.73884103340948371</v>
      </c>
      <c r="AB228">
        <f t="shared" ref="AB228" ca="1" si="519">BSdelta(1,P228,Strike,AA228/AnnualVarConvtr,Dividend,RiskFreeRate,G228/250)</f>
        <v>4.3454953317328062E-39</v>
      </c>
      <c r="AC228">
        <f t="shared" ca="1" si="456"/>
        <v>-5.0388656246185866E-35</v>
      </c>
      <c r="AD228">
        <f t="shared" ca="1" si="457"/>
        <v>-1.0210376541129778</v>
      </c>
    </row>
    <row r="229" spans="7:30" x14ac:dyDescent="0.25">
      <c r="G229" s="19">
        <v>26</v>
      </c>
      <c r="H229" s="19">
        <f t="shared" ca="1" si="507"/>
        <v>0.69254806695140203</v>
      </c>
      <c r="I229" s="19">
        <f t="shared" ca="1" si="507"/>
        <v>0.41868895088347824</v>
      </c>
      <c r="J229" s="19">
        <f t="shared" ca="1" si="441"/>
        <v>-0.74772425004146126</v>
      </c>
      <c r="K229" s="19">
        <f t="shared" ca="1" si="442"/>
        <v>0.41912254895025319</v>
      </c>
      <c r="L229" s="19">
        <f t="array" aca="1" ref="L229:M229" ca="1">MMULT(J229:K229,TRANSPOSE($B$10:$C$11))</f>
        <v>-0.74772425004146126</v>
      </c>
      <c r="M229" s="19">
        <f ca="1"/>
        <v>0.82811890499065877</v>
      </c>
      <c r="N229" s="20">
        <f t="shared" ca="1" si="464"/>
        <v>4.3664019769812469E-2</v>
      </c>
      <c r="O229" s="20">
        <f t="shared" ca="1" si="443"/>
        <v>-9.8817376349224027E-3</v>
      </c>
      <c r="P229" s="19">
        <f t="shared" ca="1" si="449"/>
        <v>81.05553571055863</v>
      </c>
      <c r="Q229" s="19">
        <f ca="1">HCTrans(P229,Strike,RiskFreeRate,Dividend,Variance_T0*AnnualVarConvtr,(Simulation!G229)/250,0.5,Variance_Avg*AnnualVarConvtr,Lambda,SQRT(Simulation!N229),Rho,1,"Call")</f>
        <v>2.2002917018361501</v>
      </c>
      <c r="R229" s="19" t="e">
        <f t="shared" ca="1" si="444"/>
        <v>#VALUE!</v>
      </c>
      <c r="S229" s="19" t="e">
        <f t="shared" ca="1" si="445"/>
        <v>#VALUE!</v>
      </c>
      <c r="T229" s="19" t="e">
        <f t="shared" ca="1" si="450"/>
        <v>#VALUE!</v>
      </c>
      <c r="U229" s="19" t="e">
        <f t="shared" ca="1" si="451"/>
        <v>#VALUE!</v>
      </c>
      <c r="V229" s="21">
        <f t="shared" ca="1" si="452"/>
        <v>5.6981005976809185E-5</v>
      </c>
      <c r="W229">
        <f t="shared" ca="1" si="453"/>
        <v>7.5485764205450809E-3</v>
      </c>
      <c r="X229" s="22">
        <f t="shared" ref="X229" ca="1" si="520">BSdelta(1,P229,Strike,W229*AnnualVarConvtr,Dividend,RiskFreeRate,G229/250)</f>
        <v>2.7002219159206704E-8</v>
      </c>
      <c r="Y229" s="22">
        <f t="shared" ca="1" si="459"/>
        <v>2.1886793393143047E-6</v>
      </c>
      <c r="Z229" s="22">
        <f t="shared" ca="1" si="460"/>
        <v>0.71149919539275985</v>
      </c>
      <c r="AA229">
        <f t="shared" si="447"/>
        <v>0.73884103340948371</v>
      </c>
      <c r="AB229">
        <f t="shared" ref="AB229" ca="1" si="521">BSdelta(1,P229,Strike,AA229/AnnualVarConvtr,Dividend,RiskFreeRate,G229/250)</f>
        <v>2.0730404529686377E-44</v>
      </c>
      <c r="AC229">
        <f t="shared" ca="1" si="456"/>
        <v>-3.5222477172728963E-37</v>
      </c>
      <c r="AD229">
        <f t="shared" ca="1" si="457"/>
        <v>-1.3273001088654341</v>
      </c>
    </row>
    <row r="230" spans="7:30" x14ac:dyDescent="0.25">
      <c r="G230" s="19">
        <v>25</v>
      </c>
      <c r="H230" s="19">
        <f t="shared" ca="1" si="507"/>
        <v>0.16197716059343048</v>
      </c>
      <c r="I230" s="19">
        <f t="shared" ca="1" si="507"/>
        <v>0.94833503074426384</v>
      </c>
      <c r="J230" s="19">
        <f t="shared" ca="1" si="441"/>
        <v>1.8083823634903493</v>
      </c>
      <c r="K230" s="19">
        <f t="shared" ca="1" si="442"/>
        <v>-0.60856643250943221</v>
      </c>
      <c r="L230" s="19">
        <f t="array" aca="1" ref="L230:M230" ca="1">MMULT(J230:K230,TRANSPOSE($B$10:$C$11))</f>
        <v>1.8083823634903493</v>
      </c>
      <c r="M230" s="19">
        <f ca="1"/>
        <v>-1.7202340509804177</v>
      </c>
      <c r="N230" s="20">
        <f t="shared" ca="1" si="464"/>
        <v>3.5100657614243823E-2</v>
      </c>
      <c r="O230" s="20">
        <f t="shared" ca="1" si="443"/>
        <v>2.142781484692452E-2</v>
      </c>
      <c r="P230" s="19">
        <f t="shared" ca="1" si="449"/>
        <v>82.811120724657528</v>
      </c>
      <c r="Q230" s="19">
        <f ca="1">HCTrans(P230,Strike,RiskFreeRate,Dividend,Variance_T0*AnnualVarConvtr,(Simulation!G230)/250,0.5,Variance_Avg*AnnualVarConvtr,Lambda,SQRT(Simulation!N230),Rho,1,"Call")</f>
        <v>2.5116531987307695</v>
      </c>
      <c r="R230" s="19" t="e">
        <f t="shared" ca="1" si="444"/>
        <v>#VALUE!</v>
      </c>
      <c r="S230" s="19" t="e">
        <f t="shared" ca="1" si="445"/>
        <v>#VALUE!</v>
      </c>
      <c r="T230" s="19" t="e">
        <f t="shared" ca="1" si="450"/>
        <v>#VALUE!</v>
      </c>
      <c r="U230" s="19" t="e">
        <f t="shared" ca="1" si="451"/>
        <v>#VALUE!</v>
      </c>
      <c r="V230" s="21">
        <f t="shared" ca="1" si="452"/>
        <v>9.8028807661352667E-4</v>
      </c>
      <c r="W230">
        <f t="shared" ca="1" si="453"/>
        <v>3.1309552481846921E-2</v>
      </c>
      <c r="X230" s="22">
        <f t="shared" ref="X230" ca="1" si="522">BSdelta(1,P230,Strike,W230*AnnualVarConvtr,Dividend,RiskFreeRate,G230/250)</f>
        <v>0.12997268715583912</v>
      </c>
      <c r="Y230" s="22">
        <f t="shared" ca="1" si="459"/>
        <v>10.763181650886308</v>
      </c>
      <c r="Z230" s="22">
        <f t="shared" ca="1" si="460"/>
        <v>-9.7403209585989288</v>
      </c>
      <c r="AA230">
        <f t="shared" si="447"/>
        <v>0.73884103340948371</v>
      </c>
      <c r="AB230">
        <f t="shared" ref="AB230" ca="1" si="523">BSdelta(1,P230,Strike,AA230/AnnualVarConvtr,Dividend,RiskFreeRate,G230/250)</f>
        <v>1.436326524207492E-37</v>
      </c>
      <c r="AC230">
        <f t="shared" ca="1" si="456"/>
        <v>1.1894379202909403E-35</v>
      </c>
      <c r="AD230">
        <f t="shared" ca="1" si="457"/>
        <v>-1.0159386119708147</v>
      </c>
    </row>
    <row r="231" spans="7:30" x14ac:dyDescent="0.25">
      <c r="G231" s="19">
        <v>24</v>
      </c>
      <c r="H231" s="19">
        <f t="shared" ca="1" si="507"/>
        <v>0.17148099383278859</v>
      </c>
      <c r="I231" s="19">
        <f t="shared" ca="1" si="507"/>
        <v>0.40783749427245186</v>
      </c>
      <c r="J231" s="19">
        <f t="shared" ca="1" si="441"/>
        <v>-1.571758173370587</v>
      </c>
      <c r="K231" s="19">
        <f t="shared" ca="1" si="442"/>
        <v>1.0276876605966283</v>
      </c>
      <c r="L231" s="19">
        <f t="array" aca="1" ref="L231:M231" ca="1">MMULT(J231:K231,TRANSPOSE($B$10:$C$11))</f>
        <v>-1.571758173370587</v>
      </c>
      <c r="M231" s="19">
        <f ca="1"/>
        <v>1.8430663771785416</v>
      </c>
      <c r="N231" s="20">
        <f t="shared" ca="1" si="464"/>
        <v>4.392942406630005E-2</v>
      </c>
      <c r="O231" s="20">
        <f t="shared" ca="1" si="443"/>
        <v>-2.0834998707111627E-2</v>
      </c>
      <c r="P231" s="19">
        <f t="shared" ca="1" si="449"/>
        <v>81.103600985876881</v>
      </c>
      <c r="Q231" s="19">
        <f ca="1">HCTrans(P231,Strike,RiskFreeRate,Dividend,Variance_T0*AnnualVarConvtr,(Simulation!G231)/250,0.5,Variance_Avg*AnnualVarConvtr,Lambda,SQRT(Simulation!N231),Rho,1,"Call")</f>
        <v>1.9896902667230023</v>
      </c>
      <c r="R231" s="19" t="e">
        <f t="shared" ca="1" si="444"/>
        <v>#VALUE!</v>
      </c>
      <c r="S231" s="19" t="e">
        <f t="shared" ca="1" si="445"/>
        <v>#VALUE!</v>
      </c>
      <c r="T231" s="19" t="e">
        <f t="shared" ca="1" si="450"/>
        <v>#VALUE!</v>
      </c>
      <c r="U231" s="19" t="e">
        <f t="shared" ca="1" si="451"/>
        <v>#VALUE!</v>
      </c>
      <c r="V231" s="21">
        <f t="shared" ca="1" si="452"/>
        <v>1.7861454095032215E-3</v>
      </c>
      <c r="W231">
        <f t="shared" ca="1" si="453"/>
        <v>4.2262813554036147E-2</v>
      </c>
      <c r="X231" s="22">
        <f t="shared" ref="X231" ca="1" si="524">BSdelta(1,P231,Strike,W231*AnnualVarConvtr,Dividend,RiskFreeRate,G231/250)</f>
        <v>0.18192312306083686</v>
      </c>
      <c r="Y231" s="22">
        <f t="shared" ca="1" si="459"/>
        <v>4.2133674246813078</v>
      </c>
      <c r="Z231" s="22">
        <f t="shared" ca="1" si="460"/>
        <v>-14.475651315288005</v>
      </c>
      <c r="AA231">
        <f t="shared" si="447"/>
        <v>0.73884103340948371</v>
      </c>
      <c r="AB231">
        <f t="shared" ref="AB231" ca="1" si="525">BSdelta(1,P231,Strike,AA231/AnnualVarConvtr,Dividend,RiskFreeRate,G231/250)</f>
        <v>1.1034635258016227E-47</v>
      </c>
      <c r="AC231">
        <f t="shared" ca="1" si="456"/>
        <v>-1.1649125329580638E-35</v>
      </c>
      <c r="AD231">
        <f t="shared" ca="1" si="457"/>
        <v>-1.5379015439785819</v>
      </c>
    </row>
    <row r="232" spans="7:30" x14ac:dyDescent="0.25">
      <c r="G232" s="19">
        <v>23</v>
      </c>
      <c r="H232" s="19">
        <f t="shared" ca="1" si="507"/>
        <v>0.44060226171378725</v>
      </c>
      <c r="I232" s="19">
        <f t="shared" ca="1" si="507"/>
        <v>0.15820971770601244</v>
      </c>
      <c r="J232" s="19">
        <f t="shared" ca="1" si="441"/>
        <v>0.69814733670711582</v>
      </c>
      <c r="K232" s="19">
        <f t="shared" ca="1" si="442"/>
        <v>1.0732267789174297</v>
      </c>
      <c r="L232" s="19">
        <f t="array" aca="1" ref="L232:M232" ca="1">MMULT(J232:K232,TRANSPOSE($B$10:$C$11))</f>
        <v>0.69814733670711582</v>
      </c>
      <c r="M232" s="19">
        <f ca="1"/>
        <v>0.24844658029932654</v>
      </c>
      <c r="N232" s="20">
        <f t="shared" ca="1" si="464"/>
        <v>4.5020014943615343E-2</v>
      </c>
      <c r="O232" s="20">
        <f t="shared" ca="1" si="443"/>
        <v>9.3687122159972231E-3</v>
      </c>
      <c r="P232" s="19">
        <f t="shared" ca="1" si="449"/>
        <v>81.867007768567618</v>
      </c>
      <c r="Q232" s="19">
        <f ca="1">HCTrans(P232,Strike,RiskFreeRate,Dividend,Variance_T0*AnnualVarConvtr,(Simulation!G232)/250,0.5,Variance_Avg*AnnualVarConvtr,Lambda,SQRT(Simulation!N232),Rho,1,"Call")</f>
        <v>2.0414176551364847</v>
      </c>
      <c r="R232" s="19" t="e">
        <f t="shared" ca="1" si="444"/>
        <v>#VALUE!</v>
      </c>
      <c r="S232" s="19" t="e">
        <f t="shared" ca="1" si="445"/>
        <v>#VALUE!</v>
      </c>
      <c r="T232" s="19" t="e">
        <f t="shared" ca="1" si="450"/>
        <v>#VALUE!</v>
      </c>
      <c r="U232" s="19" t="e">
        <f t="shared" ca="1" si="451"/>
        <v>#VALUE!</v>
      </c>
      <c r="V232" s="21">
        <f t="shared" ca="1" si="452"/>
        <v>9.1226415352672473E-4</v>
      </c>
      <c r="W232">
        <f t="shared" ca="1" si="453"/>
        <v>3.0203710923108848E-2</v>
      </c>
      <c r="X232" s="22">
        <f t="shared" ref="X232" ca="1" si="526">BSdelta(1,P232,Strike,W232*AnnualVarConvtr,Dividend,RiskFreeRate,G232/250)</f>
        <v>9.5300006009939459E-2</v>
      </c>
      <c r="Y232" s="22">
        <f t="shared" ca="1" si="459"/>
        <v>-7.0915753965433597</v>
      </c>
      <c r="Z232" s="22">
        <f t="shared" ca="1" si="460"/>
        <v>-7.3323485303311626</v>
      </c>
      <c r="AA232">
        <f t="shared" si="447"/>
        <v>0.73884103340948371</v>
      </c>
      <c r="AB232">
        <f t="shared" ref="AB232" ca="1" si="527">BSdelta(1,P232,Strike,AA232/AnnualVarConvtr,Dividend,RiskFreeRate,G232/250)</f>
        <v>1.6701418562371167E-45</v>
      </c>
      <c r="AC232">
        <f t="shared" ca="1" si="456"/>
        <v>1.3582614374878264E-43</v>
      </c>
      <c r="AD232">
        <f t="shared" ca="1" si="457"/>
        <v>-1.4861741555650996</v>
      </c>
    </row>
    <row r="233" spans="7:30" x14ac:dyDescent="0.25">
      <c r="G233" s="19">
        <v>22</v>
      </c>
      <c r="H233" s="19">
        <f t="shared" ca="1" si="507"/>
        <v>2.2255514659216935E-2</v>
      </c>
      <c r="I233" s="19">
        <f t="shared" ca="1" si="507"/>
        <v>0.97723891226738679</v>
      </c>
      <c r="J233" s="19">
        <f t="shared" ca="1" si="441"/>
        <v>2.7305199307003214</v>
      </c>
      <c r="K233" s="19">
        <f t="shared" ca="1" si="442"/>
        <v>-0.39318165077047684</v>
      </c>
      <c r="L233" s="19">
        <f t="array" aca="1" ref="L233:M233" ca="1">MMULT(J233:K233,TRANSPOSE($B$10:$C$11))</f>
        <v>2.7305199307003214</v>
      </c>
      <c r="M233" s="19">
        <f ca="1"/>
        <v>-2.2306959744748327</v>
      </c>
      <c r="N233" s="20">
        <f t="shared" ca="1" si="464"/>
        <v>3.3961018289289921E-2</v>
      </c>
      <c r="O233" s="20">
        <f t="shared" ca="1" si="443"/>
        <v>3.1824801125031096E-2</v>
      </c>
      <c r="P233" s="19">
        <f t="shared" ca="1" si="449"/>
        <v>84.514310518730369</v>
      </c>
      <c r="Q233" s="19">
        <f ca="1">HCTrans(P233,Strike,RiskFreeRate,Dividend,Variance_T0*AnnualVarConvtr,(Simulation!G233)/250,0.5,Variance_Avg*AnnualVarConvtr,Lambda,SQRT(Simulation!N233),Rho,1,"Call")</f>
        <v>2.5620844383588661</v>
      </c>
      <c r="R233" s="19" t="e">
        <f t="shared" ca="1" si="444"/>
        <v>#VALUE!</v>
      </c>
      <c r="S233" s="19" t="e">
        <f t="shared" ca="1" si="445"/>
        <v>#VALUE!</v>
      </c>
      <c r="T233" s="19" t="e">
        <f t="shared" ca="1" si="450"/>
        <v>#VALUE!</v>
      </c>
      <c r="U233" s="19" t="e">
        <f t="shared" ca="1" si="451"/>
        <v>#VALUE!</v>
      </c>
      <c r="V233" s="21">
        <f t="shared" ca="1" si="452"/>
        <v>5.0427592909043425E-4</v>
      </c>
      <c r="W233">
        <f t="shared" ca="1" si="453"/>
        <v>2.2456088909033875E-2</v>
      </c>
      <c r="X233" s="22">
        <f t="shared" ref="X233" ca="1" si="528">BSdelta(1,P233,Strike,W233*AnnualVarConvtr,Dividend,RiskFreeRate,G233/250)</f>
        <v>6.1207692052771108E-2</v>
      </c>
      <c r="Y233" s="22">
        <f t="shared" ca="1" si="459"/>
        <v>-2.8812884080781713</v>
      </c>
      <c r="Z233" s="22">
        <f t="shared" ca="1" si="460"/>
        <v>-3.9303933390306098</v>
      </c>
      <c r="AA233">
        <f t="shared" si="447"/>
        <v>0.73884103340948371</v>
      </c>
      <c r="AB233">
        <f t="shared" ref="AB233" ca="1" si="529">BSdelta(1,P233,Strike,AA233/AnnualVarConvtr,Dividend,RiskFreeRate,G233/250)</f>
        <v>3.6349847137652598E-34</v>
      </c>
      <c r="AC233">
        <f t="shared" ca="1" si="456"/>
        <v>3.0720822682858385E-32</v>
      </c>
      <c r="AD233">
        <f t="shared" ca="1" si="457"/>
        <v>-0.96550737234271811</v>
      </c>
    </row>
    <row r="234" spans="7:30" x14ac:dyDescent="0.25">
      <c r="G234" s="19">
        <v>21</v>
      </c>
      <c r="H234" s="19">
        <f t="shared" ca="1" si="507"/>
        <v>8.5314722440506419E-2</v>
      </c>
      <c r="I234" s="19">
        <f t="shared" ca="1" si="507"/>
        <v>0.63478963257994403</v>
      </c>
      <c r="J234" s="19">
        <f t="shared" ca="1" si="441"/>
        <v>-1.4694790297610807</v>
      </c>
      <c r="K234" s="19">
        <f t="shared" ca="1" si="442"/>
        <v>-1.6623621349776316</v>
      </c>
      <c r="L234" s="19">
        <f t="array" aca="1" ref="L234:M234" ca="1">MMULT(J234:K234,TRANSPOSE($B$10:$C$11))</f>
        <v>-1.4694790297610807</v>
      </c>
      <c r="M234" s="19">
        <f ca="1"/>
        <v>-0.10676064166397814</v>
      </c>
      <c r="N234" s="20">
        <f t="shared" ca="1" si="464"/>
        <v>3.3337626309018764E-2</v>
      </c>
      <c r="O234" s="20">
        <f t="shared" ca="1" si="443"/>
        <v>-1.6969174886312229E-2</v>
      </c>
      <c r="P234" s="19">
        <f t="shared" ca="1" si="449"/>
        <v>83.092271937016292</v>
      </c>
      <c r="Q234" s="19">
        <f ca="1">HCTrans(P234,Strike,RiskFreeRate,Dividend,Variance_T0*AnnualVarConvtr,(Simulation!G234)/250,0.5,Variance_Avg*AnnualVarConvtr,Lambda,SQRT(Simulation!N234),Rho,1,"Call")</f>
        <v>2.0848742154117019</v>
      </c>
      <c r="R234" s="19" t="e">
        <f t="shared" ca="1" si="444"/>
        <v>#VALUE!</v>
      </c>
      <c r="S234" s="19" t="e">
        <f t="shared" ca="1" si="445"/>
        <v>#VALUE!</v>
      </c>
      <c r="T234" s="19" t="e">
        <f t="shared" ca="1" si="450"/>
        <v>#VALUE!</v>
      </c>
      <c r="U234" s="19" t="e">
        <f t="shared" ca="1" si="451"/>
        <v>#VALUE!</v>
      </c>
      <c r="V234" s="21">
        <f t="shared" ca="1" si="452"/>
        <v>2.380852094995548E-3</v>
      </c>
      <c r="W234">
        <f t="shared" ca="1" si="453"/>
        <v>4.8793976011343325E-2</v>
      </c>
      <c r="X234" s="22">
        <f t="shared" ref="X234" ca="1" si="530">BSdelta(1,P234,Strike,W234*AnnualVarConvtr,Dividend,RiskFreeRate,G234/250)</f>
        <v>0.236829405587276</v>
      </c>
      <c r="Y234" s="22">
        <f t="shared" ca="1" si="459"/>
        <v>14.592807179053855</v>
      </c>
      <c r="Z234" s="22">
        <f t="shared" ca="1" si="460"/>
        <v>-19.000410741031629</v>
      </c>
      <c r="AA234">
        <f t="shared" si="447"/>
        <v>0.73884103340948371</v>
      </c>
      <c r="AB234">
        <f t="shared" ref="AB234" ca="1" si="531">BSdelta(1,P234,Strike,AA234/AnnualVarConvtr,Dividend,RiskFreeRate,G234/250)</f>
        <v>7.7361314048113125E-43</v>
      </c>
      <c r="AC234">
        <f t="shared" ca="1" si="456"/>
        <v>-3.0203913768026755E-32</v>
      </c>
      <c r="AD234">
        <f t="shared" ca="1" si="457"/>
        <v>-1.4427175952898823</v>
      </c>
    </row>
    <row r="235" spans="7:30" x14ac:dyDescent="0.25">
      <c r="G235" s="19">
        <v>20</v>
      </c>
      <c r="H235" s="19">
        <f t="shared" ca="1" si="507"/>
        <v>0.46854284324672513</v>
      </c>
      <c r="I235" s="19">
        <f t="shared" ca="1" si="507"/>
        <v>0.79581536305463296</v>
      </c>
      <c r="J235" s="19">
        <f t="shared" ca="1" si="441"/>
        <v>0.34959274880610269</v>
      </c>
      <c r="K235" s="19">
        <f t="shared" ca="1" si="442"/>
        <v>-1.1806948706396498</v>
      </c>
      <c r="L235" s="19">
        <f t="array" aca="1" ref="L235:M235" ca="1">MMULT(J235:K235,TRANSPOSE($B$10:$C$11))</f>
        <v>0.34959274880610269</v>
      </c>
      <c r="M235" s="19">
        <f ca="1"/>
        <v>-1.0741207050855879</v>
      </c>
      <c r="N235" s="20">
        <f t="shared" ca="1" si="464"/>
        <v>2.856276224451525E-2</v>
      </c>
      <c r="O235" s="20">
        <f t="shared" ca="1" si="443"/>
        <v>3.7367368432206435E-3</v>
      </c>
      <c r="P235" s="19">
        <f t="shared" ca="1" si="449"/>
        <v>83.403346731306058</v>
      </c>
      <c r="Q235" s="19">
        <f ca="1">HCTrans(P235,Strike,RiskFreeRate,Dividend,Variance_T0*AnnualVarConvtr,(Simulation!G235)/250,0.5,Variance_Avg*AnnualVarConvtr,Lambda,SQRT(Simulation!N235),Rho,1,"Call")</f>
        <v>2.032023445268436</v>
      </c>
      <c r="R235" s="19" t="e">
        <f t="shared" ca="1" si="444"/>
        <v>#VALUE!</v>
      </c>
      <c r="S235" s="19" t="e">
        <f t="shared" ca="1" si="445"/>
        <v>#VALUE!</v>
      </c>
      <c r="T235" s="19" t="e">
        <f t="shared" ca="1" si="450"/>
        <v>#VALUE!</v>
      </c>
      <c r="U235" s="19" t="e">
        <f t="shared" ca="1" si="451"/>
        <v>#VALUE!</v>
      </c>
      <c r="V235" s="21">
        <f t="shared" ca="1" si="452"/>
        <v>4.2873478055120695E-4</v>
      </c>
      <c r="W235">
        <f t="shared" ca="1" si="453"/>
        <v>2.0705911729532872E-2</v>
      </c>
      <c r="X235" s="22">
        <f t="shared" ref="X235" ca="1" si="532">BSdelta(1,P235,Strike,W235*AnnualVarConvtr,Dividend,RiskFreeRate,G235/250)</f>
        <v>2.7838607309750938E-2</v>
      </c>
      <c r="Y235" s="22">
        <f t="shared" ca="1" si="459"/>
        <v>-17.430532012392863</v>
      </c>
      <c r="Z235" s="22">
        <f t="shared" ca="1" si="460"/>
        <v>-1.6227294987820322</v>
      </c>
      <c r="AA235">
        <f t="shared" si="447"/>
        <v>0.73884103340948371</v>
      </c>
      <c r="AB235">
        <f t="shared" ref="AB235" ca="1" si="533">BSdelta(1,P235,Strike,AA235/AnnualVarConvtr,Dividend,RiskFreeRate,G235/250)</f>
        <v>3.619198826437105E-43</v>
      </c>
      <c r="AC235">
        <f t="shared" ca="1" si="456"/>
        <v>-3.4336595530355388E-41</v>
      </c>
      <c r="AD235">
        <f t="shared" ca="1" si="457"/>
        <v>-1.4955683654331482</v>
      </c>
    </row>
    <row r="236" spans="7:30" x14ac:dyDescent="0.25">
      <c r="G236" s="19">
        <v>19</v>
      </c>
      <c r="H236" s="19">
        <f t="shared" ca="1" si="507"/>
        <v>0.8551357182036784</v>
      </c>
      <c r="I236" s="19">
        <f t="shared" ca="1" si="507"/>
        <v>0.19793231879860718</v>
      </c>
      <c r="J236" s="19">
        <f t="shared" ca="1" si="441"/>
        <v>0.17977889540651096</v>
      </c>
      <c r="K236" s="19">
        <f t="shared" ca="1" si="442"/>
        <v>0.52978271448673353</v>
      </c>
      <c r="L236" s="19">
        <f t="array" aca="1" ref="L236:M236" ca="1">MMULT(J236:K236,TRANSPOSE($B$10:$C$11))</f>
        <v>0.17977889540651096</v>
      </c>
      <c r="M236" s="19">
        <f ca="1"/>
        <v>0.24075800428064956</v>
      </c>
      <c r="N236" s="20">
        <f t="shared" ca="1" si="464"/>
        <v>2.9455124529132085E-2</v>
      </c>
      <c r="O236" s="20">
        <f t="shared" ca="1" si="443"/>
        <v>1.9514127353514868E-3</v>
      </c>
      <c r="P236" s="19">
        <f t="shared" ca="1" si="449"/>
        <v>83.566259988092526</v>
      </c>
      <c r="Q236" s="19">
        <f ca="1">HCTrans(P236,Strike,RiskFreeRate,Dividend,Variance_T0*AnnualVarConvtr,(Simulation!G236)/250,0.5,Variance_Avg*AnnualVarConvtr,Lambda,SQRT(Simulation!N236),Rho,1,"Call")</f>
        <v>1.936647420328498</v>
      </c>
      <c r="R236" s="19" t="e">
        <f t="shared" ca="1" si="444"/>
        <v>#VALUE!</v>
      </c>
      <c r="S236" s="19" t="e">
        <f t="shared" ca="1" si="445"/>
        <v>#VALUE!</v>
      </c>
      <c r="T236" s="19" t="e">
        <f t="shared" ca="1" si="450"/>
        <v>#VALUE!</v>
      </c>
      <c r="U236" s="19" t="e">
        <f t="shared" ca="1" si="451"/>
        <v>#VALUE!</v>
      </c>
      <c r="V236" s="21">
        <f t="shared" ca="1" si="452"/>
        <v>3.1873821701388004E-6</v>
      </c>
      <c r="W236">
        <f t="shared" ca="1" si="453"/>
        <v>1.7853241078691568E-3</v>
      </c>
      <c r="X236" s="22">
        <f t="shared" ref="X236" ca="1" si="534">BSdelta(1,P236,Strike,W236*AnnualVarConvtr,Dividend,RiskFreeRate,G236/250)</f>
        <v>5.0917433970746337E-118</v>
      </c>
      <c r="Y236" s="22">
        <f t="shared" ca="1" si="459"/>
        <v>-2.3263682961530598</v>
      </c>
      <c r="Z236" s="22">
        <f t="shared" ca="1" si="460"/>
        <v>0.60826277243108962</v>
      </c>
      <c r="AA236">
        <f t="shared" si="447"/>
        <v>0.73884103340948371</v>
      </c>
      <c r="AB236">
        <f t="shared" ref="AB236" ca="1" si="535">BSdelta(1,P236,Strike,AA236/AnnualVarConvtr,Dividend,RiskFreeRate,G236/250)</f>
        <v>2.0834971122927759E-44</v>
      </c>
      <c r="AC236">
        <f t="shared" ca="1" si="456"/>
        <v>-2.8503190394161267E-41</v>
      </c>
      <c r="AD236">
        <f t="shared" ca="1" si="457"/>
        <v>-1.5909443903730862</v>
      </c>
    </row>
    <row r="237" spans="7:30" x14ac:dyDescent="0.25">
      <c r="G237" s="19">
        <v>18</v>
      </c>
      <c r="H237" s="19">
        <f t="shared" ca="1" si="507"/>
        <v>0.72555719542734343</v>
      </c>
      <c r="I237" s="19">
        <f t="shared" ca="1" si="507"/>
        <v>0.60278253406879545</v>
      </c>
      <c r="J237" s="19">
        <f t="shared" ca="1" si="441"/>
        <v>-0.63970746672615053</v>
      </c>
      <c r="K237" s="19">
        <f t="shared" ca="1" si="442"/>
        <v>-0.48208412626354269</v>
      </c>
      <c r="L237" s="19">
        <f t="array" aca="1" ref="L237:M237" ca="1">MMULT(J237:K237,TRANSPOSE($B$10:$C$11))</f>
        <v>-0.63970746672615053</v>
      </c>
      <c r="M237" s="19">
        <f ca="1"/>
        <v>0.12205473648936865</v>
      </c>
      <c r="N237" s="20">
        <f t="shared" ca="1" si="464"/>
        <v>2.9852209853156692E-2</v>
      </c>
      <c r="O237" s="20">
        <f t="shared" ca="1" si="443"/>
        <v>-6.9903618709439763E-3</v>
      </c>
      <c r="P237" s="19">
        <f t="shared" ca="1" si="449"/>
        <v>82.984138580672379</v>
      </c>
      <c r="Q237" s="19">
        <f ca="1">HCTrans(P237,Strike,RiskFreeRate,Dividend,Variance_T0*AnnualVarConvtr,(Simulation!G237)/250,0.5,Variance_Avg*AnnualVarConvtr,Lambda,SQRT(Simulation!N237),Rho,1,"Call")</f>
        <v>1.6825360133914131</v>
      </c>
      <c r="R237" s="19" t="e">
        <f t="shared" ca="1" si="444"/>
        <v>#VALUE!</v>
      </c>
      <c r="S237" s="19" t="e">
        <f t="shared" ca="1" si="445"/>
        <v>#VALUE!</v>
      </c>
      <c r="T237" s="19" t="e">
        <f t="shared" ca="1" si="450"/>
        <v>#VALUE!</v>
      </c>
      <c r="U237" s="19" t="e">
        <f t="shared" ca="1" si="451"/>
        <v>#VALUE!</v>
      </c>
      <c r="V237" s="21">
        <f t="shared" ca="1" si="452"/>
        <v>7.9955333109790378E-5</v>
      </c>
      <c r="W237">
        <f t="shared" ca="1" si="453"/>
        <v>8.941774606295463E-3</v>
      </c>
      <c r="X237" s="22">
        <f t="shared" ref="X237" ca="1" si="536">BSdelta(1,P237,Strike,W237*AnnualVarConvtr,Dividend,RiskFreeRate,G237/250)</f>
        <v>4.8493227575342838E-7</v>
      </c>
      <c r="Y237" s="22">
        <f t="shared" ca="1" si="459"/>
        <v>4.0241687173363334E-5</v>
      </c>
      <c r="Z237" s="22">
        <f t="shared" ca="1" si="460"/>
        <v>0.35411112380683135</v>
      </c>
      <c r="AA237">
        <f t="shared" si="447"/>
        <v>0.73884103340948371</v>
      </c>
      <c r="AB237">
        <f t="shared" ref="AB237" ca="1" si="537">BSdelta(1,P237,Strike,AA237/AnnualVarConvtr,Dividend,RiskFreeRate,G237/250)</f>
        <v>2.5995504948841093E-50</v>
      </c>
      <c r="AC237">
        <f t="shared" ca="1" si="456"/>
        <v>-1.7289699737747591E-42</v>
      </c>
      <c r="AD237">
        <f t="shared" ca="1" si="457"/>
        <v>-1.8450557973101711</v>
      </c>
    </row>
    <row r="238" spans="7:30" x14ac:dyDescent="0.25">
      <c r="G238" s="19">
        <v>17</v>
      </c>
      <c r="H238" s="19">
        <f t="shared" ca="1" si="507"/>
        <v>0.95592450800906337</v>
      </c>
      <c r="I238" s="19">
        <f t="shared" ca="1" si="507"/>
        <v>0.47769920122315224</v>
      </c>
      <c r="J238" s="19">
        <f t="shared" ca="1" si="441"/>
        <v>-0.29731162233110331</v>
      </c>
      <c r="K238" s="19">
        <f t="shared" ca="1" si="442"/>
        <v>4.1934119280013546E-2</v>
      </c>
      <c r="L238" s="19">
        <f t="array" aca="1" ref="L238:M238" ca="1">MMULT(J238:K238,TRANSPOSE($B$10:$C$11))</f>
        <v>-0.29731162233110331</v>
      </c>
      <c r="M238" s="19">
        <f ca="1"/>
        <v>0.24227647769655852</v>
      </c>
      <c r="N238" s="20">
        <f t="shared" ca="1" si="464"/>
        <v>3.0766551901282389E-2</v>
      </c>
      <c r="O238" s="20">
        <f t="shared" ca="1" si="443"/>
        <v>-3.2982327182050548E-3</v>
      </c>
      <c r="P238" s="19">
        <f t="shared" ca="1" si="449"/>
        <v>82.710888448685253</v>
      </c>
      <c r="Q238" s="19">
        <f ca="1">HCTrans(P238,Strike,RiskFreeRate,Dividend,Variance_T0*AnnualVarConvtr,(Simulation!G238)/250,0.5,Variance_Avg*AnnualVarConvtr,Lambda,SQRT(Simulation!N238),Rho,1,"Call")</f>
        <v>1.5009522523181715</v>
      </c>
      <c r="R238" s="19" t="e">
        <f t="shared" ca="1" si="444"/>
        <v>#VALUE!</v>
      </c>
      <c r="S238" s="19" t="e">
        <f t="shared" ca="1" si="445"/>
        <v>#VALUE!</v>
      </c>
      <c r="T238" s="19" t="e">
        <f t="shared" ca="1" si="450"/>
        <v>#VALUE!</v>
      </c>
      <c r="U238" s="19" t="e">
        <f t="shared" ca="1" si="451"/>
        <v>#VALUE!</v>
      </c>
      <c r="V238" s="21">
        <f t="shared" ca="1" si="452"/>
        <v>1.3631817680504627E-5</v>
      </c>
      <c r="W238">
        <f t="shared" ca="1" si="453"/>
        <v>3.6921291527389215E-3</v>
      </c>
      <c r="X238" s="22">
        <f t="shared" ref="X238" ca="1" si="538">BSdelta(1,P238,Strike,W238*AnnualVarConvtr,Dividend,RiskFreeRate,G238/250)</f>
        <v>6.0477726305783092E-36</v>
      </c>
      <c r="Y238" s="22">
        <f t="shared" ca="1" si="459"/>
        <v>-4.0109179365008894E-5</v>
      </c>
      <c r="Z238" s="22">
        <f t="shared" ca="1" si="460"/>
        <v>0.17256747191295477</v>
      </c>
      <c r="AA238">
        <f t="shared" si="447"/>
        <v>0.73884103340948371</v>
      </c>
      <c r="AB238">
        <f t="shared" ref="AB238" ca="1" si="539">BSdelta(1,P238,Strike,AA238/AnnualVarConvtr,Dividend,RiskFreeRate,G238/250)</f>
        <v>5.6736011380591502E-55</v>
      </c>
      <c r="AC238">
        <f t="shared" ca="1" si="456"/>
        <v>-2.1500643831317581E-48</v>
      </c>
      <c r="AD238">
        <f t="shared" ca="1" si="457"/>
        <v>-2.0266395583834127</v>
      </c>
    </row>
    <row r="239" spans="7:30" x14ac:dyDescent="0.25">
      <c r="G239" s="19">
        <v>16</v>
      </c>
      <c r="H239" s="19">
        <f t="shared" ca="1" si="507"/>
        <v>0.11878325900794073</v>
      </c>
      <c r="I239" s="19">
        <f t="shared" ca="1" si="507"/>
        <v>0.95092142539816449</v>
      </c>
      <c r="J239" s="19">
        <f t="shared" ca="1" si="441"/>
        <v>1.9668281168230528</v>
      </c>
      <c r="K239" s="19">
        <f t="shared" ca="1" si="442"/>
        <v>-0.62649561668395759</v>
      </c>
      <c r="L239" s="19">
        <f t="array" aca="1" ref="L239:M239" ca="1">MMULT(J239:K239,TRANSPOSE($B$10:$C$11))</f>
        <v>1.9668281168230528</v>
      </c>
      <c r="M239" s="19">
        <f ca="1"/>
        <v>-1.8462676006816523</v>
      </c>
      <c r="N239" s="20">
        <f t="shared" ca="1" si="464"/>
        <v>2.3212450591695691E-2</v>
      </c>
      <c r="O239" s="20">
        <f t="shared" ca="1" si="443"/>
        <v>1.8952080829598827E-2</v>
      </c>
      <c r="P239" s="19">
        <f t="shared" ca="1" si="449"/>
        <v>84.293380282107393</v>
      </c>
      <c r="Q239" s="19">
        <f ca="1">HCTrans(P239,Strike,RiskFreeRate,Dividend,Variance_T0*AnnualVarConvtr,(Simulation!G239)/250,0.5,Variance_Avg*AnnualVarConvtr,Lambda,SQRT(Simulation!N239),Rho,1,"Call")</f>
        <v>1.6901555817045448</v>
      </c>
      <c r="R239" s="19" t="e">
        <f t="shared" ca="1" si="444"/>
        <v>#VALUE!</v>
      </c>
      <c r="S239" s="19" t="e">
        <f t="shared" ca="1" si="445"/>
        <v>#VALUE!</v>
      </c>
      <c r="T239" s="19" t="e">
        <f t="shared" ca="1" si="450"/>
        <v>#VALUE!</v>
      </c>
      <c r="U239" s="19" t="e">
        <f t="shared" ca="1" si="451"/>
        <v>#VALUE!</v>
      </c>
      <c r="V239" s="21">
        <f t="shared" ca="1" si="452"/>
        <v>4.9507645297558499E-4</v>
      </c>
      <c r="W239">
        <f t="shared" ca="1" si="453"/>
        <v>2.2250313547803883E-2</v>
      </c>
      <c r="X239" s="22">
        <f t="shared" ref="X239" ca="1" si="540">BSdelta(1,P239,Strike,W239*AnnualVarConvtr,Dividend,RiskFreeRate,G239/250)</f>
        <v>3.0374043051437313E-2</v>
      </c>
      <c r="Y239" s="22">
        <f t="shared" ca="1" si="459"/>
        <v>2.5603307616399071</v>
      </c>
      <c r="Z239" s="22">
        <f t="shared" ca="1" si="460"/>
        <v>-2.198559960340579</v>
      </c>
      <c r="AA239">
        <f t="shared" si="447"/>
        <v>0.73884103340948371</v>
      </c>
      <c r="AB239">
        <f t="shared" ref="AB239" ca="1" si="541">BSdelta(1,P239,Strike,AA239/AnnualVarConvtr,Dividend,RiskFreeRate,G239/250)</f>
        <v>1.2894496790983378E-47</v>
      </c>
      <c r="AC239">
        <f t="shared" ca="1" si="456"/>
        <v>1.0869206737240735E-45</v>
      </c>
      <c r="AD239">
        <f t="shared" ca="1" si="457"/>
        <v>-1.8374362289970394</v>
      </c>
    </row>
    <row r="240" spans="7:30" x14ac:dyDescent="0.25">
      <c r="G240" s="19">
        <v>15</v>
      </c>
      <c r="H240" s="19">
        <f t="shared" ca="1" si="507"/>
        <v>0.78786082405975544</v>
      </c>
      <c r="I240" s="19">
        <f t="shared" ca="1" si="507"/>
        <v>0.78067658112518401</v>
      </c>
      <c r="J240" s="19">
        <f t="shared" ca="1" si="441"/>
        <v>0.13227973553026143</v>
      </c>
      <c r="K240" s="19">
        <f t="shared" ca="1" si="442"/>
        <v>-0.67776819004848299</v>
      </c>
      <c r="L240" s="19">
        <f t="array" aca="1" ref="L240:M240" ca="1">MMULT(J240:K240,TRANSPOSE($B$10:$C$11))</f>
        <v>0.13227973553026143</v>
      </c>
      <c r="M240" s="19">
        <f ca="1"/>
        <v>-0.56758077080408875</v>
      </c>
      <c r="N240" s="20">
        <f t="shared" ca="1" si="464"/>
        <v>2.1054789105549115E-2</v>
      </c>
      <c r="O240" s="20">
        <f t="shared" ca="1" si="443"/>
        <v>1.2139443033662184E-3</v>
      </c>
      <c r="P240" s="19">
        <f t="shared" ca="1" si="449"/>
        <v>84.395769885976549</v>
      </c>
      <c r="Q240" s="19">
        <f ca="1">HCTrans(P240,Strike,RiskFreeRate,Dividend,Variance_T0*AnnualVarConvtr,(Simulation!G240)/250,0.5,Variance_Avg*AnnualVarConvtr,Lambda,SQRT(Simulation!N240),Rho,1,"Call")</f>
        <v>1.5712935480520258</v>
      </c>
      <c r="R240" s="19" t="e">
        <f t="shared" ca="1" si="444"/>
        <v>#VALUE!</v>
      </c>
      <c r="S240" s="19" t="e">
        <f t="shared" ca="1" si="445"/>
        <v>#VALUE!</v>
      </c>
      <c r="T240" s="19" t="e">
        <f t="shared" ca="1" si="450"/>
        <v>#VALUE!</v>
      </c>
      <c r="U240" s="19" t="e">
        <f t="shared" ca="1" si="451"/>
        <v>#VALUE!</v>
      </c>
      <c r="V240" s="21">
        <f t="shared" ca="1" si="452"/>
        <v>3.1464148742326738E-4</v>
      </c>
      <c r="W240">
        <f t="shared" ca="1" si="453"/>
        <v>1.7738136526232608E-2</v>
      </c>
      <c r="X240" s="22">
        <f t="shared" ref="X240" ca="1" si="542">BSdelta(1,P240,Strike,W240*AnnualVarConvtr,Dividend,RiskFreeRate,G240/250)</f>
        <v>7.4429617836543173E-3</v>
      </c>
      <c r="Y240" s="22">
        <f t="shared" ca="1" si="459"/>
        <v>-1.935286257912441</v>
      </c>
      <c r="Z240" s="22">
        <f t="shared" ca="1" si="460"/>
        <v>-0.38213573608065698</v>
      </c>
      <c r="AA240">
        <f t="shared" si="447"/>
        <v>0.73884103340948371</v>
      </c>
      <c r="AB240">
        <f t="shared" ref="AB240" ca="1" si="543">BSdelta(1,P240,Strike,AA240/AnnualVarConvtr,Dividend,RiskFreeRate,G240/250)</f>
        <v>5.7553976997754774E-50</v>
      </c>
      <c r="AC240">
        <f t="shared" ca="1" si="456"/>
        <v>-1.0833836717685709E-45</v>
      </c>
      <c r="AD240">
        <f t="shared" ca="1" si="457"/>
        <v>-1.9562982626495584</v>
      </c>
    </row>
    <row r="241" spans="7:30" x14ac:dyDescent="0.25">
      <c r="G241" s="19">
        <v>14</v>
      </c>
      <c r="H241" s="19">
        <f t="shared" ca="1" si="507"/>
        <v>0.99523212383703585</v>
      </c>
      <c r="I241" s="19">
        <f t="shared" ca="1" si="507"/>
        <v>0.87008753433841546</v>
      </c>
      <c r="J241" s="19">
        <f t="shared" ca="1" si="441"/>
        <v>6.6965904072269142E-2</v>
      </c>
      <c r="K241" s="19">
        <f t="shared" ca="1" si="442"/>
        <v>-7.1232893931184982E-2</v>
      </c>
      <c r="L241" s="19">
        <f t="array" aca="1" ref="L241:M241" ca="1">MMULT(J241:K241,TRANSPOSE($B$10:$C$11))</f>
        <v>6.6965904072269142E-2</v>
      </c>
      <c r="M241" s="19">
        <f ca="1"/>
        <v>-9.7672217552752391E-2</v>
      </c>
      <c r="N241" s="20">
        <f t="shared" ca="1" si="464"/>
        <v>2.063444460672216E-2</v>
      </c>
      <c r="O241" s="20">
        <f t="shared" ca="1" si="443"/>
        <v>6.0838727815918541E-4</v>
      </c>
      <c r="P241" s="19">
        <f t="shared" ca="1" si="449"/>
        <v>84.447130820791088</v>
      </c>
      <c r="Q241" s="19">
        <f ca="1">HCTrans(P241,Strike,RiskFreeRate,Dividend,Variance_T0*AnnualVarConvtr,(Simulation!G241)/250,0.5,Variance_Avg*AnnualVarConvtr,Lambda,SQRT(Simulation!N241),Rho,1,"Call")</f>
        <v>1.4384633479794502</v>
      </c>
      <c r="R241" s="19" t="e">
        <f t="shared" ca="1" si="444"/>
        <v>#VALUE!</v>
      </c>
      <c r="S241" s="19" t="e">
        <f t="shared" ca="1" si="445"/>
        <v>#VALUE!</v>
      </c>
      <c r="T241" s="19" t="e">
        <f t="shared" ca="1" si="450"/>
        <v>#VALUE!</v>
      </c>
      <c r="U241" s="19" t="e">
        <f t="shared" ca="1" si="451"/>
        <v>#VALUE!</v>
      </c>
      <c r="V241" s="21">
        <f t="shared" ca="1" si="452"/>
        <v>3.6669931077759123E-7</v>
      </c>
      <c r="W241">
        <f t="shared" ca="1" si="453"/>
        <v>6.0555702520703302E-4</v>
      </c>
      <c r="X241" s="22">
        <f t="shared" ref="X241" ca="1" si="544">BSdelta(1,P241,Strike,W241*AnnualVarConvtr,Dividend,RiskFreeRate,G241/250)</f>
        <v>0</v>
      </c>
      <c r="Y241" s="22">
        <f t="shared" ca="1" si="459"/>
        <v>-0.6285367674384047</v>
      </c>
      <c r="Z241" s="22">
        <f t="shared" ca="1" si="460"/>
        <v>0.11357083128517209</v>
      </c>
      <c r="AA241">
        <f>$R$5</f>
        <v>0.73884103340948371</v>
      </c>
      <c r="AB241">
        <f t="shared" ref="AB241" ca="1" si="545">BSdelta(1,P241,Strike,AA241/AnnualVarConvtr,Dividend,RiskFreeRate,G241/250)</f>
        <v>5.0705868238682213E-53</v>
      </c>
      <c r="AC241">
        <f t="shared" ca="1" si="456"/>
        <v>-4.8559862596976642E-48</v>
      </c>
      <c r="AD241">
        <f t="shared" ca="1" si="457"/>
        <v>-2.089128462722134</v>
      </c>
    </row>
    <row r="242" spans="7:30" x14ac:dyDescent="0.25">
      <c r="G242" s="19">
        <v>13</v>
      </c>
      <c r="H242" s="19">
        <f t="shared" ca="1" si="507"/>
        <v>0.31754978671018552</v>
      </c>
      <c r="I242" s="19">
        <f t="shared" ca="1" si="507"/>
        <v>0.93696806695177348</v>
      </c>
      <c r="J242" s="19">
        <f t="shared" ca="1" si="441"/>
        <v>1.3974324191153433</v>
      </c>
      <c r="K242" s="19">
        <f t="shared" ca="1" si="442"/>
        <v>-0.58431495173282499</v>
      </c>
      <c r="L242" s="19">
        <f t="array" aca="1" ref="L242:M242" ca="1">MMULT(J242:K242,TRANSPOSE($B$10:$C$11))</f>
        <v>1.3974324191153433</v>
      </c>
      <c r="M242" s="19">
        <f ca="1"/>
        <v>-1.4088708959001577</v>
      </c>
      <c r="N242" s="20">
        <f t="shared" ca="1" si="464"/>
        <v>1.5898345454173332E-2</v>
      </c>
      <c r="O242" s="20">
        <f t="shared" ca="1" si="443"/>
        <v>1.1143888925054909E-2</v>
      </c>
      <c r="P242" s="19">
        <f t="shared" ca="1" si="449"/>
        <v>85.393463385754359</v>
      </c>
      <c r="Q242" s="19">
        <f ca="1">HCTrans(P242,Strike,RiskFreeRate,Dividend,Variance_T0*AnnualVarConvtr,(Simulation!G242)/250,0.5,Variance_Avg*AnnualVarConvtr,Lambda,SQRT(Simulation!N242),Rho,1,"Call")</f>
        <v>1.4792906993852455</v>
      </c>
      <c r="R242" s="19" t="e">
        <f t="shared" ca="1" si="444"/>
        <v>#VALUE!</v>
      </c>
      <c r="S242" s="19" t="e">
        <f t="shared" ca="1" si="445"/>
        <v>#VALUE!</v>
      </c>
      <c r="T242" s="19" t="e">
        <f t="shared" ca="1" si="450"/>
        <v>#VALUE!</v>
      </c>
      <c r="U242" s="19" t="e">
        <f t="shared" ca="1" si="451"/>
        <v>#VALUE!</v>
      </c>
      <c r="V242" s="21">
        <f t="shared" ca="1" si="452"/>
        <v>1.109967949517425E-4</v>
      </c>
      <c r="W242">
        <f t="shared" ca="1" si="453"/>
        <v>1.0535501646895724E-2</v>
      </c>
      <c r="X242" s="22">
        <f t="shared" ref="X242" ca="1" si="546">BSdelta(1,P242,Strike,W242*AnnualVarConvtr,Dividend,RiskFreeRate,G242/250)</f>
        <v>1.7533649387990975E-5</v>
      </c>
      <c r="Y242" s="22">
        <f t="shared" ca="1" si="459"/>
        <v>1.4972590470320615E-3</v>
      </c>
      <c r="Z242" s="22">
        <f t="shared" ca="1" si="460"/>
        <v>0.15290092364393532</v>
      </c>
      <c r="AA242">
        <f t="shared" ref="AA242:AA254" si="547">$R$5</f>
        <v>0.73884103340948371</v>
      </c>
      <c r="AB242">
        <f t="shared" ref="AB242" ca="1" si="548">BSdelta(1,P242,Strike,AA242/AnnualVarConvtr,Dividend,RiskFreeRate,G242/250)</f>
        <v>6.0303867161674977E-50</v>
      </c>
      <c r="AC242">
        <f t="shared" ca="1" si="456"/>
        <v>5.1452261227870038E-48</v>
      </c>
      <c r="AD242">
        <f t="shared" ca="1" si="457"/>
        <v>-2.0483011113163387</v>
      </c>
    </row>
    <row r="243" spans="7:30" x14ac:dyDescent="0.25">
      <c r="G243" s="19">
        <v>12</v>
      </c>
      <c r="H243" s="19">
        <f t="shared" ca="1" si="507"/>
        <v>0.79046987928604406</v>
      </c>
      <c r="I243" s="19">
        <f t="shared" ca="1" si="507"/>
        <v>0.65627061011503396</v>
      </c>
      <c r="J243" s="19">
        <f t="shared" ca="1" si="441"/>
        <v>-0.38090941546651302</v>
      </c>
      <c r="K243" s="19">
        <f t="shared" ca="1" si="442"/>
        <v>-0.57023106725783557</v>
      </c>
      <c r="L243" s="19">
        <f t="array" aca="1" ref="L243:M243" ca="1">MMULT(J243:K243,TRANSPOSE($B$10:$C$11))</f>
        <v>-0.38090941546651302</v>
      </c>
      <c r="M243" s="19">
        <f ca="1"/>
        <v>-0.12486423541662356</v>
      </c>
      <c r="N243" s="20">
        <f t="shared" ca="1" si="464"/>
        <v>1.5467713168644879E-2</v>
      </c>
      <c r="O243" s="20">
        <f t="shared" ca="1" si="443"/>
        <v>-2.996158322173096E-3</v>
      </c>
      <c r="P243" s="19">
        <f t="shared" ca="1" si="449"/>
        <v>85.137993954315121</v>
      </c>
      <c r="Q243" s="19">
        <f ca="1">HCTrans(P243,Strike,RiskFreeRate,Dividend,Variance_T0*AnnualVarConvtr,(Simulation!G243)/250,0.5,Variance_Avg*AnnualVarConvtr,Lambda,SQRT(Simulation!N243),Rho,1,"Call")</f>
        <v>1.276757116314343</v>
      </c>
      <c r="R243" s="19" t="e">
        <f t="shared" ca="1" si="444"/>
        <v>#VALUE!</v>
      </c>
      <c r="S243" s="19" t="e">
        <f t="shared" ca="1" si="445"/>
        <v>#VALUE!</v>
      </c>
      <c r="T243" s="19" t="e">
        <f t="shared" ca="1" si="450"/>
        <v>#VALUE!</v>
      </c>
      <c r="U243" s="19" t="e">
        <f t="shared" ca="1" si="451"/>
        <v>#VALUE!</v>
      </c>
      <c r="V243" s="21">
        <f t="shared" ca="1" si="452"/>
        <v>1.9994093615384028E-4</v>
      </c>
      <c r="W243">
        <f t="shared" ca="1" si="453"/>
        <v>1.4140047247228005E-2</v>
      </c>
      <c r="X243" s="22">
        <f t="shared" ref="X243" ca="1" si="549">BSdelta(1,P243,Strike,W243*AnnualVarConvtr,Dividend,RiskFreeRate,G243/250)</f>
        <v>5.5650018032394981E-4</v>
      </c>
      <c r="Y243" s="22">
        <f t="shared" ca="1" si="459"/>
        <v>4.5886529252403857E-2</v>
      </c>
      <c r="Z243" s="22">
        <f t="shared" ca="1" si="460"/>
        <v>-9.5519188679371064E-2</v>
      </c>
      <c r="AA243">
        <f t="shared" si="547"/>
        <v>0.73884103340948371</v>
      </c>
      <c r="AB243">
        <f t="shared" ref="AB243" ca="1" si="550">BSdelta(1,P243,Strike,AA243/AnnualVarConvtr,Dividend,RiskFreeRate,G243/250)</f>
        <v>6.3562495192678901E-56</v>
      </c>
      <c r="AC243">
        <f t="shared" ca="1" si="456"/>
        <v>-5.1341448662491748E-48</v>
      </c>
      <c r="AD243">
        <f t="shared" ca="1" si="457"/>
        <v>-2.2508346943872413</v>
      </c>
    </row>
    <row r="244" spans="7:30" x14ac:dyDescent="0.25">
      <c r="G244" s="19">
        <v>11</v>
      </c>
      <c r="H244" s="19">
        <f t="shared" ca="1" si="507"/>
        <v>0.81562012388181038</v>
      </c>
      <c r="I244" s="19">
        <f t="shared" ca="1" si="507"/>
        <v>0.76355629099688493</v>
      </c>
      <c r="J244" s="19">
        <f t="shared" ca="1" si="441"/>
        <v>5.4314973152692701E-2</v>
      </c>
      <c r="K244" s="19">
        <f t="shared" ca="1" si="442"/>
        <v>-0.636131289463292</v>
      </c>
      <c r="L244" s="19">
        <f t="array" aca="1" ref="L244:M244" ca="1">MMULT(J244:K244,TRANSPOSE($B$10:$C$11))</f>
        <v>5.4314973152692701E-2</v>
      </c>
      <c r="M244" s="19">
        <f ca="1"/>
        <v>-0.48267365418905006</v>
      </c>
      <c r="N244" s="20">
        <f t="shared" ca="1" si="464"/>
        <v>1.3986137592413909E-2</v>
      </c>
      <c r="O244" s="20">
        <f t="shared" ca="1" si="443"/>
        <v>4.0625476049096251E-4</v>
      </c>
      <c r="P244" s="19">
        <f t="shared" ca="1" si="449"/>
        <v>85.172588696321228</v>
      </c>
      <c r="Q244" s="19">
        <f ca="1">HCTrans(P244,Strike,RiskFreeRate,Dividend,Variance_T0*AnnualVarConvtr,(Simulation!G244)/250,0.5,Variance_Avg*AnnualVarConvtr,Lambda,SQRT(Simulation!N244),Rho,1,"Call")</f>
        <v>1.1312726815474718</v>
      </c>
      <c r="R244" s="19" t="e">
        <f t="shared" ca="1" si="444"/>
        <v>#VALUE!</v>
      </c>
      <c r="S244" s="19" t="e">
        <f t="shared" ca="1" si="445"/>
        <v>#VALUE!</v>
      </c>
      <c r="T244" s="19" t="e">
        <f t="shared" ca="1" si="450"/>
        <v>#VALUE!</v>
      </c>
      <c r="U244" s="19" t="e">
        <f t="shared" ca="1" si="451"/>
        <v>#VALUE!</v>
      </c>
      <c r="V244" s="21">
        <f t="shared" ca="1" si="452"/>
        <v>1.1576414785083542E-5</v>
      </c>
      <c r="W244">
        <f t="shared" ca="1" si="453"/>
        <v>3.4024130826640587E-3</v>
      </c>
      <c r="X244" s="22">
        <f t="shared" ref="X244" ca="1" si="551">BSdelta(1,P244,Strike,W244*AnnualVarConvtr,Dividend,RiskFreeRate,G244/250)</f>
        <v>3.6174593784133049E-46</v>
      </c>
      <c r="Y244" s="22">
        <f t="shared" ca="1" si="459"/>
        <v>-4.7398560968160371E-2</v>
      </c>
      <c r="Z244" s="22">
        <f t="shared" ca="1" si="460"/>
        <v>-0.19360506247808182</v>
      </c>
      <c r="AA244">
        <f t="shared" si="547"/>
        <v>0.73884103340948371</v>
      </c>
      <c r="AB244">
        <f t="shared" ref="AB244" ca="1" si="552">BSdelta(1,P244,Strike,AA244/AnnualVarConvtr,Dividend,RiskFreeRate,G244/250)</f>
        <v>1.6019844426582753E-60</v>
      </c>
      <c r="AC244">
        <f t="shared" ca="1" si="456"/>
        <v>-5.4136458143959021E-54</v>
      </c>
      <c r="AD244">
        <f t="shared" ca="1" si="457"/>
        <v>-2.3963191291541124</v>
      </c>
    </row>
    <row r="245" spans="7:30" x14ac:dyDescent="0.25">
      <c r="G245" s="19">
        <v>10</v>
      </c>
      <c r="H245" s="19">
        <f t="shared" ca="1" si="507"/>
        <v>0.29438229166736585</v>
      </c>
      <c r="I245" s="19">
        <f t="shared" ca="1" si="507"/>
        <v>0.73025410327635798</v>
      </c>
      <c r="J245" s="19">
        <f t="shared" ca="1" si="441"/>
        <v>-0.19352996434203848</v>
      </c>
      <c r="K245" s="19">
        <f t="shared" ca="1" si="442"/>
        <v>-1.5518692734723585</v>
      </c>
      <c r="L245" s="19">
        <f t="array" aca="1" ref="L245:M245" ca="1">MMULT(J245:K245,TRANSPOSE($B$10:$C$11))</f>
        <v>-0.19352996434203848</v>
      </c>
      <c r="M245" s="19">
        <f ca="1"/>
        <v>-0.94389975316575758</v>
      </c>
      <c r="N245" s="20">
        <f t="shared" ca="1" si="464"/>
        <v>1.1346102412420973E-2</v>
      </c>
      <c r="O245" s="20">
        <f t="shared" ca="1" si="443"/>
        <v>-1.3037717360269495E-3</v>
      </c>
      <c r="P245" s="19">
        <f t="shared" ca="1" si="449"/>
        <v>85.061615440111723</v>
      </c>
      <c r="Q245" s="19">
        <f ca="1">HCTrans(P245,Strike,RiskFreeRate,Dividend,Variance_T0*AnnualVarConvtr,(Simulation!G245)/250,0.5,Variance_Avg*AnnualVarConvtr,Lambda,SQRT(Simulation!N245),Rho,1,"Call")</f>
        <v>0.96300352788313148</v>
      </c>
      <c r="R245" s="19" t="e">
        <f t="shared" ca="1" si="444"/>
        <v>#VALUE!</v>
      </c>
      <c r="S245" s="19" t="e">
        <f t="shared" ca="1" si="445"/>
        <v>#VALUE!</v>
      </c>
      <c r="T245" s="19" t="e">
        <f t="shared" ca="1" si="450"/>
        <v>#VALUE!</v>
      </c>
      <c r="U245" s="19" t="e">
        <f t="shared" ca="1" si="451"/>
        <v>#VALUE!</v>
      </c>
      <c r="V245" s="21">
        <f t="shared" ca="1" si="452"/>
        <v>2.9241906187933242E-6</v>
      </c>
      <c r="W245">
        <f t="shared" ca="1" si="453"/>
        <v>1.710026496517912E-3</v>
      </c>
      <c r="X245" s="22">
        <f t="shared" ref="X245" ca="1" si="553">BSdelta(1,P245,Strike,W245*AnnualVarConvtr,Dividend,RiskFreeRate,G245/250)</f>
        <v>5.8763872911347787E-197</v>
      </c>
      <c r="Y245" s="22">
        <f t="shared" ca="1" si="459"/>
        <v>-3.0770693851681815E-44</v>
      </c>
      <c r="Z245" s="22">
        <f t="shared" ca="1" si="460"/>
        <v>-0.36187421614242221</v>
      </c>
      <c r="AA245">
        <f t="shared" si="547"/>
        <v>0.73884103340948371</v>
      </c>
      <c r="AB245">
        <f t="shared" ref="AB245" ca="1" si="554">BSdelta(1,P245,Strike,AA245/AnnualVarConvtr,Dividend,RiskFreeRate,G245/250)</f>
        <v>2.0638691622906032E-67</v>
      </c>
      <c r="AC245">
        <f t="shared" ca="1" si="456"/>
        <v>-1.3626736704683543E-58</v>
      </c>
      <c r="AD245">
        <f t="shared" ca="1" si="457"/>
        <v>-2.5645882828184527</v>
      </c>
    </row>
    <row r="246" spans="7:30" x14ac:dyDescent="0.25">
      <c r="G246" s="19">
        <v>9</v>
      </c>
      <c r="H246" s="19">
        <f t="shared" ca="1" si="507"/>
        <v>0.10593890500071323</v>
      </c>
      <c r="I246" s="19">
        <f t="shared" ca="1" si="507"/>
        <v>0.51557446157733966</v>
      </c>
      <c r="J246" s="19">
        <f t="shared" ca="1" si="441"/>
        <v>-2.1087740868499223</v>
      </c>
      <c r="K246" s="19">
        <f t="shared" ca="1" si="442"/>
        <v>-0.20702001964470385</v>
      </c>
      <c r="L246" s="19">
        <f t="array" aca="1" ref="L246:M246" ca="1">MMULT(J246:K246,TRANSPOSE($B$10:$C$11))</f>
        <v>-2.1087740868499223</v>
      </c>
      <c r="M246" s="19">
        <f ca="1"/>
        <v>1.3665221398754943</v>
      </c>
      <c r="N246" s="20">
        <f t="shared" ca="1" si="464"/>
        <v>1.5173152724561777E-2</v>
      </c>
      <c r="O246" s="20">
        <f t="shared" ca="1" si="443"/>
        <v>-1.6428502057770172E-2</v>
      </c>
      <c r="P246" s="19">
        <f t="shared" ca="1" si="449"/>
        <v>83.675596794135529</v>
      </c>
      <c r="Q246" s="19">
        <f ca="1">HCTrans(P246,Strike,RiskFreeRate,Dividend,Variance_T0*AnnualVarConvtr,(Simulation!G246)/250,0.5,Variance_Avg*AnnualVarConvtr,Lambda,SQRT(Simulation!N246),Rho,1,"Call")</f>
        <v>0.6310995387798215</v>
      </c>
      <c r="R246" s="19" t="e">
        <f t="shared" ca="1" si="444"/>
        <v>#VALUE!</v>
      </c>
      <c r="S246" s="19" t="e">
        <f t="shared" ca="1" si="445"/>
        <v>#VALUE!</v>
      </c>
      <c r="T246" s="19" t="e">
        <f t="shared" ca="1" si="450"/>
        <v>#VALUE!</v>
      </c>
      <c r="U246" s="19" t="e">
        <f t="shared" ca="1" si="451"/>
        <v>#VALUE!</v>
      </c>
      <c r="V246" s="21">
        <f t="shared" ca="1" si="452"/>
        <v>2.2875746730545882E-4</v>
      </c>
      <c r="W246">
        <f t="shared" ca="1" si="453"/>
        <v>1.5124730321743222E-2</v>
      </c>
      <c r="X246" s="22">
        <f t="shared" ref="X246" ca="1" si="555">BSdelta(1,P246,Strike,W246*AnnualVarConvtr,Dividend,RiskFreeRate,G246/250)</f>
        <v>4.7081864419000096E-5</v>
      </c>
      <c r="Y246" s="22">
        <f t="shared" ca="1" si="459"/>
        <v>3.939603103440408E-3</v>
      </c>
      <c r="Z246" s="22">
        <f t="shared" ca="1" si="460"/>
        <v>-0.69771780834917263</v>
      </c>
      <c r="AA246">
        <f t="shared" si="547"/>
        <v>0.73884103340948371</v>
      </c>
      <c r="AB246">
        <f t="shared" ref="AB246" ca="1" si="556">BSdelta(1,P246,Strike,AA246/AnnualVarConvtr,Dividend,RiskFreeRate,G246/250)</f>
        <v>3.9049643205556569E-90</v>
      </c>
      <c r="AC246">
        <f t="shared" ca="1" si="456"/>
        <v>-1.7269548385967877E-65</v>
      </c>
      <c r="AD246">
        <f t="shared" ca="1" si="457"/>
        <v>-2.8964922719217627</v>
      </c>
    </row>
    <row r="247" spans="7:30" x14ac:dyDescent="0.25">
      <c r="G247" s="19">
        <v>8</v>
      </c>
      <c r="H247" s="19">
        <f t="shared" ca="1" si="507"/>
        <v>6.0228981599042219E-2</v>
      </c>
      <c r="I247" s="19">
        <f t="shared" ca="1" si="507"/>
        <v>0.54214447580982028</v>
      </c>
      <c r="J247" s="19">
        <f t="shared" ca="1" si="441"/>
        <v>-2.2878612951199506</v>
      </c>
      <c r="K247" s="19">
        <f t="shared" ca="1" si="442"/>
        <v>-0.62039820720041039</v>
      </c>
      <c r="L247" s="19">
        <f t="array" aca="1" ref="L247:M247" ca="1">MMULT(J247:K247,TRANSPOSE($B$10:$C$11))</f>
        <v>-2.2878612951199506</v>
      </c>
      <c r="M247" s="19">
        <f ca="1"/>
        <v>1.2064708371218282</v>
      </c>
      <c r="N247" s="20">
        <f t="shared" ca="1" si="464"/>
        <v>1.8992875105201455E-2</v>
      </c>
      <c r="O247" s="20">
        <f t="shared" ca="1" si="443"/>
        <v>-1.9941372360527707E-2</v>
      </c>
      <c r="P247" s="19">
        <f t="shared" ca="1" si="449"/>
        <v>82.023517670021974</v>
      </c>
      <c r="Q247" s="19">
        <f ca="1">HCTrans(P247,Strike,RiskFreeRate,Dividend,Variance_T0*AnnualVarConvtr,(Simulation!G247)/250,0.5,Variance_Avg*AnnualVarConvtr,Lambda,SQRT(Simulation!N247),Rho,1,"Call")</f>
        <v>0.35615982929603263</v>
      </c>
      <c r="R247" s="19" t="e">
        <f t="shared" ca="1" si="444"/>
        <v>#VALUE!</v>
      </c>
      <c r="S247" s="19" t="e">
        <f t="shared" ca="1" si="445"/>
        <v>#VALUE!</v>
      </c>
      <c r="T247" s="19" t="e">
        <f t="shared" ca="1" si="450"/>
        <v>#VALUE!</v>
      </c>
      <c r="U247" s="19" t="e">
        <f t="shared" ca="1" si="451"/>
        <v>#VALUE!</v>
      </c>
      <c r="V247" s="21">
        <f t="shared" ca="1" si="452"/>
        <v>1.2340257763995819E-5</v>
      </c>
      <c r="W247">
        <f t="shared" ca="1" si="453"/>
        <v>3.5128703027575356E-3</v>
      </c>
      <c r="X247" s="22">
        <f t="shared" ref="X247" ca="1" si="557">BSdelta(1,P247,Strike,W247*AnnualVarConvtr,Dividend,RiskFreeRate,G247/250)</f>
        <v>9.2827017053235799E-89</v>
      </c>
      <c r="Y247" s="22">
        <f t="shared" ca="1" si="459"/>
        <v>-3.8618201381094334E-3</v>
      </c>
      <c r="Z247" s="22">
        <f t="shared" ca="1" si="460"/>
        <v>-0.96879569769485208</v>
      </c>
      <c r="AA247">
        <f t="shared" si="547"/>
        <v>0.73884103340948371</v>
      </c>
      <c r="AB247">
        <f t="shared" ref="AB247" ca="1" si="558">BSdelta(1,P247,Strike,AA247/AnnualVarConvtr,Dividend,RiskFreeRate,G247/250)</f>
        <v>1.7024014562909161E-124</v>
      </c>
      <c r="AC247">
        <f t="shared" ca="1" si="456"/>
        <v>-3.2029890994790228E-88</v>
      </c>
      <c r="AD247">
        <f t="shared" ca="1" si="457"/>
        <v>-3.1714319814055516</v>
      </c>
    </row>
    <row r="248" spans="7:30" x14ac:dyDescent="0.25">
      <c r="G248" s="19">
        <v>7</v>
      </c>
      <c r="H248" s="19">
        <f t="shared" ca="1" si="507"/>
        <v>0.26534372352475144</v>
      </c>
      <c r="I248" s="19">
        <f t="shared" ca="1" si="507"/>
        <v>0.79408443711707388</v>
      </c>
      <c r="J248" s="19">
        <f t="shared" ca="1" si="441"/>
        <v>0.44545474015742459</v>
      </c>
      <c r="K248" s="19">
        <f t="shared" ca="1" si="442"/>
        <v>-1.5668530631781119</v>
      </c>
      <c r="L248" s="19">
        <f t="array" aca="1" ref="L248:M248" ca="1">MMULT(J248:K248,TRANSPOSE($B$10:$C$11))</f>
        <v>0.44545474015742459</v>
      </c>
      <c r="M248" s="19">
        <f ca="1"/>
        <v>-1.4121847922176645</v>
      </c>
      <c r="N248" s="20">
        <f t="shared" ca="1" si="464"/>
        <v>1.4457167360124286E-2</v>
      </c>
      <c r="O248" s="20">
        <f t="shared" ca="1" si="443"/>
        <v>3.3874678700325316E-3</v>
      </c>
      <c r="P248" s="19">
        <f t="shared" ca="1" si="449"/>
        <v>82.301840839969003</v>
      </c>
      <c r="Q248" s="19">
        <f ca="1">HCTrans(P248,Strike,RiskFreeRate,Dividend,Variance_T0*AnnualVarConvtr,(Simulation!G248)/250,0.5,Variance_Avg*AnnualVarConvtr,Lambda,SQRT(Simulation!N248),Rho,1,"Call")</f>
        <v>0.28200939494823274</v>
      </c>
      <c r="R248" s="19" t="e">
        <f t="shared" ca="1" si="444"/>
        <v>#VALUE!</v>
      </c>
      <c r="S248" s="19" t="e">
        <f t="shared" ca="1" si="445"/>
        <v>#VALUE!</v>
      </c>
      <c r="T248" s="19" t="e">
        <f t="shared" ca="1" si="450"/>
        <v>#VALUE!</v>
      </c>
      <c r="U248" s="19" t="e">
        <f t="shared" ca="1" si="451"/>
        <v>#VALUE!</v>
      </c>
      <c r="V248" s="21">
        <f t="shared" ca="1" si="452"/>
        <v>5.4423478650300584E-4</v>
      </c>
      <c r="W248">
        <f t="shared" ca="1" si="453"/>
        <v>2.3328840230560238E-2</v>
      </c>
      <c r="X248" s="22">
        <f t="shared" ref="X248" ca="1" si="559">BSdelta(1,P248,Strike,W248*AnnualVarConvtr,Dividend,RiskFreeRate,G248/250)</f>
        <v>8.8953115653415081E-4</v>
      </c>
      <c r="Y248" s="22">
        <f t="shared" ca="1" si="459"/>
        <v>7.321005166726724E-2</v>
      </c>
      <c r="Z248" s="22">
        <f t="shared" ca="1" si="460"/>
        <v>-1.1161561837099194</v>
      </c>
      <c r="AA248">
        <f t="shared" si="547"/>
        <v>0.73884103340948371</v>
      </c>
      <c r="AB248">
        <f t="shared" ref="AB248" ca="1" si="560">BSdelta(1,P248,Strike,AA248/AnnualVarConvtr,Dividend,RiskFreeRate,G248/250)</f>
        <v>3.1808058369945222E-137</v>
      </c>
      <c r="AC248">
        <f t="shared" ca="1" si="456"/>
        <v>-1.4011077370136025E-122</v>
      </c>
      <c r="AD248">
        <f t="shared" ca="1" si="457"/>
        <v>-3.2455824157533515</v>
      </c>
    </row>
    <row r="249" spans="7:30" x14ac:dyDescent="0.25">
      <c r="G249" s="19">
        <v>6</v>
      </c>
      <c r="H249" s="19">
        <f t="shared" ca="1" si="507"/>
        <v>0.31548930498923011</v>
      </c>
      <c r="I249" s="19">
        <f t="shared" ca="1" si="507"/>
        <v>0.27911569002383219</v>
      </c>
      <c r="J249" s="19">
        <f t="shared" ca="1" si="441"/>
        <v>-0.27633137815791803</v>
      </c>
      <c r="K249" s="19">
        <f t="shared" ca="1" si="442"/>
        <v>1.4936204209275805</v>
      </c>
      <c r="L249" s="19">
        <f t="array" aca="1" ref="L249:M249" ca="1">MMULT(J249:K249,TRANSPOSE($B$10:$C$11))</f>
        <v>-0.27633137815791803</v>
      </c>
      <c r="M249" s="19">
        <f ca="1"/>
        <v>1.2399217574465475</v>
      </c>
      <c r="N249" s="20">
        <f t="shared" ca="1" si="464"/>
        <v>1.8304593050818455E-2</v>
      </c>
      <c r="O249" s="20">
        <f t="shared" ca="1" si="443"/>
        <v>-2.3645050053302565E-3</v>
      </c>
      <c r="P249" s="19">
        <f t="shared" ca="1" si="449"/>
        <v>82.107467614147524</v>
      </c>
      <c r="Q249" s="19">
        <f ca="1">HCTrans(P249,Strike,RiskFreeRate,Dividend,Variance_T0*AnnualVarConvtr,(Simulation!G249)/250,0.5,Variance_Avg*AnnualVarConvtr,Lambda,SQRT(Simulation!N249),Rho,1,"Call")</f>
        <v>0.18293165395851929</v>
      </c>
      <c r="R249" s="19" t="e">
        <f t="shared" ca="1" si="444"/>
        <v>#VALUE!</v>
      </c>
      <c r="S249" s="19" t="e">
        <f t="shared" ca="1" si="445"/>
        <v>#VALUE!</v>
      </c>
      <c r="T249" s="19" t="e">
        <f t="shared" ca="1" si="450"/>
        <v>#VALUE!</v>
      </c>
      <c r="U249" s="19" t="e">
        <f t="shared" ca="1" si="451"/>
        <v>#VALUE!</v>
      </c>
      <c r="V249" s="21">
        <f t="shared" ca="1" si="452"/>
        <v>3.3085191958909264E-5</v>
      </c>
      <c r="W249">
        <f t="shared" ca="1" si="453"/>
        <v>5.7519728753627885E-3</v>
      </c>
      <c r="X249" s="22">
        <f t="shared" ref="X249" ca="1" si="561">BSdelta(1,P249,Strike,W249*AnnualVarConvtr,Dividend,RiskFreeRate,G249/250)</f>
        <v>9.6073266187293291E-45</v>
      </c>
      <c r="Y249" s="22">
        <f t="shared" ca="1" si="459"/>
        <v>-7.3037150626902983E-2</v>
      </c>
      <c r="Z249" s="22">
        <f t="shared" ca="1" si="460"/>
        <v>-1.1421967740727299</v>
      </c>
      <c r="AA249">
        <f t="shared" si="547"/>
        <v>0.73884103340948371</v>
      </c>
      <c r="AB249">
        <f t="shared" ref="AB249" ca="1" si="562">BSdelta(1,P249,Strike,AA249/AnnualVarConvtr,Dividend,RiskFreeRate,G249/250)</f>
        <v>1.4699232953220954E-163</v>
      </c>
      <c r="AC249">
        <f t="shared" ca="1" si="456"/>
        <v>-2.6116791224791915E-135</v>
      </c>
      <c r="AD249">
        <f t="shared" ca="1" si="457"/>
        <v>-3.3446601567430649</v>
      </c>
    </row>
    <row r="250" spans="7:30" x14ac:dyDescent="0.25">
      <c r="G250" s="19">
        <v>5</v>
      </c>
      <c r="H250" s="19">
        <f t="shared" ca="1" si="507"/>
        <v>0.51327069187854624</v>
      </c>
      <c r="I250" s="19">
        <f t="shared" ca="1" si="507"/>
        <v>0.70309869828430061</v>
      </c>
      <c r="J250" s="19">
        <f t="shared" ca="1" si="441"/>
        <v>-0.33544621529754393</v>
      </c>
      <c r="K250" s="19">
        <f t="shared" ca="1" si="442"/>
        <v>-1.1051604651072138</v>
      </c>
      <c r="L250" s="19">
        <f t="array" aca="1" ref="L250:M250" ca="1">MMULT(J250:K250,TRANSPOSE($B$10:$C$11))</f>
        <v>-0.33544621529754393</v>
      </c>
      <c r="M250" s="19">
        <f ca="1"/>
        <v>-0.53059846105408437</v>
      </c>
      <c r="N250" s="20">
        <f t="shared" ca="1" si="464"/>
        <v>1.652698603963678E-2</v>
      </c>
      <c r="O250" s="20">
        <f t="shared" ca="1" si="443"/>
        <v>-2.7274055634835983E-3</v>
      </c>
      <c r="P250" s="19">
        <f t="shared" ca="1" si="449"/>
        <v>81.883832360820577</v>
      </c>
      <c r="Q250" s="19">
        <f ca="1">HCTrans(P250,Strike,RiskFreeRate,Dividend,Variance_T0*AnnualVarConvtr,(Simulation!G250)/250,0.5,Variance_Avg*AnnualVarConvtr,Lambda,SQRT(Simulation!N250),Rho,1,"Call")</f>
        <v>0.1035367661725104</v>
      </c>
      <c r="R250" s="19" t="e">
        <f t="shared" ca="1" si="444"/>
        <v>#VALUE!</v>
      </c>
      <c r="S250" s="19" t="e">
        <f t="shared" ca="1" si="445"/>
        <v>#VALUE!</v>
      </c>
      <c r="T250" s="19" t="e">
        <f t="shared" ca="1" si="450"/>
        <v>#VALUE!</v>
      </c>
      <c r="U250" s="19" t="e">
        <f t="shared" ca="1" si="451"/>
        <v>#VALUE!</v>
      </c>
      <c r="V250" s="21">
        <f t="shared" ca="1" si="452"/>
        <v>1.3169681510800709E-7</v>
      </c>
      <c r="W250">
        <f t="shared" ca="1" si="453"/>
        <v>3.6290055815334189E-4</v>
      </c>
      <c r="X250" s="22">
        <f t="shared" ref="X250" ca="1" si="563">BSdelta(1,P250,Strike,W250*AnnualVarConvtr,Dividend,RiskFreeRate,G250/250)</f>
        <v>0</v>
      </c>
      <c r="Y250" s="22">
        <f t="shared" ca="1" si="459"/>
        <v>-7.8668472228368163E-43</v>
      </c>
      <c r="Z250" s="22">
        <f t="shared" ca="1" si="460"/>
        <v>-1.2215916618587388</v>
      </c>
      <c r="AA250">
        <f t="shared" si="547"/>
        <v>0.73884103340948371</v>
      </c>
      <c r="AB250">
        <f t="shared" ref="AB250" ca="1" si="564">BSdelta(1,P250,Strike,AA250/AnnualVarConvtr,Dividend,RiskFreeRate,G250/250)</f>
        <v>3.3897394866600606E-201</v>
      </c>
      <c r="AC250">
        <f t="shared" ca="1" si="456"/>
        <v>-1.2036295269741942E-161</v>
      </c>
      <c r="AD250">
        <f t="shared" ca="1" si="457"/>
        <v>-3.4240550445290738</v>
      </c>
    </row>
    <row r="251" spans="7:30" x14ac:dyDescent="0.25">
      <c r="G251" s="19">
        <v>4</v>
      </c>
      <c r="H251" s="19">
        <f t="shared" ca="1" si="507"/>
        <v>0.64106000048205625</v>
      </c>
      <c r="I251" s="19">
        <f t="shared" ca="1" si="507"/>
        <v>0.649523234652013</v>
      </c>
      <c r="J251" s="19">
        <f t="shared" ca="1" si="441"/>
        <v>-0.5565691916733928</v>
      </c>
      <c r="K251" s="19">
        <f t="shared" ca="1" si="442"/>
        <v>-0.76124580706355283</v>
      </c>
      <c r="L251" s="19">
        <f t="array" aca="1" ref="L251:M251" ca="1">MMULT(J251:K251,TRANSPOSE($B$10:$C$11))</f>
        <v>-0.5565691916733928</v>
      </c>
      <c r="M251" s="19">
        <f ca="1"/>
        <v>-0.13225342250795619</v>
      </c>
      <c r="N251" s="20">
        <f t="shared" ca="1" si="464"/>
        <v>1.606245571572831E-2</v>
      </c>
      <c r="O251" s="20">
        <f t="shared" ca="1" si="443"/>
        <v>-4.4612353011619019E-3</v>
      </c>
      <c r="P251" s="19">
        <f t="shared" ca="1" si="449"/>
        <v>81.519342958317054</v>
      </c>
      <c r="Q251" s="19">
        <f ca="1">HCTrans(P251,Strike,RiskFreeRate,Dividend,Variance_T0*AnnualVarConvtr,(Simulation!G251)/250,0.5,Variance_Avg*AnnualVarConvtr,Lambda,SQRT(Simulation!N251),Rho,1,"Call")</f>
        <v>4.416812673144932E-2</v>
      </c>
      <c r="R251" s="19" t="e">
        <f t="shared" ca="1" si="444"/>
        <v>#VALUE!</v>
      </c>
      <c r="S251" s="19" t="e">
        <f t="shared" ca="1" si="445"/>
        <v>#VALUE!</v>
      </c>
      <c r="T251" s="19" t="e">
        <f t="shared" ca="1" si="450"/>
        <v>#VALUE!</v>
      </c>
      <c r="U251" s="19" t="e">
        <f t="shared" ca="1" si="451"/>
        <v>#VALUE!</v>
      </c>
      <c r="V251" s="21">
        <f t="shared" ca="1" si="452"/>
        <v>3.0061655592576147E-6</v>
      </c>
      <c r="W251">
        <f t="shared" ca="1" si="453"/>
        <v>1.7338297376783035E-3</v>
      </c>
      <c r="X251" s="22">
        <f t="shared" ref="X251" ca="1" si="565">BSdelta(1,P251,Strike,W251*AnnualVarConvtr,Dividend,RiskFreeRate,G251/250)</f>
        <v>0</v>
      </c>
      <c r="Y251" s="22">
        <f t="shared" ca="1" si="459"/>
        <v>0</v>
      </c>
      <c r="Z251" s="22">
        <f t="shared" ca="1" si="460"/>
        <v>-1.2809603012997999</v>
      </c>
      <c r="AA251">
        <f t="shared" si="547"/>
        <v>0.73884103340948371</v>
      </c>
      <c r="AB251">
        <f t="shared" ref="AB251" ca="1" si="566">BSdelta(1,P251,Strike,AA251/AnnualVarConvtr,Dividend,RiskFreeRate,G251/250)</f>
        <v>4.0465189102590962E-262</v>
      </c>
      <c r="AC251">
        <f t="shared" ca="1" si="456"/>
        <v>-2.7632933575239106E-199</v>
      </c>
      <c r="AD251">
        <f t="shared" ca="1" si="457"/>
        <v>-3.4834236839701349</v>
      </c>
    </row>
    <row r="252" spans="7:30" x14ac:dyDescent="0.25">
      <c r="G252" s="19">
        <v>3</v>
      </c>
      <c r="H252" s="19">
        <f t="shared" ca="1" si="507"/>
        <v>0.44519863191879105</v>
      </c>
      <c r="I252" s="19">
        <f t="shared" ca="1" si="507"/>
        <v>0.78615128690992697</v>
      </c>
      <c r="J252" s="19">
        <f t="shared" ca="1" si="441"/>
        <v>0.28649356644283713</v>
      </c>
      <c r="K252" s="19">
        <f t="shared" ca="1" si="442"/>
        <v>-1.2395123643897958</v>
      </c>
      <c r="L252" s="19">
        <f t="array" aca="1" ref="L252:M252" ca="1">MMULT(J252:K252,TRANSPOSE($B$10:$C$11))</f>
        <v>0.28649356644283713</v>
      </c>
      <c r="M252" s="19">
        <f ca="1"/>
        <v>-1.069940465307204</v>
      </c>
      <c r="N252" s="20">
        <f t="shared" ca="1" si="464"/>
        <v>1.2861730916495121E-2</v>
      </c>
      <c r="O252" s="20">
        <f t="shared" ca="1" si="443"/>
        <v>2.0549183917660451E-3</v>
      </c>
      <c r="P252" s="19">
        <f t="shared" ca="1" si="449"/>
        <v>81.687030788842492</v>
      </c>
      <c r="Q252" s="19">
        <f ca="1">HCTrans(P252,Strike,RiskFreeRate,Dividend,Variance_T0*AnnualVarConvtr,(Simulation!G252)/250,0.5,Variance_Avg*AnnualVarConvtr,Lambda,SQRT(Simulation!N252),Rho,1,"Call")</f>
        <v>1.5429548922128333E-2</v>
      </c>
      <c r="R252" s="19" t="e">
        <f t="shared" ca="1" si="444"/>
        <v>#VALUE!</v>
      </c>
      <c r="S252" s="19" t="e">
        <f t="shared" ca="1" si="445"/>
        <v>#VALUE!</v>
      </c>
      <c r="T252" s="19" t="e">
        <f t="shared" ca="1" si="450"/>
        <v>#VALUE!</v>
      </c>
      <c r="U252" s="19" t="e">
        <f t="shared" ca="1" si="451"/>
        <v>#VALUE!</v>
      </c>
      <c r="V252" s="21">
        <f t="shared" ca="1" si="452"/>
        <v>4.2460258949858521E-5</v>
      </c>
      <c r="W252">
        <f t="shared" ca="1" si="453"/>
        <v>6.516153692927947E-3</v>
      </c>
      <c r="X252" s="22">
        <f t="shared" ref="X252" ca="1" si="567">BSdelta(1,P252,Strike,W252*AnnualVarConvtr,Dividend,RiskFreeRate,G252/250)</f>
        <v>4.3830642799229319E-72</v>
      </c>
      <c r="Y252" s="22">
        <f t="shared" ca="1" si="459"/>
        <v>3.5803950678354029E-70</v>
      </c>
      <c r="Z252" s="22">
        <f t="shared" ca="1" si="460"/>
        <v>-1.3096988791091209</v>
      </c>
      <c r="AA252">
        <f t="shared" si="547"/>
        <v>0.73884103340948371</v>
      </c>
      <c r="AB252">
        <f t="shared" ref="AB252" ca="1" si="568">BSdelta(1,P252,Strike,AA252/AnnualVarConvtr,Dividend,RiskFreeRate,G252/250)</f>
        <v>0</v>
      </c>
      <c r="AC252">
        <f t="shared" ca="1" si="456"/>
        <v>-3.3054811480996813E-260</v>
      </c>
      <c r="AD252">
        <f t="shared" ca="1" si="457"/>
        <v>-3.5121622617794559</v>
      </c>
    </row>
    <row r="253" spans="7:30" x14ac:dyDescent="0.25">
      <c r="G253" s="19">
        <v>2</v>
      </c>
      <c r="H253" s="19">
        <f t="shared" ca="1" si="507"/>
        <v>0.58619250670752743</v>
      </c>
      <c r="I253" s="19">
        <f t="shared" ca="1" si="507"/>
        <v>0.80172843258817561</v>
      </c>
      <c r="J253" s="19">
        <f t="shared" ca="1" si="441"/>
        <v>0.33003874388970472</v>
      </c>
      <c r="K253" s="19">
        <f t="shared" ca="1" si="442"/>
        <v>-0.97943274131374602</v>
      </c>
      <c r="L253" s="19">
        <f t="array" aca="1" ref="L253:M253" ca="1">MMULT(J253:K253,TRANSPOSE($B$10:$C$11))</f>
        <v>0.33003874388970472</v>
      </c>
      <c r="M253" s="19">
        <f ca="1"/>
        <v>-0.91971239717024267</v>
      </c>
      <c r="N253" s="20">
        <f t="shared" ca="1" si="464"/>
        <v>1.0400473338715945E-2</v>
      </c>
      <c r="O253" s="20">
        <f t="shared" ca="1" si="443"/>
        <v>2.1287343773809492E-3</v>
      </c>
      <c r="P253" s="19">
        <f t="shared" ca="1" si="449"/>
        <v>81.86110599366998</v>
      </c>
      <c r="Q253" s="19">
        <f ca="1">HCTrans(P253,Strike,RiskFreeRate,Dividend,Variance_T0*AnnualVarConvtr,(Simulation!G253)/250,0.5,Variance_Avg*AnnualVarConvtr,Lambda,SQRT(Simulation!N253),Rho,1,"Call")</f>
        <v>2.2951662982109156E-3</v>
      </c>
      <c r="R253" s="19" t="e">
        <f t="shared" ca="1" si="444"/>
        <v>#VALUE!</v>
      </c>
      <c r="S253" s="19" t="e">
        <f t="shared" ca="1" si="445"/>
        <v>#VALUE!</v>
      </c>
      <c r="T253" s="19" t="e">
        <f t="shared" ca="1" si="450"/>
        <v>#VALUE!</v>
      </c>
      <c r="U253" s="19" t="e">
        <f t="shared" ca="1" si="451"/>
        <v>#VALUE!</v>
      </c>
      <c r="V253" s="21">
        <f t="shared" ca="1" si="452"/>
        <v>5.448799732299715E-9</v>
      </c>
      <c r="W253">
        <f t="shared" ca="1" si="453"/>
        <v>7.3815985614904007E-5</v>
      </c>
      <c r="X253" s="22">
        <f t="shared" ref="X253" ca="1" si="569">BSdelta(1,P253,Strike,W253*AnnualVarConvtr,Dividend,RiskFreeRate,G253/250)</f>
        <v>0</v>
      </c>
      <c r="Y253" s="22">
        <f t="shared" ca="1" si="459"/>
        <v>-3.5880248959583991E-70</v>
      </c>
      <c r="Z253" s="22">
        <f t="shared" ca="1" si="460"/>
        <v>-1.3228332617330383</v>
      </c>
      <c r="AA253">
        <f t="shared" si="547"/>
        <v>0.73884103340948371</v>
      </c>
      <c r="AB253">
        <f t="shared" ref="AB253" ca="1" si="570">BSdelta(1,P253,Strike,AA253/AnnualVarConvtr,Dividend,RiskFreeRate,G253/250)</f>
        <v>0</v>
      </c>
      <c r="AC253">
        <f t="shared" ca="1" si="456"/>
        <v>0</v>
      </c>
      <c r="AD253">
        <f t="shared" ca="1" si="457"/>
        <v>-3.5252966444033733</v>
      </c>
    </row>
    <row r="254" spans="7:30" x14ac:dyDescent="0.25">
      <c r="G254" s="19">
        <v>1</v>
      </c>
      <c r="H254" s="19">
        <f t="shared" ca="1" si="507"/>
        <v>0.86592823362570737</v>
      </c>
      <c r="I254" s="19">
        <f t="shared" ca="1" si="507"/>
        <v>0.18342755531423083</v>
      </c>
      <c r="J254" s="19">
        <f t="shared" ca="1" si="441"/>
        <v>0.2179521170068103</v>
      </c>
      <c r="K254" s="19">
        <f t="shared" ca="1" si="442"/>
        <v>0.4903094579992941</v>
      </c>
      <c r="L254" s="19">
        <f t="array" aca="1" ref="L254:M254" ca="1">MMULT(J254:K254,TRANSPOSE($B$10:$C$11))</f>
        <v>0.2179521170068103</v>
      </c>
      <c r="M254" s="19">
        <f ca="1"/>
        <v>0.18587085682536328</v>
      </c>
      <c r="N254" s="20">
        <f t="shared" ca="1" si="464"/>
        <v>1.0852679847527233E-2</v>
      </c>
      <c r="O254" s="20">
        <f t="shared" ca="1" si="443"/>
        <v>1.4360170064758745E-3</v>
      </c>
      <c r="P254" s="19">
        <f t="shared" ca="1" si="449"/>
        <v>81.978744379191326</v>
      </c>
      <c r="Q254" s="19">
        <f ca="1">HCTrans(P254,Strike,RiskFreeRate,Dividend,Variance_T0*AnnualVarConvtr,(Simulation!G254)/250,0.5,Variance_Avg*AnnualVarConvtr,Lambda,SQRT(Simulation!N254),Rho,1,"Call")</f>
        <v>9.5437902061235036E-5</v>
      </c>
      <c r="R254" s="19" t="e">
        <f t="shared" ca="1" si="444"/>
        <v>#VALUE!</v>
      </c>
      <c r="S254" s="19" t="e">
        <f t="shared" ca="1" si="445"/>
        <v>#VALUE!</v>
      </c>
      <c r="T254" s="19" t="e">
        <f t="shared" ca="1" si="450"/>
        <v>#VALUE!</v>
      </c>
      <c r="U254" s="19" t="e">
        <f t="shared" ca="1" si="451"/>
        <v>#VALUE!</v>
      </c>
      <c r="V254" s="21">
        <f t="shared" ca="1" si="452"/>
        <v>4.7985735595363887E-7</v>
      </c>
      <c r="W254">
        <f t="shared" ca="1" si="453"/>
        <v>6.9271737090507469E-4</v>
      </c>
      <c r="X254" s="22">
        <f t="shared" ref="X254" ca="1" si="571">BSdelta(1,P254,Strike,W254*AnnualVarConvtr,Dividend,RiskFreeRate,G254/250)</f>
        <v>0</v>
      </c>
      <c r="Y254" s="22">
        <f t="shared" ca="1" si="459"/>
        <v>0</v>
      </c>
      <c r="Z254" s="22">
        <f t="shared" ca="1" si="460"/>
        <v>-1.325032990129188</v>
      </c>
      <c r="AA254">
        <f t="shared" si="547"/>
        <v>0.73884103340948371</v>
      </c>
      <c r="AB254">
        <f t="shared" ref="AB254" ca="1" si="572">BSdelta(1,P254,Strike,AA254/AnnualVarConvtr,Dividend,RiskFreeRate,G254/250)</f>
        <v>0</v>
      </c>
      <c r="AC254">
        <f t="shared" ca="1" si="456"/>
        <v>0</v>
      </c>
      <c r="AD254">
        <f t="shared" ca="1" si="457"/>
        <v>-3.527496372799523</v>
      </c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Edwin</cp:lastModifiedBy>
  <dcterms:created xsi:type="dcterms:W3CDTF">2014-12-23T13:54:23Z</dcterms:created>
  <dcterms:modified xsi:type="dcterms:W3CDTF">2015-01-04T07:55:40Z</dcterms:modified>
</cp:coreProperties>
</file>