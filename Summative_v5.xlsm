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0" yWindow="45" windowWidth="19155" windowHeight="11820" activeTab="1"/>
  </bookViews>
  <sheets>
    <sheet name="Inputs" sheetId="4" r:id="rId1"/>
    <sheet name="Simulation" sheetId="5" r:id="rId2"/>
    <sheet name="Graph" sheetId="6" r:id="rId3"/>
  </sheets>
  <functionGroups builtInGroupCount="17"/>
  <externalReferences>
    <externalReference r:id="rId4"/>
  </externalReferences>
  <definedNames>
    <definedName name="AnnualVarConvtr" localSheetId="2">[1]Inputs!$H$4</definedName>
    <definedName name="AnnualVarConvtr" localSheetId="1">[1]Inputs!$H$4</definedName>
    <definedName name="AnnualVarConvtr">Inputs!$H$4</definedName>
    <definedName name="Dividend" localSheetId="2">[1]Inputs!$C$10</definedName>
    <definedName name="Dividend" localSheetId="1">[1]Inputs!$C$10</definedName>
    <definedName name="Dividend">Inputs!$C$10</definedName>
    <definedName name="Eta" localSheetId="2">[1]Inputs!$C$6</definedName>
    <definedName name="Eta" localSheetId="1">[1]Inputs!$C$6</definedName>
    <definedName name="Eta">Inputs!$C$6</definedName>
    <definedName name="Lambda" localSheetId="2">[1]Inputs!$C$8</definedName>
    <definedName name="Lambda" localSheetId="1">[1]Inputs!$C$8</definedName>
    <definedName name="Lambda">Inputs!$C$8</definedName>
    <definedName name="Rho" localSheetId="2">[1]Inputs!$C$7</definedName>
    <definedName name="Rho" localSheetId="1">[1]Inputs!$C$7</definedName>
    <definedName name="Rho">Inputs!$C$7</definedName>
    <definedName name="RiskFreeRate" localSheetId="2">[1]Inputs!$C$9</definedName>
    <definedName name="RiskFreeRate" localSheetId="1">[1]Inputs!$C$9</definedName>
    <definedName name="RiskFreeRate">Inputs!$C$9</definedName>
    <definedName name="StockPrice_T0">Inputs!$C$11</definedName>
    <definedName name="Strike" localSheetId="2">[1]Inputs!$C$12</definedName>
    <definedName name="Strike" localSheetId="1">[1]Inputs!$C$12</definedName>
    <definedName name="Strike">Inputs!$C$12</definedName>
    <definedName name="Variance_Avg" localSheetId="2">[1]Inputs!$C$4</definedName>
    <definedName name="Variance_Avg" localSheetId="1">[1]Inputs!$C$4</definedName>
    <definedName name="Variance_Avg">Inputs!$C$4</definedName>
    <definedName name="Variance_T0" localSheetId="2">[1]Inputs!$C$5</definedName>
    <definedName name="Variance_T0" localSheetId="1">[1]Inputs!$C$5</definedName>
    <definedName name="Variance_T0">Inputs!$C$5</definedName>
  </definedNames>
  <calcPr calcId="145621" calcMode="manual" calcCompleted="0" calcOnSave="0"/>
</workbook>
</file>

<file path=xl/calcChain.xml><?xml version="1.0" encoding="utf-8"?>
<calcChain xmlns="http://schemas.openxmlformats.org/spreadsheetml/2006/main">
  <c r="N5" i="5" l="1"/>
  <c r="I254" i="5"/>
  <c r="H254" i="5"/>
  <c r="I253" i="5"/>
  <c r="H253" i="5"/>
  <c r="I252" i="5"/>
  <c r="H252" i="5"/>
  <c r="K252" i="5" s="1"/>
  <c r="I251" i="5"/>
  <c r="H251" i="5"/>
  <c r="I250" i="5"/>
  <c r="H250" i="5"/>
  <c r="I249" i="5"/>
  <c r="H249" i="5"/>
  <c r="I248" i="5"/>
  <c r="H248" i="5"/>
  <c r="J248" i="5" s="1"/>
  <c r="I247" i="5"/>
  <c r="H247" i="5"/>
  <c r="I246" i="5"/>
  <c r="K246" i="5" s="1"/>
  <c r="H246" i="5"/>
  <c r="I245" i="5"/>
  <c r="H245" i="5"/>
  <c r="I244" i="5"/>
  <c r="H244" i="5"/>
  <c r="I243" i="5"/>
  <c r="H243" i="5"/>
  <c r="I242" i="5"/>
  <c r="H242" i="5"/>
  <c r="I241" i="5"/>
  <c r="H241" i="5"/>
  <c r="J240" i="5"/>
  <c r="I240" i="5"/>
  <c r="H240" i="5"/>
  <c r="K240" i="5" s="1"/>
  <c r="I239" i="5"/>
  <c r="H239" i="5"/>
  <c r="J239" i="5" s="1"/>
  <c r="I238" i="5"/>
  <c r="H238" i="5"/>
  <c r="J238" i="5" s="1"/>
  <c r="I237" i="5"/>
  <c r="H237" i="5"/>
  <c r="I236" i="5"/>
  <c r="H236" i="5"/>
  <c r="K236" i="5" s="1"/>
  <c r="I235" i="5"/>
  <c r="H235" i="5"/>
  <c r="I234" i="5"/>
  <c r="H234" i="5"/>
  <c r="I233" i="5"/>
  <c r="H233" i="5"/>
  <c r="I232" i="5"/>
  <c r="K232" i="5" s="1"/>
  <c r="H232" i="5"/>
  <c r="I231" i="5"/>
  <c r="H231" i="5"/>
  <c r="I230" i="5"/>
  <c r="H230" i="5"/>
  <c r="I229" i="5"/>
  <c r="H229" i="5"/>
  <c r="J228" i="5"/>
  <c r="I228" i="5"/>
  <c r="H228" i="5"/>
  <c r="I227" i="5"/>
  <c r="H227" i="5"/>
  <c r="I226" i="5"/>
  <c r="H226" i="5"/>
  <c r="I225" i="5"/>
  <c r="H225" i="5"/>
  <c r="I224" i="5"/>
  <c r="H224" i="5"/>
  <c r="I223" i="5"/>
  <c r="H223" i="5"/>
  <c r="I222" i="5"/>
  <c r="H222" i="5"/>
  <c r="K222" i="5" s="1"/>
  <c r="I221" i="5"/>
  <c r="H221" i="5"/>
  <c r="I220" i="5"/>
  <c r="H220" i="5"/>
  <c r="J220" i="5" s="1"/>
  <c r="I219" i="5"/>
  <c r="H219" i="5"/>
  <c r="I218" i="5"/>
  <c r="H218" i="5"/>
  <c r="J218" i="5" s="1"/>
  <c r="I217" i="5"/>
  <c r="H217" i="5"/>
  <c r="I216" i="5"/>
  <c r="H216" i="5"/>
  <c r="J216" i="5" s="1"/>
  <c r="I215" i="5"/>
  <c r="H215" i="5"/>
  <c r="J215" i="5" s="1"/>
  <c r="K214" i="5"/>
  <c r="J214" i="5"/>
  <c r="I214" i="5"/>
  <c r="H214" i="5"/>
  <c r="I213" i="5"/>
  <c r="H213" i="5"/>
  <c r="I212" i="5"/>
  <c r="H212" i="5"/>
  <c r="K212" i="5" s="1"/>
  <c r="I211" i="5"/>
  <c r="H211" i="5"/>
  <c r="I210" i="5"/>
  <c r="H210" i="5"/>
  <c r="I209" i="5"/>
  <c r="H209" i="5"/>
  <c r="I208" i="5"/>
  <c r="H208" i="5"/>
  <c r="I207" i="5"/>
  <c r="H207" i="5"/>
  <c r="J207" i="5" s="1"/>
  <c r="I206" i="5"/>
  <c r="H206" i="5"/>
  <c r="I205" i="5"/>
  <c r="H205" i="5"/>
  <c r="I204" i="5"/>
  <c r="H204" i="5"/>
  <c r="I203" i="5"/>
  <c r="H203" i="5"/>
  <c r="I202" i="5"/>
  <c r="H202" i="5"/>
  <c r="I201" i="5"/>
  <c r="H201" i="5"/>
  <c r="I200" i="5"/>
  <c r="H200" i="5"/>
  <c r="J200" i="5" s="1"/>
  <c r="I199" i="5"/>
  <c r="H199" i="5"/>
  <c r="I198" i="5"/>
  <c r="H198" i="5"/>
  <c r="J198" i="5" s="1"/>
  <c r="I197" i="5"/>
  <c r="H197" i="5"/>
  <c r="I196" i="5"/>
  <c r="H196" i="5"/>
  <c r="I195" i="5"/>
  <c r="H195" i="5"/>
  <c r="I194" i="5"/>
  <c r="H194" i="5"/>
  <c r="I193" i="5"/>
  <c r="H193" i="5"/>
  <c r="I192" i="5"/>
  <c r="H192" i="5"/>
  <c r="J192" i="5" s="1"/>
  <c r="I191" i="5"/>
  <c r="H191" i="5"/>
  <c r="I190" i="5"/>
  <c r="H190" i="5"/>
  <c r="I189" i="5"/>
  <c r="H189" i="5"/>
  <c r="I188" i="5"/>
  <c r="H188" i="5"/>
  <c r="K188" i="5" s="1"/>
  <c r="I187" i="5"/>
  <c r="H187" i="5"/>
  <c r="I186" i="5"/>
  <c r="H186" i="5"/>
  <c r="I185" i="5"/>
  <c r="H185" i="5"/>
  <c r="I184" i="5"/>
  <c r="H184" i="5"/>
  <c r="J184" i="5" s="1"/>
  <c r="I183" i="5"/>
  <c r="H183" i="5"/>
  <c r="I182" i="5"/>
  <c r="J182" i="5" s="1"/>
  <c r="H182" i="5"/>
  <c r="I181" i="5"/>
  <c r="H181" i="5"/>
  <c r="I180" i="5"/>
  <c r="J180" i="5" s="1"/>
  <c r="H180" i="5"/>
  <c r="I179" i="5"/>
  <c r="H179" i="5"/>
  <c r="J179" i="5" s="1"/>
  <c r="I178" i="5"/>
  <c r="H178" i="5"/>
  <c r="I177" i="5"/>
  <c r="H177" i="5"/>
  <c r="J176" i="5"/>
  <c r="I176" i="5"/>
  <c r="H176" i="5"/>
  <c r="I175" i="5"/>
  <c r="H175" i="5"/>
  <c r="J175" i="5" s="1"/>
  <c r="I174" i="5"/>
  <c r="H174" i="5"/>
  <c r="I173" i="5"/>
  <c r="H173" i="5"/>
  <c r="I172" i="5"/>
  <c r="H172" i="5"/>
  <c r="I171" i="5"/>
  <c r="H171" i="5"/>
  <c r="I170" i="5"/>
  <c r="H170" i="5"/>
  <c r="I169" i="5"/>
  <c r="H169" i="5"/>
  <c r="I168" i="5"/>
  <c r="H168" i="5"/>
  <c r="J168" i="5" s="1"/>
  <c r="I167" i="5"/>
  <c r="J167" i="5" s="1"/>
  <c r="H167" i="5"/>
  <c r="I166" i="5"/>
  <c r="H166" i="5"/>
  <c r="J166" i="5" s="1"/>
  <c r="I165" i="5"/>
  <c r="H165" i="5"/>
  <c r="I164" i="5"/>
  <c r="H164" i="5"/>
  <c r="I163" i="5"/>
  <c r="H163" i="5"/>
  <c r="J163" i="5" s="1"/>
  <c r="I162" i="5"/>
  <c r="H162" i="5"/>
  <c r="I161" i="5"/>
  <c r="H161" i="5"/>
  <c r="K160" i="5"/>
  <c r="I160" i="5"/>
  <c r="H160" i="5"/>
  <c r="J160" i="5" s="1"/>
  <c r="I159" i="5"/>
  <c r="H159" i="5"/>
  <c r="I158" i="5"/>
  <c r="H158" i="5"/>
  <c r="I157" i="5"/>
  <c r="H157" i="5"/>
  <c r="I156" i="5"/>
  <c r="H156" i="5"/>
  <c r="I155" i="5"/>
  <c r="K155" i="5" s="1"/>
  <c r="H155" i="5"/>
  <c r="I154" i="5"/>
  <c r="H154" i="5"/>
  <c r="I153" i="5"/>
  <c r="H153" i="5"/>
  <c r="I152" i="5"/>
  <c r="H152" i="5"/>
  <c r="J152" i="5" s="1"/>
  <c r="I151" i="5"/>
  <c r="J151" i="5" s="1"/>
  <c r="H151" i="5"/>
  <c r="I150" i="5"/>
  <c r="H150" i="5"/>
  <c r="K150" i="5" s="1"/>
  <c r="I149" i="5"/>
  <c r="H149" i="5"/>
  <c r="I148" i="5"/>
  <c r="H148" i="5"/>
  <c r="I147" i="5"/>
  <c r="H147" i="5"/>
  <c r="I146" i="5"/>
  <c r="H146" i="5"/>
  <c r="I145" i="5"/>
  <c r="H145" i="5"/>
  <c r="J145" i="5" s="1"/>
  <c r="J144" i="5"/>
  <c r="I144" i="5"/>
  <c r="H144" i="5"/>
  <c r="I143" i="5"/>
  <c r="H143" i="5"/>
  <c r="I142" i="5"/>
  <c r="H142" i="5"/>
  <c r="I141" i="5"/>
  <c r="H141" i="5"/>
  <c r="I140" i="5"/>
  <c r="J140" i="5" s="1"/>
  <c r="H140" i="5"/>
  <c r="I139" i="5"/>
  <c r="H139" i="5"/>
  <c r="K139" i="5" s="1"/>
  <c r="I138" i="5"/>
  <c r="H138" i="5"/>
  <c r="I137" i="5"/>
  <c r="H137" i="5"/>
  <c r="J137" i="5" s="1"/>
  <c r="I136" i="5"/>
  <c r="H136" i="5"/>
  <c r="J135" i="5"/>
  <c r="I135" i="5"/>
  <c r="H135" i="5"/>
  <c r="K135" i="5" s="1"/>
  <c r="I134" i="5"/>
  <c r="H134" i="5"/>
  <c r="I133" i="5"/>
  <c r="H133" i="5"/>
  <c r="I132" i="5"/>
  <c r="H132" i="5"/>
  <c r="I131" i="5"/>
  <c r="H131" i="5"/>
  <c r="J131" i="5" s="1"/>
  <c r="I130" i="5"/>
  <c r="H130" i="5"/>
  <c r="I129" i="5"/>
  <c r="H129" i="5"/>
  <c r="K129" i="5" s="1"/>
  <c r="I128" i="5"/>
  <c r="H128" i="5"/>
  <c r="I127" i="5"/>
  <c r="H127" i="5"/>
  <c r="J127" i="5" s="1"/>
  <c r="I126" i="5"/>
  <c r="H126" i="5"/>
  <c r="I125" i="5"/>
  <c r="H125" i="5"/>
  <c r="J125" i="5" s="1"/>
  <c r="I124" i="5"/>
  <c r="H124" i="5"/>
  <c r="I123" i="5"/>
  <c r="H123" i="5"/>
  <c r="I122" i="5"/>
  <c r="H122" i="5"/>
  <c r="I121" i="5"/>
  <c r="H121" i="5"/>
  <c r="K121" i="5" s="1"/>
  <c r="K120" i="5"/>
  <c r="I120" i="5"/>
  <c r="H120" i="5"/>
  <c r="J120" i="5" s="1"/>
  <c r="I119" i="5"/>
  <c r="H119" i="5"/>
  <c r="K119" i="5" s="1"/>
  <c r="I118" i="5"/>
  <c r="H118" i="5"/>
  <c r="I117" i="5"/>
  <c r="H117" i="5"/>
  <c r="J117" i="5" s="1"/>
  <c r="I116" i="5"/>
  <c r="H116" i="5"/>
  <c r="J116" i="5" s="1"/>
  <c r="I115" i="5"/>
  <c r="K115" i="5" s="1"/>
  <c r="H115" i="5"/>
  <c r="I114" i="5"/>
  <c r="H114" i="5"/>
  <c r="J114" i="5" s="1"/>
  <c r="I113" i="5"/>
  <c r="H113" i="5"/>
  <c r="I112" i="5"/>
  <c r="H112" i="5"/>
  <c r="J112" i="5" s="1"/>
  <c r="I111" i="5"/>
  <c r="H111" i="5"/>
  <c r="I110" i="5"/>
  <c r="H110" i="5"/>
  <c r="I109" i="5"/>
  <c r="H109" i="5"/>
  <c r="I108" i="5"/>
  <c r="H108" i="5"/>
  <c r="I107" i="5"/>
  <c r="H107" i="5"/>
  <c r="I106" i="5"/>
  <c r="H106" i="5"/>
  <c r="J105" i="5"/>
  <c r="I105" i="5"/>
  <c r="H105" i="5"/>
  <c r="K105" i="5" s="1"/>
  <c r="I104" i="5"/>
  <c r="H104" i="5"/>
  <c r="I103" i="5"/>
  <c r="H103" i="5"/>
  <c r="I102" i="5"/>
  <c r="H102" i="5"/>
  <c r="K102" i="5" s="1"/>
  <c r="I101" i="5"/>
  <c r="H101" i="5"/>
  <c r="K101" i="5" s="1"/>
  <c r="I100" i="5"/>
  <c r="H100" i="5"/>
  <c r="I99" i="5"/>
  <c r="H99" i="5"/>
  <c r="K99" i="5" s="1"/>
  <c r="I98" i="5"/>
  <c r="H98" i="5"/>
  <c r="I97" i="5"/>
  <c r="H97" i="5"/>
  <c r="I96" i="5"/>
  <c r="K96" i="5" s="1"/>
  <c r="H96" i="5"/>
  <c r="I95" i="5"/>
  <c r="H95" i="5"/>
  <c r="I94" i="5"/>
  <c r="H94" i="5"/>
  <c r="I93" i="5"/>
  <c r="H93" i="5"/>
  <c r="I92" i="5"/>
  <c r="H92" i="5"/>
  <c r="I91" i="5"/>
  <c r="H91" i="5"/>
  <c r="I90" i="5"/>
  <c r="H90" i="5"/>
  <c r="I89" i="5"/>
  <c r="H89" i="5"/>
  <c r="I88" i="5"/>
  <c r="H88" i="5"/>
  <c r="I87" i="5"/>
  <c r="H87" i="5"/>
  <c r="I86" i="5"/>
  <c r="H86" i="5"/>
  <c r="I85" i="5"/>
  <c r="H85" i="5"/>
  <c r="I84" i="5"/>
  <c r="H84" i="5"/>
  <c r="I83" i="5"/>
  <c r="H83" i="5"/>
  <c r="K83" i="5" s="1"/>
  <c r="I82" i="5"/>
  <c r="H82" i="5"/>
  <c r="I81" i="5"/>
  <c r="H81" i="5"/>
  <c r="I80" i="5"/>
  <c r="H80" i="5"/>
  <c r="I79" i="5"/>
  <c r="H79" i="5"/>
  <c r="J79" i="5" s="1"/>
  <c r="I78" i="5"/>
  <c r="H78" i="5"/>
  <c r="I77" i="5"/>
  <c r="H77" i="5"/>
  <c r="I76" i="5"/>
  <c r="H76" i="5"/>
  <c r="I75" i="5"/>
  <c r="H75" i="5"/>
  <c r="I74" i="5"/>
  <c r="H74" i="5"/>
  <c r="I73" i="5"/>
  <c r="H73" i="5"/>
  <c r="K73" i="5" s="1"/>
  <c r="I72" i="5"/>
  <c r="J72" i="5" s="1"/>
  <c r="H72" i="5"/>
  <c r="I71" i="5"/>
  <c r="H71" i="5"/>
  <c r="J71" i="5" s="1"/>
  <c r="I70" i="5"/>
  <c r="H70" i="5"/>
  <c r="I69" i="5"/>
  <c r="H69" i="5"/>
  <c r="I68" i="5"/>
  <c r="H68" i="5"/>
  <c r="I67" i="5"/>
  <c r="H67" i="5"/>
  <c r="I66" i="5"/>
  <c r="H66" i="5"/>
  <c r="I65" i="5"/>
  <c r="H65" i="5"/>
  <c r="K65" i="5" s="1"/>
  <c r="I64" i="5"/>
  <c r="H64" i="5"/>
  <c r="I63" i="5"/>
  <c r="H63" i="5"/>
  <c r="J63" i="5" s="1"/>
  <c r="I62" i="5"/>
  <c r="H62" i="5"/>
  <c r="I61" i="5"/>
  <c r="H61" i="5"/>
  <c r="I60" i="5"/>
  <c r="H60" i="5"/>
  <c r="K60" i="5" s="1"/>
  <c r="I59" i="5"/>
  <c r="H59" i="5"/>
  <c r="I58" i="5"/>
  <c r="H58" i="5"/>
  <c r="I57" i="5"/>
  <c r="H57" i="5"/>
  <c r="I56" i="5"/>
  <c r="H56" i="5"/>
  <c r="K56" i="5" s="1"/>
  <c r="I55" i="5"/>
  <c r="H55" i="5"/>
  <c r="I54" i="5"/>
  <c r="H54" i="5"/>
  <c r="I53" i="5"/>
  <c r="H53" i="5"/>
  <c r="I52" i="5"/>
  <c r="H52" i="5"/>
  <c r="I51" i="5"/>
  <c r="J51" i="5" s="1"/>
  <c r="H51" i="5"/>
  <c r="I50" i="5"/>
  <c r="H50" i="5"/>
  <c r="I49" i="5"/>
  <c r="H49" i="5"/>
  <c r="I48" i="5"/>
  <c r="H48" i="5"/>
  <c r="J48" i="5" s="1"/>
  <c r="I47" i="5"/>
  <c r="H47" i="5"/>
  <c r="I46" i="5"/>
  <c r="H46" i="5"/>
  <c r="I45" i="5"/>
  <c r="H45" i="5"/>
  <c r="I44" i="5"/>
  <c r="H44" i="5"/>
  <c r="J44" i="5" s="1"/>
  <c r="I43" i="5"/>
  <c r="H43" i="5"/>
  <c r="I42" i="5"/>
  <c r="H42" i="5"/>
  <c r="I41" i="5"/>
  <c r="H41" i="5"/>
  <c r="K41" i="5" s="1"/>
  <c r="J40" i="5"/>
  <c r="I40" i="5"/>
  <c r="H40" i="5"/>
  <c r="I39" i="5"/>
  <c r="H39" i="5"/>
  <c r="J39" i="5" s="1"/>
  <c r="I38" i="5"/>
  <c r="H38" i="5"/>
  <c r="I37" i="5"/>
  <c r="H37" i="5"/>
  <c r="I36" i="5"/>
  <c r="H36" i="5"/>
  <c r="I35" i="5"/>
  <c r="H35" i="5"/>
  <c r="I34" i="5"/>
  <c r="H34" i="5"/>
  <c r="I33" i="5"/>
  <c r="H33" i="5"/>
  <c r="K33" i="5" s="1"/>
  <c r="I32" i="5"/>
  <c r="H32" i="5"/>
  <c r="I31" i="5"/>
  <c r="H31" i="5"/>
  <c r="J31" i="5" s="1"/>
  <c r="I30" i="5"/>
  <c r="H30" i="5"/>
  <c r="I29" i="5"/>
  <c r="H29" i="5"/>
  <c r="I28" i="5"/>
  <c r="H28" i="5"/>
  <c r="K28" i="5" s="1"/>
  <c r="I27" i="5"/>
  <c r="H27" i="5"/>
  <c r="I26" i="5"/>
  <c r="H26" i="5"/>
  <c r="I25" i="5"/>
  <c r="H25" i="5"/>
  <c r="I24" i="5"/>
  <c r="H24" i="5"/>
  <c r="I23" i="5"/>
  <c r="H23" i="5"/>
  <c r="I22" i="5"/>
  <c r="H22" i="5"/>
  <c r="I21" i="5"/>
  <c r="H21" i="5"/>
  <c r="K21" i="5" s="1"/>
  <c r="I20" i="5"/>
  <c r="H20" i="5"/>
  <c r="J20" i="5" s="1"/>
  <c r="I19" i="5"/>
  <c r="H19" i="5"/>
  <c r="K19" i="5" s="1"/>
  <c r="I18" i="5"/>
  <c r="H18" i="5"/>
  <c r="I17" i="5"/>
  <c r="H17" i="5"/>
  <c r="J17" i="5" s="1"/>
  <c r="I16" i="5"/>
  <c r="H16" i="5"/>
  <c r="I15" i="5"/>
  <c r="H15" i="5"/>
  <c r="I14" i="5"/>
  <c r="H14" i="5"/>
  <c r="K14" i="5" s="1"/>
  <c r="I13" i="5"/>
  <c r="H13" i="5"/>
  <c r="I12" i="5"/>
  <c r="H12" i="5"/>
  <c r="I11" i="5"/>
  <c r="H11" i="5"/>
  <c r="I10" i="5"/>
  <c r="H10" i="5"/>
  <c r="I9" i="5"/>
  <c r="H9" i="5"/>
  <c r="K9" i="5" s="1"/>
  <c r="I8" i="5"/>
  <c r="H8" i="5"/>
  <c r="I7" i="5"/>
  <c r="H7" i="5"/>
  <c r="I6" i="5"/>
  <c r="H6" i="5"/>
  <c r="K6" i="5" s="1"/>
  <c r="B6" i="5"/>
  <c r="W5" i="5"/>
  <c r="V5" i="5"/>
  <c r="I5" i="5"/>
  <c r="H5" i="5"/>
  <c r="C5" i="4"/>
  <c r="H4" i="4"/>
  <c r="B10" i="5" a="1"/>
  <c r="Q5" i="5"/>
  <c r="R5" i="5" s="1"/>
  <c r="K17" i="5" l="1"/>
  <c r="K117" i="5"/>
  <c r="K167" i="5"/>
  <c r="K10" i="5"/>
  <c r="K57" i="5"/>
  <c r="J60" i="5"/>
  <c r="K76" i="5"/>
  <c r="L76" i="5" s="1" a="1"/>
  <c r="K111" i="5"/>
  <c r="J115" i="5"/>
  <c r="J126" i="5"/>
  <c r="J155" i="5"/>
  <c r="J199" i="5"/>
  <c r="K238" i="5"/>
  <c r="K242" i="5"/>
  <c r="J246" i="5"/>
  <c r="K137" i="5"/>
  <c r="J159" i="5"/>
  <c r="J232" i="5"/>
  <c r="K254" i="5"/>
  <c r="K93" i="5"/>
  <c r="J108" i="5"/>
  <c r="K112" i="5"/>
  <c r="J123" i="5"/>
  <c r="K152" i="5"/>
  <c r="K166" i="5"/>
  <c r="K192" i="5"/>
  <c r="J196" i="5"/>
  <c r="K12" i="5"/>
  <c r="J43" i="5"/>
  <c r="J47" i="5"/>
  <c r="K86" i="5"/>
  <c r="K94" i="5"/>
  <c r="K124" i="5"/>
  <c r="K127" i="5"/>
  <c r="K153" i="5"/>
  <c r="K163" i="5"/>
  <c r="J178" i="5"/>
  <c r="K200" i="5"/>
  <c r="K208" i="5"/>
  <c r="J222" i="5"/>
  <c r="J230" i="5"/>
  <c r="K244" i="5"/>
  <c r="J15" i="5"/>
  <c r="J132" i="5"/>
  <c r="K190" i="5"/>
  <c r="K216" i="5"/>
  <c r="K44" i="5"/>
  <c r="J75" i="5"/>
  <c r="K110" i="5"/>
  <c r="J136" i="5"/>
  <c r="K154" i="5"/>
  <c r="J161" i="5"/>
  <c r="K172" i="5"/>
  <c r="K176" i="5"/>
  <c r="K198" i="5"/>
  <c r="J202" i="5"/>
  <c r="K206" i="5"/>
  <c r="K210" i="5"/>
  <c r="K224" i="5"/>
  <c r="J190" i="5"/>
  <c r="J208" i="5"/>
  <c r="J254" i="5"/>
  <c r="J21" i="5"/>
  <c r="J28" i="5"/>
  <c r="J56" i="5"/>
  <c r="L56" i="5" s="1" a="1"/>
  <c r="K146" i="5"/>
  <c r="J172" i="5"/>
  <c r="J236" i="5"/>
  <c r="J6" i="5"/>
  <c r="J19" i="5"/>
  <c r="J36" i="5"/>
  <c r="J76" i="5"/>
  <c r="K114" i="5"/>
  <c r="J119" i="5"/>
  <c r="J121" i="5"/>
  <c r="J124" i="5"/>
  <c r="K144" i="5"/>
  <c r="J147" i="5"/>
  <c r="K184" i="5"/>
  <c r="J191" i="5"/>
  <c r="K194" i="5"/>
  <c r="J206" i="5"/>
  <c r="J212" i="5"/>
  <c r="J224" i="5"/>
  <c r="K228" i="5"/>
  <c r="K230" i="5"/>
  <c r="K248" i="5"/>
  <c r="J12" i="5"/>
  <c r="J110" i="5"/>
  <c r="K132" i="5"/>
  <c r="K175" i="5"/>
  <c r="L175" i="5" s="1" a="1"/>
  <c r="J59" i="5"/>
  <c r="J107" i="5"/>
  <c r="K116" i="5"/>
  <c r="J143" i="5"/>
  <c r="J150" i="5"/>
  <c r="K178" i="5"/>
  <c r="K80" i="5"/>
  <c r="J188" i="5"/>
  <c r="K204" i="5"/>
  <c r="J231" i="5"/>
  <c r="J234" i="5"/>
  <c r="J252" i="5"/>
  <c r="J67" i="5"/>
  <c r="J128" i="5"/>
  <c r="J158" i="5"/>
  <c r="K174" i="5"/>
  <c r="J186" i="5"/>
  <c r="J204" i="5"/>
  <c r="K220" i="5"/>
  <c r="J247" i="5"/>
  <c r="J250" i="5"/>
  <c r="J129" i="5"/>
  <c r="K68" i="5"/>
  <c r="J142" i="5"/>
  <c r="K171" i="5"/>
  <c r="K196" i="5"/>
  <c r="J223" i="5"/>
  <c r="K226" i="5"/>
  <c r="J244" i="5"/>
  <c r="K29" i="5"/>
  <c r="K113" i="5"/>
  <c r="K123" i="5"/>
  <c r="J193" i="5"/>
  <c r="K249" i="5"/>
  <c r="K143" i="5"/>
  <c r="J169" i="5"/>
  <c r="J49" i="5"/>
  <c r="K72" i="5"/>
  <c r="J109" i="5"/>
  <c r="K168" i="5"/>
  <c r="J104" i="5"/>
  <c r="K20" i="5"/>
  <c r="J138" i="5"/>
  <c r="K159" i="5"/>
  <c r="L159" i="5" s="1" a="1"/>
  <c r="J185" i="5"/>
  <c r="J225" i="5"/>
  <c r="J241" i="5"/>
  <c r="J106" i="5"/>
  <c r="J164" i="5"/>
  <c r="K182" i="5"/>
  <c r="K85" i="5"/>
  <c r="J187" i="5"/>
  <c r="L187" i="5" s="1" a="1"/>
  <c r="J227" i="5"/>
  <c r="J251" i="5"/>
  <c r="K131" i="5"/>
  <c r="K142" i="5"/>
  <c r="K186" i="5"/>
  <c r="K202" i="5"/>
  <c r="K218" i="5"/>
  <c r="K234" i="5"/>
  <c r="K250" i="5"/>
  <c r="K36" i="5"/>
  <c r="J68" i="5"/>
  <c r="L68" i="5" s="1" a="1"/>
  <c r="J111" i="5"/>
  <c r="L111" i="5" s="1" a="1"/>
  <c r="J139" i="5"/>
  <c r="K145" i="5"/>
  <c r="K147" i="5"/>
  <c r="J171" i="5"/>
  <c r="J189" i="5"/>
  <c r="J194" i="5"/>
  <c r="J197" i="5"/>
  <c r="J205" i="5"/>
  <c r="J210" i="5"/>
  <c r="J213" i="5"/>
  <c r="J221" i="5"/>
  <c r="J226" i="5"/>
  <c r="J229" i="5"/>
  <c r="J237" i="5"/>
  <c r="J242" i="5"/>
  <c r="J245" i="5"/>
  <c r="K253" i="5"/>
  <c r="K18" i="5"/>
  <c r="J64" i="5"/>
  <c r="J162" i="5"/>
  <c r="J32" i="5"/>
  <c r="K179" i="5"/>
  <c r="J201" i="5"/>
  <c r="J209" i="5"/>
  <c r="J217" i="5"/>
  <c r="J233" i="5"/>
  <c r="K35" i="5"/>
  <c r="K125" i="5"/>
  <c r="J195" i="5"/>
  <c r="J203" i="5"/>
  <c r="J211" i="5"/>
  <c r="J219" i="5"/>
  <c r="J235" i="5"/>
  <c r="J243" i="5"/>
  <c r="K88" i="5"/>
  <c r="J148" i="5"/>
  <c r="K40" i="5"/>
  <c r="K48" i="5"/>
  <c r="K128" i="5"/>
  <c r="K136" i="5"/>
  <c r="J10" i="5"/>
  <c r="L10" i="5" s="1" a="1"/>
  <c r="J13" i="5"/>
  <c r="K16" i="5"/>
  <c r="J18" i="5"/>
  <c r="J52" i="5"/>
  <c r="K91" i="5"/>
  <c r="J113" i="5"/>
  <c r="L113" i="5" s="1" a="1"/>
  <c r="K126" i="5"/>
  <c r="L126" i="5" s="1" a="1"/>
  <c r="J153" i="5"/>
  <c r="J174" i="5"/>
  <c r="J183" i="5"/>
  <c r="J5" i="5"/>
  <c r="K43" i="5"/>
  <c r="J66" i="5"/>
  <c r="J78" i="5"/>
  <c r="J57" i="5"/>
  <c r="K15" i="5"/>
  <c r="J42" i="5"/>
  <c r="J54" i="5"/>
  <c r="J74" i="5"/>
  <c r="J90" i="5"/>
  <c r="K31" i="5"/>
  <c r="J33" i="5"/>
  <c r="K53" i="5"/>
  <c r="K64" i="5"/>
  <c r="K148" i="5"/>
  <c r="K169" i="5"/>
  <c r="K205" i="5"/>
  <c r="K37" i="5"/>
  <c r="K69" i="5"/>
  <c r="K45" i="5"/>
  <c r="K63" i="5"/>
  <c r="K77" i="5"/>
  <c r="J65" i="5"/>
  <c r="K39" i="5"/>
  <c r="L39" i="5" s="1" a="1"/>
  <c r="J50" i="5"/>
  <c r="J62" i="5"/>
  <c r="K71" i="5"/>
  <c r="K104" i="5"/>
  <c r="K185" i="5"/>
  <c r="K187" i="5"/>
  <c r="K189" i="5"/>
  <c r="K191" i="5"/>
  <c r="K193" i="5"/>
  <c r="K195" i="5"/>
  <c r="K197" i="5"/>
  <c r="K199" i="5"/>
  <c r="K201" i="5"/>
  <c r="K203" i="5"/>
  <c r="K207" i="5"/>
  <c r="K209" i="5"/>
  <c r="K211" i="5"/>
  <c r="K213" i="5"/>
  <c r="K215" i="5"/>
  <c r="K217" i="5"/>
  <c r="K219" i="5"/>
  <c r="K221" i="5"/>
  <c r="K223" i="5"/>
  <c r="K225" i="5"/>
  <c r="K227" i="5"/>
  <c r="K229" i="5"/>
  <c r="K231" i="5"/>
  <c r="K233" i="5"/>
  <c r="K235" i="5"/>
  <c r="K237" i="5"/>
  <c r="K239" i="5"/>
  <c r="K241" i="5"/>
  <c r="K243" i="5"/>
  <c r="K245" i="5"/>
  <c r="K247" i="5"/>
  <c r="K251" i="5"/>
  <c r="J11" i="5"/>
  <c r="J30" i="5"/>
  <c r="K49" i="5"/>
  <c r="J73" i="5"/>
  <c r="K164" i="5"/>
  <c r="J249" i="5"/>
  <c r="J253" i="5"/>
  <c r="J46" i="5"/>
  <c r="K55" i="5"/>
  <c r="K75" i="5"/>
  <c r="L75" i="5" s="1" a="1"/>
  <c r="J34" i="5"/>
  <c r="K87" i="5"/>
  <c r="J8" i="5"/>
  <c r="J14" i="5"/>
  <c r="K32" i="5"/>
  <c r="J35" i="5"/>
  <c r="J41" i="5"/>
  <c r="K52" i="5"/>
  <c r="K95" i="5"/>
  <c r="K109" i="5"/>
  <c r="J38" i="5"/>
  <c r="K47" i="5"/>
  <c r="J55" i="5"/>
  <c r="J58" i="5"/>
  <c r="K61" i="5"/>
  <c r="K67" i="5"/>
  <c r="J70" i="5"/>
  <c r="K79" i="5"/>
  <c r="J82" i="5"/>
  <c r="J98" i="5"/>
  <c r="K106" i="5"/>
  <c r="K138" i="5"/>
  <c r="K162" i="5"/>
  <c r="AA254" i="5"/>
  <c r="AA251" i="5"/>
  <c r="AA247" i="5"/>
  <c r="AA239" i="5"/>
  <c r="AA231" i="5"/>
  <c r="AA227" i="5"/>
  <c r="AA219" i="5"/>
  <c r="AA211" i="5"/>
  <c r="AA203" i="5"/>
  <c r="AA195" i="5"/>
  <c r="AA187" i="5"/>
  <c r="AA179" i="5"/>
  <c r="AA171" i="5"/>
  <c r="AA163" i="5"/>
  <c r="AA155" i="5"/>
  <c r="AA147" i="5"/>
  <c r="AA139" i="5"/>
  <c r="AA131" i="5"/>
  <c r="AA252" i="5"/>
  <c r="AA242" i="5"/>
  <c r="AA234" i="5"/>
  <c r="AA228" i="5"/>
  <c r="AA220" i="5"/>
  <c r="AA212" i="5"/>
  <c r="AA204" i="5"/>
  <c r="AA196" i="5"/>
  <c r="AA188" i="5"/>
  <c r="AA182" i="5"/>
  <c r="AA174" i="5"/>
  <c r="AA166" i="5"/>
  <c r="AA158" i="5"/>
  <c r="AA150" i="5"/>
  <c r="AA142" i="5"/>
  <c r="AA134" i="5"/>
  <c r="AA125" i="5"/>
  <c r="AA253" i="5"/>
  <c r="AA245" i="5"/>
  <c r="AA237" i="5"/>
  <c r="AA229" i="5"/>
  <c r="AA221" i="5"/>
  <c r="AA213" i="5"/>
  <c r="AA205" i="5"/>
  <c r="AA197" i="5"/>
  <c r="AA189" i="5"/>
  <c r="AA238" i="5"/>
  <c r="AA236" i="5"/>
  <c r="AA222" i="5"/>
  <c r="AA217" i="5"/>
  <c r="AA200" i="5"/>
  <c r="AA183" i="5"/>
  <c r="AA176" i="5"/>
  <c r="AA167" i="5"/>
  <c r="AA153" i="5"/>
  <c r="AA146" i="5"/>
  <c r="AA241" i="5"/>
  <c r="AA240" i="5"/>
  <c r="AA225" i="5"/>
  <c r="AA208" i="5"/>
  <c r="AA191" i="5"/>
  <c r="AA186" i="5"/>
  <c r="AA168" i="5"/>
  <c r="AA159" i="5"/>
  <c r="AA145" i="5"/>
  <c r="AA138" i="5"/>
  <c r="AA119" i="5"/>
  <c r="AA103" i="5"/>
  <c r="AA246" i="5"/>
  <c r="AA244" i="5"/>
  <c r="AA224" i="5"/>
  <c r="AA207" i="5"/>
  <c r="AA202" i="5"/>
  <c r="AA172" i="5"/>
  <c r="AA165" i="5"/>
  <c r="AA152" i="5"/>
  <c r="AA143" i="5"/>
  <c r="AA129" i="5"/>
  <c r="AA115" i="5"/>
  <c r="AA249" i="5"/>
  <c r="AA248" i="5"/>
  <c r="AA215" i="5"/>
  <c r="AA210" i="5"/>
  <c r="AA190" i="5"/>
  <c r="AA185" i="5"/>
  <c r="AA178" i="5"/>
  <c r="AA164" i="5"/>
  <c r="AA157" i="5"/>
  <c r="AA144" i="5"/>
  <c r="AA135" i="5"/>
  <c r="AA122" i="5"/>
  <c r="AA250" i="5"/>
  <c r="AA230" i="5"/>
  <c r="AA223" i="5"/>
  <c r="AA218" i="5"/>
  <c r="AA198" i="5"/>
  <c r="AA193" i="5"/>
  <c r="AA177" i="5"/>
  <c r="AA170" i="5"/>
  <c r="AA156" i="5"/>
  <c r="AA149" i="5"/>
  <c r="AA136" i="5"/>
  <c r="AA127" i="5"/>
  <c r="AA233" i="5"/>
  <c r="AA232" i="5"/>
  <c r="AA226" i="5"/>
  <c r="AA206" i="5"/>
  <c r="AA201" i="5"/>
  <c r="AA184" i="5"/>
  <c r="AA169" i="5"/>
  <c r="AA162" i="5"/>
  <c r="AA148" i="5"/>
  <c r="AA141" i="5"/>
  <c r="AA128" i="5"/>
  <c r="AA126" i="5"/>
  <c r="AA235" i="5"/>
  <c r="AA214" i="5"/>
  <c r="AA209" i="5"/>
  <c r="AA192" i="5"/>
  <c r="AA181" i="5"/>
  <c r="AA175" i="5"/>
  <c r="AA161" i="5"/>
  <c r="AA154" i="5"/>
  <c r="AA243" i="5"/>
  <c r="AA140" i="5"/>
  <c r="AA124" i="5"/>
  <c r="AA105" i="5"/>
  <c r="AA97" i="5"/>
  <c r="AA89" i="5"/>
  <c r="AA81" i="5"/>
  <c r="AA78" i="5"/>
  <c r="AA77" i="5"/>
  <c r="AA76" i="5"/>
  <c r="AA75" i="5"/>
  <c r="AA74" i="5"/>
  <c r="AA73" i="5"/>
  <c r="AA72" i="5"/>
  <c r="AA71" i="5"/>
  <c r="AA70" i="5"/>
  <c r="AA69" i="5"/>
  <c r="AA68" i="5"/>
  <c r="AA67" i="5"/>
  <c r="AA66" i="5"/>
  <c r="AA65" i="5"/>
  <c r="AA64" i="5"/>
  <c r="AA63" i="5"/>
  <c r="AA62" i="5"/>
  <c r="AA61" i="5"/>
  <c r="AA60" i="5"/>
  <c r="AA59" i="5"/>
  <c r="AA58" i="5"/>
  <c r="AA57" i="5"/>
  <c r="AA56" i="5"/>
  <c r="AA55" i="5"/>
  <c r="AA54" i="5"/>
  <c r="AA53" i="5"/>
  <c r="AA52" i="5"/>
  <c r="AA51" i="5"/>
  <c r="AA50" i="5"/>
  <c r="AA49" i="5"/>
  <c r="AA48" i="5"/>
  <c r="AA47" i="5"/>
  <c r="AA46" i="5"/>
  <c r="AA45" i="5"/>
  <c r="AA44" i="5"/>
  <c r="AA43" i="5"/>
  <c r="AA42" i="5"/>
  <c r="AA41" i="5"/>
  <c r="AA40" i="5"/>
  <c r="AA39" i="5"/>
  <c r="AA38" i="5"/>
  <c r="AA37" i="5"/>
  <c r="AA36" i="5"/>
  <c r="AA35" i="5"/>
  <c r="AA34" i="5"/>
  <c r="AA33" i="5"/>
  <c r="AA32" i="5"/>
  <c r="AA31" i="5"/>
  <c r="AA30" i="5"/>
  <c r="AA29" i="5"/>
  <c r="AA28" i="5"/>
  <c r="AA27" i="5"/>
  <c r="AA180" i="5"/>
  <c r="AA160" i="5"/>
  <c r="AA106" i="5"/>
  <c r="AA102" i="5"/>
  <c r="AA94" i="5"/>
  <c r="AA86" i="5"/>
  <c r="AA133" i="5"/>
  <c r="AA118" i="5"/>
  <c r="AA108" i="5"/>
  <c r="AA107" i="5"/>
  <c r="AA99" i="5"/>
  <c r="AA91" i="5"/>
  <c r="AA83" i="5"/>
  <c r="AA26" i="5"/>
  <c r="AA216" i="5"/>
  <c r="AA173" i="5"/>
  <c r="AA132" i="5"/>
  <c r="AA194" i="5"/>
  <c r="AA130" i="5"/>
  <c r="AA111" i="5"/>
  <c r="AA98" i="5"/>
  <c r="AA90" i="5"/>
  <c r="AA82" i="5"/>
  <c r="AA112" i="5"/>
  <c r="AA16" i="5"/>
  <c r="AA199" i="5"/>
  <c r="AA120" i="5"/>
  <c r="AA101" i="5"/>
  <c r="AA93" i="5"/>
  <c r="AA85" i="5"/>
  <c r="AA14" i="5"/>
  <c r="AA12" i="5"/>
  <c r="AA10" i="5"/>
  <c r="AA151" i="5"/>
  <c r="AA137" i="5"/>
  <c r="AA7" i="5"/>
  <c r="AA121" i="5"/>
  <c r="AA116" i="5"/>
  <c r="AA24" i="5"/>
  <c r="AA20" i="5"/>
  <c r="AA18" i="5"/>
  <c r="AA8" i="5"/>
  <c r="AA5" i="5"/>
  <c r="AA114" i="5"/>
  <c r="AA21" i="5"/>
  <c r="AA92" i="5"/>
  <c r="AA104" i="5"/>
  <c r="AA15" i="5"/>
  <c r="AA110" i="5"/>
  <c r="AA96" i="5"/>
  <c r="AA117" i="5"/>
  <c r="AA109" i="5"/>
  <c r="AA22" i="5"/>
  <c r="AA19" i="5"/>
  <c r="AA17" i="5"/>
  <c r="AA13" i="5"/>
  <c r="AA23" i="5"/>
  <c r="AA6" i="5"/>
  <c r="AA25" i="5"/>
  <c r="AA100" i="5"/>
  <c r="AA84" i="5"/>
  <c r="AA113" i="5"/>
  <c r="AA95" i="5"/>
  <c r="AA87" i="5"/>
  <c r="AA79" i="5"/>
  <c r="AA9" i="5"/>
  <c r="AA123" i="5"/>
  <c r="AA88" i="5"/>
  <c r="AA80" i="5"/>
  <c r="AA11" i="5"/>
  <c r="C10" i="5"/>
  <c r="B11" i="5"/>
  <c r="C11" i="5"/>
  <c r="B10" i="5"/>
  <c r="B16" i="5" s="1" a="1"/>
  <c r="J103" i="5"/>
  <c r="K5" i="5"/>
  <c r="K11" i="5"/>
  <c r="K13" i="5"/>
  <c r="L13" i="5" s="1" a="1"/>
  <c r="J16" i="5"/>
  <c r="J29" i="5"/>
  <c r="K30" i="5"/>
  <c r="J37" i="5"/>
  <c r="K38" i="5"/>
  <c r="J45" i="5"/>
  <c r="K46" i="5"/>
  <c r="J53" i="5"/>
  <c r="K54" i="5"/>
  <c r="J61" i="5"/>
  <c r="K62" i="5"/>
  <c r="J69" i="5"/>
  <c r="K70" i="5"/>
  <c r="J77" i="5"/>
  <c r="K78" i="5"/>
  <c r="K82" i="5"/>
  <c r="K90" i="5"/>
  <c r="K98" i="5"/>
  <c r="K107" i="5"/>
  <c r="K122" i="5"/>
  <c r="J122" i="5"/>
  <c r="J22" i="5"/>
  <c r="K22" i="5"/>
  <c r="J25" i="5"/>
  <c r="K25" i="5"/>
  <c r="J7" i="5"/>
  <c r="K7" i="5"/>
  <c r="J9" i="5"/>
  <c r="J85" i="5"/>
  <c r="J93" i="5"/>
  <c r="J101" i="5"/>
  <c r="K103" i="5"/>
  <c r="J24" i="5"/>
  <c r="K24" i="5"/>
  <c r="J87" i="5"/>
  <c r="J95" i="5"/>
  <c r="K8" i="5"/>
  <c r="K34" i="5"/>
  <c r="K42" i="5"/>
  <c r="K50" i="5"/>
  <c r="K58" i="5"/>
  <c r="K66" i="5"/>
  <c r="K74" i="5"/>
  <c r="J23" i="5"/>
  <c r="K23" i="5"/>
  <c r="J84" i="5"/>
  <c r="K84" i="5"/>
  <c r="J92" i="5"/>
  <c r="K92" i="5"/>
  <c r="J100" i="5"/>
  <c r="K100" i="5"/>
  <c r="K118" i="5"/>
  <c r="J118" i="5"/>
  <c r="K51" i="5"/>
  <c r="K59" i="5"/>
  <c r="L59" i="5" s="1" a="1"/>
  <c r="K108" i="5"/>
  <c r="K130" i="5"/>
  <c r="J130" i="5"/>
  <c r="J27" i="5"/>
  <c r="K27" i="5"/>
  <c r="J134" i="5"/>
  <c r="K134" i="5"/>
  <c r="J26" i="5"/>
  <c r="L26" i="5" s="1" a="1"/>
  <c r="K26" i="5"/>
  <c r="J81" i="5"/>
  <c r="K81" i="5"/>
  <c r="J89" i="5"/>
  <c r="K89" i="5"/>
  <c r="J97" i="5"/>
  <c r="K97" i="5"/>
  <c r="K170" i="5"/>
  <c r="J170" i="5"/>
  <c r="J149" i="5"/>
  <c r="K149" i="5"/>
  <c r="J156" i="5"/>
  <c r="K156" i="5"/>
  <c r="J177" i="5"/>
  <c r="K177" i="5"/>
  <c r="J80" i="5"/>
  <c r="J88" i="5"/>
  <c r="J96" i="5"/>
  <c r="J83" i="5"/>
  <c r="J91" i="5"/>
  <c r="J99" i="5"/>
  <c r="L124" i="5" a="1"/>
  <c r="L129" i="5" a="1"/>
  <c r="J86" i="5"/>
  <c r="J94" i="5"/>
  <c r="J102" i="5"/>
  <c r="J173" i="5"/>
  <c r="K173" i="5"/>
  <c r="J181" i="5"/>
  <c r="K181" i="5"/>
  <c r="K140" i="5"/>
  <c r="J146" i="5"/>
  <c r="K161" i="5"/>
  <c r="J154" i="5"/>
  <c r="J133" i="5"/>
  <c r="K133" i="5"/>
  <c r="L241" i="5" a="1"/>
  <c r="J141" i="5"/>
  <c r="K141" i="5"/>
  <c r="J157" i="5"/>
  <c r="K157" i="5"/>
  <c r="K151" i="5"/>
  <c r="K158" i="5"/>
  <c r="K180" i="5"/>
  <c r="L180" i="5" s="1" a="1"/>
  <c r="K183" i="5"/>
  <c r="J165" i="5"/>
  <c r="K165" i="5"/>
  <c r="S5" i="5"/>
  <c r="AB5" i="5"/>
  <c r="L92" i="5" l="1" a="1"/>
  <c r="L54" i="5" a="1"/>
  <c r="L16" i="5" a="1"/>
  <c r="L16" i="5" s="1"/>
  <c r="L123" i="5" a="1"/>
  <c r="L123" i="5" s="1"/>
  <c r="L138" i="5" a="1"/>
  <c r="M138" i="5" s="1"/>
  <c r="L233" i="5" a="1"/>
  <c r="M233" i="5" s="1"/>
  <c r="L178" i="5" a="1"/>
  <c r="M178" i="5" s="1"/>
  <c r="L78" i="5" a="1"/>
  <c r="C17" i="5"/>
  <c r="B16" i="5"/>
  <c r="C16" i="5"/>
  <c r="B17" i="5"/>
  <c r="L151" i="5" a="1"/>
  <c r="L151" i="5" s="1"/>
  <c r="L135" i="5" a="1"/>
  <c r="L135" i="5" s="1"/>
  <c r="L81" i="5" a="1"/>
  <c r="L81" i="5" s="1"/>
  <c r="L100" i="5" a="1"/>
  <c r="L229" i="5" a="1"/>
  <c r="L46" i="5" a="1"/>
  <c r="L46" i="5" s="1"/>
  <c r="L11" i="5" a="1"/>
  <c r="M11" i="5" s="1"/>
  <c r="L36" i="5" a="1"/>
  <c r="L154" i="5" a="1"/>
  <c r="L154" i="5" s="1"/>
  <c r="L108" i="5" a="1"/>
  <c r="L108" i="5" s="1"/>
  <c r="L43" i="5" a="1"/>
  <c r="M43" i="5" s="1"/>
  <c r="L5" i="5" a="1"/>
  <c r="L53" i="5" a="1"/>
  <c r="L218" i="5" a="1"/>
  <c r="M218" i="5" s="1"/>
  <c r="L51" i="5" a="1"/>
  <c r="L24" i="5" a="1"/>
  <c r="L24" i="5" s="1"/>
  <c r="L21" i="5" a="1"/>
  <c r="L21" i="5" s="1"/>
  <c r="L65" i="5" a="1"/>
  <c r="M65" i="5" s="1"/>
  <c r="L249" i="5" a="1"/>
  <c r="M249" i="5" s="1"/>
  <c r="L25" i="5" a="1"/>
  <c r="L153" i="5" a="1"/>
  <c r="L153" i="5" s="1"/>
  <c r="L70" i="5" a="1"/>
  <c r="M70" i="5" s="1"/>
  <c r="L141" i="5" a="1"/>
  <c r="L140" i="5" a="1"/>
  <c r="L140" i="5" s="1"/>
  <c r="L40" i="5" a="1"/>
  <c r="L40" i="5" s="1"/>
  <c r="L30" i="5" a="1"/>
  <c r="L30" i="5" s="1"/>
  <c r="L221" i="5" a="1"/>
  <c r="L221" i="5" s="1"/>
  <c r="L58" i="5" a="1"/>
  <c r="M58" i="5" s="1"/>
  <c r="L22" i="5" a="1"/>
  <c r="L22" i="5" s="1"/>
  <c r="L34" i="5" a="1"/>
  <c r="M34" i="5" s="1"/>
  <c r="L38" i="5" a="1"/>
  <c r="L38" i="5" s="1"/>
  <c r="L42" i="5" a="1"/>
  <c r="L42" i="5" s="1"/>
  <c r="L134" i="5" a="1"/>
  <c r="L134" i="5" s="1"/>
  <c r="L82" i="5" a="1"/>
  <c r="M82" i="5" s="1"/>
  <c r="L98" i="5" a="1"/>
  <c r="M98" i="5" s="1"/>
  <c r="L90" i="5" a="1"/>
  <c r="M90" i="5" s="1"/>
  <c r="L50" i="5" a="1"/>
  <c r="M50" i="5" s="1"/>
  <c r="L62" i="5" a="1"/>
  <c r="M62" i="5" s="1"/>
  <c r="L31" i="5" a="1"/>
  <c r="T5" i="5"/>
  <c r="U5" i="5" s="1"/>
  <c r="AC5" i="5"/>
  <c r="AD5" i="5" s="1"/>
  <c r="L31" i="5"/>
  <c r="M31" i="5"/>
  <c r="L180" i="5"/>
  <c r="M180" i="5"/>
  <c r="L51" i="5"/>
  <c r="M51" i="5"/>
  <c r="L78" i="5"/>
  <c r="M78" i="5"/>
  <c r="L11" i="5"/>
  <c r="L13" i="5"/>
  <c r="M13" i="5"/>
  <c r="L54" i="5"/>
  <c r="M54" i="5"/>
  <c r="M42" i="5"/>
  <c r="M40" i="5"/>
  <c r="L159" i="5"/>
  <c r="M159" i="5"/>
  <c r="L76" i="5"/>
  <c r="M76" i="5"/>
  <c r="L59" i="5"/>
  <c r="M59" i="5"/>
  <c r="M187" i="5"/>
  <c r="L187" i="5"/>
  <c r="M153" i="5"/>
  <c r="L170" i="5" a="1"/>
  <c r="L15" i="5" a="1"/>
  <c r="L68" i="5"/>
  <c r="M68" i="5"/>
  <c r="L56" i="5"/>
  <c r="M56" i="5"/>
  <c r="L126" i="5"/>
  <c r="M126" i="5"/>
  <c r="L175" i="5"/>
  <c r="M175" i="5"/>
  <c r="L25" i="5"/>
  <c r="M25" i="5"/>
  <c r="M140" i="5"/>
  <c r="L213" i="5" a="1"/>
  <c r="L188" i="5" a="1"/>
  <c r="L228" i="5" a="1"/>
  <c r="L41" i="5" a="1"/>
  <c r="L89" i="5" a="1"/>
  <c r="L33" i="5" a="1"/>
  <c r="L241" i="5"/>
  <c r="M241" i="5"/>
  <c r="M151" i="5"/>
  <c r="M129" i="5"/>
  <c r="L129" i="5"/>
  <c r="L70" i="5"/>
  <c r="L39" i="5"/>
  <c r="M39" i="5"/>
  <c r="M16" i="5"/>
  <c r="M38" i="5"/>
  <c r="L254" i="5" a="1"/>
  <c r="L244" i="5" a="1"/>
  <c r="L236" i="5" a="1"/>
  <c r="L222" i="5" a="1"/>
  <c r="L214" i="5" a="1"/>
  <c r="L206" i="5" a="1"/>
  <c r="L198" i="5" a="1"/>
  <c r="L190" i="5" a="1"/>
  <c r="L247" i="5" a="1"/>
  <c r="L239" i="5" a="1"/>
  <c r="L231" i="5" a="1"/>
  <c r="L223" i="5" a="1"/>
  <c r="L215" i="5" a="1"/>
  <c r="L207" i="5" a="1"/>
  <c r="L199" i="5" a="1"/>
  <c r="L191" i="5" a="1"/>
  <c r="L246" i="5" a="1"/>
  <c r="L245" i="5" a="1"/>
  <c r="L209" i="5" a="1"/>
  <c r="L203" i="5" a="1"/>
  <c r="L192" i="5" a="1"/>
  <c r="L160" i="5" a="1"/>
  <c r="L139" i="5" a="1"/>
  <c r="L253" i="5" a="1"/>
  <c r="L250" i="5" a="1"/>
  <c r="L217" i="5" a="1"/>
  <c r="L200" i="5" a="1"/>
  <c r="L152" i="5" a="1"/>
  <c r="L234" i="5" a="1"/>
  <c r="L232" i="5" a="1"/>
  <c r="L227" i="5" a="1"/>
  <c r="L216" i="5" a="1"/>
  <c r="L204" i="5" a="1"/>
  <c r="L194" i="5" a="1"/>
  <c r="L179" i="5" a="1"/>
  <c r="L136" i="5" a="1"/>
  <c r="L114" i="5" a="1"/>
  <c r="L235" i="5" a="1"/>
  <c r="L224" i="5" a="1"/>
  <c r="L212" i="5" a="1"/>
  <c r="L202" i="5" a="1"/>
  <c r="L171" i="5" a="1"/>
  <c r="L164" i="5" a="1"/>
  <c r="L142" i="5" a="1"/>
  <c r="L128" i="5" a="1"/>
  <c r="L127" i="5" a="1"/>
  <c r="L121" i="5" a="1"/>
  <c r="L238" i="5" a="1"/>
  <c r="L237" i="5" a="1"/>
  <c r="L220" i="5" a="1"/>
  <c r="L210" i="5" a="1"/>
  <c r="L185" i="5" a="1"/>
  <c r="L182" i="5" a="1"/>
  <c r="L163" i="5" a="1"/>
  <c r="L242" i="5" a="1"/>
  <c r="L193" i="5" a="1"/>
  <c r="L176" i="5" a="1"/>
  <c r="L243" i="5" a="1"/>
  <c r="L226" i="5" a="1"/>
  <c r="L201" i="5" a="1"/>
  <c r="L195" i="5" a="1"/>
  <c r="L184" i="5" a="1"/>
  <c r="L168" i="5" a="1"/>
  <c r="L251" i="5" a="1"/>
  <c r="L225" i="5" a="1"/>
  <c r="L230" i="5" a="1"/>
  <c r="L147" i="5" a="1"/>
  <c r="L219" i="5" a="1"/>
  <c r="L208" i="5" a="1"/>
  <c r="L117" i="5" a="1"/>
  <c r="L116" i="5" a="1"/>
  <c r="L109" i="5" a="1"/>
  <c r="L137" i="5" a="1"/>
  <c r="L186" i="5" a="1"/>
  <c r="L158" i="5" a="1"/>
  <c r="L252" i="5" a="1"/>
  <c r="L144" i="5" a="1"/>
  <c r="L107" i="5" a="1"/>
  <c r="L102" i="5" a="1"/>
  <c r="L94" i="5" a="1"/>
  <c r="L86" i="5" a="1"/>
  <c r="L88" i="5" a="1"/>
  <c r="L125" i="5" a="1"/>
  <c r="L9" i="5" a="1"/>
  <c r="L115" i="5" a="1"/>
  <c r="L6" i="5" a="1"/>
  <c r="L196" i="5" a="1"/>
  <c r="L96" i="5" a="1"/>
  <c r="L106" i="5" a="1"/>
  <c r="L104" i="5" a="1"/>
  <c r="L112" i="5" a="1"/>
  <c r="L80" i="5" a="1"/>
  <c r="L14" i="5" a="1"/>
  <c r="L110" i="5" a="1"/>
  <c r="L8" i="5" a="1"/>
  <c r="L181" i="5" a="1"/>
  <c r="L131" i="5" a="1"/>
  <c r="L133" i="5" a="1"/>
  <c r="L169" i="5" a="1"/>
  <c r="L248" i="5" a="1"/>
  <c r="L72" i="5" a="1"/>
  <c r="L67" i="5" a="1"/>
  <c r="L18" i="5" a="1"/>
  <c r="L83" i="5" a="1"/>
  <c r="L44" i="5" a="1"/>
  <c r="L118" i="5" a="1"/>
  <c r="L87" i="5" a="1"/>
  <c r="L85" i="5" a="1"/>
  <c r="L63" i="5" a="1"/>
  <c r="L172" i="5" a="1"/>
  <c r="L69" i="5" a="1"/>
  <c r="L37" i="5" a="1"/>
  <c r="L103" i="5" a="1"/>
  <c r="L73" i="5" a="1"/>
  <c r="L120" i="5" a="1"/>
  <c r="L20" i="5" a="1"/>
  <c r="L124" i="5"/>
  <c r="M124" i="5"/>
  <c r="L92" i="5"/>
  <c r="M92" i="5"/>
  <c r="L229" i="5"/>
  <c r="M229" i="5"/>
  <c r="L113" i="5"/>
  <c r="M113" i="5"/>
  <c r="L111" i="5"/>
  <c r="M111" i="5"/>
  <c r="L36" i="5"/>
  <c r="M36" i="5"/>
  <c r="L65" i="5"/>
  <c r="L197" i="5" a="1"/>
  <c r="L166" i="5" a="1"/>
  <c r="L174" i="5" a="1"/>
  <c r="L61" i="5" a="1"/>
  <c r="L74" i="5" a="1"/>
  <c r="L155" i="5" a="1"/>
  <c r="L177" i="5" a="1"/>
  <c r="L64" i="5" a="1"/>
  <c r="L211" i="5" a="1"/>
  <c r="L149" i="5" a="1"/>
  <c r="L146" i="5" a="1"/>
  <c r="L240" i="5" a="1"/>
  <c r="L161" i="5" a="1"/>
  <c r="L52" i="5" a="1"/>
  <c r="L130" i="5" a="1"/>
  <c r="L95" i="5" a="1"/>
  <c r="L167" i="5" a="1"/>
  <c r="L26" i="5"/>
  <c r="M26" i="5"/>
  <c r="L75" i="5"/>
  <c r="M75" i="5"/>
  <c r="L141" i="5"/>
  <c r="M141" i="5"/>
  <c r="L53" i="5"/>
  <c r="M53" i="5"/>
  <c r="L10" i="5"/>
  <c r="M10" i="5"/>
  <c r="L100" i="5"/>
  <c r="M100" i="5"/>
  <c r="L165" i="5" a="1"/>
  <c r="L150" i="5" a="1"/>
  <c r="L32" i="5" a="1"/>
  <c r="L29" i="5" a="1"/>
  <c r="L157" i="5" a="1"/>
  <c r="L145" i="5" a="1"/>
  <c r="L28" i="5" a="1"/>
  <c r="L23" i="5" a="1"/>
  <c r="L55" i="5" a="1"/>
  <c r="L47" i="5" a="1"/>
  <c r="L189" i="5" a="1"/>
  <c r="L35" i="5" a="1"/>
  <c r="L162" i="5" a="1"/>
  <c r="L173" i="5" a="1"/>
  <c r="L91" i="5" a="1"/>
  <c r="L97" i="5" a="1"/>
  <c r="L143" i="5" a="1"/>
  <c r="L71" i="5" a="1"/>
  <c r="L84" i="5" a="1"/>
  <c r="L119" i="5" a="1"/>
  <c r="L93" i="5" a="1"/>
  <c r="L7" i="5" a="1"/>
  <c r="L12" i="5" a="1"/>
  <c r="L17" i="5" a="1"/>
  <c r="L57" i="5" a="1"/>
  <c r="L205" i="5" a="1"/>
  <c r="L99" i="5" a="1"/>
  <c r="L183" i="5" a="1"/>
  <c r="L156" i="5" a="1"/>
  <c r="L60" i="5" a="1"/>
  <c r="L148" i="5" a="1"/>
  <c r="L27" i="5" a="1"/>
  <c r="L79" i="5" a="1"/>
  <c r="L132" i="5" a="1"/>
  <c r="L101" i="5" a="1"/>
  <c r="L48" i="5" a="1"/>
  <c r="L122" i="5" a="1"/>
  <c r="L77" i="5" a="1"/>
  <c r="L45" i="5" a="1"/>
  <c r="L66" i="5" a="1"/>
  <c r="L19" i="5" a="1"/>
  <c r="L105" i="5" a="1"/>
  <c r="L49" i="5" a="1"/>
  <c r="L43" i="5" l="1"/>
  <c r="M123" i="5"/>
  <c r="M24" i="5"/>
  <c r="M81" i="5"/>
  <c r="L233" i="5"/>
  <c r="L178" i="5"/>
  <c r="L138" i="5"/>
  <c r="M21" i="5"/>
  <c r="M135" i="5"/>
  <c r="L249" i="5"/>
  <c r="L50" i="5"/>
  <c r="M221" i="5"/>
  <c r="M30" i="5"/>
  <c r="M154" i="5"/>
  <c r="L218" i="5"/>
  <c r="M108" i="5"/>
  <c r="M46" i="5"/>
  <c r="M5" i="5"/>
  <c r="L5" i="5"/>
  <c r="L58" i="5"/>
  <c r="L90" i="5"/>
  <c r="M134" i="5"/>
  <c r="L34" i="5"/>
  <c r="L62" i="5"/>
  <c r="M22" i="5"/>
  <c r="L82" i="5"/>
  <c r="L98" i="5"/>
  <c r="L66" i="5"/>
  <c r="M66" i="5"/>
  <c r="M211" i="5"/>
  <c r="L211" i="5"/>
  <c r="L197" i="5"/>
  <c r="M197" i="5"/>
  <c r="L69" i="5"/>
  <c r="M69" i="5"/>
  <c r="M18" i="5"/>
  <c r="L18" i="5"/>
  <c r="M8" i="5"/>
  <c r="L8" i="5"/>
  <c r="L196" i="5"/>
  <c r="M196" i="5"/>
  <c r="L102" i="5"/>
  <c r="M102" i="5"/>
  <c r="L116" i="5"/>
  <c r="M116" i="5"/>
  <c r="L168" i="5"/>
  <c r="M168" i="5"/>
  <c r="L242" i="5"/>
  <c r="M242" i="5"/>
  <c r="M121" i="5"/>
  <c r="L121" i="5"/>
  <c r="L224" i="5"/>
  <c r="M224" i="5"/>
  <c r="M227" i="5"/>
  <c r="L227" i="5"/>
  <c r="L139" i="5"/>
  <c r="M139" i="5"/>
  <c r="L199" i="5"/>
  <c r="M199" i="5"/>
  <c r="L198" i="5"/>
  <c r="M198" i="5"/>
  <c r="L213" i="5"/>
  <c r="M213" i="5"/>
  <c r="M181" i="5"/>
  <c r="L181" i="5"/>
  <c r="L253" i="5"/>
  <c r="M253" i="5"/>
  <c r="L150" i="5"/>
  <c r="M150" i="5"/>
  <c r="L103" i="5"/>
  <c r="M103" i="5"/>
  <c r="M137" i="5"/>
  <c r="L137" i="5"/>
  <c r="L202" i="5"/>
  <c r="M202" i="5"/>
  <c r="L246" i="5"/>
  <c r="M246" i="5"/>
  <c r="L228" i="5"/>
  <c r="M228" i="5"/>
  <c r="L97" i="5"/>
  <c r="M97" i="5"/>
  <c r="M165" i="5"/>
  <c r="L165" i="5"/>
  <c r="L212" i="5"/>
  <c r="M212" i="5"/>
  <c r="L104" i="5"/>
  <c r="M104" i="5"/>
  <c r="L23" i="5"/>
  <c r="M23" i="5"/>
  <c r="L57" i="5"/>
  <c r="M57" i="5"/>
  <c r="L37" i="5"/>
  <c r="M37" i="5"/>
  <c r="L251" i="5"/>
  <c r="M251" i="5"/>
  <c r="L190" i="5"/>
  <c r="M190" i="5"/>
  <c r="L174" i="5"/>
  <c r="M174" i="5"/>
  <c r="L247" i="5"/>
  <c r="M247" i="5"/>
  <c r="L27" i="5"/>
  <c r="M27" i="5"/>
  <c r="L55" i="5"/>
  <c r="M55" i="5"/>
  <c r="M166" i="5"/>
  <c r="L166" i="5"/>
  <c r="L96" i="5"/>
  <c r="M96" i="5"/>
  <c r="M193" i="5"/>
  <c r="L193" i="5"/>
  <c r="L191" i="5"/>
  <c r="M191" i="5"/>
  <c r="L132" i="5"/>
  <c r="M132" i="5"/>
  <c r="L71" i="5"/>
  <c r="M71" i="5"/>
  <c r="L44" i="5"/>
  <c r="M44" i="5"/>
  <c r="L86" i="5"/>
  <c r="M86" i="5"/>
  <c r="M176" i="5"/>
  <c r="L176" i="5"/>
  <c r="L250" i="5"/>
  <c r="M250" i="5"/>
  <c r="M101" i="5"/>
  <c r="L101" i="5"/>
  <c r="L189" i="5"/>
  <c r="M189" i="5"/>
  <c r="L61" i="5"/>
  <c r="M61" i="5"/>
  <c r="L133" i="5"/>
  <c r="M133" i="5"/>
  <c r="L230" i="5"/>
  <c r="M230" i="5"/>
  <c r="L171" i="5"/>
  <c r="M171" i="5"/>
  <c r="L245" i="5"/>
  <c r="M245" i="5"/>
  <c r="L41" i="5"/>
  <c r="M41" i="5"/>
  <c r="L48" i="5"/>
  <c r="M48" i="5"/>
  <c r="L35" i="5"/>
  <c r="M35" i="5"/>
  <c r="L74" i="5"/>
  <c r="M74" i="5"/>
  <c r="L87" i="5"/>
  <c r="M87" i="5"/>
  <c r="L125" i="5"/>
  <c r="M125" i="5"/>
  <c r="L226" i="5"/>
  <c r="M226" i="5"/>
  <c r="L179" i="5"/>
  <c r="M179" i="5"/>
  <c r="L231" i="5"/>
  <c r="M231" i="5"/>
  <c r="L170" i="5"/>
  <c r="M170" i="5"/>
  <c r="M122" i="5"/>
  <c r="L122" i="5"/>
  <c r="L162" i="5"/>
  <c r="M162" i="5"/>
  <c r="M20" i="5"/>
  <c r="L20" i="5"/>
  <c r="M85" i="5"/>
  <c r="L85" i="5"/>
  <c r="L248" i="5"/>
  <c r="M248" i="5"/>
  <c r="L80" i="5"/>
  <c r="M80" i="5"/>
  <c r="L9" i="5"/>
  <c r="M9" i="5"/>
  <c r="L252" i="5"/>
  <c r="M252" i="5"/>
  <c r="M219" i="5"/>
  <c r="L219" i="5"/>
  <c r="L201" i="5"/>
  <c r="M201" i="5"/>
  <c r="L185" i="5"/>
  <c r="M185" i="5"/>
  <c r="L142" i="5"/>
  <c r="M142" i="5"/>
  <c r="L136" i="5"/>
  <c r="M136" i="5"/>
  <c r="M152" i="5"/>
  <c r="L152" i="5"/>
  <c r="M203" i="5"/>
  <c r="L203" i="5"/>
  <c r="M223" i="5"/>
  <c r="L223" i="5"/>
  <c r="L222" i="5"/>
  <c r="M222" i="5"/>
  <c r="L33" i="5"/>
  <c r="M33" i="5"/>
  <c r="M15" i="5"/>
  <c r="L15" i="5"/>
  <c r="M17" i="5"/>
  <c r="L17" i="5"/>
  <c r="L79" i="5"/>
  <c r="M79" i="5"/>
  <c r="L149" i="5"/>
  <c r="M149" i="5"/>
  <c r="L94" i="5"/>
  <c r="M94" i="5"/>
  <c r="L238" i="5"/>
  <c r="M238" i="5"/>
  <c r="L188" i="5"/>
  <c r="M188" i="5"/>
  <c r="L19" i="5"/>
  <c r="M19" i="5"/>
  <c r="L47" i="5"/>
  <c r="M47" i="5"/>
  <c r="M131" i="5"/>
  <c r="L131" i="5"/>
  <c r="L225" i="5"/>
  <c r="M225" i="5"/>
  <c r="L204" i="5"/>
  <c r="M204" i="5"/>
  <c r="M99" i="5"/>
  <c r="L99" i="5"/>
  <c r="L32" i="5"/>
  <c r="M32" i="5"/>
  <c r="L73" i="5"/>
  <c r="M73" i="5"/>
  <c r="L88" i="5"/>
  <c r="M88" i="5"/>
  <c r="L243" i="5"/>
  <c r="M243" i="5"/>
  <c r="L194" i="5"/>
  <c r="M194" i="5"/>
  <c r="L239" i="5"/>
  <c r="M239" i="5"/>
  <c r="L49" i="5"/>
  <c r="M49" i="5"/>
  <c r="L119" i="5"/>
  <c r="M119" i="5"/>
  <c r="M161" i="5"/>
  <c r="L161" i="5"/>
  <c r="M169" i="5"/>
  <c r="L169" i="5"/>
  <c r="L158" i="5"/>
  <c r="M158" i="5"/>
  <c r="L210" i="5"/>
  <c r="M210" i="5"/>
  <c r="M200" i="5"/>
  <c r="L200" i="5"/>
  <c r="L236" i="5"/>
  <c r="M236" i="5"/>
  <c r="L156" i="5"/>
  <c r="M156" i="5"/>
  <c r="L157" i="5"/>
  <c r="M157" i="5"/>
  <c r="L52" i="5"/>
  <c r="M52" i="5"/>
  <c r="L60" i="5"/>
  <c r="M60" i="5"/>
  <c r="M145" i="5"/>
  <c r="L145" i="5"/>
  <c r="M177" i="5"/>
  <c r="L177" i="5"/>
  <c r="L72" i="5"/>
  <c r="M72" i="5"/>
  <c r="L115" i="5"/>
  <c r="M115" i="5"/>
  <c r="L144" i="5"/>
  <c r="M144" i="5"/>
  <c r="M195" i="5"/>
  <c r="L195" i="5"/>
  <c r="L182" i="5"/>
  <c r="M182" i="5"/>
  <c r="L128" i="5"/>
  <c r="M128" i="5"/>
  <c r="L114" i="5"/>
  <c r="M114" i="5"/>
  <c r="L234" i="5"/>
  <c r="M234" i="5"/>
  <c r="L192" i="5"/>
  <c r="M192" i="5"/>
  <c r="L215" i="5"/>
  <c r="M215" i="5"/>
  <c r="L214" i="5"/>
  <c r="M214" i="5"/>
  <c r="L167" i="5"/>
  <c r="M167" i="5"/>
  <c r="L143" i="5"/>
  <c r="M143" i="5"/>
  <c r="M83" i="5"/>
  <c r="L83" i="5"/>
  <c r="M109" i="5"/>
  <c r="L109" i="5"/>
  <c r="L216" i="5"/>
  <c r="M216" i="5"/>
  <c r="L205" i="5"/>
  <c r="M205" i="5"/>
  <c r="M146" i="5"/>
  <c r="L146" i="5"/>
  <c r="M106" i="5"/>
  <c r="L106" i="5"/>
  <c r="L237" i="5"/>
  <c r="M237" i="5"/>
  <c r="L254" i="5"/>
  <c r="M254" i="5"/>
  <c r="L105" i="5"/>
  <c r="M105" i="5"/>
  <c r="L84" i="5"/>
  <c r="M84" i="5"/>
  <c r="L240" i="5"/>
  <c r="M240" i="5"/>
  <c r="M118" i="5"/>
  <c r="L118" i="5"/>
  <c r="L186" i="5"/>
  <c r="M186" i="5"/>
  <c r="L220" i="5"/>
  <c r="M220" i="5"/>
  <c r="M217" i="5"/>
  <c r="L217" i="5"/>
  <c r="L244" i="5"/>
  <c r="M244" i="5"/>
  <c r="L183" i="5"/>
  <c r="M183" i="5"/>
  <c r="L29" i="5"/>
  <c r="M29" i="5"/>
  <c r="L120" i="5"/>
  <c r="M120" i="5"/>
  <c r="M112" i="5"/>
  <c r="L112" i="5"/>
  <c r="L147" i="5"/>
  <c r="M147" i="5"/>
  <c r="L164" i="5"/>
  <c r="M164" i="5"/>
  <c r="L209" i="5"/>
  <c r="M209" i="5"/>
  <c r="L89" i="5"/>
  <c r="M89" i="5"/>
  <c r="M93" i="5"/>
  <c r="L93" i="5"/>
  <c r="M155" i="5"/>
  <c r="L155" i="5"/>
  <c r="L77" i="5"/>
  <c r="M77" i="5"/>
  <c r="M7" i="5"/>
  <c r="L7" i="5"/>
  <c r="L173" i="5"/>
  <c r="M173" i="5"/>
  <c r="L130" i="5"/>
  <c r="M130" i="5"/>
  <c r="L63" i="5"/>
  <c r="M63" i="5"/>
  <c r="M14" i="5"/>
  <c r="L14" i="5"/>
  <c r="L208" i="5"/>
  <c r="M208" i="5"/>
  <c r="L45" i="5"/>
  <c r="M45" i="5"/>
  <c r="L148" i="5"/>
  <c r="M148" i="5"/>
  <c r="M12" i="5"/>
  <c r="L12" i="5"/>
  <c r="M91" i="5"/>
  <c r="L91" i="5"/>
  <c r="L28" i="5"/>
  <c r="M28" i="5"/>
  <c r="L95" i="5"/>
  <c r="M95" i="5"/>
  <c r="L64" i="5"/>
  <c r="M64" i="5"/>
  <c r="L172" i="5"/>
  <c r="M172" i="5"/>
  <c r="L67" i="5"/>
  <c r="M67" i="5"/>
  <c r="M110" i="5"/>
  <c r="L110" i="5"/>
  <c r="M6" i="5"/>
  <c r="L6" i="5"/>
  <c r="L107" i="5"/>
  <c r="M107" i="5"/>
  <c r="L117" i="5"/>
  <c r="M117" i="5"/>
  <c r="L184" i="5"/>
  <c r="M184" i="5"/>
  <c r="L163" i="5"/>
  <c r="M163" i="5"/>
  <c r="L127" i="5"/>
  <c r="M127" i="5"/>
  <c r="L235" i="5"/>
  <c r="M235" i="5"/>
  <c r="L232" i="5"/>
  <c r="M232" i="5"/>
  <c r="L160" i="5"/>
  <c r="M160" i="5"/>
  <c r="L207" i="5"/>
  <c r="M207" i="5"/>
  <c r="L206" i="5"/>
  <c r="M206" i="5"/>
  <c r="N6" i="5"/>
  <c r="O6" i="5"/>
  <c r="N7" i="5"/>
  <c r="O7" i="5"/>
  <c r="N8" i="5"/>
  <c r="N9" i="5"/>
  <c r="O8" i="5"/>
  <c r="O9" i="5"/>
  <c r="N10" i="5"/>
  <c r="N11" i="5"/>
  <c r="O10" i="5"/>
  <c r="N12" i="5"/>
  <c r="O11" i="5"/>
  <c r="O12" i="5"/>
  <c r="N13" i="5"/>
  <c r="N14" i="5"/>
  <c r="O13" i="5"/>
  <c r="O14" i="5"/>
  <c r="N15" i="5"/>
  <c r="O15" i="5"/>
  <c r="N16" i="5"/>
  <c r="N17" i="5"/>
  <c r="O16" i="5"/>
  <c r="O17" i="5"/>
  <c r="N18" i="5"/>
  <c r="O18" i="5"/>
  <c r="N19" i="5"/>
  <c r="N20" i="5"/>
  <c r="O19" i="5"/>
  <c r="O20" i="5"/>
  <c r="N21" i="5"/>
  <c r="N22" i="5"/>
  <c r="O21" i="5"/>
  <c r="N23" i="5"/>
  <c r="O22" i="5"/>
  <c r="O23" i="5"/>
  <c r="N24" i="5"/>
  <c r="O24" i="5"/>
  <c r="N25" i="5"/>
  <c r="N26" i="5"/>
  <c r="O25" i="5"/>
  <c r="N27" i="5"/>
  <c r="O26" i="5"/>
  <c r="O27" i="5"/>
  <c r="N28" i="5"/>
  <c r="N29" i="5"/>
  <c r="O28" i="5"/>
  <c r="N30" i="5"/>
  <c r="O29" i="5"/>
  <c r="O30" i="5"/>
  <c r="N31" i="5"/>
  <c r="N32" i="5"/>
  <c r="O31" i="5"/>
  <c r="O32" i="5"/>
  <c r="N33" i="5"/>
  <c r="O33" i="5"/>
  <c r="N34" i="5"/>
  <c r="O34" i="5"/>
  <c r="N35" i="5"/>
  <c r="O35" i="5"/>
  <c r="N36" i="5"/>
  <c r="N37" i="5"/>
  <c r="O36" i="5"/>
  <c r="O37" i="5"/>
  <c r="N38" i="5"/>
  <c r="N39" i="5"/>
  <c r="O38" i="5"/>
  <c r="N40" i="5"/>
  <c r="O39" i="5"/>
  <c r="N41" i="5"/>
  <c r="O40" i="5"/>
  <c r="O41" i="5"/>
  <c r="N42" i="5"/>
  <c r="N43" i="5"/>
  <c r="O42" i="5"/>
  <c r="N44" i="5"/>
  <c r="O43" i="5"/>
  <c r="O44" i="5"/>
  <c r="N45" i="5"/>
  <c r="N46" i="5"/>
  <c r="O45" i="5"/>
  <c r="N47" i="5"/>
  <c r="O46" i="5"/>
  <c r="N48" i="5"/>
  <c r="O47" i="5"/>
  <c r="O48" i="5"/>
  <c r="N49" i="5"/>
  <c r="O49" i="5"/>
  <c r="N50" i="5"/>
  <c r="O50" i="5"/>
  <c r="N51" i="5"/>
  <c r="N52" i="5"/>
  <c r="O51" i="5"/>
  <c r="O52" i="5"/>
  <c r="N53" i="5"/>
  <c r="O53" i="5"/>
  <c r="N54" i="5"/>
  <c r="N55" i="5"/>
  <c r="O54" i="5"/>
  <c r="O55" i="5"/>
  <c r="N56" i="5"/>
  <c r="N57" i="5"/>
  <c r="O56" i="5"/>
  <c r="O57" i="5"/>
  <c r="N58" i="5"/>
  <c r="O58" i="5"/>
  <c r="N59" i="5"/>
  <c r="N60" i="5"/>
  <c r="O59" i="5"/>
  <c r="O60" i="5"/>
  <c r="N61" i="5"/>
  <c r="O61" i="5"/>
  <c r="N62" i="5"/>
  <c r="N63" i="5"/>
  <c r="O62" i="5"/>
  <c r="N64" i="5"/>
  <c r="O63" i="5"/>
  <c r="O64" i="5"/>
  <c r="N65" i="5"/>
  <c r="N66" i="5"/>
  <c r="O65" i="5"/>
  <c r="O66" i="5"/>
  <c r="N67" i="5"/>
  <c r="O67" i="5"/>
  <c r="N68" i="5"/>
  <c r="N69" i="5"/>
  <c r="O68" i="5"/>
  <c r="O69" i="5"/>
  <c r="N70" i="5"/>
  <c r="N71" i="5"/>
  <c r="O70" i="5"/>
  <c r="N72" i="5"/>
  <c r="O71" i="5"/>
  <c r="O72" i="5"/>
  <c r="N73" i="5"/>
  <c r="O73" i="5"/>
  <c r="N74" i="5"/>
  <c r="O74" i="5"/>
  <c r="N75" i="5"/>
  <c r="O75" i="5"/>
  <c r="N76" i="5"/>
  <c r="N77" i="5"/>
  <c r="O76" i="5"/>
  <c r="O77" i="5"/>
  <c r="N78" i="5"/>
  <c r="N79" i="5"/>
  <c r="O78" i="5"/>
  <c r="O79" i="5"/>
  <c r="N80" i="5"/>
  <c r="O80" i="5"/>
  <c r="N81" i="5"/>
  <c r="O81" i="5"/>
  <c r="N82" i="5"/>
  <c r="N83" i="5"/>
  <c r="O82" i="5"/>
  <c r="O83" i="5"/>
  <c r="N84" i="5"/>
  <c r="N85" i="5"/>
  <c r="O84" i="5"/>
  <c r="N86" i="5"/>
  <c r="O85" i="5"/>
  <c r="O86" i="5"/>
  <c r="N87" i="5"/>
  <c r="O87" i="5"/>
  <c r="N88" i="5"/>
  <c r="N89" i="5"/>
  <c r="O88" i="5"/>
  <c r="O89" i="5"/>
  <c r="N90" i="5"/>
  <c r="O90" i="5"/>
  <c r="N91" i="5"/>
  <c r="O91" i="5"/>
  <c r="N92" i="5"/>
  <c r="N93" i="5"/>
  <c r="O92" i="5"/>
  <c r="N94" i="5"/>
  <c r="O93" i="5"/>
  <c r="N95" i="5"/>
  <c r="O94" i="5"/>
  <c r="N96" i="5"/>
  <c r="O95" i="5"/>
  <c r="N97" i="5"/>
  <c r="O96" i="5"/>
  <c r="O97" i="5"/>
  <c r="N98" i="5"/>
  <c r="N99" i="5"/>
  <c r="O98" i="5"/>
  <c r="O99" i="5"/>
  <c r="N100" i="5"/>
  <c r="N101" i="5"/>
  <c r="O100" i="5"/>
  <c r="O101" i="5"/>
  <c r="N102" i="5"/>
  <c r="N103" i="5"/>
  <c r="O102" i="5"/>
  <c r="N104" i="5"/>
  <c r="O103" i="5"/>
  <c r="O104" i="5"/>
  <c r="N105" i="5"/>
  <c r="O105" i="5"/>
  <c r="N106" i="5"/>
  <c r="N107" i="5"/>
  <c r="O106" i="5"/>
  <c r="N108" i="5"/>
  <c r="O107" i="5"/>
  <c r="N109" i="5"/>
  <c r="O108" i="5"/>
  <c r="N110" i="5"/>
  <c r="O109" i="5"/>
  <c r="O110" i="5"/>
  <c r="N111" i="5"/>
  <c r="N112" i="5"/>
  <c r="O111" i="5"/>
  <c r="O112" i="5"/>
  <c r="N113" i="5"/>
  <c r="N114" i="5"/>
  <c r="O113" i="5"/>
  <c r="N115" i="5"/>
  <c r="O114" i="5"/>
  <c r="O115" i="5"/>
  <c r="N116" i="5"/>
  <c r="O116" i="5"/>
  <c r="N117" i="5"/>
  <c r="N118" i="5"/>
  <c r="O117" i="5"/>
  <c r="O118" i="5"/>
  <c r="N119" i="5"/>
  <c r="N120" i="5"/>
  <c r="O119" i="5"/>
  <c r="O120" i="5"/>
  <c r="N121" i="5"/>
  <c r="N122" i="5"/>
  <c r="O121" i="5"/>
  <c r="O122" i="5"/>
  <c r="N123" i="5"/>
  <c r="O123" i="5"/>
  <c r="N124" i="5"/>
  <c r="N125" i="5"/>
  <c r="O124" i="5"/>
  <c r="O125" i="5"/>
  <c r="N126" i="5"/>
  <c r="N127" i="5"/>
  <c r="O126" i="5"/>
  <c r="O127" i="5"/>
  <c r="N128" i="5"/>
  <c r="O128" i="5"/>
  <c r="N129" i="5"/>
  <c r="N130" i="5"/>
  <c r="O129" i="5"/>
  <c r="N131" i="5"/>
  <c r="O130" i="5"/>
  <c r="O131" i="5"/>
  <c r="N132" i="5"/>
  <c r="N133" i="5"/>
  <c r="O132" i="5"/>
  <c r="N134" i="5"/>
  <c r="O133" i="5"/>
  <c r="O134" i="5"/>
  <c r="N135" i="5"/>
  <c r="N136" i="5"/>
  <c r="O135" i="5"/>
  <c r="O136" i="5"/>
  <c r="N137" i="5"/>
  <c r="O137" i="5"/>
  <c r="N138" i="5"/>
  <c r="N139" i="5"/>
  <c r="O138" i="5"/>
  <c r="O139" i="5"/>
  <c r="N140" i="5"/>
  <c r="N141" i="5"/>
  <c r="O140" i="5"/>
  <c r="N142" i="5"/>
  <c r="O141" i="5"/>
  <c r="N143" i="5"/>
  <c r="O142" i="5"/>
  <c r="O143" i="5"/>
  <c r="N144" i="5"/>
  <c r="O144" i="5"/>
  <c r="N145" i="5"/>
  <c r="N146" i="5"/>
  <c r="O145" i="5"/>
  <c r="N147" i="5"/>
  <c r="O146" i="5"/>
  <c r="O147" i="5"/>
  <c r="N148" i="5"/>
  <c r="O148" i="5"/>
  <c r="N149" i="5"/>
  <c r="N150" i="5"/>
  <c r="O149" i="5"/>
  <c r="O150" i="5"/>
  <c r="N151" i="5"/>
  <c r="N152" i="5"/>
  <c r="O151" i="5"/>
  <c r="O152" i="5"/>
  <c r="N153" i="5"/>
  <c r="N154" i="5"/>
  <c r="O153" i="5"/>
  <c r="N155" i="5"/>
  <c r="O154" i="5"/>
  <c r="O155" i="5"/>
  <c r="N156" i="5"/>
  <c r="N157" i="5"/>
  <c r="O156" i="5"/>
  <c r="O157" i="5"/>
  <c r="N158" i="5"/>
  <c r="O158" i="5"/>
  <c r="N159" i="5"/>
  <c r="N160" i="5"/>
  <c r="O159" i="5"/>
  <c r="O160" i="5"/>
  <c r="N161" i="5"/>
  <c r="O161" i="5"/>
  <c r="N162" i="5"/>
  <c r="N163" i="5"/>
  <c r="O162" i="5"/>
  <c r="O163" i="5"/>
  <c r="N164" i="5"/>
  <c r="O164" i="5"/>
  <c r="N165" i="5"/>
  <c r="O165" i="5"/>
  <c r="N166" i="5"/>
  <c r="N167" i="5"/>
  <c r="O166" i="5"/>
  <c r="N168" i="5"/>
  <c r="O167" i="5"/>
  <c r="O168" i="5"/>
  <c r="N169" i="5"/>
  <c r="N170" i="5"/>
  <c r="O169" i="5"/>
  <c r="O170" i="5"/>
  <c r="N171" i="5"/>
  <c r="N172" i="5"/>
  <c r="O171" i="5"/>
  <c r="N173" i="5"/>
  <c r="O172" i="5"/>
  <c r="O173" i="5"/>
  <c r="N174" i="5"/>
  <c r="O174" i="5"/>
  <c r="N175" i="5"/>
  <c r="N176" i="5"/>
  <c r="O175" i="5"/>
  <c r="N177" i="5"/>
  <c r="O176" i="5"/>
  <c r="O177" i="5"/>
  <c r="N178" i="5"/>
  <c r="N179" i="5"/>
  <c r="O178" i="5"/>
  <c r="O179" i="5"/>
  <c r="N180" i="5"/>
  <c r="N181" i="5"/>
  <c r="O180" i="5"/>
  <c r="N182" i="5"/>
  <c r="O181" i="5"/>
  <c r="O182" i="5"/>
  <c r="N183" i="5"/>
  <c r="N184" i="5"/>
  <c r="O183" i="5"/>
  <c r="N185" i="5"/>
  <c r="O184" i="5"/>
  <c r="N186" i="5"/>
  <c r="O185" i="5"/>
  <c r="O186" i="5"/>
  <c r="N187" i="5"/>
  <c r="N188" i="5"/>
  <c r="O187" i="5"/>
  <c r="O188" i="5"/>
  <c r="N189" i="5"/>
  <c r="N190" i="5"/>
  <c r="O189" i="5"/>
  <c r="O190" i="5"/>
  <c r="N191" i="5"/>
  <c r="O191" i="5"/>
  <c r="N192" i="5"/>
  <c r="O192" i="5"/>
  <c r="N193" i="5"/>
  <c r="O193" i="5"/>
  <c r="N194" i="5"/>
  <c r="O194" i="5"/>
  <c r="N195" i="5"/>
  <c r="N196" i="5"/>
  <c r="O195" i="5"/>
  <c r="O196" i="5"/>
  <c r="N197" i="5"/>
  <c r="O197" i="5"/>
  <c r="N198" i="5"/>
  <c r="O198" i="5"/>
  <c r="N199" i="5"/>
  <c r="N200" i="5"/>
  <c r="O199" i="5"/>
  <c r="O200" i="5"/>
  <c r="N201" i="5"/>
  <c r="N202" i="5"/>
  <c r="O201" i="5"/>
  <c r="N203" i="5"/>
  <c r="O202" i="5"/>
  <c r="O203" i="5"/>
  <c r="N204" i="5"/>
  <c r="N205" i="5"/>
  <c r="O204" i="5"/>
  <c r="O205" i="5"/>
  <c r="N206" i="5"/>
  <c r="N207" i="5"/>
  <c r="O206" i="5"/>
  <c r="N208" i="5"/>
  <c r="O207" i="5"/>
  <c r="N209" i="5"/>
  <c r="O208" i="5"/>
  <c r="N210" i="5"/>
  <c r="O209" i="5"/>
  <c r="N211" i="5"/>
  <c r="O210" i="5"/>
  <c r="O211" i="5"/>
  <c r="N212" i="5"/>
  <c r="N213" i="5"/>
  <c r="O212" i="5"/>
  <c r="O213" i="5"/>
  <c r="N214" i="5"/>
  <c r="N215" i="5"/>
  <c r="O214" i="5"/>
  <c r="O215" i="5"/>
  <c r="N216" i="5"/>
  <c r="O216" i="5"/>
  <c r="N217" i="5"/>
  <c r="O217" i="5"/>
  <c r="N218" i="5"/>
  <c r="N219" i="5"/>
  <c r="O218" i="5"/>
  <c r="O219" i="5"/>
  <c r="N220" i="5"/>
  <c r="N221" i="5"/>
  <c r="O220" i="5"/>
  <c r="N222" i="5"/>
  <c r="O221" i="5"/>
  <c r="N223" i="5"/>
  <c r="O222" i="5"/>
  <c r="O223" i="5"/>
  <c r="N224" i="5"/>
  <c r="N225" i="5"/>
  <c r="O224" i="5"/>
  <c r="N226" i="5"/>
  <c r="O225" i="5"/>
  <c r="N227" i="5"/>
  <c r="O226" i="5"/>
  <c r="N228" i="5"/>
  <c r="O227" i="5"/>
  <c r="O228" i="5"/>
  <c r="N229" i="5"/>
  <c r="N230" i="5"/>
  <c r="O229" i="5"/>
  <c r="O230" i="5"/>
  <c r="N231" i="5"/>
  <c r="N232" i="5"/>
  <c r="O231" i="5"/>
  <c r="O232" i="5"/>
  <c r="N233" i="5"/>
  <c r="N234" i="5"/>
  <c r="O233" i="5"/>
  <c r="O234" i="5"/>
  <c r="N235" i="5"/>
  <c r="N236" i="5"/>
  <c r="O235" i="5"/>
  <c r="N237" i="5"/>
  <c r="O236" i="5"/>
  <c r="N238" i="5"/>
  <c r="O237" i="5"/>
  <c r="O238" i="5"/>
  <c r="N239" i="5"/>
  <c r="N240" i="5"/>
  <c r="O239" i="5"/>
  <c r="O240" i="5"/>
  <c r="N241" i="5"/>
  <c r="N242" i="5"/>
  <c r="O241" i="5"/>
  <c r="O242" i="5"/>
  <c r="N243" i="5"/>
  <c r="N244" i="5"/>
  <c r="O243" i="5"/>
  <c r="O244" i="5"/>
  <c r="N245" i="5"/>
  <c r="N246" i="5"/>
  <c r="O245" i="5"/>
  <c r="N247" i="5"/>
  <c r="O246" i="5"/>
  <c r="N248" i="5"/>
  <c r="O247" i="5"/>
  <c r="O248" i="5"/>
  <c r="N249" i="5"/>
  <c r="N250" i="5"/>
  <c r="O249" i="5"/>
  <c r="N251" i="5"/>
  <c r="O250" i="5"/>
  <c r="O251" i="5"/>
  <c r="N252" i="5"/>
  <c r="O252" i="5"/>
  <c r="N253" i="5"/>
  <c r="N254" i="5"/>
  <c r="O253" i="5"/>
  <c r="O254" i="5"/>
  <c r="V22" i="5" l="1"/>
  <c r="W22" i="5" s="1"/>
  <c r="V254" i="5"/>
  <c r="W254" i="5" s="1"/>
  <c r="V253" i="5"/>
  <c r="W253" i="5" s="1"/>
  <c r="V252" i="5"/>
  <c r="W252" i="5" s="1"/>
  <c r="V251" i="5"/>
  <c r="W251" i="5" s="1"/>
  <c r="V250" i="5"/>
  <c r="W250" i="5" s="1"/>
  <c r="V249" i="5"/>
  <c r="W249" i="5" s="1"/>
  <c r="V248" i="5"/>
  <c r="W248" i="5" s="1"/>
  <c r="V247" i="5"/>
  <c r="W247" i="5" s="1"/>
  <c r="V246" i="5"/>
  <c r="W246" i="5" s="1"/>
  <c r="V245" i="5"/>
  <c r="W245" i="5" s="1"/>
  <c r="V244" i="5"/>
  <c r="W244" i="5" s="1"/>
  <c r="V243" i="5"/>
  <c r="W243" i="5" s="1"/>
  <c r="V242" i="5"/>
  <c r="W242" i="5" s="1"/>
  <c r="V241" i="5"/>
  <c r="W241" i="5" s="1"/>
  <c r="V240" i="5"/>
  <c r="W240" i="5" s="1"/>
  <c r="V239" i="5"/>
  <c r="W239" i="5" s="1"/>
  <c r="V238" i="5"/>
  <c r="W238" i="5" s="1"/>
  <c r="V237" i="5"/>
  <c r="W237" i="5" s="1"/>
  <c r="V236" i="5"/>
  <c r="W236" i="5" s="1"/>
  <c r="V235" i="5"/>
  <c r="W235" i="5" s="1"/>
  <c r="V234" i="5"/>
  <c r="W234" i="5" s="1"/>
  <c r="V233" i="5"/>
  <c r="W233" i="5" s="1"/>
  <c r="V232" i="5"/>
  <c r="W232" i="5" s="1"/>
  <c r="V231" i="5"/>
  <c r="W231" i="5" s="1"/>
  <c r="V230" i="5"/>
  <c r="W230" i="5" s="1"/>
  <c r="V229" i="5"/>
  <c r="W229" i="5" s="1"/>
  <c r="V228" i="5"/>
  <c r="W228" i="5" s="1"/>
  <c r="V227" i="5"/>
  <c r="W227" i="5" s="1"/>
  <c r="V226" i="5"/>
  <c r="W226" i="5" s="1"/>
  <c r="V225" i="5"/>
  <c r="W225" i="5" s="1"/>
  <c r="V224" i="5"/>
  <c r="W224" i="5" s="1"/>
  <c r="V223" i="5"/>
  <c r="W223" i="5" s="1"/>
  <c r="V222" i="5"/>
  <c r="W222" i="5" s="1"/>
  <c r="V221" i="5"/>
  <c r="W221" i="5" s="1"/>
  <c r="V220" i="5"/>
  <c r="W220" i="5" s="1"/>
  <c r="V219" i="5"/>
  <c r="W219" i="5" s="1"/>
  <c r="V218" i="5"/>
  <c r="W218" i="5" s="1"/>
  <c r="V217" i="5"/>
  <c r="W217" i="5" s="1"/>
  <c r="V216" i="5"/>
  <c r="W216" i="5" s="1"/>
  <c r="V215" i="5"/>
  <c r="W215" i="5" s="1"/>
  <c r="V214" i="5"/>
  <c r="W214" i="5" s="1"/>
  <c r="V213" i="5"/>
  <c r="W213" i="5" s="1"/>
  <c r="V212" i="5"/>
  <c r="W212" i="5" s="1"/>
  <c r="V211" i="5"/>
  <c r="W211" i="5" s="1"/>
  <c r="V210" i="5"/>
  <c r="W210" i="5" s="1"/>
  <c r="V209" i="5"/>
  <c r="W209" i="5" s="1"/>
  <c r="V208" i="5"/>
  <c r="W208" i="5" s="1"/>
  <c r="V207" i="5"/>
  <c r="W207" i="5" s="1"/>
  <c r="V206" i="5"/>
  <c r="W206" i="5" s="1"/>
  <c r="V205" i="5"/>
  <c r="W205" i="5" s="1"/>
  <c r="V204" i="5"/>
  <c r="W204" i="5" s="1"/>
  <c r="V203" i="5"/>
  <c r="W203" i="5" s="1"/>
  <c r="V202" i="5"/>
  <c r="W202" i="5" s="1"/>
  <c r="V201" i="5"/>
  <c r="W201" i="5" s="1"/>
  <c r="V200" i="5"/>
  <c r="W200" i="5" s="1"/>
  <c r="V199" i="5"/>
  <c r="W199" i="5" s="1"/>
  <c r="V198" i="5"/>
  <c r="W198" i="5" s="1"/>
  <c r="V197" i="5"/>
  <c r="W197" i="5" s="1"/>
  <c r="V196" i="5"/>
  <c r="W196" i="5" s="1"/>
  <c r="V195" i="5"/>
  <c r="W195" i="5" s="1"/>
  <c r="V194" i="5"/>
  <c r="W194" i="5" s="1"/>
  <c r="V193" i="5"/>
  <c r="W193" i="5" s="1"/>
  <c r="V192" i="5"/>
  <c r="W192" i="5" s="1"/>
  <c r="V191" i="5"/>
  <c r="W191" i="5" s="1"/>
  <c r="V190" i="5"/>
  <c r="W190" i="5" s="1"/>
  <c r="V189" i="5"/>
  <c r="W189" i="5" s="1"/>
  <c r="V188" i="5"/>
  <c r="W188" i="5" s="1"/>
  <c r="V187" i="5"/>
  <c r="W187" i="5" s="1"/>
  <c r="V186" i="5"/>
  <c r="W186" i="5" s="1"/>
  <c r="V185" i="5"/>
  <c r="W185" i="5" s="1"/>
  <c r="V184" i="5"/>
  <c r="W184" i="5" s="1"/>
  <c r="V183" i="5"/>
  <c r="W183" i="5" s="1"/>
  <c r="V182" i="5"/>
  <c r="W182" i="5" s="1"/>
  <c r="V181" i="5"/>
  <c r="W181" i="5" s="1"/>
  <c r="V180" i="5"/>
  <c r="W180" i="5" s="1"/>
  <c r="V179" i="5"/>
  <c r="W179" i="5" s="1"/>
  <c r="V178" i="5"/>
  <c r="W178" i="5" s="1"/>
  <c r="V177" i="5"/>
  <c r="W177" i="5" s="1"/>
  <c r="V176" i="5"/>
  <c r="W176" i="5" s="1"/>
  <c r="V175" i="5"/>
  <c r="W175" i="5" s="1"/>
  <c r="V174" i="5"/>
  <c r="W174" i="5" s="1"/>
  <c r="V173" i="5"/>
  <c r="W173" i="5" s="1"/>
  <c r="V172" i="5"/>
  <c r="W172" i="5" s="1"/>
  <c r="V171" i="5"/>
  <c r="W171" i="5" s="1"/>
  <c r="V170" i="5"/>
  <c r="W170" i="5" s="1"/>
  <c r="V169" i="5"/>
  <c r="W169" i="5" s="1"/>
  <c r="V168" i="5"/>
  <c r="W168" i="5" s="1"/>
  <c r="V167" i="5"/>
  <c r="W167" i="5" s="1"/>
  <c r="V166" i="5"/>
  <c r="W166" i="5" s="1"/>
  <c r="V165" i="5"/>
  <c r="W165" i="5" s="1"/>
  <c r="V164" i="5"/>
  <c r="W164" i="5" s="1"/>
  <c r="V163" i="5"/>
  <c r="W163" i="5" s="1"/>
  <c r="V162" i="5"/>
  <c r="W162" i="5" s="1"/>
  <c r="V161" i="5"/>
  <c r="W161" i="5" s="1"/>
  <c r="V160" i="5"/>
  <c r="W160" i="5" s="1"/>
  <c r="V159" i="5"/>
  <c r="W159" i="5" s="1"/>
  <c r="V158" i="5"/>
  <c r="W158" i="5" s="1"/>
  <c r="V157" i="5"/>
  <c r="W157" i="5" s="1"/>
  <c r="V156" i="5"/>
  <c r="W156" i="5" s="1"/>
  <c r="V155" i="5"/>
  <c r="W155" i="5" s="1"/>
  <c r="V154" i="5"/>
  <c r="W154" i="5" s="1"/>
  <c r="V153" i="5"/>
  <c r="W153" i="5" s="1"/>
  <c r="V152" i="5"/>
  <c r="W152" i="5" s="1"/>
  <c r="V151" i="5"/>
  <c r="W151" i="5" s="1"/>
  <c r="V150" i="5"/>
  <c r="W150" i="5" s="1"/>
  <c r="V149" i="5"/>
  <c r="W149" i="5" s="1"/>
  <c r="V148" i="5"/>
  <c r="W148" i="5" s="1"/>
  <c r="V147" i="5"/>
  <c r="W147" i="5" s="1"/>
  <c r="V146" i="5"/>
  <c r="W146" i="5" s="1"/>
  <c r="V145" i="5"/>
  <c r="W145" i="5" s="1"/>
  <c r="V144" i="5"/>
  <c r="W144" i="5" s="1"/>
  <c r="V143" i="5"/>
  <c r="W143" i="5" s="1"/>
  <c r="V142" i="5"/>
  <c r="W142" i="5" s="1"/>
  <c r="V141" i="5"/>
  <c r="W141" i="5" s="1"/>
  <c r="V140" i="5"/>
  <c r="W140" i="5" s="1"/>
  <c r="V139" i="5"/>
  <c r="W139" i="5" s="1"/>
  <c r="V138" i="5"/>
  <c r="W138" i="5" s="1"/>
  <c r="V137" i="5"/>
  <c r="W137" i="5" s="1"/>
  <c r="V136" i="5"/>
  <c r="W136" i="5" s="1"/>
  <c r="V135" i="5"/>
  <c r="W135" i="5" s="1"/>
  <c r="V134" i="5"/>
  <c r="W134" i="5" s="1"/>
  <c r="V133" i="5"/>
  <c r="W133" i="5" s="1"/>
  <c r="V132" i="5"/>
  <c r="W132" i="5" s="1"/>
  <c r="V131" i="5"/>
  <c r="W131" i="5" s="1"/>
  <c r="V130" i="5"/>
  <c r="W130" i="5" s="1"/>
  <c r="V129" i="5"/>
  <c r="W129" i="5" s="1"/>
  <c r="V128" i="5"/>
  <c r="W128" i="5" s="1"/>
  <c r="V127" i="5"/>
  <c r="W127" i="5" s="1"/>
  <c r="V126" i="5"/>
  <c r="W126" i="5" s="1"/>
  <c r="V125" i="5"/>
  <c r="W125" i="5" s="1"/>
  <c r="V124" i="5"/>
  <c r="W124" i="5" s="1"/>
  <c r="V123" i="5"/>
  <c r="W123" i="5" s="1"/>
  <c r="V122" i="5"/>
  <c r="W122" i="5" s="1"/>
  <c r="V121" i="5"/>
  <c r="W121" i="5" s="1"/>
  <c r="V120" i="5"/>
  <c r="W120" i="5" s="1"/>
  <c r="V119" i="5"/>
  <c r="W119" i="5" s="1"/>
  <c r="V118" i="5"/>
  <c r="W118" i="5" s="1"/>
  <c r="V117" i="5"/>
  <c r="W117" i="5" s="1"/>
  <c r="V116" i="5"/>
  <c r="W116" i="5" s="1"/>
  <c r="V115" i="5"/>
  <c r="W115" i="5" s="1"/>
  <c r="V114" i="5"/>
  <c r="W114" i="5" s="1"/>
  <c r="V113" i="5"/>
  <c r="W113" i="5" s="1"/>
  <c r="V112" i="5"/>
  <c r="W112" i="5" s="1"/>
  <c r="V111" i="5"/>
  <c r="W111" i="5" s="1"/>
  <c r="V110" i="5"/>
  <c r="W110" i="5" s="1"/>
  <c r="V109" i="5"/>
  <c r="W109" i="5" s="1"/>
  <c r="V108" i="5"/>
  <c r="W108" i="5" s="1"/>
  <c r="V107" i="5"/>
  <c r="W107" i="5" s="1"/>
  <c r="V106" i="5"/>
  <c r="W106" i="5" s="1"/>
  <c r="V105" i="5"/>
  <c r="W105" i="5" s="1"/>
  <c r="V104" i="5"/>
  <c r="W104" i="5" s="1"/>
  <c r="V103" i="5"/>
  <c r="W103" i="5" s="1"/>
  <c r="V102" i="5"/>
  <c r="W102" i="5" s="1"/>
  <c r="V101" i="5"/>
  <c r="W101" i="5" s="1"/>
  <c r="V100" i="5"/>
  <c r="W100" i="5" s="1"/>
  <c r="V99" i="5"/>
  <c r="W99" i="5" s="1"/>
  <c r="V98" i="5"/>
  <c r="W98" i="5" s="1"/>
  <c r="V97" i="5"/>
  <c r="W97" i="5" s="1"/>
  <c r="V96" i="5"/>
  <c r="W96" i="5" s="1"/>
  <c r="V95" i="5"/>
  <c r="W95" i="5" s="1"/>
  <c r="V94" i="5"/>
  <c r="W94" i="5" s="1"/>
  <c r="V93" i="5"/>
  <c r="W93" i="5" s="1"/>
  <c r="V92" i="5"/>
  <c r="W92" i="5" s="1"/>
  <c r="V91" i="5"/>
  <c r="W91" i="5" s="1"/>
  <c r="V90" i="5"/>
  <c r="W90" i="5" s="1"/>
  <c r="V89" i="5"/>
  <c r="W89" i="5" s="1"/>
  <c r="V88" i="5"/>
  <c r="W88" i="5" s="1"/>
  <c r="V87" i="5"/>
  <c r="W87" i="5" s="1"/>
  <c r="V86" i="5"/>
  <c r="W86" i="5" s="1"/>
  <c r="V85" i="5"/>
  <c r="W85" i="5" s="1"/>
  <c r="V84" i="5"/>
  <c r="W84" i="5" s="1"/>
  <c r="V83" i="5"/>
  <c r="W83" i="5" s="1"/>
  <c r="V82" i="5"/>
  <c r="W82" i="5" s="1"/>
  <c r="V81" i="5"/>
  <c r="W81" i="5" s="1"/>
  <c r="V80" i="5"/>
  <c r="W80" i="5" s="1"/>
  <c r="V79" i="5"/>
  <c r="W79" i="5" s="1"/>
  <c r="V78" i="5"/>
  <c r="W78" i="5" s="1"/>
  <c r="V77" i="5"/>
  <c r="W77" i="5" s="1"/>
  <c r="V76" i="5"/>
  <c r="W76" i="5" s="1"/>
  <c r="V75" i="5"/>
  <c r="W75" i="5" s="1"/>
  <c r="V74" i="5"/>
  <c r="W74" i="5" s="1"/>
  <c r="V73" i="5"/>
  <c r="W73" i="5" s="1"/>
  <c r="V72" i="5"/>
  <c r="W72" i="5" s="1"/>
  <c r="V71" i="5"/>
  <c r="W71" i="5" s="1"/>
  <c r="V70" i="5"/>
  <c r="W70" i="5" s="1"/>
  <c r="V69" i="5"/>
  <c r="W69" i="5" s="1"/>
  <c r="V68" i="5"/>
  <c r="W68" i="5" s="1"/>
  <c r="V67" i="5"/>
  <c r="W67" i="5" s="1"/>
  <c r="V66" i="5"/>
  <c r="W66" i="5" s="1"/>
  <c r="V65" i="5"/>
  <c r="W65" i="5" s="1"/>
  <c r="V64" i="5"/>
  <c r="W64" i="5" s="1"/>
  <c r="V63" i="5"/>
  <c r="W63" i="5" s="1"/>
  <c r="V62" i="5"/>
  <c r="W62" i="5" s="1"/>
  <c r="V61" i="5"/>
  <c r="W61" i="5" s="1"/>
  <c r="V60" i="5"/>
  <c r="W60" i="5" s="1"/>
  <c r="V59" i="5"/>
  <c r="W59" i="5" s="1"/>
  <c r="V58" i="5"/>
  <c r="W58" i="5" s="1"/>
  <c r="V57" i="5"/>
  <c r="W57" i="5" s="1"/>
  <c r="V56" i="5"/>
  <c r="W56" i="5" s="1"/>
  <c r="V55" i="5"/>
  <c r="W55" i="5" s="1"/>
  <c r="V54" i="5"/>
  <c r="W54" i="5" s="1"/>
  <c r="V53" i="5"/>
  <c r="W53" i="5" s="1"/>
  <c r="V52" i="5"/>
  <c r="W52" i="5" s="1"/>
  <c r="V51" i="5"/>
  <c r="W51" i="5" s="1"/>
  <c r="V50" i="5"/>
  <c r="W50" i="5" s="1"/>
  <c r="V49" i="5"/>
  <c r="W49" i="5" s="1"/>
  <c r="V48" i="5"/>
  <c r="W48" i="5" s="1"/>
  <c r="V47" i="5"/>
  <c r="W47" i="5" s="1"/>
  <c r="V46" i="5"/>
  <c r="W46" i="5" s="1"/>
  <c r="V45" i="5"/>
  <c r="W45" i="5" s="1"/>
  <c r="V44" i="5"/>
  <c r="W44" i="5" s="1"/>
  <c r="V43" i="5"/>
  <c r="W43" i="5" s="1"/>
  <c r="V42" i="5"/>
  <c r="W42" i="5" s="1"/>
  <c r="V41" i="5"/>
  <c r="W41" i="5" s="1"/>
  <c r="V40" i="5"/>
  <c r="W40" i="5" s="1"/>
  <c r="V39" i="5"/>
  <c r="W39" i="5" s="1"/>
  <c r="V38" i="5"/>
  <c r="W38" i="5" s="1"/>
  <c r="V37" i="5"/>
  <c r="W37" i="5" s="1"/>
  <c r="V36" i="5"/>
  <c r="W36" i="5" s="1"/>
  <c r="V35" i="5"/>
  <c r="W35" i="5" s="1"/>
  <c r="V34" i="5"/>
  <c r="W34" i="5" s="1"/>
  <c r="V33" i="5"/>
  <c r="W33" i="5" s="1"/>
  <c r="V32" i="5"/>
  <c r="W32" i="5" s="1"/>
  <c r="V11" i="5"/>
  <c r="W11" i="5" s="1"/>
  <c r="V10" i="5"/>
  <c r="W10" i="5" s="1"/>
  <c r="V16" i="5"/>
  <c r="W16" i="5" s="1"/>
  <c r="V17" i="5"/>
  <c r="W17" i="5" s="1"/>
  <c r="V26" i="5"/>
  <c r="W26" i="5" s="1"/>
  <c r="V27" i="5"/>
  <c r="W27" i="5" s="1"/>
  <c r="V31" i="5"/>
  <c r="W31" i="5" s="1"/>
  <c r="V9" i="5"/>
  <c r="W9" i="5" s="1"/>
  <c r="V15" i="5"/>
  <c r="W15" i="5" s="1"/>
  <c r="V25" i="5"/>
  <c r="W25" i="5" s="1"/>
  <c r="V21" i="5"/>
  <c r="W21" i="5" s="1"/>
  <c r="V20" i="5"/>
  <c r="W20" i="5" s="1"/>
  <c r="V30" i="5"/>
  <c r="W30" i="5" s="1"/>
  <c r="V8" i="5"/>
  <c r="W8" i="5" s="1"/>
  <c r="V14" i="5"/>
  <c r="W14" i="5" s="1"/>
  <c r="V24" i="5"/>
  <c r="W24" i="5" s="1"/>
  <c r="V19" i="5"/>
  <c r="W19" i="5" s="1"/>
  <c r="V29" i="5"/>
  <c r="W29" i="5" s="1"/>
  <c r="V7" i="5"/>
  <c r="W7" i="5" s="1"/>
  <c r="V13" i="5"/>
  <c r="W13" i="5" s="1"/>
  <c r="V18" i="5"/>
  <c r="W18" i="5" s="1"/>
  <c r="P6" i="5"/>
  <c r="P7" i="5" s="1"/>
  <c r="V6" i="5"/>
  <c r="W6" i="5" s="1"/>
  <c r="V12" i="5"/>
  <c r="W12" i="5" s="1"/>
  <c r="V23" i="5"/>
  <c r="W23" i="5" s="1"/>
  <c r="V28" i="5"/>
  <c r="W28" i="5" s="1"/>
  <c r="B14" i="5"/>
  <c r="AB6" i="5"/>
  <c r="Q6" i="5"/>
  <c r="R6" i="5" s="1"/>
  <c r="Q7" i="5"/>
  <c r="X6" i="5"/>
  <c r="R7" i="5"/>
  <c r="P8" i="5" l="1"/>
  <c r="Y6" i="5"/>
  <c r="Z6" i="5" s="1"/>
  <c r="AC6" i="5"/>
  <c r="AD6" i="5" s="1"/>
  <c r="S7" i="5"/>
  <c r="Q8" i="5"/>
  <c r="R8" i="5"/>
  <c r="S6" i="5"/>
  <c r="X7" i="5"/>
  <c r="AB7" i="5"/>
  <c r="T7" i="5" l="1"/>
  <c r="P9" i="5"/>
  <c r="T6" i="5"/>
  <c r="U6" i="5" s="1"/>
  <c r="U7" i="5" s="1"/>
  <c r="AC7" i="5"/>
  <c r="AD7" i="5" s="1"/>
  <c r="Y7" i="5"/>
  <c r="Z7" i="5" s="1"/>
  <c r="S8" i="5"/>
  <c r="X8" i="5"/>
  <c r="AB8" i="5"/>
  <c r="Q9" i="5"/>
  <c r="R9" i="5"/>
  <c r="T8" i="5" l="1"/>
  <c r="U8" i="5" s="1"/>
  <c r="P10" i="5"/>
  <c r="AC8" i="5"/>
  <c r="AD8" i="5" s="1"/>
  <c r="Y8" i="5"/>
  <c r="Z8" i="5"/>
  <c r="AB9" i="5"/>
  <c r="Q10" i="5"/>
  <c r="R10" i="5"/>
  <c r="X9" i="5"/>
  <c r="S9" i="5"/>
  <c r="T9" i="5" l="1"/>
  <c r="U9" i="5" s="1"/>
  <c r="P11" i="5"/>
  <c r="AC9" i="5"/>
  <c r="AD9" i="5" s="1"/>
  <c r="Y9" i="5"/>
  <c r="Z9" i="5" s="1"/>
  <c r="AB10" i="5"/>
  <c r="S10" i="5"/>
  <c r="X10" i="5"/>
  <c r="X11" i="5"/>
  <c r="Q11" i="5"/>
  <c r="AB11" i="5"/>
  <c r="R11" i="5"/>
  <c r="T10" i="5" l="1"/>
  <c r="U10" i="5" s="1"/>
  <c r="P12" i="5"/>
  <c r="AC10" i="5"/>
  <c r="AD10" i="5" s="1"/>
  <c r="AD11" i="5" s="1"/>
  <c r="AC11" i="5"/>
  <c r="Y10" i="5"/>
  <c r="Z10" i="5" s="1"/>
  <c r="Y11" i="5"/>
  <c r="X12" i="5"/>
  <c r="Q12" i="5"/>
  <c r="AB12" i="5"/>
  <c r="R12" i="5"/>
  <c r="S11" i="5"/>
  <c r="Z11" i="5" l="1"/>
  <c r="T11" i="5"/>
  <c r="U11" i="5" s="1"/>
  <c r="AC12" i="5"/>
  <c r="Y12" i="5"/>
  <c r="Z12" i="5"/>
  <c r="P13" i="5"/>
  <c r="AD12" i="5"/>
  <c r="S12" i="5"/>
  <c r="X13" i="5"/>
  <c r="AB13" i="5"/>
  <c r="Q13" i="5"/>
  <c r="R13" i="5"/>
  <c r="AC13" i="5" l="1"/>
  <c r="AD13" i="5" s="1"/>
  <c r="Y13" i="5"/>
  <c r="T12" i="5"/>
  <c r="U12" i="5"/>
  <c r="P14" i="5"/>
  <c r="Z13" i="5"/>
  <c r="S13" i="5"/>
  <c r="X14" i="5"/>
  <c r="AB14" i="5"/>
  <c r="Q14" i="5"/>
  <c r="R14" i="5"/>
  <c r="AC14" i="5" l="1"/>
  <c r="Y14" i="5"/>
  <c r="T13" i="5"/>
  <c r="U13" i="5"/>
  <c r="Z14" i="5"/>
  <c r="P15" i="5"/>
  <c r="AD14" i="5"/>
  <c r="AB15" i="5"/>
  <c r="X15" i="5"/>
  <c r="Q15" i="5"/>
  <c r="R15" i="5"/>
  <c r="S14" i="5"/>
  <c r="T14" i="5" l="1"/>
  <c r="U14" i="5" s="1"/>
  <c r="Y15" i="5"/>
  <c r="AC15" i="5"/>
  <c r="AD15" i="5"/>
  <c r="P16" i="5"/>
  <c r="Z15" i="5"/>
  <c r="S15" i="5"/>
  <c r="AB16" i="5"/>
  <c r="X16" i="5"/>
  <c r="Q16" i="5"/>
  <c r="R16" i="5"/>
  <c r="Y16" i="5" l="1"/>
  <c r="Z16" i="5" s="1"/>
  <c r="AC16" i="5"/>
  <c r="T15" i="5"/>
  <c r="U15" i="5" s="1"/>
  <c r="P17" i="5"/>
  <c r="AD16" i="5"/>
  <c r="Q17" i="5"/>
  <c r="X17" i="5"/>
  <c r="AB17" i="5"/>
  <c r="R17" i="5"/>
  <c r="S16" i="5"/>
  <c r="T16" i="5" l="1"/>
  <c r="U16" i="5" s="1"/>
  <c r="AC17" i="5"/>
  <c r="Y17" i="5"/>
  <c r="AD17" i="5"/>
  <c r="Z17" i="5"/>
  <c r="P18" i="5"/>
  <c r="S17" i="5"/>
  <c r="X18" i="5"/>
  <c r="AB18" i="5"/>
  <c r="Q18" i="5"/>
  <c r="R18" i="5"/>
  <c r="AC18" i="5" l="1"/>
  <c r="AD18" i="5" s="1"/>
  <c r="Y18" i="5"/>
  <c r="Z18" i="5" s="1"/>
  <c r="T17" i="5"/>
  <c r="U17" i="5" s="1"/>
  <c r="P19" i="5"/>
  <c r="AB19" i="5"/>
  <c r="X19" i="5"/>
  <c r="Q19" i="5"/>
  <c r="R19" i="5"/>
  <c r="S18" i="5"/>
  <c r="T18" i="5" l="1"/>
  <c r="U18" i="5" s="1"/>
  <c r="Y19" i="5"/>
  <c r="Z19" i="5" s="1"/>
  <c r="AC19" i="5"/>
  <c r="AD19" i="5" s="1"/>
  <c r="P20" i="5"/>
  <c r="S19" i="5"/>
  <c r="X20" i="5"/>
  <c r="AB20" i="5"/>
  <c r="Q20" i="5"/>
  <c r="R20" i="5"/>
  <c r="AC20" i="5" l="1"/>
  <c r="Y20" i="5"/>
  <c r="T19" i="5"/>
  <c r="U19" i="5" s="1"/>
  <c r="AD20" i="5"/>
  <c r="Z20" i="5"/>
  <c r="P21" i="5"/>
  <c r="S20" i="5"/>
  <c r="X21" i="5"/>
  <c r="Q21" i="5"/>
  <c r="AB21" i="5"/>
  <c r="R21" i="5"/>
  <c r="AC21" i="5" l="1"/>
  <c r="AD21" i="5" s="1"/>
  <c r="Y21" i="5"/>
  <c r="Z21" i="5" s="1"/>
  <c r="T20" i="5"/>
  <c r="U20" i="5" s="1"/>
  <c r="P22" i="5"/>
  <c r="AB22" i="5"/>
  <c r="X22" i="5"/>
  <c r="Q22" i="5"/>
  <c r="R22" i="5"/>
  <c r="S21" i="5"/>
  <c r="T21" i="5" l="1"/>
  <c r="U21" i="5" s="1"/>
  <c r="Y22" i="5"/>
  <c r="AC22" i="5"/>
  <c r="AD22" i="5" s="1"/>
  <c r="Z22" i="5"/>
  <c r="P23" i="5"/>
  <c r="S22" i="5"/>
  <c r="Q23" i="5"/>
  <c r="AB23" i="5"/>
  <c r="X23" i="5"/>
  <c r="R23" i="5"/>
  <c r="Y23" i="5" l="1"/>
  <c r="Z23" i="5" s="1"/>
  <c r="AC23" i="5"/>
  <c r="AD23" i="5" s="1"/>
  <c r="T22" i="5"/>
  <c r="U22" i="5"/>
  <c r="P24" i="5"/>
  <c r="AB24" i="5"/>
  <c r="X24" i="5"/>
  <c r="Q24" i="5"/>
  <c r="R24" i="5"/>
  <c r="S23" i="5"/>
  <c r="T23" i="5" l="1"/>
  <c r="U23" i="5" s="1"/>
  <c r="Y24" i="5"/>
  <c r="AC24" i="5"/>
  <c r="AD24" i="5" s="1"/>
  <c r="Z24" i="5"/>
  <c r="P25" i="5"/>
  <c r="S24" i="5"/>
  <c r="AB25" i="5"/>
  <c r="X25" i="5"/>
  <c r="Q25" i="5"/>
  <c r="R25" i="5"/>
  <c r="Y25" i="5" l="1"/>
  <c r="Z25" i="5" s="1"/>
  <c r="AC25" i="5"/>
  <c r="AD25" i="5" s="1"/>
  <c r="T24" i="5"/>
  <c r="U24" i="5"/>
  <c r="P26" i="5"/>
  <c r="S25" i="5"/>
  <c r="X26" i="5"/>
  <c r="AB26" i="5"/>
  <c r="Q26" i="5"/>
  <c r="R26" i="5"/>
  <c r="AC26" i="5" l="1"/>
  <c r="AD26" i="5" s="1"/>
  <c r="Y26" i="5"/>
  <c r="T25" i="5"/>
  <c r="U25" i="5"/>
  <c r="P27" i="5"/>
  <c r="Z26" i="5"/>
  <c r="S26" i="5"/>
  <c r="Q27" i="5"/>
  <c r="X27" i="5"/>
  <c r="AB27" i="5"/>
  <c r="R27" i="5"/>
  <c r="AC27" i="5" l="1"/>
  <c r="AD27" i="5" s="1"/>
  <c r="Y27" i="5"/>
  <c r="Z27" i="5" s="1"/>
  <c r="T26" i="5"/>
  <c r="U26" i="5"/>
  <c r="P28" i="5"/>
  <c r="S27" i="5"/>
  <c r="AB28" i="5"/>
  <c r="Q28" i="5"/>
  <c r="X28" i="5"/>
  <c r="R28" i="5"/>
  <c r="Y28" i="5" l="1"/>
  <c r="Z28" i="5" s="1"/>
  <c r="AC28" i="5"/>
  <c r="AD28" i="5" s="1"/>
  <c r="T27" i="5"/>
  <c r="U27" i="5"/>
  <c r="P29" i="5"/>
  <c r="S28" i="5"/>
  <c r="X29" i="5"/>
  <c r="AB29" i="5"/>
  <c r="Q29" i="5"/>
  <c r="R29" i="5"/>
  <c r="AC29" i="5" l="1"/>
  <c r="Y29" i="5"/>
  <c r="T28" i="5"/>
  <c r="U28" i="5" s="1"/>
  <c r="AD29" i="5"/>
  <c r="Z29" i="5"/>
  <c r="P30" i="5"/>
  <c r="S29" i="5"/>
  <c r="AB30" i="5"/>
  <c r="X30" i="5"/>
  <c r="Q30" i="5"/>
  <c r="R30" i="5"/>
  <c r="Y30" i="5" l="1"/>
  <c r="AC30" i="5"/>
  <c r="T29" i="5"/>
  <c r="U29" i="5"/>
  <c r="P31" i="5"/>
  <c r="Z30" i="5"/>
  <c r="AD30" i="5"/>
  <c r="S30" i="5"/>
  <c r="X31" i="5"/>
  <c r="AB31" i="5"/>
  <c r="Q31" i="5"/>
  <c r="R31" i="5"/>
  <c r="AC31" i="5" l="1"/>
  <c r="AD31" i="5" s="1"/>
  <c r="Y31" i="5"/>
  <c r="T30" i="5"/>
  <c r="U30" i="5"/>
  <c r="P32" i="5"/>
  <c r="Z31" i="5"/>
  <c r="S31" i="5"/>
  <c r="X32" i="5"/>
  <c r="AB32" i="5"/>
  <c r="Q32" i="5"/>
  <c r="R32" i="5"/>
  <c r="AC32" i="5" l="1"/>
  <c r="Y32" i="5"/>
  <c r="T31" i="5"/>
  <c r="U31" i="5" s="1"/>
  <c r="AD32" i="5"/>
  <c r="P33" i="5"/>
  <c r="Z32" i="5"/>
  <c r="S32" i="5"/>
  <c r="AB33" i="5"/>
  <c r="X33" i="5"/>
  <c r="Q33" i="5"/>
  <c r="R33" i="5"/>
  <c r="Y33" i="5" l="1"/>
  <c r="Z33" i="5" s="1"/>
  <c r="AC33" i="5"/>
  <c r="AD33" i="5" s="1"/>
  <c r="T32" i="5"/>
  <c r="U32" i="5"/>
  <c r="P34" i="5"/>
  <c r="S33" i="5"/>
  <c r="X34" i="5"/>
  <c r="AB34" i="5"/>
  <c r="Q34" i="5"/>
  <c r="R34" i="5"/>
  <c r="AC34" i="5" l="1"/>
  <c r="AD34" i="5" s="1"/>
  <c r="Y34" i="5"/>
  <c r="Z34" i="5" s="1"/>
  <c r="T33" i="5"/>
  <c r="U33" i="5" s="1"/>
  <c r="P35" i="5"/>
  <c r="S34" i="5"/>
  <c r="AB35" i="5"/>
  <c r="X35" i="5"/>
  <c r="Q35" i="5"/>
  <c r="R35" i="5"/>
  <c r="Y35" i="5" l="1"/>
  <c r="Z35" i="5" s="1"/>
  <c r="AC35" i="5"/>
  <c r="AD35" i="5" s="1"/>
  <c r="T34" i="5"/>
  <c r="U34" i="5" s="1"/>
  <c r="P36" i="5"/>
  <c r="S35" i="5"/>
  <c r="AB36" i="5"/>
  <c r="X36" i="5"/>
  <c r="Q36" i="5"/>
  <c r="R36" i="5"/>
  <c r="Y36" i="5" l="1"/>
  <c r="Z36" i="5" s="1"/>
  <c r="AC36" i="5"/>
  <c r="AD36" i="5" s="1"/>
  <c r="T35" i="5"/>
  <c r="U35" i="5"/>
  <c r="P37" i="5"/>
  <c r="X37" i="5"/>
  <c r="AB37" i="5"/>
  <c r="Q37" i="5"/>
  <c r="R37" i="5"/>
  <c r="S36" i="5"/>
  <c r="T36" i="5" l="1"/>
  <c r="U36" i="5" s="1"/>
  <c r="AC37" i="5"/>
  <c r="AD37" i="5" s="1"/>
  <c r="Y37" i="5"/>
  <c r="Z37" i="5" s="1"/>
  <c r="P38" i="5"/>
  <c r="S37" i="5"/>
  <c r="AB38" i="5"/>
  <c r="X38" i="5"/>
  <c r="Q38" i="5"/>
  <c r="R38" i="5"/>
  <c r="Y38" i="5" l="1"/>
  <c r="Z38" i="5" s="1"/>
  <c r="AC38" i="5"/>
  <c r="AD38" i="5" s="1"/>
  <c r="T37" i="5"/>
  <c r="U37" i="5"/>
  <c r="P39" i="5"/>
  <c r="X39" i="5"/>
  <c r="AB39" i="5"/>
  <c r="Q39" i="5"/>
  <c r="R39" i="5"/>
  <c r="S38" i="5"/>
  <c r="T38" i="5" l="1"/>
  <c r="U38" i="5" s="1"/>
  <c r="AC39" i="5"/>
  <c r="AD39" i="5" s="1"/>
  <c r="Y39" i="5"/>
  <c r="Z39" i="5" s="1"/>
  <c r="P40" i="5"/>
  <c r="AB40" i="5"/>
  <c r="X40" i="5"/>
  <c r="Q40" i="5"/>
  <c r="R40" i="5"/>
  <c r="S39" i="5"/>
  <c r="T39" i="5" l="1"/>
  <c r="U39" i="5" s="1"/>
  <c r="Y40" i="5"/>
  <c r="Z40" i="5" s="1"/>
  <c r="AC40" i="5"/>
  <c r="AD40" i="5" s="1"/>
  <c r="P41" i="5"/>
  <c r="S40" i="5"/>
  <c r="AB41" i="5"/>
  <c r="X41" i="5"/>
  <c r="Q41" i="5"/>
  <c r="R41" i="5"/>
  <c r="Y41" i="5" l="1"/>
  <c r="Z41" i="5" s="1"/>
  <c r="AC41" i="5"/>
  <c r="AD41" i="5" s="1"/>
  <c r="T40" i="5"/>
  <c r="U40" i="5"/>
  <c r="P42" i="5"/>
  <c r="S41" i="5"/>
  <c r="AB42" i="5"/>
  <c r="X42" i="5"/>
  <c r="Q42" i="5"/>
  <c r="R42" i="5"/>
  <c r="Y42" i="5" l="1"/>
  <c r="Z42" i="5" s="1"/>
  <c r="AC42" i="5"/>
  <c r="AD42" i="5" s="1"/>
  <c r="T41" i="5"/>
  <c r="U41" i="5"/>
  <c r="P43" i="5"/>
  <c r="S42" i="5"/>
  <c r="AB43" i="5"/>
  <c r="X43" i="5"/>
  <c r="Q43" i="5"/>
  <c r="R43" i="5"/>
  <c r="Y43" i="5" l="1"/>
  <c r="Z43" i="5" s="1"/>
  <c r="AC43" i="5"/>
  <c r="AD43" i="5" s="1"/>
  <c r="T42" i="5"/>
  <c r="U42" i="5"/>
  <c r="P44" i="5"/>
  <c r="AB44" i="5"/>
  <c r="X44" i="5"/>
  <c r="Q44" i="5"/>
  <c r="R44" i="5"/>
  <c r="S43" i="5"/>
  <c r="T43" i="5" l="1"/>
  <c r="U43" i="5" s="1"/>
  <c r="Y44" i="5"/>
  <c r="Z44" i="5" s="1"/>
  <c r="AC44" i="5"/>
  <c r="AD44" i="5" s="1"/>
  <c r="P45" i="5"/>
  <c r="S44" i="5"/>
  <c r="X45" i="5"/>
  <c r="AB45" i="5"/>
  <c r="Q45" i="5"/>
  <c r="R45" i="5"/>
  <c r="AC45" i="5" l="1"/>
  <c r="AD45" i="5" s="1"/>
  <c r="Y45" i="5"/>
  <c r="Z45" i="5" s="1"/>
  <c r="T44" i="5"/>
  <c r="U44" i="5" s="1"/>
  <c r="P46" i="5"/>
  <c r="S45" i="5"/>
  <c r="X46" i="5"/>
  <c r="AB46" i="5"/>
  <c r="Q46" i="5"/>
  <c r="R46" i="5"/>
  <c r="AC46" i="5" l="1"/>
  <c r="AD46" i="5" s="1"/>
  <c r="Y46" i="5"/>
  <c r="Z46" i="5" s="1"/>
  <c r="T45" i="5"/>
  <c r="U45" i="5" s="1"/>
  <c r="P47" i="5"/>
  <c r="AB47" i="5"/>
  <c r="X47" i="5"/>
  <c r="Q47" i="5"/>
  <c r="R47" i="5"/>
  <c r="S46" i="5"/>
  <c r="T46" i="5" l="1"/>
  <c r="U46" i="5" s="1"/>
  <c r="Y47" i="5"/>
  <c r="Z47" i="5" s="1"/>
  <c r="AC47" i="5"/>
  <c r="AD47" i="5" s="1"/>
  <c r="P48" i="5"/>
  <c r="S47" i="5"/>
  <c r="AB48" i="5"/>
  <c r="X48" i="5"/>
  <c r="Q48" i="5"/>
  <c r="R48" i="5"/>
  <c r="Y48" i="5" l="1"/>
  <c r="Z48" i="5" s="1"/>
  <c r="AC48" i="5"/>
  <c r="AD48" i="5" s="1"/>
  <c r="T47" i="5"/>
  <c r="U47" i="5"/>
  <c r="P49" i="5"/>
  <c r="AB49" i="5"/>
  <c r="X49" i="5"/>
  <c r="Q49" i="5"/>
  <c r="R49" i="5"/>
  <c r="S48" i="5"/>
  <c r="T48" i="5" l="1"/>
  <c r="U48" i="5" s="1"/>
  <c r="Y49" i="5"/>
  <c r="Z49" i="5" s="1"/>
  <c r="AC49" i="5"/>
  <c r="AD49" i="5" s="1"/>
  <c r="P50" i="5"/>
  <c r="S49" i="5"/>
  <c r="AB50" i="5"/>
  <c r="X50" i="5"/>
  <c r="Q50" i="5"/>
  <c r="R50" i="5"/>
  <c r="Y50" i="5" l="1"/>
  <c r="Z50" i="5" s="1"/>
  <c r="AC50" i="5"/>
  <c r="AD50" i="5" s="1"/>
  <c r="T49" i="5"/>
  <c r="U49" i="5" s="1"/>
  <c r="P51" i="5"/>
  <c r="S50" i="5"/>
  <c r="AB51" i="5"/>
  <c r="X51" i="5"/>
  <c r="Q51" i="5"/>
  <c r="R51" i="5"/>
  <c r="Y51" i="5" l="1"/>
  <c r="Z51" i="5" s="1"/>
  <c r="AC51" i="5"/>
  <c r="AD51" i="5" s="1"/>
  <c r="T50" i="5"/>
  <c r="U50" i="5" s="1"/>
  <c r="P52" i="5"/>
  <c r="S51" i="5"/>
  <c r="AB52" i="5"/>
  <c r="X52" i="5"/>
  <c r="Q52" i="5"/>
  <c r="R52" i="5"/>
  <c r="Y52" i="5" l="1"/>
  <c r="Z52" i="5" s="1"/>
  <c r="AC52" i="5"/>
  <c r="AD52" i="5" s="1"/>
  <c r="T51" i="5"/>
  <c r="U51" i="5" s="1"/>
  <c r="P53" i="5"/>
  <c r="AB53" i="5"/>
  <c r="X53" i="5"/>
  <c r="Q53" i="5"/>
  <c r="R53" i="5"/>
  <c r="S52" i="5"/>
  <c r="T52" i="5" l="1"/>
  <c r="U52" i="5" s="1"/>
  <c r="Y53" i="5"/>
  <c r="Z53" i="5" s="1"/>
  <c r="AC53" i="5"/>
  <c r="AD53" i="5" s="1"/>
  <c r="P54" i="5"/>
  <c r="S53" i="5"/>
  <c r="AB54" i="5"/>
  <c r="X54" i="5"/>
  <c r="Q54" i="5"/>
  <c r="R54" i="5"/>
  <c r="Y54" i="5" l="1"/>
  <c r="Z54" i="5" s="1"/>
  <c r="AC54" i="5"/>
  <c r="AD54" i="5" s="1"/>
  <c r="T53" i="5"/>
  <c r="U53" i="5" s="1"/>
  <c r="P55" i="5"/>
  <c r="AB55" i="5"/>
  <c r="X55" i="5"/>
  <c r="Q55" i="5"/>
  <c r="R55" i="5"/>
  <c r="S54" i="5"/>
  <c r="T54" i="5" l="1"/>
  <c r="U54" i="5" s="1"/>
  <c r="Y55" i="5"/>
  <c r="Z55" i="5" s="1"/>
  <c r="AC55" i="5"/>
  <c r="AD55" i="5" s="1"/>
  <c r="P56" i="5"/>
  <c r="AB56" i="5"/>
  <c r="X56" i="5"/>
  <c r="Q56" i="5"/>
  <c r="R56" i="5"/>
  <c r="S55" i="5"/>
  <c r="T55" i="5" l="1"/>
  <c r="U55" i="5" s="1"/>
  <c r="Y56" i="5"/>
  <c r="Z56" i="5" s="1"/>
  <c r="AC56" i="5"/>
  <c r="AD56" i="5" s="1"/>
  <c r="P57" i="5"/>
  <c r="S56" i="5"/>
  <c r="AB57" i="5"/>
  <c r="X57" i="5"/>
  <c r="Q57" i="5"/>
  <c r="R57" i="5"/>
  <c r="Y57" i="5" l="1"/>
  <c r="Z57" i="5" s="1"/>
  <c r="AC57" i="5"/>
  <c r="AD57" i="5" s="1"/>
  <c r="T56" i="5"/>
  <c r="U56" i="5"/>
  <c r="P58" i="5"/>
  <c r="AB58" i="5"/>
  <c r="X58" i="5"/>
  <c r="Q58" i="5"/>
  <c r="R58" i="5"/>
  <c r="S57" i="5"/>
  <c r="T57" i="5" l="1"/>
  <c r="U57" i="5" s="1"/>
  <c r="Y58" i="5"/>
  <c r="Z58" i="5" s="1"/>
  <c r="AC58" i="5"/>
  <c r="AD58" i="5" s="1"/>
  <c r="P59" i="5"/>
  <c r="S58" i="5"/>
  <c r="AB59" i="5"/>
  <c r="X59" i="5"/>
  <c r="Q59" i="5"/>
  <c r="R59" i="5"/>
  <c r="Y59" i="5" l="1"/>
  <c r="Z59" i="5" s="1"/>
  <c r="AC59" i="5"/>
  <c r="AD59" i="5" s="1"/>
  <c r="T58" i="5"/>
  <c r="U58" i="5" s="1"/>
  <c r="P60" i="5"/>
  <c r="S59" i="5"/>
  <c r="AB60" i="5"/>
  <c r="X60" i="5"/>
  <c r="Q60" i="5"/>
  <c r="R60" i="5"/>
  <c r="Y60" i="5" l="1"/>
  <c r="Z60" i="5" s="1"/>
  <c r="AC60" i="5"/>
  <c r="AD60" i="5" s="1"/>
  <c r="T59" i="5"/>
  <c r="U59" i="5" s="1"/>
  <c r="P61" i="5"/>
  <c r="AB61" i="5"/>
  <c r="X61" i="5"/>
  <c r="Q61" i="5"/>
  <c r="R61" i="5"/>
  <c r="S60" i="5"/>
  <c r="T60" i="5" l="1"/>
  <c r="U60" i="5" s="1"/>
  <c r="Y61" i="5"/>
  <c r="Z61" i="5" s="1"/>
  <c r="AC61" i="5"/>
  <c r="AD61" i="5" s="1"/>
  <c r="P62" i="5"/>
  <c r="S61" i="5"/>
  <c r="AB62" i="5"/>
  <c r="X62" i="5"/>
  <c r="Q62" i="5"/>
  <c r="R62" i="5"/>
  <c r="Y62" i="5" l="1"/>
  <c r="Z62" i="5" s="1"/>
  <c r="AC62" i="5"/>
  <c r="AD62" i="5" s="1"/>
  <c r="T61" i="5"/>
  <c r="U61" i="5"/>
  <c r="P63" i="5"/>
  <c r="X63" i="5"/>
  <c r="AB63" i="5"/>
  <c r="Q63" i="5"/>
  <c r="R63" i="5"/>
  <c r="S62" i="5"/>
  <c r="T62" i="5" l="1"/>
  <c r="U62" i="5" s="1"/>
  <c r="AC63" i="5"/>
  <c r="AD63" i="5" s="1"/>
  <c r="Y63" i="5"/>
  <c r="Z63" i="5" s="1"/>
  <c r="P64" i="5"/>
  <c r="S63" i="5"/>
  <c r="AB64" i="5"/>
  <c r="X64" i="5"/>
  <c r="Q64" i="5"/>
  <c r="R64" i="5"/>
  <c r="Y64" i="5" l="1"/>
  <c r="Z64" i="5" s="1"/>
  <c r="AC64" i="5"/>
  <c r="AD64" i="5" s="1"/>
  <c r="T63" i="5"/>
  <c r="U63" i="5" s="1"/>
  <c r="P65" i="5"/>
  <c r="AB65" i="5"/>
  <c r="X65" i="5"/>
  <c r="Q65" i="5"/>
  <c r="R65" i="5"/>
  <c r="S64" i="5"/>
  <c r="T64" i="5" l="1"/>
  <c r="U64" i="5" s="1"/>
  <c r="Y65" i="5"/>
  <c r="Z65" i="5" s="1"/>
  <c r="AC65" i="5"/>
  <c r="AD65" i="5" s="1"/>
  <c r="P66" i="5"/>
  <c r="S65" i="5"/>
  <c r="X66" i="5"/>
  <c r="AB66" i="5"/>
  <c r="Q66" i="5"/>
  <c r="R66" i="5"/>
  <c r="AC66" i="5" l="1"/>
  <c r="AD66" i="5" s="1"/>
  <c r="Y66" i="5"/>
  <c r="Z66" i="5" s="1"/>
  <c r="T65" i="5"/>
  <c r="U65" i="5" s="1"/>
  <c r="P67" i="5"/>
  <c r="S66" i="5"/>
  <c r="X67" i="5"/>
  <c r="AB67" i="5"/>
  <c r="Q67" i="5"/>
  <c r="R67" i="5"/>
  <c r="AC67" i="5" l="1"/>
  <c r="AD67" i="5" s="1"/>
  <c r="Y67" i="5"/>
  <c r="Z67" i="5" s="1"/>
  <c r="T66" i="5"/>
  <c r="U66" i="5"/>
  <c r="P68" i="5"/>
  <c r="X68" i="5"/>
  <c r="AB68" i="5"/>
  <c r="Q68" i="5"/>
  <c r="R68" i="5"/>
  <c r="S67" i="5"/>
  <c r="T67" i="5" l="1"/>
  <c r="U67" i="5" s="1"/>
  <c r="AC68" i="5"/>
  <c r="AD68" i="5" s="1"/>
  <c r="Y68" i="5"/>
  <c r="Z68" i="5" s="1"/>
  <c r="P69" i="5"/>
  <c r="S68" i="5"/>
  <c r="AB69" i="5"/>
  <c r="X69" i="5"/>
  <c r="Q69" i="5"/>
  <c r="R69" i="5"/>
  <c r="Y69" i="5" l="1"/>
  <c r="Z69" i="5" s="1"/>
  <c r="AC69" i="5"/>
  <c r="AD69" i="5" s="1"/>
  <c r="T68" i="5"/>
  <c r="U68" i="5"/>
  <c r="P70" i="5"/>
  <c r="AB70" i="5"/>
  <c r="X70" i="5"/>
  <c r="Q70" i="5"/>
  <c r="R70" i="5"/>
  <c r="S69" i="5"/>
  <c r="T69" i="5" l="1"/>
  <c r="U69" i="5" s="1"/>
  <c r="Y70" i="5"/>
  <c r="Z70" i="5" s="1"/>
  <c r="AC70" i="5"/>
  <c r="AD70" i="5" s="1"/>
  <c r="P71" i="5"/>
  <c r="S70" i="5"/>
  <c r="AB71" i="5"/>
  <c r="X71" i="5"/>
  <c r="Q71" i="5"/>
  <c r="R71" i="5"/>
  <c r="Y71" i="5" l="1"/>
  <c r="Z71" i="5" s="1"/>
  <c r="AC71" i="5"/>
  <c r="AD71" i="5" s="1"/>
  <c r="T70" i="5"/>
  <c r="U70" i="5"/>
  <c r="P72" i="5"/>
  <c r="X72" i="5"/>
  <c r="AB72" i="5"/>
  <c r="Q72" i="5"/>
  <c r="R72" i="5"/>
  <c r="S71" i="5"/>
  <c r="T71" i="5" l="1"/>
  <c r="U71" i="5" s="1"/>
  <c r="AC72" i="5"/>
  <c r="AD72" i="5" s="1"/>
  <c r="Y72" i="5"/>
  <c r="Z72" i="5" s="1"/>
  <c r="P73" i="5"/>
  <c r="S72" i="5"/>
  <c r="X73" i="5"/>
  <c r="AB73" i="5"/>
  <c r="Q73" i="5"/>
  <c r="R73" i="5"/>
  <c r="AC73" i="5" l="1"/>
  <c r="AD73" i="5" s="1"/>
  <c r="Y73" i="5"/>
  <c r="Z73" i="5" s="1"/>
  <c r="T72" i="5"/>
  <c r="U72" i="5" s="1"/>
  <c r="P74" i="5"/>
  <c r="S73" i="5"/>
  <c r="AB74" i="5"/>
  <c r="X74" i="5"/>
  <c r="Q74" i="5"/>
  <c r="R74" i="5"/>
  <c r="Y74" i="5" l="1"/>
  <c r="Z74" i="5" s="1"/>
  <c r="AC74" i="5"/>
  <c r="AD74" i="5" s="1"/>
  <c r="T73" i="5"/>
  <c r="U73" i="5" s="1"/>
  <c r="P75" i="5"/>
  <c r="S74" i="5"/>
  <c r="AB75" i="5"/>
  <c r="X75" i="5"/>
  <c r="Q75" i="5"/>
  <c r="R75" i="5"/>
  <c r="Y75" i="5" l="1"/>
  <c r="Z75" i="5" s="1"/>
  <c r="AC75" i="5"/>
  <c r="AD75" i="5" s="1"/>
  <c r="T74" i="5"/>
  <c r="U74" i="5" s="1"/>
  <c r="P76" i="5"/>
  <c r="S75" i="5"/>
  <c r="X76" i="5"/>
  <c r="AB76" i="5"/>
  <c r="Q76" i="5"/>
  <c r="R76" i="5"/>
  <c r="AC76" i="5" l="1"/>
  <c r="AD76" i="5" s="1"/>
  <c r="Y76" i="5"/>
  <c r="Z76" i="5" s="1"/>
  <c r="T75" i="5"/>
  <c r="U75" i="5" s="1"/>
  <c r="P77" i="5"/>
  <c r="S76" i="5"/>
  <c r="AB77" i="5"/>
  <c r="X77" i="5"/>
  <c r="Q77" i="5"/>
  <c r="R77" i="5"/>
  <c r="Y77" i="5" l="1"/>
  <c r="Z77" i="5" s="1"/>
  <c r="AC77" i="5"/>
  <c r="AD77" i="5" s="1"/>
  <c r="T76" i="5"/>
  <c r="U76" i="5"/>
  <c r="P78" i="5"/>
  <c r="S77" i="5"/>
  <c r="AB78" i="5"/>
  <c r="X78" i="5"/>
  <c r="Q78" i="5"/>
  <c r="R78" i="5"/>
  <c r="Y78" i="5" l="1"/>
  <c r="Z78" i="5" s="1"/>
  <c r="AC78" i="5"/>
  <c r="AD78" i="5" s="1"/>
  <c r="T77" i="5"/>
  <c r="U77" i="5"/>
  <c r="P79" i="5"/>
  <c r="AB79" i="5"/>
  <c r="X79" i="5"/>
  <c r="Q79" i="5"/>
  <c r="R79" i="5"/>
  <c r="S78" i="5"/>
  <c r="T78" i="5" l="1"/>
  <c r="U78" i="5" s="1"/>
  <c r="Y79" i="5"/>
  <c r="Z79" i="5" s="1"/>
  <c r="AC79" i="5"/>
  <c r="AD79" i="5" s="1"/>
  <c r="P80" i="5"/>
  <c r="S79" i="5"/>
  <c r="X80" i="5"/>
  <c r="AB80" i="5"/>
  <c r="Q80" i="5"/>
  <c r="R80" i="5"/>
  <c r="AC80" i="5" l="1"/>
  <c r="AD80" i="5" s="1"/>
  <c r="Y80" i="5"/>
  <c r="Z80" i="5" s="1"/>
  <c r="T79" i="5"/>
  <c r="U79" i="5"/>
  <c r="P81" i="5"/>
  <c r="X81" i="5"/>
  <c r="AB81" i="5"/>
  <c r="Q81" i="5"/>
  <c r="R81" i="5"/>
  <c r="S80" i="5"/>
  <c r="T80" i="5" l="1"/>
  <c r="U80" i="5" s="1"/>
  <c r="AC81" i="5"/>
  <c r="AD81" i="5" s="1"/>
  <c r="Y81" i="5"/>
  <c r="Z81" i="5" s="1"/>
  <c r="P82" i="5"/>
  <c r="S81" i="5"/>
  <c r="AB82" i="5"/>
  <c r="X82" i="5"/>
  <c r="Q82" i="5"/>
  <c r="R82" i="5"/>
  <c r="Y82" i="5" l="1"/>
  <c r="Z82" i="5" s="1"/>
  <c r="AC82" i="5"/>
  <c r="AD82" i="5" s="1"/>
  <c r="T81" i="5"/>
  <c r="U81" i="5"/>
  <c r="P83" i="5"/>
  <c r="AB83" i="5"/>
  <c r="X83" i="5"/>
  <c r="Q83" i="5"/>
  <c r="R83" i="5"/>
  <c r="S82" i="5"/>
  <c r="T82" i="5" l="1"/>
  <c r="U82" i="5" s="1"/>
  <c r="Y83" i="5"/>
  <c r="Z83" i="5" s="1"/>
  <c r="AC83" i="5"/>
  <c r="AD83" i="5" s="1"/>
  <c r="P84" i="5"/>
  <c r="AB84" i="5"/>
  <c r="X84" i="5"/>
  <c r="Q84" i="5"/>
  <c r="R84" i="5"/>
  <c r="S83" i="5"/>
  <c r="T83" i="5" l="1"/>
  <c r="U83" i="5" s="1"/>
  <c r="Y84" i="5"/>
  <c r="Z84" i="5" s="1"/>
  <c r="AC84" i="5"/>
  <c r="AD84" i="5" s="1"/>
  <c r="P85" i="5"/>
  <c r="S84" i="5"/>
  <c r="AB85" i="5"/>
  <c r="X85" i="5"/>
  <c r="Q85" i="5"/>
  <c r="R85" i="5"/>
  <c r="Y85" i="5" l="1"/>
  <c r="Z85" i="5" s="1"/>
  <c r="AC85" i="5"/>
  <c r="AD85" i="5" s="1"/>
  <c r="T84" i="5"/>
  <c r="U84" i="5" s="1"/>
  <c r="P86" i="5"/>
  <c r="AB86" i="5"/>
  <c r="X86" i="5"/>
  <c r="Q86" i="5"/>
  <c r="R86" i="5"/>
  <c r="S85" i="5"/>
  <c r="T85" i="5" l="1"/>
  <c r="U85" i="5" s="1"/>
  <c r="Y86" i="5"/>
  <c r="Z86" i="5" s="1"/>
  <c r="AC86" i="5"/>
  <c r="AD86" i="5" s="1"/>
  <c r="P87" i="5"/>
  <c r="AB87" i="5"/>
  <c r="X87" i="5"/>
  <c r="Q87" i="5"/>
  <c r="R87" i="5"/>
  <c r="S86" i="5"/>
  <c r="T86" i="5" l="1"/>
  <c r="U86" i="5" s="1"/>
  <c r="Y87" i="5"/>
  <c r="Z87" i="5" s="1"/>
  <c r="AC87" i="5"/>
  <c r="AD87" i="5" s="1"/>
  <c r="P88" i="5"/>
  <c r="S87" i="5"/>
  <c r="X88" i="5"/>
  <c r="AB88" i="5"/>
  <c r="Q88" i="5"/>
  <c r="R88" i="5"/>
  <c r="AC88" i="5" l="1"/>
  <c r="AD88" i="5" s="1"/>
  <c r="Y88" i="5"/>
  <c r="Z88" i="5" s="1"/>
  <c r="T87" i="5"/>
  <c r="U87" i="5"/>
  <c r="P89" i="5"/>
  <c r="AB89" i="5"/>
  <c r="X89" i="5"/>
  <c r="Q89" i="5"/>
  <c r="R89" i="5"/>
  <c r="S88" i="5"/>
  <c r="T88" i="5" l="1"/>
  <c r="Y89" i="5"/>
  <c r="Z89" i="5" s="1"/>
  <c r="AC89" i="5"/>
  <c r="AD89" i="5" s="1"/>
  <c r="U88" i="5"/>
  <c r="P90" i="5"/>
  <c r="S89" i="5"/>
  <c r="AB90" i="5"/>
  <c r="X90" i="5"/>
  <c r="Q90" i="5"/>
  <c r="R90" i="5"/>
  <c r="Y90" i="5" l="1"/>
  <c r="Z90" i="5" s="1"/>
  <c r="AC90" i="5"/>
  <c r="AD90" i="5" s="1"/>
  <c r="T89" i="5"/>
  <c r="U89" i="5"/>
  <c r="P91" i="5"/>
  <c r="S90" i="5"/>
  <c r="AB91" i="5"/>
  <c r="X91" i="5"/>
  <c r="Q91" i="5"/>
  <c r="R91" i="5"/>
  <c r="Y91" i="5" l="1"/>
  <c r="Z91" i="5" s="1"/>
  <c r="AC91" i="5"/>
  <c r="AD91" i="5" s="1"/>
  <c r="T90" i="5"/>
  <c r="U90" i="5" s="1"/>
  <c r="P92" i="5"/>
  <c r="S91" i="5"/>
  <c r="AB92" i="5"/>
  <c r="X92" i="5"/>
  <c r="Q92" i="5"/>
  <c r="R92" i="5"/>
  <c r="Y92" i="5" l="1"/>
  <c r="Z92" i="5" s="1"/>
  <c r="AC92" i="5"/>
  <c r="AD92" i="5" s="1"/>
  <c r="T91" i="5"/>
  <c r="U91" i="5" s="1"/>
  <c r="P93" i="5"/>
  <c r="S92" i="5"/>
  <c r="AB93" i="5"/>
  <c r="X93" i="5"/>
  <c r="Q93" i="5"/>
  <c r="R93" i="5"/>
  <c r="Y93" i="5" l="1"/>
  <c r="Z93" i="5" s="1"/>
  <c r="AC93" i="5"/>
  <c r="AD93" i="5" s="1"/>
  <c r="T92" i="5"/>
  <c r="U92" i="5" s="1"/>
  <c r="P94" i="5"/>
  <c r="S93" i="5"/>
  <c r="AB94" i="5"/>
  <c r="X94" i="5"/>
  <c r="Q94" i="5"/>
  <c r="R94" i="5"/>
  <c r="Y94" i="5" l="1"/>
  <c r="Z94" i="5" s="1"/>
  <c r="AC94" i="5"/>
  <c r="AD94" i="5" s="1"/>
  <c r="T93" i="5"/>
  <c r="U93" i="5" s="1"/>
  <c r="P95" i="5"/>
  <c r="AB95" i="5"/>
  <c r="X95" i="5"/>
  <c r="Q95" i="5"/>
  <c r="R95" i="5"/>
  <c r="S94" i="5"/>
  <c r="T94" i="5" l="1"/>
  <c r="U94" i="5" s="1"/>
  <c r="Y95" i="5"/>
  <c r="Z95" i="5" s="1"/>
  <c r="AC95" i="5"/>
  <c r="AD95" i="5" s="1"/>
  <c r="P96" i="5"/>
  <c r="S95" i="5"/>
  <c r="X96" i="5"/>
  <c r="AB96" i="5"/>
  <c r="Q96" i="5"/>
  <c r="R96" i="5"/>
  <c r="AC96" i="5" l="1"/>
  <c r="AD96" i="5" s="1"/>
  <c r="Y96" i="5"/>
  <c r="Z96" i="5" s="1"/>
  <c r="T95" i="5"/>
  <c r="U95" i="5" s="1"/>
  <c r="P97" i="5"/>
  <c r="AB97" i="5"/>
  <c r="X97" i="5"/>
  <c r="Q97" i="5"/>
  <c r="R97" i="5"/>
  <c r="S96" i="5"/>
  <c r="T96" i="5" l="1"/>
  <c r="U96" i="5" s="1"/>
  <c r="Y97" i="5"/>
  <c r="Z97" i="5" s="1"/>
  <c r="AC97" i="5"/>
  <c r="AD97" i="5" s="1"/>
  <c r="P98" i="5"/>
  <c r="S97" i="5"/>
  <c r="X98" i="5"/>
  <c r="AB98" i="5"/>
  <c r="Q98" i="5"/>
  <c r="R98" i="5"/>
  <c r="AC98" i="5" l="1"/>
  <c r="AD98" i="5" s="1"/>
  <c r="Y98" i="5"/>
  <c r="Z98" i="5" s="1"/>
  <c r="T97" i="5"/>
  <c r="U97" i="5" s="1"/>
  <c r="P99" i="5"/>
  <c r="S98" i="5"/>
  <c r="AB99" i="5"/>
  <c r="X99" i="5"/>
  <c r="Q99" i="5"/>
  <c r="R99" i="5"/>
  <c r="Y99" i="5" l="1"/>
  <c r="Z99" i="5" s="1"/>
  <c r="AC99" i="5"/>
  <c r="AD99" i="5" s="1"/>
  <c r="T98" i="5"/>
  <c r="U98" i="5" s="1"/>
  <c r="P100" i="5"/>
  <c r="S99" i="5"/>
  <c r="AB100" i="5"/>
  <c r="X100" i="5"/>
  <c r="Q100" i="5"/>
  <c r="R100" i="5"/>
  <c r="Y100" i="5" l="1"/>
  <c r="Z100" i="5" s="1"/>
  <c r="AC100" i="5"/>
  <c r="AD100" i="5" s="1"/>
  <c r="T99" i="5"/>
  <c r="U99" i="5" s="1"/>
  <c r="P101" i="5"/>
  <c r="S100" i="5"/>
  <c r="AB101" i="5"/>
  <c r="X101" i="5"/>
  <c r="Q101" i="5"/>
  <c r="R101" i="5"/>
  <c r="Y101" i="5" l="1"/>
  <c r="Z101" i="5" s="1"/>
  <c r="AC101" i="5"/>
  <c r="AD101" i="5" s="1"/>
  <c r="T100" i="5"/>
  <c r="U100" i="5" s="1"/>
  <c r="P102" i="5"/>
  <c r="S101" i="5"/>
  <c r="AB102" i="5"/>
  <c r="X102" i="5"/>
  <c r="Q102" i="5"/>
  <c r="R102" i="5"/>
  <c r="Y102" i="5" l="1"/>
  <c r="Z102" i="5" s="1"/>
  <c r="AC102" i="5"/>
  <c r="AD102" i="5" s="1"/>
  <c r="T101" i="5"/>
  <c r="U101" i="5"/>
  <c r="P103" i="5"/>
  <c r="S102" i="5"/>
  <c r="AB103" i="5"/>
  <c r="X103" i="5"/>
  <c r="Q103" i="5"/>
  <c r="R103" i="5"/>
  <c r="Y103" i="5" l="1"/>
  <c r="Z103" i="5" s="1"/>
  <c r="AC103" i="5"/>
  <c r="AD103" i="5" s="1"/>
  <c r="T102" i="5"/>
  <c r="U102" i="5"/>
  <c r="P104" i="5"/>
  <c r="AB104" i="5"/>
  <c r="X104" i="5"/>
  <c r="Q104" i="5"/>
  <c r="R104" i="5"/>
  <c r="S103" i="5"/>
  <c r="T103" i="5" l="1"/>
  <c r="U103" i="5" s="1"/>
  <c r="Y104" i="5"/>
  <c r="Z104" i="5" s="1"/>
  <c r="AC104" i="5"/>
  <c r="AD104" i="5" s="1"/>
  <c r="P105" i="5"/>
  <c r="AB105" i="5"/>
  <c r="X105" i="5"/>
  <c r="Q105" i="5"/>
  <c r="R105" i="5"/>
  <c r="S104" i="5"/>
  <c r="T104" i="5" l="1"/>
  <c r="U104" i="5" s="1"/>
  <c r="Y105" i="5"/>
  <c r="Z105" i="5" s="1"/>
  <c r="AC105" i="5"/>
  <c r="AD105" i="5" s="1"/>
  <c r="P106" i="5"/>
  <c r="S105" i="5"/>
  <c r="AB106" i="5"/>
  <c r="X106" i="5"/>
  <c r="Q106" i="5"/>
  <c r="R106" i="5"/>
  <c r="Y106" i="5" l="1"/>
  <c r="Z106" i="5" s="1"/>
  <c r="AC106" i="5"/>
  <c r="AD106" i="5" s="1"/>
  <c r="T105" i="5"/>
  <c r="U105" i="5"/>
  <c r="P107" i="5"/>
  <c r="AB107" i="5"/>
  <c r="X107" i="5"/>
  <c r="Q107" i="5"/>
  <c r="R107" i="5"/>
  <c r="S106" i="5"/>
  <c r="T106" i="5" l="1"/>
  <c r="U106" i="5" s="1"/>
  <c r="Y107" i="5"/>
  <c r="Z107" i="5" s="1"/>
  <c r="AC107" i="5"/>
  <c r="AD107" i="5" s="1"/>
  <c r="P108" i="5"/>
  <c r="AB108" i="5"/>
  <c r="X108" i="5"/>
  <c r="Q108" i="5"/>
  <c r="R108" i="5"/>
  <c r="S107" i="5"/>
  <c r="T107" i="5" l="1"/>
  <c r="Y108" i="5"/>
  <c r="Z108" i="5" s="1"/>
  <c r="AC108" i="5"/>
  <c r="AD108" i="5" s="1"/>
  <c r="U107" i="5"/>
  <c r="P109" i="5"/>
  <c r="S108" i="5"/>
  <c r="AB109" i="5"/>
  <c r="X109" i="5"/>
  <c r="Q109" i="5"/>
  <c r="R109" i="5"/>
  <c r="Y109" i="5" l="1"/>
  <c r="Z109" i="5" s="1"/>
  <c r="AC109" i="5"/>
  <c r="AD109" i="5" s="1"/>
  <c r="T108" i="5"/>
  <c r="U108" i="5" s="1"/>
  <c r="P110" i="5"/>
  <c r="S109" i="5"/>
  <c r="AB110" i="5"/>
  <c r="X110" i="5"/>
  <c r="Q110" i="5"/>
  <c r="R110" i="5"/>
  <c r="Y110" i="5" l="1"/>
  <c r="Z110" i="5" s="1"/>
  <c r="AC110" i="5"/>
  <c r="AD110" i="5" s="1"/>
  <c r="T109" i="5"/>
  <c r="U109" i="5" s="1"/>
  <c r="P111" i="5"/>
  <c r="S110" i="5"/>
  <c r="X111" i="5"/>
  <c r="AB111" i="5"/>
  <c r="Q111" i="5"/>
  <c r="R111" i="5"/>
  <c r="AC111" i="5" l="1"/>
  <c r="AD111" i="5" s="1"/>
  <c r="Y111" i="5"/>
  <c r="Z111" i="5" s="1"/>
  <c r="T110" i="5"/>
  <c r="U110" i="5" s="1"/>
  <c r="P112" i="5"/>
  <c r="AB112" i="5"/>
  <c r="X112" i="5"/>
  <c r="Q112" i="5"/>
  <c r="R112" i="5"/>
  <c r="S111" i="5"/>
  <c r="T111" i="5" l="1"/>
  <c r="Y112" i="5"/>
  <c r="Z112" i="5" s="1"/>
  <c r="AC112" i="5"/>
  <c r="AD112" i="5" s="1"/>
  <c r="U111" i="5"/>
  <c r="P113" i="5"/>
  <c r="S112" i="5"/>
  <c r="AB113" i="5"/>
  <c r="X113" i="5"/>
  <c r="Q113" i="5"/>
  <c r="R113" i="5"/>
  <c r="Y113" i="5" l="1"/>
  <c r="Z113" i="5" s="1"/>
  <c r="AC113" i="5"/>
  <c r="AD113" i="5" s="1"/>
  <c r="T112" i="5"/>
  <c r="U112" i="5"/>
  <c r="P114" i="5"/>
  <c r="X114" i="5"/>
  <c r="AB114" i="5"/>
  <c r="Q114" i="5"/>
  <c r="R114" i="5"/>
  <c r="S113" i="5"/>
  <c r="T113" i="5" l="1"/>
  <c r="U113" i="5" s="1"/>
  <c r="AC114" i="5"/>
  <c r="AD114" i="5" s="1"/>
  <c r="Y114" i="5"/>
  <c r="Z114" i="5" s="1"/>
  <c r="P115" i="5"/>
  <c r="S114" i="5"/>
  <c r="AB115" i="5"/>
  <c r="X115" i="5"/>
  <c r="Q115" i="5"/>
  <c r="R115" i="5"/>
  <c r="Y115" i="5" l="1"/>
  <c r="Z115" i="5" s="1"/>
  <c r="AC115" i="5"/>
  <c r="AD115" i="5" s="1"/>
  <c r="T114" i="5"/>
  <c r="U114" i="5" s="1"/>
  <c r="P116" i="5"/>
  <c r="S115" i="5"/>
  <c r="AB116" i="5"/>
  <c r="X116" i="5"/>
  <c r="Q116" i="5"/>
  <c r="R116" i="5"/>
  <c r="Y116" i="5" l="1"/>
  <c r="Z116" i="5" s="1"/>
  <c r="AC116" i="5"/>
  <c r="AD116" i="5" s="1"/>
  <c r="T115" i="5"/>
  <c r="U115" i="5"/>
  <c r="P117" i="5"/>
  <c r="AB117" i="5"/>
  <c r="X117" i="5"/>
  <c r="Q117" i="5"/>
  <c r="R117" i="5"/>
  <c r="S116" i="5"/>
  <c r="T116" i="5" l="1"/>
  <c r="U116" i="5" s="1"/>
  <c r="Y117" i="5"/>
  <c r="Z117" i="5" s="1"/>
  <c r="AC117" i="5"/>
  <c r="AD117" i="5" s="1"/>
  <c r="P118" i="5"/>
  <c r="S117" i="5"/>
  <c r="X118" i="5"/>
  <c r="AB118" i="5"/>
  <c r="Q118" i="5"/>
  <c r="R118" i="5"/>
  <c r="AC118" i="5" l="1"/>
  <c r="AD118" i="5" s="1"/>
  <c r="Y118" i="5"/>
  <c r="Z118" i="5" s="1"/>
  <c r="T117" i="5"/>
  <c r="U117" i="5"/>
  <c r="P119" i="5"/>
  <c r="S118" i="5"/>
  <c r="AB119" i="5"/>
  <c r="X119" i="5"/>
  <c r="Q119" i="5"/>
  <c r="R119" i="5"/>
  <c r="Y119" i="5" l="1"/>
  <c r="Z119" i="5" s="1"/>
  <c r="AC119" i="5"/>
  <c r="AD119" i="5" s="1"/>
  <c r="T118" i="5"/>
  <c r="U118" i="5" s="1"/>
  <c r="P120" i="5"/>
  <c r="AB120" i="5"/>
  <c r="X120" i="5"/>
  <c r="Q120" i="5"/>
  <c r="R120" i="5"/>
  <c r="S119" i="5"/>
  <c r="T119" i="5" l="1"/>
  <c r="U119" i="5" s="1"/>
  <c r="Y120" i="5"/>
  <c r="Z120" i="5" s="1"/>
  <c r="AC120" i="5"/>
  <c r="AD120" i="5" s="1"/>
  <c r="P121" i="5"/>
  <c r="S120" i="5"/>
  <c r="AB121" i="5"/>
  <c r="X121" i="5"/>
  <c r="Q121" i="5"/>
  <c r="R121" i="5"/>
  <c r="Y121" i="5" l="1"/>
  <c r="Z121" i="5" s="1"/>
  <c r="AC121" i="5"/>
  <c r="AD121" i="5" s="1"/>
  <c r="T120" i="5"/>
  <c r="U120" i="5" s="1"/>
  <c r="P122" i="5"/>
  <c r="AB122" i="5"/>
  <c r="X122" i="5"/>
  <c r="Q122" i="5"/>
  <c r="R122" i="5"/>
  <c r="S121" i="5"/>
  <c r="T121" i="5" l="1"/>
  <c r="U121" i="5" s="1"/>
  <c r="Y122" i="5"/>
  <c r="Z122" i="5" s="1"/>
  <c r="AC122" i="5"/>
  <c r="AD122" i="5" s="1"/>
  <c r="P123" i="5"/>
  <c r="S122" i="5"/>
  <c r="AB123" i="5"/>
  <c r="X123" i="5"/>
  <c r="Q123" i="5"/>
  <c r="R123" i="5"/>
  <c r="Y123" i="5" l="1"/>
  <c r="Z123" i="5" s="1"/>
  <c r="AC123" i="5"/>
  <c r="AD123" i="5" s="1"/>
  <c r="T122" i="5"/>
  <c r="U122" i="5" s="1"/>
  <c r="P124" i="5"/>
  <c r="AB124" i="5"/>
  <c r="X124" i="5"/>
  <c r="Q124" i="5"/>
  <c r="R124" i="5"/>
  <c r="S123" i="5"/>
  <c r="T123" i="5" l="1"/>
  <c r="U123" i="5" s="1"/>
  <c r="Y124" i="5"/>
  <c r="Z124" i="5" s="1"/>
  <c r="AC124" i="5"/>
  <c r="AD124" i="5" s="1"/>
  <c r="P125" i="5"/>
  <c r="S124" i="5"/>
  <c r="AB125" i="5"/>
  <c r="X125" i="5"/>
  <c r="Q125" i="5"/>
  <c r="R125" i="5"/>
  <c r="Y125" i="5" l="1"/>
  <c r="Z125" i="5" s="1"/>
  <c r="AC125" i="5"/>
  <c r="AD125" i="5" s="1"/>
  <c r="T124" i="5"/>
  <c r="U124" i="5"/>
  <c r="P126" i="5"/>
  <c r="S125" i="5"/>
  <c r="AB126" i="5"/>
  <c r="X126" i="5"/>
  <c r="Q126" i="5"/>
  <c r="R126" i="5"/>
  <c r="Y126" i="5" l="1"/>
  <c r="Z126" i="5" s="1"/>
  <c r="AC126" i="5"/>
  <c r="AD126" i="5" s="1"/>
  <c r="T125" i="5"/>
  <c r="U125" i="5"/>
  <c r="P127" i="5"/>
  <c r="AB127" i="5"/>
  <c r="X127" i="5"/>
  <c r="Q127" i="5"/>
  <c r="R127" i="5"/>
  <c r="S126" i="5"/>
  <c r="T126" i="5" l="1"/>
  <c r="U126" i="5" s="1"/>
  <c r="Y127" i="5"/>
  <c r="Z127" i="5" s="1"/>
  <c r="AC127" i="5"/>
  <c r="AD127" i="5" s="1"/>
  <c r="P128" i="5"/>
  <c r="S127" i="5"/>
  <c r="AB128" i="5"/>
  <c r="X128" i="5"/>
  <c r="Q128" i="5"/>
  <c r="R128" i="5"/>
  <c r="Y128" i="5" l="1"/>
  <c r="Z128" i="5" s="1"/>
  <c r="AC128" i="5"/>
  <c r="AD128" i="5" s="1"/>
  <c r="T127" i="5"/>
  <c r="U127" i="5"/>
  <c r="P129" i="5"/>
  <c r="AB129" i="5"/>
  <c r="X129" i="5"/>
  <c r="Q129" i="5"/>
  <c r="R129" i="5"/>
  <c r="S128" i="5"/>
  <c r="T128" i="5" l="1"/>
  <c r="U128" i="5" s="1"/>
  <c r="Y129" i="5"/>
  <c r="Z129" i="5" s="1"/>
  <c r="AC129" i="5"/>
  <c r="AD129" i="5" s="1"/>
  <c r="P130" i="5"/>
  <c r="S129" i="5"/>
  <c r="X130" i="5"/>
  <c r="AB130" i="5"/>
  <c r="Q130" i="5"/>
  <c r="R130" i="5"/>
  <c r="AC130" i="5" l="1"/>
  <c r="AD130" i="5" s="1"/>
  <c r="Y130" i="5"/>
  <c r="Z130" i="5" s="1"/>
  <c r="T129" i="5"/>
  <c r="U129" i="5"/>
  <c r="P131" i="5"/>
  <c r="AB131" i="5"/>
  <c r="X131" i="5"/>
  <c r="Q131" i="5"/>
  <c r="R131" i="5"/>
  <c r="S130" i="5"/>
  <c r="T130" i="5" l="1"/>
  <c r="Y131" i="5"/>
  <c r="Z131" i="5" s="1"/>
  <c r="AC131" i="5"/>
  <c r="AD131" i="5" s="1"/>
  <c r="U130" i="5"/>
  <c r="P132" i="5"/>
  <c r="S131" i="5"/>
  <c r="AB132" i="5"/>
  <c r="X132" i="5"/>
  <c r="Q132" i="5"/>
  <c r="R132" i="5"/>
  <c r="Y132" i="5" l="1"/>
  <c r="Z132" i="5" s="1"/>
  <c r="AC132" i="5"/>
  <c r="AD132" i="5" s="1"/>
  <c r="T131" i="5"/>
  <c r="U131" i="5" s="1"/>
  <c r="P133" i="5"/>
  <c r="S132" i="5"/>
  <c r="AB133" i="5"/>
  <c r="X133" i="5"/>
  <c r="Q133" i="5"/>
  <c r="R133" i="5"/>
  <c r="Y133" i="5" l="1"/>
  <c r="Z133" i="5" s="1"/>
  <c r="AC133" i="5"/>
  <c r="AD133" i="5" s="1"/>
  <c r="T132" i="5"/>
  <c r="U132" i="5" s="1"/>
  <c r="P134" i="5"/>
  <c r="S133" i="5"/>
  <c r="AB134" i="5"/>
  <c r="X134" i="5"/>
  <c r="Q134" i="5"/>
  <c r="R134" i="5"/>
  <c r="Y134" i="5" l="1"/>
  <c r="Z134" i="5" s="1"/>
  <c r="AC134" i="5"/>
  <c r="AD134" i="5" s="1"/>
  <c r="T133" i="5"/>
  <c r="U133" i="5" s="1"/>
  <c r="P135" i="5"/>
  <c r="AB135" i="5"/>
  <c r="X135" i="5"/>
  <c r="Q135" i="5"/>
  <c r="R135" i="5"/>
  <c r="S134" i="5"/>
  <c r="T134" i="5" l="1"/>
  <c r="U134" i="5" s="1"/>
  <c r="Y135" i="5"/>
  <c r="Z135" i="5" s="1"/>
  <c r="AC135" i="5"/>
  <c r="AD135" i="5" s="1"/>
  <c r="P136" i="5"/>
  <c r="S135" i="5"/>
  <c r="AB136" i="5"/>
  <c r="X136" i="5"/>
  <c r="Q136" i="5"/>
  <c r="R136" i="5"/>
  <c r="Y136" i="5" l="1"/>
  <c r="Z136" i="5" s="1"/>
  <c r="AC136" i="5"/>
  <c r="AD136" i="5" s="1"/>
  <c r="T135" i="5"/>
  <c r="U135" i="5" s="1"/>
  <c r="P137" i="5"/>
  <c r="AB137" i="5"/>
  <c r="X137" i="5"/>
  <c r="Q137" i="5"/>
  <c r="R137" i="5"/>
  <c r="S136" i="5"/>
  <c r="T136" i="5" l="1"/>
  <c r="U136" i="5" s="1"/>
  <c r="Y137" i="5"/>
  <c r="Z137" i="5" s="1"/>
  <c r="AC137" i="5"/>
  <c r="AD137" i="5" s="1"/>
  <c r="P138" i="5"/>
  <c r="S137" i="5"/>
  <c r="AB138" i="5"/>
  <c r="X138" i="5"/>
  <c r="Q138" i="5"/>
  <c r="R138" i="5"/>
  <c r="Y138" i="5" l="1"/>
  <c r="Z138" i="5" s="1"/>
  <c r="AC138" i="5"/>
  <c r="AD138" i="5" s="1"/>
  <c r="T137" i="5"/>
  <c r="U137" i="5" s="1"/>
  <c r="P139" i="5"/>
  <c r="S138" i="5"/>
  <c r="AB139" i="5"/>
  <c r="X139" i="5"/>
  <c r="Q139" i="5"/>
  <c r="R139" i="5"/>
  <c r="Y139" i="5" l="1"/>
  <c r="Z139" i="5" s="1"/>
  <c r="AC139" i="5"/>
  <c r="AD139" i="5" s="1"/>
  <c r="T138" i="5"/>
  <c r="U138" i="5"/>
  <c r="P140" i="5"/>
  <c r="AB140" i="5"/>
  <c r="X140" i="5"/>
  <c r="Q140" i="5"/>
  <c r="R140" i="5"/>
  <c r="S139" i="5"/>
  <c r="T139" i="5" l="1"/>
  <c r="U139" i="5" s="1"/>
  <c r="Y140" i="5"/>
  <c r="Z140" i="5" s="1"/>
  <c r="AC140" i="5"/>
  <c r="AD140" i="5" s="1"/>
  <c r="P141" i="5"/>
  <c r="S140" i="5"/>
  <c r="X141" i="5"/>
  <c r="AB141" i="5"/>
  <c r="Q141" i="5"/>
  <c r="R141" i="5"/>
  <c r="AC141" i="5" l="1"/>
  <c r="AD141" i="5" s="1"/>
  <c r="Y141" i="5"/>
  <c r="Z141" i="5" s="1"/>
  <c r="T140" i="5"/>
  <c r="U140" i="5" s="1"/>
  <c r="P142" i="5"/>
  <c r="S141" i="5"/>
  <c r="X142" i="5"/>
  <c r="AB142" i="5"/>
  <c r="Q142" i="5"/>
  <c r="R142" i="5"/>
  <c r="AC142" i="5" l="1"/>
  <c r="AD142" i="5" s="1"/>
  <c r="Y142" i="5"/>
  <c r="Z142" i="5" s="1"/>
  <c r="T141" i="5"/>
  <c r="U141" i="5" s="1"/>
  <c r="P143" i="5"/>
  <c r="S142" i="5"/>
  <c r="X143" i="5"/>
  <c r="AB143" i="5"/>
  <c r="Q143" i="5"/>
  <c r="R143" i="5"/>
  <c r="AC143" i="5" l="1"/>
  <c r="AD143" i="5" s="1"/>
  <c r="Y143" i="5"/>
  <c r="Z143" i="5" s="1"/>
  <c r="T142" i="5"/>
  <c r="U142" i="5" s="1"/>
  <c r="P144" i="5"/>
  <c r="S143" i="5"/>
  <c r="AB144" i="5"/>
  <c r="X144" i="5"/>
  <c r="Q144" i="5"/>
  <c r="R144" i="5"/>
  <c r="Y144" i="5" l="1"/>
  <c r="Z144" i="5" s="1"/>
  <c r="AC144" i="5"/>
  <c r="AD144" i="5" s="1"/>
  <c r="T143" i="5"/>
  <c r="U143" i="5"/>
  <c r="P145" i="5"/>
  <c r="S144" i="5"/>
  <c r="AB145" i="5"/>
  <c r="X145" i="5"/>
  <c r="Q145" i="5"/>
  <c r="R145" i="5"/>
  <c r="Y145" i="5" l="1"/>
  <c r="Z145" i="5" s="1"/>
  <c r="AC145" i="5"/>
  <c r="AD145" i="5" s="1"/>
  <c r="T144" i="5"/>
  <c r="U144" i="5" s="1"/>
  <c r="P146" i="5"/>
  <c r="S145" i="5"/>
  <c r="AB146" i="5"/>
  <c r="X146" i="5"/>
  <c r="Q146" i="5"/>
  <c r="R146" i="5"/>
  <c r="Y146" i="5" l="1"/>
  <c r="Z146" i="5" s="1"/>
  <c r="AC146" i="5"/>
  <c r="AD146" i="5" s="1"/>
  <c r="T145" i="5"/>
  <c r="U145" i="5" s="1"/>
  <c r="P147" i="5"/>
  <c r="S146" i="5"/>
  <c r="AB147" i="5"/>
  <c r="X147" i="5"/>
  <c r="Q147" i="5"/>
  <c r="R147" i="5"/>
  <c r="Y147" i="5" l="1"/>
  <c r="Z147" i="5" s="1"/>
  <c r="AC147" i="5"/>
  <c r="AD147" i="5" s="1"/>
  <c r="T146" i="5"/>
  <c r="U146" i="5"/>
  <c r="P148" i="5"/>
  <c r="AB148" i="5"/>
  <c r="X148" i="5"/>
  <c r="Q148" i="5"/>
  <c r="R148" i="5"/>
  <c r="S147" i="5"/>
  <c r="T147" i="5" l="1"/>
  <c r="U147" i="5" s="1"/>
  <c r="Y148" i="5"/>
  <c r="Z148" i="5" s="1"/>
  <c r="AC148" i="5"/>
  <c r="AD148" i="5" s="1"/>
  <c r="P149" i="5"/>
  <c r="S148" i="5"/>
  <c r="X149" i="5"/>
  <c r="AB149" i="5"/>
  <c r="Q149" i="5"/>
  <c r="R149" i="5"/>
  <c r="AC149" i="5" l="1"/>
  <c r="AD149" i="5" s="1"/>
  <c r="Y149" i="5"/>
  <c r="Z149" i="5" s="1"/>
  <c r="T148" i="5"/>
  <c r="U148" i="5" s="1"/>
  <c r="P150" i="5"/>
  <c r="S149" i="5"/>
  <c r="X150" i="5"/>
  <c r="AB150" i="5"/>
  <c r="Q150" i="5"/>
  <c r="R150" i="5"/>
  <c r="AC150" i="5" l="1"/>
  <c r="AD150" i="5" s="1"/>
  <c r="Y150" i="5"/>
  <c r="Z150" i="5" s="1"/>
  <c r="T149" i="5"/>
  <c r="U149" i="5"/>
  <c r="P151" i="5"/>
  <c r="AB151" i="5"/>
  <c r="X151" i="5"/>
  <c r="Q151" i="5"/>
  <c r="R151" i="5"/>
  <c r="S150" i="5"/>
  <c r="T150" i="5" l="1"/>
  <c r="U150" i="5" s="1"/>
  <c r="Y151" i="5"/>
  <c r="Z151" i="5" s="1"/>
  <c r="AC151" i="5"/>
  <c r="AD151" i="5" s="1"/>
  <c r="P152" i="5"/>
  <c r="S151" i="5"/>
  <c r="AB152" i="5"/>
  <c r="X152" i="5"/>
  <c r="Q152" i="5"/>
  <c r="R152" i="5"/>
  <c r="Y152" i="5" l="1"/>
  <c r="Z152" i="5" s="1"/>
  <c r="AC152" i="5"/>
  <c r="AD152" i="5" s="1"/>
  <c r="T151" i="5"/>
  <c r="U151" i="5" s="1"/>
  <c r="P153" i="5"/>
  <c r="S152" i="5"/>
  <c r="AB153" i="5"/>
  <c r="X153" i="5"/>
  <c r="Q153" i="5"/>
  <c r="R153" i="5"/>
  <c r="Y153" i="5" l="1"/>
  <c r="Z153" i="5" s="1"/>
  <c r="AC153" i="5"/>
  <c r="AD153" i="5" s="1"/>
  <c r="T152" i="5"/>
  <c r="U152" i="5" s="1"/>
  <c r="P154" i="5"/>
  <c r="S153" i="5"/>
  <c r="AB154" i="5"/>
  <c r="X154" i="5"/>
  <c r="Q154" i="5"/>
  <c r="R154" i="5"/>
  <c r="Y154" i="5" l="1"/>
  <c r="Z154" i="5" s="1"/>
  <c r="AC154" i="5"/>
  <c r="AD154" i="5" s="1"/>
  <c r="T153" i="5"/>
  <c r="U153" i="5"/>
  <c r="P155" i="5"/>
  <c r="AB155" i="5"/>
  <c r="X155" i="5"/>
  <c r="Q155" i="5"/>
  <c r="R155" i="5"/>
  <c r="S154" i="5"/>
  <c r="T154" i="5" l="1"/>
  <c r="U154" i="5" s="1"/>
  <c r="Y155" i="5"/>
  <c r="Z155" i="5" s="1"/>
  <c r="AC155" i="5"/>
  <c r="AD155" i="5" s="1"/>
  <c r="P156" i="5"/>
  <c r="S155" i="5"/>
  <c r="AB156" i="5"/>
  <c r="X156" i="5"/>
  <c r="Q156" i="5"/>
  <c r="R156" i="5"/>
  <c r="Y156" i="5" l="1"/>
  <c r="Z156" i="5" s="1"/>
  <c r="AC156" i="5"/>
  <c r="AD156" i="5" s="1"/>
  <c r="T155" i="5"/>
  <c r="U155" i="5" s="1"/>
  <c r="P157" i="5"/>
  <c r="S156" i="5"/>
  <c r="AB157" i="5"/>
  <c r="X157" i="5"/>
  <c r="Q157" i="5"/>
  <c r="R157" i="5"/>
  <c r="Y157" i="5" l="1"/>
  <c r="Z157" i="5" s="1"/>
  <c r="AC157" i="5"/>
  <c r="AD157" i="5" s="1"/>
  <c r="T156" i="5"/>
  <c r="U156" i="5" s="1"/>
  <c r="P158" i="5"/>
  <c r="S157" i="5"/>
  <c r="AB158" i="5"/>
  <c r="X158" i="5"/>
  <c r="Q158" i="5"/>
  <c r="R158" i="5"/>
  <c r="Y158" i="5" l="1"/>
  <c r="Z158" i="5" s="1"/>
  <c r="AC158" i="5"/>
  <c r="AD158" i="5" s="1"/>
  <c r="T157" i="5"/>
  <c r="U157" i="5" s="1"/>
  <c r="P159" i="5"/>
  <c r="S158" i="5"/>
  <c r="AB159" i="5"/>
  <c r="X159" i="5"/>
  <c r="Q159" i="5"/>
  <c r="R159" i="5"/>
  <c r="Y159" i="5" l="1"/>
  <c r="Z159" i="5" s="1"/>
  <c r="AC159" i="5"/>
  <c r="AD159" i="5" s="1"/>
  <c r="T158" i="5"/>
  <c r="U158" i="5"/>
  <c r="P160" i="5"/>
  <c r="AB160" i="5"/>
  <c r="X160" i="5"/>
  <c r="Q160" i="5"/>
  <c r="R160" i="5"/>
  <c r="S159" i="5"/>
  <c r="T159" i="5" l="1"/>
  <c r="U159" i="5" s="1"/>
  <c r="Y160" i="5"/>
  <c r="Z160" i="5" s="1"/>
  <c r="AC160" i="5"/>
  <c r="AD160" i="5" s="1"/>
  <c r="P161" i="5"/>
  <c r="S160" i="5"/>
  <c r="AB161" i="5"/>
  <c r="X161" i="5"/>
  <c r="Q161" i="5"/>
  <c r="R161" i="5"/>
  <c r="Y161" i="5" l="1"/>
  <c r="Z161" i="5" s="1"/>
  <c r="AC161" i="5"/>
  <c r="AD161" i="5" s="1"/>
  <c r="T160" i="5"/>
  <c r="U160" i="5"/>
  <c r="P162" i="5"/>
  <c r="S161" i="5"/>
  <c r="AB162" i="5"/>
  <c r="X162" i="5"/>
  <c r="Q162" i="5"/>
  <c r="R162" i="5"/>
  <c r="Y162" i="5" l="1"/>
  <c r="Z162" i="5" s="1"/>
  <c r="AC162" i="5"/>
  <c r="AD162" i="5" s="1"/>
  <c r="T161" i="5"/>
  <c r="U161" i="5"/>
  <c r="P163" i="5"/>
  <c r="S162" i="5"/>
  <c r="AB163" i="5"/>
  <c r="X163" i="5"/>
  <c r="Q163" i="5"/>
  <c r="R163" i="5"/>
  <c r="Y163" i="5" l="1"/>
  <c r="Z163" i="5" s="1"/>
  <c r="AC163" i="5"/>
  <c r="AD163" i="5" s="1"/>
  <c r="T162" i="5"/>
  <c r="U162" i="5"/>
  <c r="P164" i="5"/>
  <c r="AB164" i="5"/>
  <c r="X164" i="5"/>
  <c r="Q164" i="5"/>
  <c r="R164" i="5"/>
  <c r="S163" i="5"/>
  <c r="T163" i="5" l="1"/>
  <c r="U163" i="5" s="1"/>
  <c r="Y164" i="5"/>
  <c r="Z164" i="5" s="1"/>
  <c r="AC164" i="5"/>
  <c r="AD164" i="5" s="1"/>
  <c r="P165" i="5"/>
  <c r="AB165" i="5"/>
  <c r="X165" i="5"/>
  <c r="Q165" i="5"/>
  <c r="R165" i="5"/>
  <c r="S164" i="5"/>
  <c r="T164" i="5" l="1"/>
  <c r="U164" i="5" s="1"/>
  <c r="Y165" i="5"/>
  <c r="Z165" i="5" s="1"/>
  <c r="AC165" i="5"/>
  <c r="AD165" i="5" s="1"/>
  <c r="P166" i="5"/>
  <c r="S165" i="5"/>
  <c r="X166" i="5"/>
  <c r="AB166" i="5"/>
  <c r="Q166" i="5"/>
  <c r="R166" i="5"/>
  <c r="AC166" i="5" l="1"/>
  <c r="AD166" i="5" s="1"/>
  <c r="Y166" i="5"/>
  <c r="Z166" i="5" s="1"/>
  <c r="T165" i="5"/>
  <c r="U165" i="5" s="1"/>
  <c r="P167" i="5"/>
  <c r="AB167" i="5"/>
  <c r="X167" i="5"/>
  <c r="Q167" i="5"/>
  <c r="R167" i="5"/>
  <c r="S166" i="5"/>
  <c r="T166" i="5" l="1"/>
  <c r="U166" i="5" s="1"/>
  <c r="Y167" i="5"/>
  <c r="Z167" i="5" s="1"/>
  <c r="AC167" i="5"/>
  <c r="AD167" i="5" s="1"/>
  <c r="P168" i="5"/>
  <c r="S167" i="5"/>
  <c r="AB168" i="5"/>
  <c r="X168" i="5"/>
  <c r="Q168" i="5"/>
  <c r="R168" i="5"/>
  <c r="Y168" i="5" l="1"/>
  <c r="Z168" i="5" s="1"/>
  <c r="AC168" i="5"/>
  <c r="AD168" i="5" s="1"/>
  <c r="T167" i="5"/>
  <c r="U167" i="5"/>
  <c r="P169" i="5"/>
  <c r="AB169" i="5"/>
  <c r="X169" i="5"/>
  <c r="Q169" i="5"/>
  <c r="R169" i="5"/>
  <c r="S168" i="5"/>
  <c r="T168" i="5" l="1"/>
  <c r="U168" i="5" s="1"/>
  <c r="Y169" i="5"/>
  <c r="Z169" i="5" s="1"/>
  <c r="AC169" i="5"/>
  <c r="AD169" i="5" s="1"/>
  <c r="P170" i="5"/>
  <c r="S169" i="5"/>
  <c r="AB170" i="5"/>
  <c r="X170" i="5"/>
  <c r="Q170" i="5"/>
  <c r="R170" i="5"/>
  <c r="Y170" i="5" l="1"/>
  <c r="Z170" i="5" s="1"/>
  <c r="AC170" i="5"/>
  <c r="AD170" i="5" s="1"/>
  <c r="T169" i="5"/>
  <c r="U169" i="5" s="1"/>
  <c r="P171" i="5"/>
  <c r="S170" i="5"/>
  <c r="X171" i="5"/>
  <c r="AB171" i="5"/>
  <c r="Q171" i="5"/>
  <c r="R171" i="5"/>
  <c r="AC171" i="5" l="1"/>
  <c r="AD171" i="5" s="1"/>
  <c r="Y171" i="5"/>
  <c r="Z171" i="5" s="1"/>
  <c r="T170" i="5"/>
  <c r="U170" i="5" s="1"/>
  <c r="P172" i="5"/>
  <c r="S171" i="5"/>
  <c r="AB172" i="5"/>
  <c r="X172" i="5"/>
  <c r="Q172" i="5"/>
  <c r="R172" i="5"/>
  <c r="Y172" i="5" l="1"/>
  <c r="Z172" i="5" s="1"/>
  <c r="AC172" i="5"/>
  <c r="AD172" i="5" s="1"/>
  <c r="T171" i="5"/>
  <c r="U171" i="5" s="1"/>
  <c r="P173" i="5"/>
  <c r="X173" i="5"/>
  <c r="AB173" i="5"/>
  <c r="Q173" i="5"/>
  <c r="R173" i="5"/>
  <c r="S172" i="5"/>
  <c r="T172" i="5" l="1"/>
  <c r="U172" i="5" s="1"/>
  <c r="AC173" i="5"/>
  <c r="AD173" i="5" s="1"/>
  <c r="Y173" i="5"/>
  <c r="Z173" i="5" s="1"/>
  <c r="P174" i="5"/>
  <c r="S173" i="5"/>
  <c r="X174" i="5"/>
  <c r="AB174" i="5"/>
  <c r="Q174" i="5"/>
  <c r="R174" i="5"/>
  <c r="AC174" i="5" l="1"/>
  <c r="AD174" i="5" s="1"/>
  <c r="Y174" i="5"/>
  <c r="Z174" i="5" s="1"/>
  <c r="T173" i="5"/>
  <c r="U173" i="5"/>
  <c r="P175" i="5"/>
  <c r="S174" i="5"/>
  <c r="AB175" i="5"/>
  <c r="X175" i="5"/>
  <c r="Q175" i="5"/>
  <c r="R175" i="5"/>
  <c r="Y175" i="5" l="1"/>
  <c r="Z175" i="5" s="1"/>
  <c r="AC175" i="5"/>
  <c r="AD175" i="5" s="1"/>
  <c r="T174" i="5"/>
  <c r="U174" i="5"/>
  <c r="P176" i="5"/>
  <c r="S175" i="5"/>
  <c r="AB176" i="5"/>
  <c r="X176" i="5"/>
  <c r="Q176" i="5"/>
  <c r="R176" i="5"/>
  <c r="Y176" i="5" l="1"/>
  <c r="Z176" i="5" s="1"/>
  <c r="AC176" i="5"/>
  <c r="AD176" i="5" s="1"/>
  <c r="T175" i="5"/>
  <c r="U175" i="5" s="1"/>
  <c r="P177" i="5"/>
  <c r="AB177" i="5"/>
  <c r="X177" i="5"/>
  <c r="Q177" i="5"/>
  <c r="R177" i="5"/>
  <c r="S176" i="5"/>
  <c r="T176" i="5" l="1"/>
  <c r="U176" i="5" s="1"/>
  <c r="Y177" i="5"/>
  <c r="Z177" i="5" s="1"/>
  <c r="AC177" i="5"/>
  <c r="AD177" i="5" s="1"/>
  <c r="P178" i="5"/>
  <c r="AB178" i="5"/>
  <c r="X178" i="5"/>
  <c r="Q178" i="5"/>
  <c r="R178" i="5"/>
  <c r="S177" i="5"/>
  <c r="T177" i="5" l="1"/>
  <c r="U177" i="5" s="1"/>
  <c r="Y178" i="5"/>
  <c r="Z178" i="5" s="1"/>
  <c r="AC178" i="5"/>
  <c r="AD178" i="5" s="1"/>
  <c r="P179" i="5"/>
  <c r="AB179" i="5"/>
  <c r="X179" i="5"/>
  <c r="Q179" i="5"/>
  <c r="R179" i="5"/>
  <c r="S178" i="5"/>
  <c r="T178" i="5" l="1"/>
  <c r="U178" i="5" s="1"/>
  <c r="Y179" i="5"/>
  <c r="Z179" i="5" s="1"/>
  <c r="AC179" i="5"/>
  <c r="AD179" i="5" s="1"/>
  <c r="P180" i="5"/>
  <c r="S179" i="5"/>
  <c r="AB180" i="5"/>
  <c r="X180" i="5"/>
  <c r="Q180" i="5"/>
  <c r="R180" i="5"/>
  <c r="Y180" i="5" l="1"/>
  <c r="Z180" i="5" s="1"/>
  <c r="AC180" i="5"/>
  <c r="AD180" i="5" s="1"/>
  <c r="T179" i="5"/>
  <c r="U179" i="5" s="1"/>
  <c r="P181" i="5"/>
  <c r="AB181" i="5"/>
  <c r="X181" i="5"/>
  <c r="Q181" i="5"/>
  <c r="R181" i="5"/>
  <c r="S180" i="5"/>
  <c r="T180" i="5" l="1"/>
  <c r="U180" i="5" s="1"/>
  <c r="Y181" i="5"/>
  <c r="Z181" i="5" s="1"/>
  <c r="AC181" i="5"/>
  <c r="AD181" i="5" s="1"/>
  <c r="P182" i="5"/>
  <c r="S181" i="5"/>
  <c r="AB182" i="5"/>
  <c r="X182" i="5"/>
  <c r="Q182" i="5"/>
  <c r="R182" i="5"/>
  <c r="Y182" i="5" l="1"/>
  <c r="Z182" i="5" s="1"/>
  <c r="AC182" i="5"/>
  <c r="AD182" i="5" s="1"/>
  <c r="T181" i="5"/>
  <c r="U181" i="5"/>
  <c r="P183" i="5"/>
  <c r="X183" i="5"/>
  <c r="AB183" i="5"/>
  <c r="Q183" i="5"/>
  <c r="R183" i="5"/>
  <c r="S182" i="5"/>
  <c r="T182" i="5" l="1"/>
  <c r="U182" i="5" s="1"/>
  <c r="AC183" i="5"/>
  <c r="AD183" i="5" s="1"/>
  <c r="Y183" i="5"/>
  <c r="Z183" i="5" s="1"/>
  <c r="P184" i="5"/>
  <c r="S183" i="5"/>
  <c r="AB184" i="5"/>
  <c r="X184" i="5"/>
  <c r="Q184" i="5"/>
  <c r="R184" i="5"/>
  <c r="Y184" i="5" l="1"/>
  <c r="Z184" i="5" s="1"/>
  <c r="AC184" i="5"/>
  <c r="AD184" i="5" s="1"/>
  <c r="T183" i="5"/>
  <c r="U183" i="5" s="1"/>
  <c r="P185" i="5"/>
  <c r="AB185" i="5"/>
  <c r="X185" i="5"/>
  <c r="Q185" i="5"/>
  <c r="R185" i="5"/>
  <c r="S184" i="5"/>
  <c r="T184" i="5" l="1"/>
  <c r="U184" i="5" s="1"/>
  <c r="Y185" i="5"/>
  <c r="Z185" i="5" s="1"/>
  <c r="AC185" i="5"/>
  <c r="AD185" i="5" s="1"/>
  <c r="P186" i="5"/>
  <c r="S185" i="5"/>
  <c r="AB186" i="5"/>
  <c r="X186" i="5"/>
  <c r="Q186" i="5"/>
  <c r="R186" i="5"/>
  <c r="Y186" i="5" l="1"/>
  <c r="Z186" i="5" s="1"/>
  <c r="AC186" i="5"/>
  <c r="AD186" i="5" s="1"/>
  <c r="T185" i="5"/>
  <c r="U185" i="5"/>
  <c r="P187" i="5"/>
  <c r="AB187" i="5"/>
  <c r="X187" i="5"/>
  <c r="Q187" i="5"/>
  <c r="R187" i="5"/>
  <c r="S186" i="5"/>
  <c r="T186" i="5" l="1"/>
  <c r="U186" i="5" s="1"/>
  <c r="Y187" i="5"/>
  <c r="Z187" i="5" s="1"/>
  <c r="AC187" i="5"/>
  <c r="AD187" i="5" s="1"/>
  <c r="P188" i="5"/>
  <c r="S187" i="5"/>
  <c r="AB188" i="5"/>
  <c r="X188" i="5"/>
  <c r="Q188" i="5"/>
  <c r="R188" i="5"/>
  <c r="Y188" i="5" l="1"/>
  <c r="Z188" i="5" s="1"/>
  <c r="AC188" i="5"/>
  <c r="AD188" i="5" s="1"/>
  <c r="T187" i="5"/>
  <c r="U187" i="5"/>
  <c r="P189" i="5"/>
  <c r="X189" i="5"/>
  <c r="AB189" i="5"/>
  <c r="Q189" i="5"/>
  <c r="R189" i="5"/>
  <c r="S188" i="5"/>
  <c r="T188" i="5" l="1"/>
  <c r="AC189" i="5"/>
  <c r="AD189" i="5" s="1"/>
  <c r="Y189" i="5"/>
  <c r="Z189" i="5" s="1"/>
  <c r="U188" i="5"/>
  <c r="P190" i="5"/>
  <c r="S189" i="5"/>
  <c r="AB190" i="5"/>
  <c r="X190" i="5"/>
  <c r="Q190" i="5"/>
  <c r="R190" i="5"/>
  <c r="Y190" i="5" l="1"/>
  <c r="Z190" i="5" s="1"/>
  <c r="AC190" i="5"/>
  <c r="AD190" i="5" s="1"/>
  <c r="T189" i="5"/>
  <c r="U189" i="5" s="1"/>
  <c r="P191" i="5"/>
  <c r="AB191" i="5"/>
  <c r="X191" i="5"/>
  <c r="Q191" i="5"/>
  <c r="R191" i="5"/>
  <c r="S190" i="5"/>
  <c r="T190" i="5" l="1"/>
  <c r="U190" i="5" s="1"/>
  <c r="Y191" i="5"/>
  <c r="Z191" i="5" s="1"/>
  <c r="AC191" i="5"/>
  <c r="AD191" i="5" s="1"/>
  <c r="P192" i="5"/>
  <c r="S191" i="5"/>
  <c r="X192" i="5"/>
  <c r="AB192" i="5"/>
  <c r="Q192" i="5"/>
  <c r="R192" i="5"/>
  <c r="AC192" i="5" l="1"/>
  <c r="AD192" i="5" s="1"/>
  <c r="Y192" i="5"/>
  <c r="Z192" i="5" s="1"/>
  <c r="T191" i="5"/>
  <c r="U191" i="5"/>
  <c r="P193" i="5"/>
  <c r="AB193" i="5"/>
  <c r="X193" i="5"/>
  <c r="Q193" i="5"/>
  <c r="R193" i="5"/>
  <c r="S192" i="5"/>
  <c r="T192" i="5" l="1"/>
  <c r="U192" i="5" s="1"/>
  <c r="Y193" i="5"/>
  <c r="Z193" i="5" s="1"/>
  <c r="AC193" i="5"/>
  <c r="AD193" i="5" s="1"/>
  <c r="P194" i="5"/>
  <c r="S193" i="5"/>
  <c r="AB194" i="5"/>
  <c r="X194" i="5"/>
  <c r="Q194" i="5"/>
  <c r="R194" i="5"/>
  <c r="Y194" i="5" l="1"/>
  <c r="Z194" i="5" s="1"/>
  <c r="AC194" i="5"/>
  <c r="AD194" i="5" s="1"/>
  <c r="T193" i="5"/>
  <c r="U193" i="5" s="1"/>
  <c r="P195" i="5"/>
  <c r="S194" i="5"/>
  <c r="X195" i="5"/>
  <c r="AB195" i="5"/>
  <c r="Q195" i="5"/>
  <c r="R195" i="5"/>
  <c r="AC195" i="5" l="1"/>
  <c r="AD195" i="5" s="1"/>
  <c r="Y195" i="5"/>
  <c r="Z195" i="5" s="1"/>
  <c r="T194" i="5"/>
  <c r="U194" i="5"/>
  <c r="P196" i="5"/>
  <c r="AB196" i="5"/>
  <c r="X196" i="5"/>
  <c r="Q196" i="5"/>
  <c r="R196" i="5"/>
  <c r="S195" i="5"/>
  <c r="T195" i="5" l="1"/>
  <c r="U195" i="5" s="1"/>
  <c r="Y196" i="5"/>
  <c r="Z196" i="5" s="1"/>
  <c r="AC196" i="5"/>
  <c r="AD196" i="5" s="1"/>
  <c r="P197" i="5"/>
  <c r="S196" i="5"/>
  <c r="AB197" i="5"/>
  <c r="X197" i="5"/>
  <c r="Q197" i="5"/>
  <c r="R197" i="5"/>
  <c r="Y197" i="5" l="1"/>
  <c r="Z197" i="5" s="1"/>
  <c r="AC197" i="5"/>
  <c r="AD197" i="5" s="1"/>
  <c r="T196" i="5"/>
  <c r="U196" i="5"/>
  <c r="P198" i="5"/>
  <c r="S197" i="5"/>
  <c r="X198" i="5"/>
  <c r="AB198" i="5"/>
  <c r="Q198" i="5"/>
  <c r="R198" i="5"/>
  <c r="AC198" i="5" l="1"/>
  <c r="AD198" i="5" s="1"/>
  <c r="Y198" i="5"/>
  <c r="Z198" i="5" s="1"/>
  <c r="T197" i="5"/>
  <c r="U197" i="5"/>
  <c r="P199" i="5"/>
  <c r="AB199" i="5"/>
  <c r="X199" i="5"/>
  <c r="Q199" i="5"/>
  <c r="R199" i="5"/>
  <c r="S198" i="5"/>
  <c r="T198" i="5" l="1"/>
  <c r="U198" i="5" s="1"/>
  <c r="Y199" i="5"/>
  <c r="Z199" i="5" s="1"/>
  <c r="AC199" i="5"/>
  <c r="AD199" i="5" s="1"/>
  <c r="P200" i="5"/>
  <c r="S199" i="5"/>
  <c r="AB200" i="5"/>
  <c r="X200" i="5"/>
  <c r="Q200" i="5"/>
  <c r="R200" i="5"/>
  <c r="Y200" i="5" l="1"/>
  <c r="Z200" i="5" s="1"/>
  <c r="AC200" i="5"/>
  <c r="AD200" i="5" s="1"/>
  <c r="T199" i="5"/>
  <c r="U199" i="5" s="1"/>
  <c r="P201" i="5"/>
  <c r="S200" i="5"/>
  <c r="X201" i="5"/>
  <c r="AB201" i="5"/>
  <c r="Q201" i="5"/>
  <c r="R201" i="5"/>
  <c r="AC201" i="5" l="1"/>
  <c r="AD201" i="5" s="1"/>
  <c r="Y201" i="5"/>
  <c r="Z201" i="5" s="1"/>
  <c r="T200" i="5"/>
  <c r="U200" i="5"/>
  <c r="P202" i="5"/>
  <c r="S201" i="5"/>
  <c r="X202" i="5"/>
  <c r="AB202" i="5"/>
  <c r="Q202" i="5"/>
  <c r="R202" i="5"/>
  <c r="AC202" i="5" l="1"/>
  <c r="AD202" i="5" s="1"/>
  <c r="Y202" i="5"/>
  <c r="Z202" i="5" s="1"/>
  <c r="T201" i="5"/>
  <c r="U201" i="5" s="1"/>
  <c r="P203" i="5"/>
  <c r="X203" i="5"/>
  <c r="AB203" i="5"/>
  <c r="Q203" i="5"/>
  <c r="R203" i="5"/>
  <c r="S202" i="5"/>
  <c r="T202" i="5" l="1"/>
  <c r="U202" i="5" s="1"/>
  <c r="AC203" i="5"/>
  <c r="AD203" i="5" s="1"/>
  <c r="Y203" i="5"/>
  <c r="Z203" i="5" s="1"/>
  <c r="P204" i="5"/>
  <c r="S203" i="5"/>
  <c r="AB204" i="5"/>
  <c r="X204" i="5"/>
  <c r="Q204" i="5"/>
  <c r="R204" i="5"/>
  <c r="Y204" i="5" l="1"/>
  <c r="Z204" i="5" s="1"/>
  <c r="AC204" i="5"/>
  <c r="AD204" i="5" s="1"/>
  <c r="T203" i="5"/>
  <c r="U203" i="5" s="1"/>
  <c r="P205" i="5"/>
  <c r="S204" i="5"/>
  <c r="AB205" i="5"/>
  <c r="X205" i="5"/>
  <c r="Q205" i="5"/>
  <c r="R205" i="5"/>
  <c r="Y205" i="5" l="1"/>
  <c r="Z205" i="5" s="1"/>
  <c r="AC205" i="5"/>
  <c r="AD205" i="5" s="1"/>
  <c r="T204" i="5"/>
  <c r="U204" i="5" s="1"/>
  <c r="P206" i="5"/>
  <c r="S205" i="5"/>
  <c r="X206" i="5"/>
  <c r="AB206" i="5"/>
  <c r="Q206" i="5"/>
  <c r="R206" i="5"/>
  <c r="AC206" i="5" l="1"/>
  <c r="AD206" i="5" s="1"/>
  <c r="Y206" i="5"/>
  <c r="Z206" i="5" s="1"/>
  <c r="T205" i="5"/>
  <c r="U205" i="5"/>
  <c r="P207" i="5"/>
  <c r="AB207" i="5"/>
  <c r="X207" i="5"/>
  <c r="Q207" i="5"/>
  <c r="R207" i="5"/>
  <c r="S206" i="5"/>
  <c r="T206" i="5" l="1"/>
  <c r="U206" i="5" s="1"/>
  <c r="Y207" i="5"/>
  <c r="Z207" i="5" s="1"/>
  <c r="AC207" i="5"/>
  <c r="AD207" i="5" s="1"/>
  <c r="P208" i="5"/>
  <c r="S207" i="5"/>
  <c r="AB208" i="5"/>
  <c r="X208" i="5"/>
  <c r="Q208" i="5"/>
  <c r="R208" i="5"/>
  <c r="Y208" i="5" l="1"/>
  <c r="Z208" i="5" s="1"/>
  <c r="AC208" i="5"/>
  <c r="AD208" i="5" s="1"/>
  <c r="T207" i="5"/>
  <c r="U207" i="5" s="1"/>
  <c r="P209" i="5"/>
  <c r="AB209" i="5"/>
  <c r="X209" i="5"/>
  <c r="Q209" i="5"/>
  <c r="R209" i="5"/>
  <c r="S208" i="5"/>
  <c r="T208" i="5" l="1"/>
  <c r="U208" i="5" s="1"/>
  <c r="Y209" i="5"/>
  <c r="Z209" i="5" s="1"/>
  <c r="AC209" i="5"/>
  <c r="AD209" i="5" s="1"/>
  <c r="P210" i="5"/>
  <c r="S209" i="5"/>
  <c r="AB210" i="5"/>
  <c r="X210" i="5"/>
  <c r="Q210" i="5"/>
  <c r="R210" i="5"/>
  <c r="Y210" i="5" l="1"/>
  <c r="Z210" i="5" s="1"/>
  <c r="AC210" i="5"/>
  <c r="AD210" i="5" s="1"/>
  <c r="T209" i="5"/>
  <c r="U209" i="5"/>
  <c r="P211" i="5"/>
  <c r="S210" i="5"/>
  <c r="X211" i="5"/>
  <c r="AB211" i="5"/>
  <c r="Q211" i="5"/>
  <c r="R211" i="5"/>
  <c r="AC211" i="5" l="1"/>
  <c r="AD211" i="5" s="1"/>
  <c r="Y211" i="5"/>
  <c r="Z211" i="5" s="1"/>
  <c r="T210" i="5"/>
  <c r="U210" i="5" s="1"/>
  <c r="P212" i="5"/>
  <c r="X212" i="5"/>
  <c r="AB212" i="5"/>
  <c r="Q212" i="5"/>
  <c r="R212" i="5"/>
  <c r="S211" i="5"/>
  <c r="T211" i="5" l="1"/>
  <c r="U211" i="5" s="1"/>
  <c r="AC212" i="5"/>
  <c r="AD212" i="5" s="1"/>
  <c r="Y212" i="5"/>
  <c r="Z212" i="5" s="1"/>
  <c r="P213" i="5"/>
  <c r="S212" i="5"/>
  <c r="X213" i="5"/>
  <c r="AB213" i="5"/>
  <c r="Q213" i="5"/>
  <c r="R213" i="5"/>
  <c r="AC213" i="5" l="1"/>
  <c r="AD213" i="5" s="1"/>
  <c r="Y213" i="5"/>
  <c r="Z213" i="5" s="1"/>
  <c r="T212" i="5"/>
  <c r="U212" i="5" s="1"/>
  <c r="P214" i="5"/>
  <c r="S213" i="5"/>
  <c r="AB214" i="5"/>
  <c r="X214" i="5"/>
  <c r="Q214" i="5"/>
  <c r="R214" i="5"/>
  <c r="Y214" i="5" l="1"/>
  <c r="Z214" i="5" s="1"/>
  <c r="AC214" i="5"/>
  <c r="AD214" i="5" s="1"/>
  <c r="T213" i="5"/>
  <c r="U213" i="5" s="1"/>
  <c r="P215" i="5"/>
  <c r="S214" i="5"/>
  <c r="X215" i="5"/>
  <c r="AB215" i="5"/>
  <c r="Q215" i="5"/>
  <c r="R215" i="5"/>
  <c r="AC215" i="5" l="1"/>
  <c r="AD215" i="5" s="1"/>
  <c r="Y215" i="5"/>
  <c r="Z215" i="5" s="1"/>
  <c r="T214" i="5"/>
  <c r="U214" i="5" s="1"/>
  <c r="P216" i="5"/>
  <c r="S215" i="5"/>
  <c r="AB216" i="5"/>
  <c r="X216" i="5"/>
  <c r="Q216" i="5"/>
  <c r="R216" i="5"/>
  <c r="Y216" i="5" l="1"/>
  <c r="Z216" i="5" s="1"/>
  <c r="AC216" i="5"/>
  <c r="AD216" i="5" s="1"/>
  <c r="T215" i="5"/>
  <c r="U215" i="5"/>
  <c r="P217" i="5"/>
  <c r="S216" i="5"/>
  <c r="AB217" i="5"/>
  <c r="X217" i="5"/>
  <c r="Q217" i="5"/>
  <c r="R217" i="5"/>
  <c r="Y217" i="5" l="1"/>
  <c r="Z217" i="5" s="1"/>
  <c r="AC217" i="5"/>
  <c r="AD217" i="5" s="1"/>
  <c r="T216" i="5"/>
  <c r="U216" i="5"/>
  <c r="P218" i="5"/>
  <c r="AB218" i="5"/>
  <c r="X218" i="5"/>
  <c r="Q218" i="5"/>
  <c r="R218" i="5"/>
  <c r="S217" i="5"/>
  <c r="T217" i="5" l="1"/>
  <c r="Y218" i="5"/>
  <c r="Z218" i="5" s="1"/>
  <c r="AC218" i="5"/>
  <c r="AD218" i="5" s="1"/>
  <c r="U217" i="5"/>
  <c r="P219" i="5"/>
  <c r="AB219" i="5"/>
  <c r="X219" i="5"/>
  <c r="Q219" i="5"/>
  <c r="R219" i="5"/>
  <c r="S218" i="5"/>
  <c r="T218" i="5" l="1"/>
  <c r="U218" i="5" s="1"/>
  <c r="Y219" i="5"/>
  <c r="Z219" i="5" s="1"/>
  <c r="AC219" i="5"/>
  <c r="AD219" i="5" s="1"/>
  <c r="P220" i="5"/>
  <c r="S219" i="5"/>
  <c r="AB220" i="5"/>
  <c r="X220" i="5"/>
  <c r="Q220" i="5"/>
  <c r="R220" i="5"/>
  <c r="Y220" i="5" l="1"/>
  <c r="Z220" i="5" s="1"/>
  <c r="AC220" i="5"/>
  <c r="AD220" i="5" s="1"/>
  <c r="T219" i="5"/>
  <c r="U219" i="5"/>
  <c r="P221" i="5"/>
  <c r="AB221" i="5"/>
  <c r="X221" i="5"/>
  <c r="Q221" i="5"/>
  <c r="R221" i="5"/>
  <c r="S220" i="5"/>
  <c r="T220" i="5" l="1"/>
  <c r="U220" i="5" s="1"/>
  <c r="Y221" i="5"/>
  <c r="Z221" i="5" s="1"/>
  <c r="AC221" i="5"/>
  <c r="AD221" i="5" s="1"/>
  <c r="P222" i="5"/>
  <c r="S221" i="5"/>
  <c r="X222" i="5"/>
  <c r="AB222" i="5"/>
  <c r="Q222" i="5"/>
  <c r="R222" i="5"/>
  <c r="AC222" i="5" l="1"/>
  <c r="AD222" i="5" s="1"/>
  <c r="Y222" i="5"/>
  <c r="Z222" i="5" s="1"/>
  <c r="T221" i="5"/>
  <c r="U221" i="5" s="1"/>
  <c r="P223" i="5"/>
  <c r="AB223" i="5"/>
  <c r="X223" i="5"/>
  <c r="Q223" i="5"/>
  <c r="R223" i="5"/>
  <c r="S222" i="5"/>
  <c r="T222" i="5" l="1"/>
  <c r="U222" i="5" s="1"/>
  <c r="Y223" i="5"/>
  <c r="Z223" i="5" s="1"/>
  <c r="AC223" i="5"/>
  <c r="AD223" i="5" s="1"/>
  <c r="P224" i="5"/>
  <c r="S223" i="5"/>
  <c r="AB224" i="5"/>
  <c r="X224" i="5"/>
  <c r="Q224" i="5"/>
  <c r="R224" i="5"/>
  <c r="Y224" i="5" l="1"/>
  <c r="Z224" i="5" s="1"/>
  <c r="AC224" i="5"/>
  <c r="AD224" i="5" s="1"/>
  <c r="T223" i="5"/>
  <c r="U223" i="5"/>
  <c r="P225" i="5"/>
  <c r="X225" i="5"/>
  <c r="AB225" i="5"/>
  <c r="Q225" i="5"/>
  <c r="R225" i="5"/>
  <c r="S224" i="5"/>
  <c r="T224" i="5" l="1"/>
  <c r="U224" i="5" s="1"/>
  <c r="AC225" i="5"/>
  <c r="AD225" i="5" s="1"/>
  <c r="Y225" i="5"/>
  <c r="Z225" i="5" s="1"/>
  <c r="P226" i="5"/>
  <c r="S225" i="5"/>
  <c r="X226" i="5"/>
  <c r="AB226" i="5"/>
  <c r="Q226" i="5"/>
  <c r="R226" i="5"/>
  <c r="AC226" i="5" l="1"/>
  <c r="AD226" i="5" s="1"/>
  <c r="Y226" i="5"/>
  <c r="Z226" i="5" s="1"/>
  <c r="T225" i="5"/>
  <c r="U225" i="5"/>
  <c r="P227" i="5"/>
  <c r="S226" i="5"/>
  <c r="X227" i="5"/>
  <c r="AB227" i="5"/>
  <c r="Q227" i="5"/>
  <c r="R227" i="5"/>
  <c r="AC227" i="5" l="1"/>
  <c r="AD227" i="5" s="1"/>
  <c r="Y227" i="5"/>
  <c r="Z227" i="5" s="1"/>
  <c r="T226" i="5"/>
  <c r="U226" i="5" s="1"/>
  <c r="P228" i="5"/>
  <c r="S227" i="5"/>
  <c r="X228" i="5"/>
  <c r="AB228" i="5"/>
  <c r="Q228" i="5"/>
  <c r="R228" i="5"/>
  <c r="AC228" i="5" l="1"/>
  <c r="AD228" i="5" s="1"/>
  <c r="Y228" i="5"/>
  <c r="Z228" i="5" s="1"/>
  <c r="T227" i="5"/>
  <c r="U227" i="5"/>
  <c r="P229" i="5"/>
  <c r="S228" i="5"/>
  <c r="X229" i="5"/>
  <c r="AB229" i="5"/>
  <c r="Q229" i="5"/>
  <c r="R229" i="5"/>
  <c r="AC229" i="5" l="1"/>
  <c r="AD229" i="5" s="1"/>
  <c r="Y229" i="5"/>
  <c r="Z229" i="5" s="1"/>
  <c r="T228" i="5"/>
  <c r="U228" i="5"/>
  <c r="P230" i="5"/>
  <c r="S229" i="5"/>
  <c r="X230" i="5"/>
  <c r="AB230" i="5"/>
  <c r="Q230" i="5"/>
  <c r="R230" i="5"/>
  <c r="AC230" i="5" l="1"/>
  <c r="AD230" i="5" s="1"/>
  <c r="Y230" i="5"/>
  <c r="Z230" i="5" s="1"/>
  <c r="T229" i="5"/>
  <c r="U229" i="5"/>
  <c r="P231" i="5"/>
  <c r="S230" i="5"/>
  <c r="X231" i="5"/>
  <c r="AB231" i="5"/>
  <c r="Q231" i="5"/>
  <c r="R231" i="5"/>
  <c r="AC231" i="5" l="1"/>
  <c r="AD231" i="5" s="1"/>
  <c r="Y231" i="5"/>
  <c r="Z231" i="5" s="1"/>
  <c r="T230" i="5"/>
  <c r="U230" i="5"/>
  <c r="P232" i="5"/>
  <c r="S231" i="5"/>
  <c r="X232" i="5"/>
  <c r="AB232" i="5"/>
  <c r="Q232" i="5"/>
  <c r="R232" i="5"/>
  <c r="AC232" i="5" l="1"/>
  <c r="AD232" i="5" s="1"/>
  <c r="Y232" i="5"/>
  <c r="Z232" i="5" s="1"/>
  <c r="T231" i="5"/>
  <c r="U231" i="5" s="1"/>
  <c r="P233" i="5"/>
  <c r="S232" i="5"/>
  <c r="X233" i="5"/>
  <c r="AB233" i="5"/>
  <c r="Q233" i="5"/>
  <c r="R233" i="5"/>
  <c r="AC233" i="5" l="1"/>
  <c r="AD233" i="5" s="1"/>
  <c r="Y233" i="5"/>
  <c r="Z233" i="5" s="1"/>
  <c r="T232" i="5"/>
  <c r="U232" i="5"/>
  <c r="P234" i="5"/>
  <c r="S233" i="5"/>
  <c r="AB234" i="5"/>
  <c r="X234" i="5"/>
  <c r="Q234" i="5"/>
  <c r="R234" i="5"/>
  <c r="Y234" i="5" l="1"/>
  <c r="Z234" i="5" s="1"/>
  <c r="AC234" i="5"/>
  <c r="AD234" i="5" s="1"/>
  <c r="T233" i="5"/>
  <c r="U233" i="5" s="1"/>
  <c r="P235" i="5"/>
  <c r="S234" i="5"/>
  <c r="AB235" i="5"/>
  <c r="X235" i="5"/>
  <c r="Q235" i="5"/>
  <c r="R235" i="5"/>
  <c r="Y235" i="5" l="1"/>
  <c r="Z235" i="5" s="1"/>
  <c r="AC235" i="5"/>
  <c r="AD235" i="5" s="1"/>
  <c r="T234" i="5"/>
  <c r="U234" i="5" s="1"/>
  <c r="P236" i="5"/>
  <c r="AB236" i="5"/>
  <c r="X236" i="5"/>
  <c r="Q236" i="5"/>
  <c r="R236" i="5"/>
  <c r="S235" i="5"/>
  <c r="T235" i="5" l="1"/>
  <c r="U235" i="5" s="1"/>
  <c r="Y236" i="5"/>
  <c r="Z236" i="5" s="1"/>
  <c r="AC236" i="5"/>
  <c r="AD236" i="5" s="1"/>
  <c r="P237" i="5"/>
  <c r="S236" i="5"/>
  <c r="X237" i="5"/>
  <c r="AB237" i="5"/>
  <c r="Q237" i="5"/>
  <c r="R237" i="5"/>
  <c r="AC237" i="5" l="1"/>
  <c r="AD237" i="5" s="1"/>
  <c r="Y237" i="5"/>
  <c r="Z237" i="5" s="1"/>
  <c r="T236" i="5"/>
  <c r="U236" i="5"/>
  <c r="P238" i="5"/>
  <c r="S237" i="5"/>
  <c r="AB238" i="5"/>
  <c r="X238" i="5"/>
  <c r="Q238" i="5"/>
  <c r="R238" i="5"/>
  <c r="Y238" i="5" l="1"/>
  <c r="Z238" i="5" s="1"/>
  <c r="AC238" i="5"/>
  <c r="AD238" i="5" s="1"/>
  <c r="T237" i="5"/>
  <c r="U237" i="5" s="1"/>
  <c r="P239" i="5"/>
  <c r="S238" i="5"/>
  <c r="AB239" i="5"/>
  <c r="X239" i="5"/>
  <c r="Q239" i="5"/>
  <c r="R239" i="5"/>
  <c r="Y239" i="5" l="1"/>
  <c r="Z239" i="5" s="1"/>
  <c r="AC239" i="5"/>
  <c r="AD239" i="5" s="1"/>
  <c r="T238" i="5"/>
  <c r="U238" i="5" s="1"/>
  <c r="P240" i="5"/>
  <c r="S239" i="5"/>
  <c r="AB240" i="5"/>
  <c r="X240" i="5"/>
  <c r="Q240" i="5"/>
  <c r="R240" i="5"/>
  <c r="Y240" i="5" l="1"/>
  <c r="Z240" i="5" s="1"/>
  <c r="AC240" i="5"/>
  <c r="AD240" i="5" s="1"/>
  <c r="T239" i="5"/>
  <c r="U239" i="5" s="1"/>
  <c r="P241" i="5"/>
  <c r="S240" i="5"/>
  <c r="AB241" i="5"/>
  <c r="X241" i="5"/>
  <c r="Q241" i="5"/>
  <c r="R241" i="5"/>
  <c r="Y241" i="5" l="1"/>
  <c r="Z241" i="5" s="1"/>
  <c r="AC241" i="5"/>
  <c r="AD241" i="5" s="1"/>
  <c r="T240" i="5"/>
  <c r="U240" i="5" s="1"/>
  <c r="P242" i="5"/>
  <c r="S241" i="5"/>
  <c r="AB242" i="5"/>
  <c r="X242" i="5"/>
  <c r="Q242" i="5"/>
  <c r="R242" i="5"/>
  <c r="Y242" i="5" l="1"/>
  <c r="Z242" i="5" s="1"/>
  <c r="AC242" i="5"/>
  <c r="AD242" i="5" s="1"/>
  <c r="T241" i="5"/>
  <c r="U241" i="5" s="1"/>
  <c r="P243" i="5"/>
  <c r="S242" i="5"/>
  <c r="AB243" i="5"/>
  <c r="X243" i="5"/>
  <c r="Q243" i="5"/>
  <c r="R243" i="5"/>
  <c r="Y243" i="5" l="1"/>
  <c r="Z243" i="5" s="1"/>
  <c r="AC243" i="5"/>
  <c r="AD243" i="5" s="1"/>
  <c r="T242" i="5"/>
  <c r="U242" i="5" s="1"/>
  <c r="P244" i="5"/>
  <c r="S243" i="5"/>
  <c r="AB244" i="5"/>
  <c r="X244" i="5"/>
  <c r="Q244" i="5"/>
  <c r="R244" i="5"/>
  <c r="Y244" i="5" l="1"/>
  <c r="Z244" i="5" s="1"/>
  <c r="AC244" i="5"/>
  <c r="AD244" i="5" s="1"/>
  <c r="T243" i="5"/>
  <c r="U243" i="5"/>
  <c r="P245" i="5"/>
  <c r="S244" i="5"/>
  <c r="X245" i="5"/>
  <c r="AB245" i="5"/>
  <c r="Q245" i="5"/>
  <c r="R245" i="5"/>
  <c r="AC245" i="5" l="1"/>
  <c r="AD245" i="5" s="1"/>
  <c r="Y245" i="5"/>
  <c r="Z245" i="5" s="1"/>
  <c r="T244" i="5"/>
  <c r="U244" i="5"/>
  <c r="P246" i="5"/>
  <c r="S245" i="5"/>
  <c r="AB246" i="5"/>
  <c r="X246" i="5"/>
  <c r="Q246" i="5"/>
  <c r="R246" i="5"/>
  <c r="Y246" i="5" l="1"/>
  <c r="Z246" i="5" s="1"/>
  <c r="AC246" i="5"/>
  <c r="AD246" i="5" s="1"/>
  <c r="T245" i="5"/>
  <c r="U245" i="5" s="1"/>
  <c r="P247" i="5"/>
  <c r="S246" i="5"/>
  <c r="X247" i="5"/>
  <c r="AB247" i="5"/>
  <c r="Q247" i="5"/>
  <c r="R247" i="5"/>
  <c r="AC247" i="5" l="1"/>
  <c r="AD247" i="5" s="1"/>
  <c r="Y247" i="5"/>
  <c r="Z247" i="5" s="1"/>
  <c r="T246" i="5"/>
  <c r="U246" i="5" s="1"/>
  <c r="P248" i="5"/>
  <c r="S247" i="5"/>
  <c r="AB248" i="5"/>
  <c r="X248" i="5"/>
  <c r="Q248" i="5"/>
  <c r="R248" i="5"/>
  <c r="Y248" i="5" l="1"/>
  <c r="Z248" i="5" s="1"/>
  <c r="AC248" i="5"/>
  <c r="AD248" i="5" s="1"/>
  <c r="T247" i="5"/>
  <c r="U247" i="5" s="1"/>
  <c r="P249" i="5"/>
  <c r="S248" i="5"/>
  <c r="AB249" i="5"/>
  <c r="X249" i="5"/>
  <c r="Q249" i="5"/>
  <c r="R249" i="5"/>
  <c r="Y249" i="5" l="1"/>
  <c r="Z249" i="5" s="1"/>
  <c r="AC249" i="5"/>
  <c r="AD249" i="5" s="1"/>
  <c r="T248" i="5"/>
  <c r="U248" i="5" s="1"/>
  <c r="P250" i="5"/>
  <c r="S249" i="5"/>
  <c r="AB250" i="5"/>
  <c r="X250" i="5"/>
  <c r="Q250" i="5"/>
  <c r="R250" i="5"/>
  <c r="Y250" i="5" l="1"/>
  <c r="Z250" i="5" s="1"/>
  <c r="AC250" i="5"/>
  <c r="AD250" i="5" s="1"/>
  <c r="T249" i="5"/>
  <c r="U249" i="5" s="1"/>
  <c r="P251" i="5"/>
  <c r="X251" i="5"/>
  <c r="AB251" i="5"/>
  <c r="Q251" i="5"/>
  <c r="R251" i="5"/>
  <c r="S250" i="5"/>
  <c r="T250" i="5" l="1"/>
  <c r="U250" i="5" s="1"/>
  <c r="AC251" i="5"/>
  <c r="AD251" i="5" s="1"/>
  <c r="Y251" i="5"/>
  <c r="Z251" i="5" s="1"/>
  <c r="P252" i="5"/>
  <c r="S251" i="5"/>
  <c r="AB252" i="5"/>
  <c r="X252" i="5"/>
  <c r="Q252" i="5"/>
  <c r="R252" i="5"/>
  <c r="Y252" i="5" l="1"/>
  <c r="Z252" i="5" s="1"/>
  <c r="AC252" i="5"/>
  <c r="AD252" i="5" s="1"/>
  <c r="T251" i="5"/>
  <c r="U251" i="5"/>
  <c r="P253" i="5"/>
  <c r="S252" i="5"/>
  <c r="AB253" i="5"/>
  <c r="X253" i="5"/>
  <c r="Q253" i="5"/>
  <c r="R253" i="5"/>
  <c r="Y253" i="5" l="1"/>
  <c r="Z253" i="5" s="1"/>
  <c r="AC253" i="5"/>
  <c r="AD253" i="5" s="1"/>
  <c r="T252" i="5"/>
  <c r="U252" i="5" s="1"/>
  <c r="P254" i="5"/>
  <c r="AB254" i="5"/>
  <c r="X254" i="5"/>
  <c r="Q254" i="5"/>
  <c r="R254" i="5"/>
  <c r="S253" i="5"/>
  <c r="T253" i="5" l="1"/>
  <c r="U253" i="5" s="1"/>
  <c r="Y254" i="5"/>
  <c r="Z254" i="5" s="1"/>
  <c r="AC254" i="5"/>
  <c r="AD254" i="5" s="1"/>
  <c r="S254" i="5"/>
  <c r="T254" i="5" l="1"/>
  <c r="U254" i="5" s="1"/>
</calcChain>
</file>

<file path=xl/comments1.xml><?xml version="1.0" encoding="utf-8"?>
<comments xmlns="http://schemas.openxmlformats.org/spreadsheetml/2006/main">
  <authors>
    <author>Edwin</author>
  </authors>
  <commentList>
    <comment ref="Q3" authorId="0">
      <text>
        <r>
          <rPr>
            <b/>
            <sz val="9"/>
            <color indexed="81"/>
            <rFont val="Tahoma"/>
            <family val="2"/>
          </rPr>
          <t>Edwin:</t>
        </r>
        <r>
          <rPr>
            <sz val="9"/>
            <color indexed="81"/>
            <rFont val="Tahoma"/>
            <family val="2"/>
          </rPr>
          <t xml:space="preserve">
Verfiy params, time to maturity in years
Verify the rest</t>
        </r>
      </text>
    </comment>
    <comment ref="R3" authorId="0">
      <text>
        <r>
          <rPr>
            <b/>
            <sz val="9"/>
            <color indexed="81"/>
            <rFont val="Tahoma"/>
            <family val="2"/>
          </rPr>
          <t>Edwin:</t>
        </r>
        <r>
          <rPr>
            <sz val="9"/>
            <color indexed="81"/>
            <rFont val="Tahoma"/>
            <family val="2"/>
          </rPr>
          <t xml:space="preserve">
Time to Maturity in Years
verify starting volatility
What is the initialVariance?</t>
        </r>
      </text>
    </comment>
  </commentList>
</comments>
</file>

<file path=xl/sharedStrings.xml><?xml version="1.0" encoding="utf-8"?>
<sst xmlns="http://schemas.openxmlformats.org/spreadsheetml/2006/main" count="58" uniqueCount="49">
  <si>
    <t>Inputs</t>
  </si>
  <si>
    <t>ν</t>
  </si>
  <si>
    <t>current Variance V</t>
  </si>
  <si>
    <t>ν bar</t>
  </si>
  <si>
    <t>Theta</t>
  </si>
  <si>
    <t>SQRT(250)</t>
  </si>
  <si>
    <t>ν0</t>
  </si>
  <si>
    <t>η eta</t>
  </si>
  <si>
    <t>eta</t>
  </si>
  <si>
    <t>ρ</t>
  </si>
  <si>
    <t>λ</t>
  </si>
  <si>
    <t>Kappa</t>
  </si>
  <si>
    <t>r</t>
  </si>
  <si>
    <t>δ</t>
  </si>
  <si>
    <t>S0</t>
  </si>
  <si>
    <t>K</t>
  </si>
  <si>
    <t>Simulation-1</t>
  </si>
  <si>
    <t>Cholesky Decomposition</t>
  </si>
  <si>
    <t>Milstein Schem</t>
  </si>
  <si>
    <t>Heston</t>
  </si>
  <si>
    <t>ImpliedVol</t>
  </si>
  <si>
    <t>Realised Vol</t>
  </si>
  <si>
    <t>T0 Implied Vol</t>
  </si>
  <si>
    <t>Time</t>
  </si>
  <si>
    <t>Uniform S</t>
  </si>
  <si>
    <r>
      <t xml:space="preserve">Uniform </t>
    </r>
    <r>
      <rPr>
        <b/>
        <sz val="11"/>
        <color theme="1"/>
        <rFont val="Calibri"/>
        <family val="2"/>
      </rPr>
      <t>σ</t>
    </r>
  </si>
  <si>
    <t>Std.S</t>
  </si>
  <si>
    <r>
      <t>Std.</t>
    </r>
    <r>
      <rPr>
        <b/>
        <sz val="11"/>
        <color theme="1"/>
        <rFont val="Calibri"/>
        <family val="2"/>
      </rPr>
      <t>σ</t>
    </r>
  </si>
  <si>
    <t>W1</t>
  </si>
  <si>
    <t>W2</t>
  </si>
  <si>
    <t>Variance</t>
  </si>
  <si>
    <t>Returns</t>
  </si>
  <si>
    <t>StockPrice</t>
  </si>
  <si>
    <t>CallPrice
ClosedForm</t>
  </si>
  <si>
    <t>IV(BS)</t>
  </si>
  <si>
    <t>Delta(BS)</t>
  </si>
  <si>
    <t>Short
Stock in $</t>
  </si>
  <si>
    <t>P&amp;L</t>
  </si>
  <si>
    <t>Realised
Variance</t>
  </si>
  <si>
    <t>Realised
Vol</t>
  </si>
  <si>
    <t>Delta(BS) in
RealVol</t>
  </si>
  <si>
    <t>Short Stock in $</t>
  </si>
  <si>
    <t>InitialVol</t>
  </si>
  <si>
    <t>PnL</t>
  </si>
  <si>
    <t>Correlation Matrix</t>
  </si>
  <si>
    <t>S</t>
  </si>
  <si>
    <t>σ</t>
  </si>
  <si>
    <t>Cholesky Decom</t>
  </si>
  <si>
    <t>Correlation Check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</si>
</sst>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0.0000"/>
    <numFmt numFmtId="165" formatCode="0.00000"/>
    <numFmt numFmtId="173" formatCode="0.000000000000000"/>
    <numFmt numFmtId="176" formatCode="0.000000000000000000"/>
    <numFmt numFmtId="177" formatCode="0.0000000000000000000"/>
  </numFmts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2"/>
      <color theme="1"/>
      <name val="Calibri"/>
      <family val="2"/>
    </font>
    <font>
      <b/>
      <i/>
      <sz val="12"/>
      <color theme="1"/>
      <name val="Calibri"/>
      <family val="2"/>
    </font>
    <font>
      <sz val="10"/>
      <name val="Arial"/>
      <family val="2"/>
    </font>
    <font>
      <b/>
      <sz val="11"/>
      <color theme="1"/>
      <name val="Calibri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</fonts>
  <fills count="3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/>
    <xf numFmtId="0" fontId="5" fillId="0" borderId="0"/>
    <xf numFmtId="9" fontId="5" fillId="0" borderId="0" applyFont="0" applyFill="0" applyBorder="0" applyAlignment="0" applyProtection="0"/>
  </cellStyleXfs>
  <cellXfs count="28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1" xfId="0" applyFont="1" applyBorder="1"/>
    <xf numFmtId="0" fontId="0" fillId="0" borderId="1" xfId="0" applyFont="1" applyBorder="1"/>
    <xf numFmtId="0" fontId="4" fillId="0" borderId="1" xfId="0" applyFont="1" applyBorder="1"/>
    <xf numFmtId="0" fontId="3" fillId="0" borderId="2" xfId="0" applyFont="1" applyFill="1" applyBorder="1"/>
    <xf numFmtId="0" fontId="0" fillId="0" borderId="2" xfId="0" applyFont="1" applyFill="1" applyBorder="1"/>
    <xf numFmtId="0" fontId="0" fillId="0" borderId="0" xfId="0" applyBorder="1"/>
    <xf numFmtId="0" fontId="1" fillId="2" borderId="1" xfId="0" applyFont="1" applyFill="1" applyBorder="1" applyAlignment="1">
      <alignment horizontal="center"/>
    </xf>
    <xf numFmtId="0" fontId="1" fillId="0" borderId="0" xfId="0" applyFont="1" applyFill="1"/>
    <xf numFmtId="0" fontId="1" fillId="2" borderId="1" xfId="0" applyFont="1" applyFill="1" applyBorder="1"/>
    <xf numFmtId="0" fontId="1" fillId="2" borderId="1" xfId="0" applyFont="1" applyFill="1" applyBorder="1" applyAlignment="1">
      <alignment horizontal="center" wrapText="1"/>
    </xf>
    <xf numFmtId="0" fontId="6" fillId="2" borderId="1" xfId="0" applyFont="1" applyFill="1" applyBorder="1"/>
    <xf numFmtId="0" fontId="0" fillId="0" borderId="3" xfId="0" applyBorder="1"/>
    <xf numFmtId="0" fontId="0" fillId="0" borderId="3" xfId="0" applyBorder="1" applyAlignment="1">
      <alignment horizontal="center"/>
    </xf>
    <xf numFmtId="0" fontId="0" fillId="0" borderId="3" xfId="0" applyFill="1" applyBorder="1"/>
    <xf numFmtId="0" fontId="0" fillId="0" borderId="3" xfId="0" applyFill="1" applyBorder="1" applyAlignment="1">
      <alignment horizontal="center"/>
    </xf>
    <xf numFmtId="164" fontId="0" fillId="0" borderId="1" xfId="0" applyNumberFormat="1" applyBorder="1"/>
    <xf numFmtId="0" fontId="0" fillId="0" borderId="1" xfId="0" applyBorder="1"/>
    <xf numFmtId="165" fontId="0" fillId="0" borderId="1" xfId="0" applyNumberFormat="1" applyBorder="1"/>
    <xf numFmtId="165" fontId="0" fillId="0" borderId="0" xfId="0" applyNumberFormat="1"/>
    <xf numFmtId="164" fontId="0" fillId="0" borderId="0" xfId="0" applyNumberFormat="1"/>
    <xf numFmtId="0" fontId="0" fillId="2" borderId="1" xfId="0" applyFill="1" applyBorder="1"/>
    <xf numFmtId="0" fontId="1" fillId="2" borderId="1" xfId="0" applyFont="1" applyFill="1" applyBorder="1" applyAlignment="1">
      <alignment horizontal="center"/>
    </xf>
    <xf numFmtId="173" fontId="0" fillId="0" borderId="1" xfId="0" applyNumberFormat="1" applyBorder="1"/>
    <xf numFmtId="176" fontId="0" fillId="0" borderId="1" xfId="0" applyNumberFormat="1" applyBorder="1"/>
    <xf numFmtId="177" fontId="0" fillId="0" borderId="1" xfId="0" applyNumberFormat="1" applyBorder="1"/>
  </cellXfs>
  <cellStyles count="3">
    <cellStyle name="Normal" xfId="0" builtinId="0"/>
    <cellStyle name="Normal 2" xfId="1"/>
    <cellStyle name="Percent 2" xfId="2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cked"/>
        <c:varyColors val="0"/>
        <c:ser>
          <c:idx val="0"/>
          <c:order val="0"/>
          <c:tx>
            <c:v>IV</c:v>
          </c:tx>
          <c:marker>
            <c:symbol val="none"/>
          </c:marker>
          <c:val>
            <c:numRef>
              <c:f>Simulation!$U$5:$U$254</c:f>
              <c:numCache>
                <c:formatCode>General</c:formatCode>
                <c:ptCount val="250"/>
                <c:pt idx="0">
                  <c:v>-22.113442894996339</c:v>
                </c:pt>
                <c:pt idx="1">
                  <c:v>-35.229411814343052</c:v>
                </c:pt>
                <c:pt idx="2">
                  <c:v>-34.757568658341455</c:v>
                </c:pt>
                <c:pt idx="3">
                  <c:v>-28.774842131508262</c:v>
                </c:pt>
                <c:pt idx="4">
                  <c:v>-25.634317198451605</c:v>
                </c:pt>
                <c:pt idx="5">
                  <c:v>-16.573047915297973</c:v>
                </c:pt>
                <c:pt idx="6">
                  <c:v>-16.407858149878578</c:v>
                </c:pt>
                <c:pt idx="7">
                  <c:v>-15.744137740119221</c:v>
                </c:pt>
                <c:pt idx="8">
                  <c:v>-15.558723872714738</c:v>
                </c:pt>
                <c:pt idx="9">
                  <c:v>-37.868570277613706</c:v>
                </c:pt>
                <c:pt idx="10">
                  <c:v>-35.540544439596921</c:v>
                </c:pt>
                <c:pt idx="11">
                  <c:v>-28.205682556085101</c:v>
                </c:pt>
                <c:pt idx="12">
                  <c:v>-22.594765202795053</c:v>
                </c:pt>
                <c:pt idx="13">
                  <c:v>-20.597252586757467</c:v>
                </c:pt>
                <c:pt idx="14">
                  <c:v>-11.373482257049631</c:v>
                </c:pt>
                <c:pt idx="15">
                  <c:v>-30.536176085918179</c:v>
                </c:pt>
                <c:pt idx="16">
                  <c:v>-48.884822729103405</c:v>
                </c:pt>
                <c:pt idx="17">
                  <c:v>-49.211997041904873</c:v>
                </c:pt>
                <c:pt idx="18">
                  <c:v>-49.834818550911926</c:v>
                </c:pt>
                <c:pt idx="19">
                  <c:v>-50.75086866744477</c:v>
                </c:pt>
                <c:pt idx="20">
                  <c:v>-50.233897382533499</c:v>
                </c:pt>
                <c:pt idx="21">
                  <c:v>-53.281203350402457</c:v>
                </c:pt>
                <c:pt idx="22">
                  <c:v>-58.992430903806543</c:v>
                </c:pt>
                <c:pt idx="23">
                  <c:v>-57.265699084169711</c:v>
                </c:pt>
                <c:pt idx="24">
                  <c:v>-53.548658440467193</c:v>
                </c:pt>
                <c:pt idx="25">
                  <c:v>-39.164549621635729</c:v>
                </c:pt>
                <c:pt idx="26">
                  <c:v>-41.394892126428211</c:v>
                </c:pt>
                <c:pt idx="27">
                  <c:v>-46.777237854788751</c:v>
                </c:pt>
                <c:pt idx="28">
                  <c:v>-56.513413382897397</c:v>
                </c:pt>
                <c:pt idx="29">
                  <c:v>-56.100745948882071</c:v>
                </c:pt>
                <c:pt idx="30">
                  <c:v>-52.148554212751812</c:v>
                </c:pt>
                <c:pt idx="31">
                  <c:v>-59.015087194571919</c:v>
                </c:pt>
                <c:pt idx="32">
                  <c:v>-61.305478099226939</c:v>
                </c:pt>
                <c:pt idx="33">
                  <c:v>-58.324076119683113</c:v>
                </c:pt>
                <c:pt idx="34">
                  <c:v>-48.97971345599683</c:v>
                </c:pt>
                <c:pt idx="35">
                  <c:v>-52.463661398931897</c:v>
                </c:pt>
                <c:pt idx="36">
                  <c:v>-46.621101050506113</c:v>
                </c:pt>
                <c:pt idx="37">
                  <c:v>-48.452984178678484</c:v>
                </c:pt>
                <c:pt idx="38">
                  <c:v>-48.722407807258946</c:v>
                </c:pt>
                <c:pt idx="39">
                  <c:v>-55.744667022131367</c:v>
                </c:pt>
                <c:pt idx="40">
                  <c:v>-56.266410844778861</c:v>
                </c:pt>
                <c:pt idx="41">
                  <c:v>-58.853458265254744</c:v>
                </c:pt>
                <c:pt idx="42">
                  <c:v>-65.947667873244626</c:v>
                </c:pt>
                <c:pt idx="43">
                  <c:v>-61.669374754897241</c:v>
                </c:pt>
                <c:pt idx="44">
                  <c:v>-59.128070322837715</c:v>
                </c:pt>
                <c:pt idx="45">
                  <c:v>-58.887172569179164</c:v>
                </c:pt>
                <c:pt idx="46">
                  <c:v>-52.40405426712293</c:v>
                </c:pt>
                <c:pt idx="47">
                  <c:v>-54.363193134713981</c:v>
                </c:pt>
                <c:pt idx="48">
                  <c:v>-51.959411418937272</c:v>
                </c:pt>
                <c:pt idx="49">
                  <c:v>-52.319849631159094</c:v>
                </c:pt>
                <c:pt idx="50">
                  <c:v>-50.746589245099806</c:v>
                </c:pt>
                <c:pt idx="51">
                  <c:v>-55.194974165124165</c:v>
                </c:pt>
                <c:pt idx="52">
                  <c:v>-60.369981084837605</c:v>
                </c:pt>
                <c:pt idx="53">
                  <c:v>-61.218137002722052</c:v>
                </c:pt>
                <c:pt idx="54">
                  <c:v>-61.779348857881345</c:v>
                </c:pt>
                <c:pt idx="55">
                  <c:v>-66.68088206542842</c:v>
                </c:pt>
                <c:pt idx="56">
                  <c:v>-67.668114563199154</c:v>
                </c:pt>
                <c:pt idx="57">
                  <c:v>-68.64774663461715</c:v>
                </c:pt>
                <c:pt idx="58">
                  <c:v>-69.63135430609583</c:v>
                </c:pt>
                <c:pt idx="59">
                  <c:v>-69.738744893208107</c:v>
                </c:pt>
                <c:pt idx="60">
                  <c:v>-69.39395165338999</c:v>
                </c:pt>
                <c:pt idx="61">
                  <c:v>-69.505816571688129</c:v>
                </c:pt>
                <c:pt idx="62">
                  <c:v>-70.0650785980325</c:v>
                </c:pt>
                <c:pt idx="63">
                  <c:v>-70.534687529273512</c:v>
                </c:pt>
                <c:pt idx="64">
                  <c:v>-70.335914647942417</c:v>
                </c:pt>
                <c:pt idx="65">
                  <c:v>-69.136742980756495</c:v>
                </c:pt>
                <c:pt idx="66">
                  <c:v>-69.886353120317438</c:v>
                </c:pt>
                <c:pt idx="67">
                  <c:v>-69.826665201123333</c:v>
                </c:pt>
                <c:pt idx="68">
                  <c:v>-70.133749405056022</c:v>
                </c:pt>
                <c:pt idx="69">
                  <c:v>-69.49369070650917</c:v>
                </c:pt>
                <c:pt idx="70">
                  <c:v>-69.330594674406825</c:v>
                </c:pt>
                <c:pt idx="71">
                  <c:v>-67.856824762259677</c:v>
                </c:pt>
                <c:pt idx="72">
                  <c:v>-69.358837601360491</c:v>
                </c:pt>
                <c:pt idx="73">
                  <c:v>-67.99220291026937</c:v>
                </c:pt>
                <c:pt idx="74">
                  <c:v>-69.187341463841591</c:v>
                </c:pt>
                <c:pt idx="75">
                  <c:v>-70.891934721693289</c:v>
                </c:pt>
                <c:pt idx="76">
                  <c:v>-69.864118728395013</c:v>
                </c:pt>
                <c:pt idx="77">
                  <c:v>-69.083631535295012</c:v>
                </c:pt>
                <c:pt idx="78">
                  <c:v>-68.28589137517568</c:v>
                </c:pt>
                <c:pt idx="79">
                  <c:v>-69.180958950670259</c:v>
                </c:pt>
                <c:pt idx="80">
                  <c:v>-70.143485591691373</c:v>
                </c:pt>
                <c:pt idx="81">
                  <c:v>-68.679915795492661</c:v>
                </c:pt>
                <c:pt idx="82">
                  <c:v>-67.024615790155025</c:v>
                </c:pt>
                <c:pt idx="83">
                  <c:v>-63.943550213609385</c:v>
                </c:pt>
                <c:pt idx="84">
                  <c:v>-65.872878026374167</c:v>
                </c:pt>
                <c:pt idx="85">
                  <c:v>-66.999015345667104</c:v>
                </c:pt>
                <c:pt idx="86">
                  <c:v>-63.11634079998322</c:v>
                </c:pt>
                <c:pt idx="87">
                  <c:v>-68.636996162503351</c:v>
                </c:pt>
                <c:pt idx="88">
                  <c:v>-70.699023021051062</c:v>
                </c:pt>
                <c:pt idx="89">
                  <c:v>-66.340166580681185</c:v>
                </c:pt>
                <c:pt idx="90">
                  <c:v>-60.349237538822678</c:v>
                </c:pt>
                <c:pt idx="91">
                  <c:v>-49.5366886054532</c:v>
                </c:pt>
                <c:pt idx="92">
                  <c:v>-37.472676058397894</c:v>
                </c:pt>
                <c:pt idx="93">
                  <c:v>-30.372477310016244</c:v>
                </c:pt>
                <c:pt idx="94">
                  <c:v>-34.75948300983169</c:v>
                </c:pt>
                <c:pt idx="95">
                  <c:v>-28.327326399135465</c:v>
                </c:pt>
                <c:pt idx="96">
                  <c:v>-33.231468010413288</c:v>
                </c:pt>
                <c:pt idx="97">
                  <c:v>-43.842959230802521</c:v>
                </c:pt>
                <c:pt idx="98">
                  <c:v>-54.88812611034102</c:v>
                </c:pt>
                <c:pt idx="99">
                  <c:v>-51.262525204997374</c:v>
                </c:pt>
                <c:pt idx="100">
                  <c:v>-57.417330537678346</c:v>
                </c:pt>
                <c:pt idx="101">
                  <c:v>-45.740623759662817</c:v>
                </c:pt>
                <c:pt idx="102">
                  <c:v>-44.503899000666827</c:v>
                </c:pt>
                <c:pt idx="103">
                  <c:v>-36.156779419076216</c:v>
                </c:pt>
                <c:pt idx="104">
                  <c:v>-35.733594645710596</c:v>
                </c:pt>
                <c:pt idx="105">
                  <c:v>-41.972698312025919</c:v>
                </c:pt>
                <c:pt idx="106">
                  <c:v>-36.962131132956998</c:v>
                </c:pt>
                <c:pt idx="107">
                  <c:v>-45.647645497167566</c:v>
                </c:pt>
                <c:pt idx="108">
                  <c:v>-55.490214999351622</c:v>
                </c:pt>
                <c:pt idx="109">
                  <c:v>-51.525873465774623</c:v>
                </c:pt>
                <c:pt idx="110">
                  <c:v>-57.042607359801067</c:v>
                </c:pt>
                <c:pt idx="111">
                  <c:v>-66.271042985779104</c:v>
                </c:pt>
                <c:pt idx="112">
                  <c:v>-66.130317620267547</c:v>
                </c:pt>
                <c:pt idx="113">
                  <c:v>-52.559967210522764</c:v>
                </c:pt>
                <c:pt idx="114">
                  <c:v>-37.56413435300766</c:v>
                </c:pt>
                <c:pt idx="115">
                  <c:v>-44.886557715702146</c:v>
                </c:pt>
                <c:pt idx="116">
                  <c:v>-32.325966362050387</c:v>
                </c:pt>
                <c:pt idx="117">
                  <c:v>-29.608483390789861</c:v>
                </c:pt>
                <c:pt idx="118">
                  <c:v>-31.328870718428472</c:v>
                </c:pt>
                <c:pt idx="119">
                  <c:v>-37.429562588521371</c:v>
                </c:pt>
                <c:pt idx="120">
                  <c:v>-34.080228600332511</c:v>
                </c:pt>
                <c:pt idx="121">
                  <c:v>-33.209618115459591</c:v>
                </c:pt>
                <c:pt idx="122">
                  <c:v>-26.268846524082399</c:v>
                </c:pt>
                <c:pt idx="123">
                  <c:v>-33.331576992824594</c:v>
                </c:pt>
                <c:pt idx="124">
                  <c:v>-37.07198175748227</c:v>
                </c:pt>
                <c:pt idx="125">
                  <c:v>-33.765453699744178</c:v>
                </c:pt>
                <c:pt idx="126">
                  <c:v>-33.965876140046646</c:v>
                </c:pt>
                <c:pt idx="127">
                  <c:v>-26.786807547142899</c:v>
                </c:pt>
                <c:pt idx="128">
                  <c:v>-46.726067113592585</c:v>
                </c:pt>
                <c:pt idx="129">
                  <c:v>-55.74521992572722</c:v>
                </c:pt>
                <c:pt idx="130">
                  <c:v>-57.453690389243953</c:v>
                </c:pt>
                <c:pt idx="131">
                  <c:v>-49.254927727197298</c:v>
                </c:pt>
                <c:pt idx="132">
                  <c:v>-37.697647716837459</c:v>
                </c:pt>
                <c:pt idx="133">
                  <c:v>-27.515704607214914</c:v>
                </c:pt>
                <c:pt idx="134">
                  <c:v>-1.1238533506739472</c:v>
                </c:pt>
                <c:pt idx="135">
                  <c:v>2.688775390141803</c:v>
                </c:pt>
                <c:pt idx="136">
                  <c:v>5.8599739524715311</c:v>
                </c:pt>
                <c:pt idx="137">
                  <c:v>0.49868255804938322</c:v>
                </c:pt>
                <c:pt idx="138">
                  <c:v>3.9244404329857607</c:v>
                </c:pt>
                <c:pt idx="139">
                  <c:v>-8.7063636823452413</c:v>
                </c:pt>
                <c:pt idx="140">
                  <c:v>-23.560464684950809</c:v>
                </c:pt>
                <c:pt idx="141">
                  <c:v>-21.509020118631259</c:v>
                </c:pt>
                <c:pt idx="142">
                  <c:v>-23.90676929461025</c:v>
                </c:pt>
                <c:pt idx="143">
                  <c:v>-43.985662633262379</c:v>
                </c:pt>
                <c:pt idx="144">
                  <c:v>-36.174774633463223</c:v>
                </c:pt>
                <c:pt idx="145">
                  <c:v>-34.321146951421426</c:v>
                </c:pt>
                <c:pt idx="146">
                  <c:v>-32.421886077290317</c:v>
                </c:pt>
                <c:pt idx="147">
                  <c:v>-27.071872579933945</c:v>
                </c:pt>
                <c:pt idx="148">
                  <c:v>-49.758736678577058</c:v>
                </c:pt>
                <c:pt idx="149">
                  <c:v>-16.683241667695484</c:v>
                </c:pt>
                <c:pt idx="150">
                  <c:v>4.6180539829872416</c:v>
                </c:pt>
                <c:pt idx="151">
                  <c:v>0.29720789987567731</c:v>
                </c:pt>
                <c:pt idx="152">
                  <c:v>-9.2282381294782603</c:v>
                </c:pt>
                <c:pt idx="153">
                  <c:v>-12.496994589686894</c:v>
                </c:pt>
                <c:pt idx="154">
                  <c:v>-4.367667779647963</c:v>
                </c:pt>
                <c:pt idx="155">
                  <c:v>-6.2859852856263174</c:v>
                </c:pt>
                <c:pt idx="156">
                  <c:v>-11.39061748788717</c:v>
                </c:pt>
                <c:pt idx="157">
                  <c:v>-2.4067163939428138</c:v>
                </c:pt>
                <c:pt idx="158">
                  <c:v>2.8673526172880148</c:v>
                </c:pt>
                <c:pt idx="159">
                  <c:v>-3.6904978042337708</c:v>
                </c:pt>
                <c:pt idx="160">
                  <c:v>4.7554699349631493</c:v>
                </c:pt>
                <c:pt idx="161">
                  <c:v>4.0932369428748085</c:v>
                </c:pt>
                <c:pt idx="162">
                  <c:v>1.8699561242938936</c:v>
                </c:pt>
                <c:pt idx="163">
                  <c:v>0.80664068870651451</c:v>
                </c:pt>
                <c:pt idx="164">
                  <c:v>0.73265793807447477</c:v>
                </c:pt>
                <c:pt idx="165">
                  <c:v>1.2681761545737145</c:v>
                </c:pt>
                <c:pt idx="166">
                  <c:v>1.2769047269130993</c:v>
                </c:pt>
                <c:pt idx="167">
                  <c:v>1.0800433718030142</c:v>
                </c:pt>
                <c:pt idx="168">
                  <c:v>0.14552596185213257</c:v>
                </c:pt>
                <c:pt idx="169">
                  <c:v>0.61980683581678919</c:v>
                </c:pt>
                <c:pt idx="170">
                  <c:v>0.53817817102083476</c:v>
                </c:pt>
                <c:pt idx="171">
                  <c:v>0.59405990031281475</c:v>
                </c:pt>
                <c:pt idx="172">
                  <c:v>-0.58873152632159431</c:v>
                </c:pt>
                <c:pt idx="173">
                  <c:v>-0.83416643631244025</c:v>
                </c:pt>
                <c:pt idx="174">
                  <c:v>-0.80054162931793171</c:v>
                </c:pt>
                <c:pt idx="175">
                  <c:v>-0.87574456265574929</c:v>
                </c:pt>
                <c:pt idx="176">
                  <c:v>-1.1367045875691668</c:v>
                </c:pt>
                <c:pt idx="177">
                  <c:v>-0.97289822474541821</c:v>
                </c:pt>
                <c:pt idx="178">
                  <c:v>-0.94241018404664367</c:v>
                </c:pt>
                <c:pt idx="179">
                  <c:v>-0.7608094581047703</c:v>
                </c:pt>
                <c:pt idx="180">
                  <c:v>-0.70507609108795555</c:v>
                </c:pt>
                <c:pt idx="181">
                  <c:v>-0.56272880518433666</c:v>
                </c:pt>
                <c:pt idx="182">
                  <c:v>-0.20594076990649443</c:v>
                </c:pt>
                <c:pt idx="183">
                  <c:v>-0.49096412565564518</c:v>
                </c:pt>
                <c:pt idx="184">
                  <c:v>-0.91851107227528561</c:v>
                </c:pt>
                <c:pt idx="185">
                  <c:v>-1.0103897921453679</c:v>
                </c:pt>
                <c:pt idx="186">
                  <c:v>-1.5883264723480905</c:v>
                </c:pt>
                <c:pt idx="187">
                  <c:v>-1.5189828448412575</c:v>
                </c:pt>
                <c:pt idx="188">
                  <c:v>-1.9591689520478619</c:v>
                </c:pt>
                <c:pt idx="189">
                  <c:v>-2.3066567128896454</c:v>
                </c:pt>
                <c:pt idx="190">
                  <c:v>-1.9371439960640904</c:v>
                </c:pt>
                <c:pt idx="191">
                  <c:v>-2.3481519401803559</c:v>
                </c:pt>
                <c:pt idx="192">
                  <c:v>-2.1453448875882377</c:v>
                </c:pt>
                <c:pt idx="193">
                  <c:v>-2.246812218933711</c:v>
                </c:pt>
                <c:pt idx="194">
                  <c:v>-2.1314238506462639</c:v>
                </c:pt>
                <c:pt idx="195">
                  <c:v>-2.1529766708903213</c:v>
                </c:pt>
                <c:pt idx="196">
                  <c:v>-2.4686136207269107</c:v>
                </c:pt>
                <c:pt idx="197">
                  <c:v>-2.4453048645737976</c:v>
                </c:pt>
                <c:pt idx="198">
                  <c:v>-2.3753135194542683</c:v>
                </c:pt>
                <c:pt idx="199">
                  <c:v>-2.0860270491889055</c:v>
                </c:pt>
                <c:pt idx="200">
                  <c:v>-2.157693430848699</c:v>
                </c:pt>
                <c:pt idx="201">
                  <c:v>-2.5449416755979852</c:v>
                </c:pt>
                <c:pt idx="202">
                  <c:v>-2.4008526588375201</c:v>
                </c:pt>
                <c:pt idx="203">
                  <c:v>-2.2262069368692474</c:v>
                </c:pt>
                <c:pt idx="204">
                  <c:v>-2.0496103884872428</c:v>
                </c:pt>
                <c:pt idx="205">
                  <c:v>-2.334414144830407</c:v>
                </c:pt>
                <c:pt idx="206">
                  <c:v>-2.4956021950402465</c:v>
                </c:pt>
                <c:pt idx="207">
                  <c:v>-2.5174330787736179</c:v>
                </c:pt>
                <c:pt idx="208">
                  <c:v>-2.3653620338877808</c:v>
                </c:pt>
                <c:pt idx="209">
                  <c:v>-2.6611808113630406</c:v>
                </c:pt>
                <c:pt idx="210">
                  <c:v>-2.9807479958005327</c:v>
                </c:pt>
                <c:pt idx="211">
                  <c:v>-3.1313521625433371</c:v>
                </c:pt>
                <c:pt idx="212">
                  <c:v>-3.3183107193778616</c:v>
                </c:pt>
                <c:pt idx="213">
                  <c:v>-3.6208606273273025</c:v>
                </c:pt>
                <c:pt idx="214">
                  <c:v>-3.7133115299702544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v>RealVol</c:v>
          </c:tx>
          <c:marker>
            <c:symbol val="none"/>
          </c:marker>
          <c:val>
            <c:numRef>
              <c:f>Simulation!$Z$6:$Z$254</c:f>
              <c:numCache>
                <c:formatCode>0.0000</c:formatCode>
                <c:ptCount val="249"/>
                <c:pt idx="0">
                  <c:v>-28.848672084141178</c:v>
                </c:pt>
                <c:pt idx="1">
                  <c:v>-28.978909441385017</c:v>
                </c:pt>
                <c:pt idx="2">
                  <c:v>-26.862627497527921</c:v>
                </c:pt>
                <c:pt idx="3">
                  <c:v>-25.933839028426398</c:v>
                </c:pt>
                <c:pt idx="4">
                  <c:v>-22.681792151866826</c:v>
                </c:pt>
                <c:pt idx="5">
                  <c:v>-24.756916818181487</c:v>
                </c:pt>
                <c:pt idx="6">
                  <c:v>5.9898866207113137</c:v>
                </c:pt>
                <c:pt idx="7">
                  <c:v>8.1147498508228679</c:v>
                </c:pt>
                <c:pt idx="8">
                  <c:v>-32.812563458643389</c:v>
                </c:pt>
                <c:pt idx="9">
                  <c:v>-33.549510064498421</c:v>
                </c:pt>
                <c:pt idx="10">
                  <c:v>-27.848519205620434</c:v>
                </c:pt>
                <c:pt idx="11">
                  <c:v>-23.653365019300626</c:v>
                </c:pt>
                <c:pt idx="12">
                  <c:v>-23.544601545757423</c:v>
                </c:pt>
                <c:pt idx="13">
                  <c:v>-23.567875324741969</c:v>
                </c:pt>
                <c:pt idx="14">
                  <c:v>-34.894355577363584</c:v>
                </c:pt>
                <c:pt idx="15">
                  <c:v>-67.2413360220242</c:v>
                </c:pt>
                <c:pt idx="16">
                  <c:v>-32.843782395712914</c:v>
                </c:pt>
                <c:pt idx="17">
                  <c:v>-73.291519598616816</c:v>
                </c:pt>
                <c:pt idx="18">
                  <c:v>-73.24482134579948</c:v>
                </c:pt>
                <c:pt idx="19">
                  <c:v>-55.501588595073528</c:v>
                </c:pt>
                <c:pt idx="20">
                  <c:v>-39.879030346210889</c:v>
                </c:pt>
                <c:pt idx="21">
                  <c:v>-42.392110694087457</c:v>
                </c:pt>
                <c:pt idx="22">
                  <c:v>-33.585411845423053</c:v>
                </c:pt>
                <c:pt idx="23">
                  <c:v>-51.575413878889378</c:v>
                </c:pt>
                <c:pt idx="24">
                  <c:v>-31.189649217940211</c:v>
                </c:pt>
                <c:pt idx="25">
                  <c:v>-33.110986845000156</c:v>
                </c:pt>
                <c:pt idx="26">
                  <c:v>-40.581135449557372</c:v>
                </c:pt>
                <c:pt idx="27">
                  <c:v>-37.691024135986297</c:v>
                </c:pt>
                <c:pt idx="28">
                  <c:v>-33.78505724265392</c:v>
                </c:pt>
                <c:pt idx="29">
                  <c:v>-39.068760125128996</c:v>
                </c:pt>
                <c:pt idx="30">
                  <c:v>-34.09003377739284</c:v>
                </c:pt>
                <c:pt idx="31">
                  <c:v>-42.464641542090561</c:v>
                </c:pt>
                <c:pt idx="32">
                  <c:v>-35.446591399386584</c:v>
                </c:pt>
                <c:pt idx="33">
                  <c:v>-34.54942931521618</c:v>
                </c:pt>
                <c:pt idx="34">
                  <c:v>-33.735329258182389</c:v>
                </c:pt>
                <c:pt idx="35">
                  <c:v>-32.75097556564522</c:v>
                </c:pt>
                <c:pt idx="36">
                  <c:v>-33.589862272711009</c:v>
                </c:pt>
                <c:pt idx="37">
                  <c:v>-55.540750783262652</c:v>
                </c:pt>
                <c:pt idx="38">
                  <c:v>-35.747353360201117</c:v>
                </c:pt>
                <c:pt idx="39">
                  <c:v>-36.291183088776478</c:v>
                </c:pt>
                <c:pt idx="40">
                  <c:v>-51.954051689815984</c:v>
                </c:pt>
                <c:pt idx="41">
                  <c:v>-36.901345849626949</c:v>
                </c:pt>
                <c:pt idx="42">
                  <c:v>-35.72632229727823</c:v>
                </c:pt>
                <c:pt idx="43">
                  <c:v>-39.754551209671369</c:v>
                </c:pt>
                <c:pt idx="44">
                  <c:v>-46.007787707078059</c:v>
                </c:pt>
                <c:pt idx="45">
                  <c:v>-34.793425745570588</c:v>
                </c:pt>
                <c:pt idx="46">
                  <c:v>-34.204651879379405</c:v>
                </c:pt>
                <c:pt idx="47">
                  <c:v>-38.294726496524405</c:v>
                </c:pt>
                <c:pt idx="48">
                  <c:v>-44.952735492844184</c:v>
                </c:pt>
                <c:pt idx="49">
                  <c:v>-51.383566740881257</c:v>
                </c:pt>
                <c:pt idx="50">
                  <c:v>-36.993089426021491</c:v>
                </c:pt>
                <c:pt idx="51">
                  <c:v>-62.825627018421599</c:v>
                </c:pt>
                <c:pt idx="52">
                  <c:v>-41.663992060805533</c:v>
                </c:pt>
                <c:pt idx="53">
                  <c:v>-74.727302890054162</c:v>
                </c:pt>
                <c:pt idx="54">
                  <c:v>-38.405065532665816</c:v>
                </c:pt>
                <c:pt idx="55">
                  <c:v>-41.979551734927902</c:v>
                </c:pt>
                <c:pt idx="56">
                  <c:v>-73.56608085541221</c:v>
                </c:pt>
                <c:pt idx="57">
                  <c:v>-73.077406006457366</c:v>
                </c:pt>
                <c:pt idx="58">
                  <c:v>-52.954300845470485</c:v>
                </c:pt>
                <c:pt idx="59">
                  <c:v>-65.718918517556403</c:v>
                </c:pt>
                <c:pt idx="60">
                  <c:v>-64.481670088370166</c:v>
                </c:pt>
                <c:pt idx="61">
                  <c:v>-64.625752308143618</c:v>
                </c:pt>
                <c:pt idx="62">
                  <c:v>-73.150807490092191</c:v>
                </c:pt>
                <c:pt idx="63">
                  <c:v>-49.35229864778956</c:v>
                </c:pt>
                <c:pt idx="64">
                  <c:v>-53.091470618565197</c:v>
                </c:pt>
                <c:pt idx="65">
                  <c:v>-39.695372409334865</c:v>
                </c:pt>
                <c:pt idx="66">
                  <c:v>-57.073251193067179</c:v>
                </c:pt>
                <c:pt idx="67">
                  <c:v>-72.221491697811757</c:v>
                </c:pt>
                <c:pt idx="68">
                  <c:v>-53.700739484789146</c:v>
                </c:pt>
                <c:pt idx="69">
                  <c:v>-68.318202360442001</c:v>
                </c:pt>
                <c:pt idx="70">
                  <c:v>-54.866829887524219</c:v>
                </c:pt>
                <c:pt idx="71">
                  <c:v>-40.706610376379388</c:v>
                </c:pt>
                <c:pt idx="72">
                  <c:v>-40.436155269717538</c:v>
                </c:pt>
                <c:pt idx="73">
                  <c:v>-43.0808891544037</c:v>
                </c:pt>
                <c:pt idx="74">
                  <c:v>-61.509824247716473</c:v>
                </c:pt>
                <c:pt idx="75">
                  <c:v>-38.964160037508201</c:v>
                </c:pt>
                <c:pt idx="76">
                  <c:v>-69.659800868914544</c:v>
                </c:pt>
                <c:pt idx="77">
                  <c:v>-75.781200337805714</c:v>
                </c:pt>
                <c:pt idx="78">
                  <c:v>-52.184650403618775</c:v>
                </c:pt>
                <c:pt idx="79">
                  <c:v>-75.534003979043192</c:v>
                </c:pt>
                <c:pt idx="80">
                  <c:v>-43.066131159659236</c:v>
                </c:pt>
                <c:pt idx="81">
                  <c:v>-76.336894236616303</c:v>
                </c:pt>
                <c:pt idx="82">
                  <c:v>-71.385948881781246</c:v>
                </c:pt>
                <c:pt idx="83">
                  <c:v>-40.49798165012497</c:v>
                </c:pt>
                <c:pt idx="84">
                  <c:v>-76.512644555868121</c:v>
                </c:pt>
                <c:pt idx="85">
                  <c:v>-39.74613790903863</c:v>
                </c:pt>
                <c:pt idx="86">
                  <c:v>-38.136492878967253</c:v>
                </c:pt>
                <c:pt idx="87">
                  <c:v>-57.327007620881417</c:v>
                </c:pt>
                <c:pt idx="88">
                  <c:v>-38.077701649407274</c:v>
                </c:pt>
                <c:pt idx="89">
                  <c:v>-66.206787184567617</c:v>
                </c:pt>
                <c:pt idx="90">
                  <c:v>-49.775071853475879</c:v>
                </c:pt>
                <c:pt idx="91">
                  <c:v>-44.068234889987131</c:v>
                </c:pt>
                <c:pt idx="92">
                  <c:v>-31.420718301798608</c:v>
                </c:pt>
                <c:pt idx="93">
                  <c:v>-33.755506993426913</c:v>
                </c:pt>
                <c:pt idx="94">
                  <c:v>-32.224606729481437</c:v>
                </c:pt>
                <c:pt idx="95">
                  <c:v>-33.495998339279389</c:v>
                </c:pt>
                <c:pt idx="96">
                  <c:v>-38.161116033967041</c:v>
                </c:pt>
                <c:pt idx="97">
                  <c:v>-67.572573844835162</c:v>
                </c:pt>
                <c:pt idx="98">
                  <c:v>-37.304819361621625</c:v>
                </c:pt>
                <c:pt idx="99">
                  <c:v>-39.394404621051031</c:v>
                </c:pt>
                <c:pt idx="100">
                  <c:v>-37.128214783785893</c:v>
                </c:pt>
                <c:pt idx="101">
                  <c:v>-36.378498617975133</c:v>
                </c:pt>
                <c:pt idx="102">
                  <c:v>-34.40838667010172</c:v>
                </c:pt>
                <c:pt idx="103">
                  <c:v>-34.270266951836462</c:v>
                </c:pt>
                <c:pt idx="104">
                  <c:v>-37.104682244392471</c:v>
                </c:pt>
                <c:pt idx="105">
                  <c:v>-34.921239249916781</c:v>
                </c:pt>
                <c:pt idx="106">
                  <c:v>-36.865541204788144</c:v>
                </c:pt>
                <c:pt idx="107">
                  <c:v>-63.103740567593832</c:v>
                </c:pt>
                <c:pt idx="108">
                  <c:v>-38.088812315345862</c:v>
                </c:pt>
                <c:pt idx="109">
                  <c:v>-40.361189657665946</c:v>
                </c:pt>
                <c:pt idx="110">
                  <c:v>-49.257936261123199</c:v>
                </c:pt>
                <c:pt idx="111">
                  <c:v>-41.868686307286552</c:v>
                </c:pt>
                <c:pt idx="112">
                  <c:v>-38.480317565226287</c:v>
                </c:pt>
                <c:pt idx="113">
                  <c:v>-37.042213668099734</c:v>
                </c:pt>
                <c:pt idx="114">
                  <c:v>-38.125412947348444</c:v>
                </c:pt>
                <c:pt idx="115">
                  <c:v>-36.350744996391875</c:v>
                </c:pt>
                <c:pt idx="116">
                  <c:v>-33.400878927861406</c:v>
                </c:pt>
                <c:pt idx="117">
                  <c:v>-31.974304635964408</c:v>
                </c:pt>
                <c:pt idx="118">
                  <c:v>-36.480066938801279</c:v>
                </c:pt>
                <c:pt idx="119">
                  <c:v>-34.679168610859499</c:v>
                </c:pt>
                <c:pt idx="120">
                  <c:v>-32.922707187812755</c:v>
                </c:pt>
                <c:pt idx="121">
                  <c:v>-30.142426503842429</c:v>
                </c:pt>
                <c:pt idx="122">
                  <c:v>-35.516560161678171</c:v>
                </c:pt>
                <c:pt idx="123">
                  <c:v>-36.913989474667943</c:v>
                </c:pt>
                <c:pt idx="124">
                  <c:v>-34.321916100754507</c:v>
                </c:pt>
                <c:pt idx="125">
                  <c:v>-33.864486957273243</c:v>
                </c:pt>
                <c:pt idx="126">
                  <c:v>-31.46287204752451</c:v>
                </c:pt>
                <c:pt idx="127">
                  <c:v>-39.45125005214134</c:v>
                </c:pt>
                <c:pt idx="128">
                  <c:v>-42.146551027353475</c:v>
                </c:pt>
                <c:pt idx="129">
                  <c:v>-44.697713928112378</c:v>
                </c:pt>
                <c:pt idx="130">
                  <c:v>-39.653036444273617</c:v>
                </c:pt>
                <c:pt idx="131">
                  <c:v>-38.624600380332325</c:v>
                </c:pt>
                <c:pt idx="132">
                  <c:v>-20.394792909658317</c:v>
                </c:pt>
                <c:pt idx="133">
                  <c:v>-33.488123459237961</c:v>
                </c:pt>
                <c:pt idx="134">
                  <c:v>-33.574191510971502</c:v>
                </c:pt>
                <c:pt idx="135">
                  <c:v>10.793505107351237</c:v>
                </c:pt>
                <c:pt idx="136">
                  <c:v>-34.74141694629791</c:v>
                </c:pt>
                <c:pt idx="137">
                  <c:v>-33.194750108648947</c:v>
                </c:pt>
                <c:pt idx="138">
                  <c:v>-38.37220805612116</c:v>
                </c:pt>
                <c:pt idx="139">
                  <c:v>-29.698804111468686</c:v>
                </c:pt>
                <c:pt idx="140">
                  <c:v>-35.891851423629454</c:v>
                </c:pt>
                <c:pt idx="141">
                  <c:v>-26.273354457457902</c:v>
                </c:pt>
                <c:pt idx="142">
                  <c:v>-39.173007432628374</c:v>
                </c:pt>
                <c:pt idx="143">
                  <c:v>-39.667365987329795</c:v>
                </c:pt>
                <c:pt idx="144">
                  <c:v>-34.754025282595045</c:v>
                </c:pt>
                <c:pt idx="145">
                  <c:v>14.394912566306417</c:v>
                </c:pt>
                <c:pt idx="146">
                  <c:v>-25.343723312760751</c:v>
                </c:pt>
                <c:pt idx="147">
                  <c:v>-41.06691493018532</c:v>
                </c:pt>
                <c:pt idx="148">
                  <c:v>-44.114883175622403</c:v>
                </c:pt>
                <c:pt idx="149">
                  <c:v>-17.404208359122741</c:v>
                </c:pt>
                <c:pt idx="150">
                  <c:v>-44.843674775073097</c:v>
                </c:pt>
                <c:pt idx="151">
                  <c:v>8.6076751134520393</c:v>
                </c:pt>
                <c:pt idx="152">
                  <c:v>-31.890626493746261</c:v>
                </c:pt>
                <c:pt idx="153">
                  <c:v>-31.80875595608611</c:v>
                </c:pt>
                <c:pt idx="154">
                  <c:v>-31.692768922073832</c:v>
                </c:pt>
                <c:pt idx="155">
                  <c:v>-12.997156216659235</c:v>
                </c:pt>
                <c:pt idx="156">
                  <c:v>-34.252165720652016</c:v>
                </c:pt>
                <c:pt idx="157">
                  <c:v>8.215107520895252</c:v>
                </c:pt>
                <c:pt idx="158">
                  <c:v>-39.41495382427528</c:v>
                </c:pt>
                <c:pt idx="159">
                  <c:v>-48.405956913758239</c:v>
                </c:pt>
                <c:pt idx="160">
                  <c:v>-38.87041199046763</c:v>
                </c:pt>
                <c:pt idx="161">
                  <c:v>-35.741490367930595</c:v>
                </c:pt>
                <c:pt idx="162">
                  <c:v>-26.074990866450683</c:v>
                </c:pt>
                <c:pt idx="163">
                  <c:v>-26.159093846844382</c:v>
                </c:pt>
                <c:pt idx="164">
                  <c:v>-17.935715788886824</c:v>
                </c:pt>
                <c:pt idx="165">
                  <c:v>-14.777559752090395</c:v>
                </c:pt>
                <c:pt idx="166">
                  <c:v>-3.1897955331586303</c:v>
                </c:pt>
                <c:pt idx="167">
                  <c:v>-19.203750000966274</c:v>
                </c:pt>
                <c:pt idx="168">
                  <c:v>-35.048980144676925</c:v>
                </c:pt>
                <c:pt idx="169">
                  <c:v>-13.467337199801968</c:v>
                </c:pt>
                <c:pt idx="170">
                  <c:v>-3.3847498346225091</c:v>
                </c:pt>
                <c:pt idx="171">
                  <c:v>-30.762734912655844</c:v>
                </c:pt>
                <c:pt idx="172">
                  <c:v>-23.76499078820444</c:v>
                </c:pt>
                <c:pt idx="173">
                  <c:v>-5.0166086147258788</c:v>
                </c:pt>
                <c:pt idx="174">
                  <c:v>-4.9185195422971191</c:v>
                </c:pt>
                <c:pt idx="175">
                  <c:v>-5.1796831945203863</c:v>
                </c:pt>
                <c:pt idx="176">
                  <c:v>-8.7386096367443074</c:v>
                </c:pt>
                <c:pt idx="177">
                  <c:v>-4.9728608278216697</c:v>
                </c:pt>
                <c:pt idx="178">
                  <c:v>-4.7917459877988815</c:v>
                </c:pt>
                <c:pt idx="179">
                  <c:v>-4.7355472665966225</c:v>
                </c:pt>
                <c:pt idx="180">
                  <c:v>-4.5931767829548109</c:v>
                </c:pt>
                <c:pt idx="181">
                  <c:v>-4.2836938614463236</c:v>
                </c:pt>
                <c:pt idx="182">
                  <c:v>-17.374701400586822</c:v>
                </c:pt>
                <c:pt idx="183">
                  <c:v>-5.0735096510349713</c:v>
                </c:pt>
                <c:pt idx="184">
                  <c:v>-6.5449772659802514</c:v>
                </c:pt>
                <c:pt idx="185">
                  <c:v>-10.984747865782504</c:v>
                </c:pt>
                <c:pt idx="186">
                  <c:v>-16.852974073036123</c:v>
                </c:pt>
                <c:pt idx="187">
                  <c:v>-11.945457758386505</c:v>
                </c:pt>
                <c:pt idx="188">
                  <c:v>-6.6266914119274301</c:v>
                </c:pt>
                <c:pt idx="189">
                  <c:v>-20.142613900059629</c:v>
                </c:pt>
                <c:pt idx="190">
                  <c:v>-21.777908534256799</c:v>
                </c:pt>
                <c:pt idx="191">
                  <c:v>-17.412248977866721</c:v>
                </c:pt>
                <c:pt idx="192">
                  <c:v>-7.317304162776443</c:v>
                </c:pt>
                <c:pt idx="193">
                  <c:v>-6.4863098007734248</c:v>
                </c:pt>
                <c:pt idx="194">
                  <c:v>-6.4797425008160534</c:v>
                </c:pt>
                <c:pt idx="195">
                  <c:v>-7.2142530919433359</c:v>
                </c:pt>
                <c:pt idx="196">
                  <c:v>-7.6330362472046316</c:v>
                </c:pt>
                <c:pt idx="197">
                  <c:v>-6.695734598136605</c:v>
                </c:pt>
                <c:pt idx="198">
                  <c:v>-6.417848729290248</c:v>
                </c:pt>
                <c:pt idx="199">
                  <c:v>-7.968714256528652</c:v>
                </c:pt>
                <c:pt idx="200">
                  <c:v>-7.4894341176281705</c:v>
                </c:pt>
                <c:pt idx="201">
                  <c:v>-13.915779920534369</c:v>
                </c:pt>
                <c:pt idx="202">
                  <c:v>-6.4922146235221616</c:v>
                </c:pt>
                <c:pt idx="203">
                  <c:v>-6.31561807513076</c:v>
                </c:pt>
                <c:pt idx="204">
                  <c:v>-11.252035933281105</c:v>
                </c:pt>
                <c:pt idx="205">
                  <c:v>-6.7695173826136683</c:v>
                </c:pt>
                <c:pt idx="206">
                  <c:v>-6.7914025536482052</c:v>
                </c:pt>
                <c:pt idx="207">
                  <c:v>-6.6405867136902552</c:v>
                </c:pt>
                <c:pt idx="208">
                  <c:v>-11.193932325529273</c:v>
                </c:pt>
                <c:pt idx="209">
                  <c:v>-7.2820460728003376</c:v>
                </c:pt>
                <c:pt idx="210">
                  <c:v>-7.4327696602084705</c:v>
                </c:pt>
                <c:pt idx="211">
                  <c:v>-7.6196090682825286</c:v>
                </c:pt>
                <c:pt idx="212">
                  <c:v>-7.9221589766133027</c:v>
                </c:pt>
                <c:pt idx="213">
                  <c:v>-8.0179736130317458</c:v>
                </c:pt>
                <c:pt idx="214">
                  <c:v>-8.2839464678842756</c:v>
                </c:pt>
                <c:pt idx="215">
                  <c:v>-8.3673403327882863</c:v>
                </c:pt>
                <c:pt idx="216">
                  <c:v>-8.4291135583797754</c:v>
                </c:pt>
                <c:pt idx="217">
                  <c:v>-8.5464589874014578</c:v>
                </c:pt>
                <c:pt idx="218">
                  <c:v>-8.6383526763794336</c:v>
                </c:pt>
                <c:pt idx="219">
                  <c:v>-8.7335304246520664</c:v>
                </c:pt>
                <c:pt idx="220">
                  <c:v>-8.9701879322290647</c:v>
                </c:pt>
                <c:pt idx="221">
                  <c:v>-9.1665507197239116</c:v>
                </c:pt>
                <c:pt idx="222">
                  <c:v>-9.3102935620600782</c:v>
                </c:pt>
                <c:pt idx="223">
                  <c:v>-9.6303140263775138</c:v>
                </c:pt>
                <c:pt idx="224">
                  <c:v>-9.9807510973153128</c:v>
                </c:pt>
                <c:pt idx="225">
                  <c:v>-10.331452139036095</c:v>
                </c:pt>
                <c:pt idx="226">
                  <c:v>-10.479600116135295</c:v>
                </c:pt>
                <c:pt idx="227">
                  <c:v>-10.686183691802224</c:v>
                </c:pt>
                <c:pt idx="228">
                  <c:v>-10.895837968006784</c:v>
                </c:pt>
                <c:pt idx="229">
                  <c:v>-11.395371301959795</c:v>
                </c:pt>
                <c:pt idx="230">
                  <c:v>-13.340250129745336</c:v>
                </c:pt>
                <c:pt idx="231">
                  <c:v>-11.440423533422685</c:v>
                </c:pt>
                <c:pt idx="232">
                  <c:v>-11.453935033445727</c:v>
                </c:pt>
                <c:pt idx="233">
                  <c:v>-11.469200092383371</c:v>
                </c:pt>
                <c:pt idx="234">
                  <c:v>-11.506892223816205</c:v>
                </c:pt>
                <c:pt idx="235">
                  <c:v>-11.597330195417651</c:v>
                </c:pt>
                <c:pt idx="236">
                  <c:v>-11.691888628294489</c:v>
                </c:pt>
                <c:pt idx="237">
                  <c:v>-11.7720819125588</c:v>
                </c:pt>
                <c:pt idx="238">
                  <c:v>-11.910472336417154</c:v>
                </c:pt>
                <c:pt idx="239">
                  <c:v>-12.073315064491961</c:v>
                </c:pt>
                <c:pt idx="240">
                  <c:v>-12.13526115015048</c:v>
                </c:pt>
                <c:pt idx="241">
                  <c:v>-12.229518196689549</c:v>
                </c:pt>
                <c:pt idx="242">
                  <c:v>-12.325981608340578</c:v>
                </c:pt>
                <c:pt idx="243">
                  <c:v>-12.38478304829888</c:v>
                </c:pt>
                <c:pt idx="244">
                  <c:v>-12.434544032663917</c:v>
                </c:pt>
                <c:pt idx="245">
                  <c:v>-12.471101939825568</c:v>
                </c:pt>
                <c:pt idx="246">
                  <c:v>-12.493246923854437</c:v>
                </c:pt>
                <c:pt idx="247">
                  <c:v>-12.502301760853479</c:v>
                </c:pt>
                <c:pt idx="248">
                  <c:v>-12.503403632693827</c:v>
                </c:pt>
              </c:numCache>
            </c:numRef>
          </c:val>
          <c:smooth val="0"/>
        </c:ser>
        <c:ser>
          <c:idx val="2"/>
          <c:order val="2"/>
          <c:tx>
            <c:v>InitialVol</c:v>
          </c:tx>
          <c:marker>
            <c:symbol val="none"/>
          </c:marker>
          <c:val>
            <c:numRef>
              <c:f>Simulation!$AD$5:$AD$254</c:f>
              <c:numCache>
                <c:formatCode>General</c:formatCode>
                <c:ptCount val="250"/>
                <c:pt idx="0">
                  <c:v>-22.113442894996339</c:v>
                </c:pt>
                <c:pt idx="1">
                  <c:v>-35.231767696251616</c:v>
                </c:pt>
                <c:pt idx="2">
                  <c:v>-34.754945713293246</c:v>
                </c:pt>
                <c:pt idx="3">
                  <c:v>-28.772225135934022</c:v>
                </c:pt>
                <c:pt idx="4">
                  <c:v>-25.629968771152789</c:v>
                </c:pt>
                <c:pt idx="5">
                  <c:v>-16.589790965856256</c:v>
                </c:pt>
                <c:pt idx="6">
                  <c:v>-16.418555313487275</c:v>
                </c:pt>
                <c:pt idx="7">
                  <c:v>-15.765741017290621</c:v>
                </c:pt>
                <c:pt idx="8">
                  <c:v>-15.578939699036701</c:v>
                </c:pt>
                <c:pt idx="9">
                  <c:v>-37.874994528218402</c:v>
                </c:pt>
                <c:pt idx="10">
                  <c:v>-35.542164486113109</c:v>
                </c:pt>
                <c:pt idx="11">
                  <c:v>-28.206038460267337</c:v>
                </c:pt>
                <c:pt idx="12">
                  <c:v>-22.594696360157432</c:v>
                </c:pt>
                <c:pt idx="13">
                  <c:v>-20.600406717755082</c:v>
                </c:pt>
                <c:pt idx="14">
                  <c:v>-11.401825811931799</c:v>
                </c:pt>
                <c:pt idx="15">
                  <c:v>-30.539353372213832</c:v>
                </c:pt>
                <c:pt idx="16">
                  <c:v>-48.968211956819196</c:v>
                </c:pt>
                <c:pt idx="17">
                  <c:v>-49.30537581950162</c:v>
                </c:pt>
                <c:pt idx="18">
                  <c:v>-49.92962872733986</c:v>
                </c:pt>
                <c:pt idx="19">
                  <c:v>-50.855939983348811</c:v>
                </c:pt>
                <c:pt idx="20">
                  <c:v>-50.326786613397516</c:v>
                </c:pt>
                <c:pt idx="21">
                  <c:v>-53.394862846004827</c:v>
                </c:pt>
                <c:pt idx="22">
                  <c:v>-59.130882522320924</c:v>
                </c:pt>
                <c:pt idx="23">
                  <c:v>-57.394513105660764</c:v>
                </c:pt>
                <c:pt idx="24">
                  <c:v>-53.66349131455339</c:v>
                </c:pt>
                <c:pt idx="25">
                  <c:v>-39.215399943558587</c:v>
                </c:pt>
                <c:pt idx="26">
                  <c:v>-41.463560125501857</c:v>
                </c:pt>
                <c:pt idx="27">
                  <c:v>-46.872582593331927</c:v>
                </c:pt>
                <c:pt idx="28">
                  <c:v>-56.65399258259967</c:v>
                </c:pt>
                <c:pt idx="29">
                  <c:v>-56.251980218879226</c:v>
                </c:pt>
                <c:pt idx="30">
                  <c:v>-52.265638981757839</c:v>
                </c:pt>
                <c:pt idx="31">
                  <c:v>-59.169084840884558</c:v>
                </c:pt>
                <c:pt idx="32">
                  <c:v>-61.469120100508476</c:v>
                </c:pt>
                <c:pt idx="33">
                  <c:v>-58.492862903377734</c:v>
                </c:pt>
                <c:pt idx="34">
                  <c:v>-49.098678914504809</c:v>
                </c:pt>
                <c:pt idx="35">
                  <c:v>-52.585444233304621</c:v>
                </c:pt>
                <c:pt idx="36">
                  <c:v>-46.715672851667065</c:v>
                </c:pt>
                <c:pt idx="37">
                  <c:v>-48.566666682903843</c:v>
                </c:pt>
                <c:pt idx="38">
                  <c:v>-48.841451008225597</c:v>
                </c:pt>
                <c:pt idx="39">
                  <c:v>-55.905586999897253</c:v>
                </c:pt>
                <c:pt idx="40">
                  <c:v>-56.427570792728659</c:v>
                </c:pt>
                <c:pt idx="41">
                  <c:v>-59.012220171029306</c:v>
                </c:pt>
                <c:pt idx="42">
                  <c:v>-66.103773855011326</c:v>
                </c:pt>
                <c:pt idx="43">
                  <c:v>-61.83833935323279</c:v>
                </c:pt>
                <c:pt idx="44">
                  <c:v>-59.282594622071116</c:v>
                </c:pt>
                <c:pt idx="45">
                  <c:v>-59.035797324865534</c:v>
                </c:pt>
                <c:pt idx="46">
                  <c:v>-52.514806535338977</c:v>
                </c:pt>
                <c:pt idx="47">
                  <c:v>-54.481551723006589</c:v>
                </c:pt>
                <c:pt idx="48">
                  <c:v>-52.083637489631201</c:v>
                </c:pt>
                <c:pt idx="49">
                  <c:v>-52.449142034315877</c:v>
                </c:pt>
                <c:pt idx="50">
                  <c:v>-50.871543472525829</c:v>
                </c:pt>
                <c:pt idx="51">
                  <c:v>-55.341314719809418</c:v>
                </c:pt>
                <c:pt idx="52">
                  <c:v>-60.542608279796404</c:v>
                </c:pt>
                <c:pt idx="53">
                  <c:v>-61.390347740014164</c:v>
                </c:pt>
                <c:pt idx="54">
                  <c:v>-61.95864494532708</c:v>
                </c:pt>
                <c:pt idx="55">
                  <c:v>-66.860579947553148</c:v>
                </c:pt>
                <c:pt idx="56">
                  <c:v>-67.838510705295747</c:v>
                </c:pt>
                <c:pt idx="57">
                  <c:v>-68.81000233442775</c:v>
                </c:pt>
                <c:pt idx="58">
                  <c:v>-69.764868779057508</c:v>
                </c:pt>
                <c:pt idx="59">
                  <c:v>-69.865613243133282</c:v>
                </c:pt>
                <c:pt idx="60">
                  <c:v>-69.531111723148911</c:v>
                </c:pt>
                <c:pt idx="61">
                  <c:v>-69.64603592200082</c:v>
                </c:pt>
                <c:pt idx="62">
                  <c:v>-70.200126167773931</c:v>
                </c:pt>
                <c:pt idx="63">
                  <c:v>-70.644357732200589</c:v>
                </c:pt>
                <c:pt idx="64">
                  <c:v>-70.461177357816354</c:v>
                </c:pt>
                <c:pt idx="65">
                  <c:v>-69.298747209763818</c:v>
                </c:pt>
                <c:pt idx="66">
                  <c:v>-70.038928155728328</c:v>
                </c:pt>
                <c:pt idx="67">
                  <c:v>-69.979681981505891</c:v>
                </c:pt>
                <c:pt idx="68">
                  <c:v>-70.274502373581925</c:v>
                </c:pt>
                <c:pt idx="69">
                  <c:v>-69.651934251438419</c:v>
                </c:pt>
                <c:pt idx="70">
                  <c:v>-69.48239488925104</c:v>
                </c:pt>
                <c:pt idx="71">
                  <c:v>-68.021307446556108</c:v>
                </c:pt>
                <c:pt idx="72">
                  <c:v>-69.514864498728258</c:v>
                </c:pt>
                <c:pt idx="73">
                  <c:v>-68.16693449201928</c:v>
                </c:pt>
                <c:pt idx="74">
                  <c:v>-69.349618281387237</c:v>
                </c:pt>
                <c:pt idx="75">
                  <c:v>-71.025832383596679</c:v>
                </c:pt>
                <c:pt idx="76">
                  <c:v>-70.027990026641461</c:v>
                </c:pt>
                <c:pt idx="77">
                  <c:v>-69.262431961697928</c:v>
                </c:pt>
                <c:pt idx="78">
                  <c:v>-68.469044792296415</c:v>
                </c:pt>
                <c:pt idx="79">
                  <c:v>-69.351641390917294</c:v>
                </c:pt>
                <c:pt idx="80">
                  <c:v>-70.311880537167028</c:v>
                </c:pt>
                <c:pt idx="81">
                  <c:v>-68.858065621904643</c:v>
                </c:pt>
                <c:pt idx="82">
                  <c:v>-67.220612773723118</c:v>
                </c:pt>
                <c:pt idx="83">
                  <c:v>-64.158208654665785</c:v>
                </c:pt>
                <c:pt idx="84">
                  <c:v>-66.074689645459557</c:v>
                </c:pt>
                <c:pt idx="85">
                  <c:v>-67.208459583791452</c:v>
                </c:pt>
                <c:pt idx="86">
                  <c:v>-63.327230049454656</c:v>
                </c:pt>
                <c:pt idx="87">
                  <c:v>-68.832061791699473</c:v>
                </c:pt>
                <c:pt idx="88">
                  <c:v>-70.87661457606012</c:v>
                </c:pt>
                <c:pt idx="89">
                  <c:v>-66.547892289698012</c:v>
                </c:pt>
                <c:pt idx="90">
                  <c:v>-60.541806185533403</c:v>
                </c:pt>
                <c:pt idx="91">
                  <c:v>-49.675190968578605</c:v>
                </c:pt>
                <c:pt idx="92">
                  <c:v>-37.521996541337558</c:v>
                </c:pt>
                <c:pt idx="93">
                  <c:v>-30.374253229113307</c:v>
                </c:pt>
                <c:pt idx="94">
                  <c:v>-34.788787610601858</c:v>
                </c:pt>
                <c:pt idx="95">
                  <c:v>-28.317990164580401</c:v>
                </c:pt>
                <c:pt idx="96">
                  <c:v>-33.247718600655901</c:v>
                </c:pt>
                <c:pt idx="97">
                  <c:v>-43.914724799139286</c:v>
                </c:pt>
                <c:pt idx="98">
                  <c:v>-55.029063418840323</c:v>
                </c:pt>
                <c:pt idx="99">
                  <c:v>-51.381014891553626</c:v>
                </c:pt>
                <c:pt idx="100">
                  <c:v>-57.562596717262515</c:v>
                </c:pt>
                <c:pt idx="101">
                  <c:v>-45.827955309468962</c:v>
                </c:pt>
                <c:pt idx="102">
                  <c:v>-44.583467762682076</c:v>
                </c:pt>
                <c:pt idx="103">
                  <c:v>-36.188061139323736</c:v>
                </c:pt>
                <c:pt idx="104">
                  <c:v>-35.763942564066184</c:v>
                </c:pt>
                <c:pt idx="105">
                  <c:v>-42.035324606906777</c:v>
                </c:pt>
                <c:pt idx="106">
                  <c:v>-36.994428768070271</c:v>
                </c:pt>
                <c:pt idx="107">
                  <c:v>-45.72372910305775</c:v>
                </c:pt>
                <c:pt idx="108">
                  <c:v>-55.620745245236641</c:v>
                </c:pt>
                <c:pt idx="109">
                  <c:v>-51.627584257843253</c:v>
                </c:pt>
                <c:pt idx="110">
                  <c:v>-57.168500099510162</c:v>
                </c:pt>
                <c:pt idx="111">
                  <c:v>-66.44985635756214</c:v>
                </c:pt>
                <c:pt idx="112">
                  <c:v>-66.299354903163405</c:v>
                </c:pt>
                <c:pt idx="113">
                  <c:v>-52.661835145513763</c:v>
                </c:pt>
                <c:pt idx="114">
                  <c:v>-37.589861835229939</c:v>
                </c:pt>
                <c:pt idx="115">
                  <c:v>-44.943390627771521</c:v>
                </c:pt>
                <c:pt idx="116">
                  <c:v>-32.332128088612144</c:v>
                </c:pt>
                <c:pt idx="117">
                  <c:v>-29.605759831441368</c:v>
                </c:pt>
                <c:pt idx="118">
                  <c:v>-31.329612686473926</c:v>
                </c:pt>
                <c:pt idx="119">
                  <c:v>-37.453206576473839</c:v>
                </c:pt>
                <c:pt idx="120">
                  <c:v>-34.09062273691103</c:v>
                </c:pt>
                <c:pt idx="121">
                  <c:v>-33.217628167566993</c:v>
                </c:pt>
                <c:pt idx="122">
                  <c:v>-26.263184008686711</c:v>
                </c:pt>
                <c:pt idx="123">
                  <c:v>-33.339288514467185</c:v>
                </c:pt>
                <c:pt idx="124">
                  <c:v>-37.090163173216318</c:v>
                </c:pt>
                <c:pt idx="125">
                  <c:v>-33.773744469523436</c:v>
                </c:pt>
                <c:pt idx="126">
                  <c:v>-33.974495416659813</c:v>
                </c:pt>
                <c:pt idx="127">
                  <c:v>-26.77862207594583</c:v>
                </c:pt>
                <c:pt idx="128">
                  <c:v>-46.774396894602191</c:v>
                </c:pt>
                <c:pt idx="129">
                  <c:v>-55.831318247309781</c:v>
                </c:pt>
                <c:pt idx="130">
                  <c:v>-57.54923579463599</c:v>
                </c:pt>
                <c:pt idx="131">
                  <c:v>-49.320562633131793</c:v>
                </c:pt>
                <c:pt idx="132">
                  <c:v>-37.716197359374448</c:v>
                </c:pt>
                <c:pt idx="133">
                  <c:v>-27.504252504726558</c:v>
                </c:pt>
                <c:pt idx="134">
                  <c:v>-1.1225219541786409</c:v>
                </c:pt>
                <c:pt idx="135">
                  <c:v>2.6532993031530996</c:v>
                </c:pt>
                <c:pt idx="136">
                  <c:v>5.8185619173523229</c:v>
                </c:pt>
                <c:pt idx="137">
                  <c:v>0.47944660084879143</c:v>
                </c:pt>
                <c:pt idx="138">
                  <c:v>3.8963308084871353</c:v>
                </c:pt>
                <c:pt idx="139">
                  <c:v>-8.6922207632576765</c:v>
                </c:pt>
                <c:pt idx="140">
                  <c:v>-23.532098838937927</c:v>
                </c:pt>
                <c:pt idx="141">
                  <c:v>-21.476899526104688</c:v>
                </c:pt>
                <c:pt idx="142">
                  <c:v>-23.874065592982106</c:v>
                </c:pt>
                <c:pt idx="143">
                  <c:v>-44.033064566206562</c:v>
                </c:pt>
                <c:pt idx="144">
                  <c:v>-36.180694236244953</c:v>
                </c:pt>
                <c:pt idx="145">
                  <c:v>-34.315830916458282</c:v>
                </c:pt>
                <c:pt idx="146">
                  <c:v>-32.406342361397819</c:v>
                </c:pt>
                <c:pt idx="147">
                  <c:v>-27.026357011393735</c:v>
                </c:pt>
                <c:pt idx="148">
                  <c:v>-49.860362378852855</c:v>
                </c:pt>
                <c:pt idx="149">
                  <c:v>-16.589701397088724</c:v>
                </c:pt>
                <c:pt idx="150">
                  <c:v>4.6465217067916669</c:v>
                </c:pt>
                <c:pt idx="151">
                  <c:v>0.36917715500257131</c:v>
                </c:pt>
                <c:pt idx="152">
                  <c:v>-9.1305100989392596</c:v>
                </c:pt>
                <c:pt idx="153">
                  <c:v>-12.409398301580454</c:v>
                </c:pt>
                <c:pt idx="154">
                  <c:v>-4.3040087432317797</c:v>
                </c:pt>
                <c:pt idx="155">
                  <c:v>-6.2215166920778406</c:v>
                </c:pt>
                <c:pt idx="156">
                  <c:v>-11.317027808420811</c:v>
                </c:pt>
                <c:pt idx="157">
                  <c:v>-2.354510206425557</c:v>
                </c:pt>
                <c:pt idx="158">
                  <c:v>2.8884329937691646</c:v>
                </c:pt>
                <c:pt idx="159">
                  <c:v>-3.6210020102544549</c:v>
                </c:pt>
                <c:pt idx="160">
                  <c:v>4.7454654329665731</c:v>
                </c:pt>
                <c:pt idx="161">
                  <c:v>4.0846511650411923</c:v>
                </c:pt>
                <c:pt idx="162">
                  <c:v>1.8625986361636218</c:v>
                </c:pt>
                <c:pt idx="163">
                  <c:v>0.79928440747350493</c:v>
                </c:pt>
                <c:pt idx="164">
                  <c:v>0.72530165862229479</c:v>
                </c:pt>
                <c:pt idx="165">
                  <c:v>1.2608196931962503</c:v>
                </c:pt>
                <c:pt idx="166">
                  <c:v>1.2695482191813923</c:v>
                </c:pt>
                <c:pt idx="167">
                  <c:v>1.0726869883794192</c:v>
                </c:pt>
                <c:pt idx="168">
                  <c:v>0.13816968575178731</c:v>
                </c:pt>
                <c:pt idx="169">
                  <c:v>0.61245054785936037</c:v>
                </c:pt>
                <c:pt idx="170">
                  <c:v>0.5308218861409788</c:v>
                </c:pt>
                <c:pt idx="171">
                  <c:v>0.58670360772136376</c:v>
                </c:pt>
                <c:pt idx="172">
                  <c:v>-0.59608780228998215</c:v>
                </c:pt>
                <c:pt idx="173">
                  <c:v>-0.84152271227535547</c:v>
                </c:pt>
                <c:pt idx="174">
                  <c:v>-0.80789790528156158</c:v>
                </c:pt>
                <c:pt idx="175">
                  <c:v>-0.88310083861836497</c:v>
                </c:pt>
                <c:pt idx="176">
                  <c:v>-1.1440608635308487</c:v>
                </c:pt>
                <c:pt idx="177">
                  <c:v>-0.98025450070766706</c:v>
                </c:pt>
                <c:pt idx="178">
                  <c:v>-0.94976646000936582</c:v>
                </c:pt>
                <c:pt idx="179">
                  <c:v>-0.76816573407479527</c:v>
                </c:pt>
                <c:pt idx="180">
                  <c:v>-0.71243236706579383</c:v>
                </c:pt>
                <c:pt idx="181">
                  <c:v>-0.57008508120972812</c:v>
                </c:pt>
                <c:pt idx="182">
                  <c:v>-0.21329704681401204</c:v>
                </c:pt>
                <c:pt idx="183">
                  <c:v>-0.49832040176326875</c:v>
                </c:pt>
                <c:pt idx="184">
                  <c:v>-0.92586734824942385</c:v>
                </c:pt>
                <c:pt idx="185">
                  <c:v>-1.0177460681175816</c:v>
                </c:pt>
                <c:pt idx="186">
                  <c:v>-1.595682748315465</c:v>
                </c:pt>
                <c:pt idx="187">
                  <c:v>-1.5263391208086952</c:v>
                </c:pt>
                <c:pt idx="188">
                  <c:v>-1.9665252280151972</c:v>
                </c:pt>
                <c:pt idx="189">
                  <c:v>-2.3140129888569794</c:v>
                </c:pt>
                <c:pt idx="190">
                  <c:v>-1.9445002720314286</c:v>
                </c:pt>
                <c:pt idx="191">
                  <c:v>-2.3555082161476895</c:v>
                </c:pt>
                <c:pt idx="192">
                  <c:v>-2.1527011635555722</c:v>
                </c:pt>
                <c:pt idx="193">
                  <c:v>-2.254168494901045</c:v>
                </c:pt>
                <c:pt idx="194">
                  <c:v>-2.1387801266135975</c:v>
                </c:pt>
                <c:pt idx="195">
                  <c:v>-2.1603329468576544</c:v>
                </c:pt>
                <c:pt idx="196">
                  <c:v>-2.4759698966942443</c:v>
                </c:pt>
                <c:pt idx="197">
                  <c:v>-2.4526611405411312</c:v>
                </c:pt>
                <c:pt idx="198">
                  <c:v>-2.382669795421601</c:v>
                </c:pt>
                <c:pt idx="199">
                  <c:v>-2.0933833251561671</c:v>
                </c:pt>
                <c:pt idx="200">
                  <c:v>-2.1650497068159757</c:v>
                </c:pt>
                <c:pt idx="201">
                  <c:v>-2.5522979515653175</c:v>
                </c:pt>
                <c:pt idx="202">
                  <c:v>-2.4082089348048421</c:v>
                </c:pt>
                <c:pt idx="203">
                  <c:v>-2.2335632128363758</c:v>
                </c:pt>
                <c:pt idx="204">
                  <c:v>-2.0569666644513833</c:v>
                </c:pt>
                <c:pt idx="205">
                  <c:v>-2.3417704207974839</c:v>
                </c:pt>
                <c:pt idx="206">
                  <c:v>-2.5029584710074926</c:v>
                </c:pt>
                <c:pt idx="207">
                  <c:v>-2.5247893547408222</c:v>
                </c:pt>
                <c:pt idx="208">
                  <c:v>-2.3727183098535574</c:v>
                </c:pt>
                <c:pt idx="209">
                  <c:v>-2.6685370873302658</c:v>
                </c:pt>
                <c:pt idx="210">
                  <c:v>-2.9881042717678401</c:v>
                </c:pt>
                <c:pt idx="211">
                  <c:v>-3.1387084385106463</c:v>
                </c:pt>
                <c:pt idx="212">
                  <c:v>-3.3256669953451712</c:v>
                </c:pt>
                <c:pt idx="213">
                  <c:v>-3.6282169032946121</c:v>
                </c:pt>
                <c:pt idx="214">
                  <c:v>-3.720667805937564</c:v>
                </c:pt>
                <c:pt idx="215">
                  <c:v>-3.9898347728800281</c:v>
                </c:pt>
                <c:pt idx="216">
                  <c:v>-4.0721054039895659</c:v>
                </c:pt>
                <c:pt idx="217">
                  <c:v>-4.1351559552838051</c:v>
                </c:pt>
                <c:pt idx="218">
                  <c:v>-4.2525013843054875</c:v>
                </c:pt>
                <c:pt idx="219">
                  <c:v>-4.3443950732834633</c:v>
                </c:pt>
                <c:pt idx="220">
                  <c:v>-4.4395728215560961</c:v>
                </c:pt>
                <c:pt idx="221">
                  <c:v>-4.6762301031854019</c:v>
                </c:pt>
                <c:pt idx="222">
                  <c:v>-4.8725931160586509</c:v>
                </c:pt>
                <c:pt idx="223">
                  <c:v>-5.0163359583948175</c:v>
                </c:pt>
                <c:pt idx="224">
                  <c:v>-5.3360527787591945</c:v>
                </c:pt>
                <c:pt idx="225">
                  <c:v>-5.6867903152179888</c:v>
                </c:pt>
                <c:pt idx="226">
                  <c:v>-6.0374913569387711</c:v>
                </c:pt>
                <c:pt idx="227">
                  <c:v>-6.1844485004059759</c:v>
                </c:pt>
                <c:pt idx="228">
                  <c:v>-6.3922166159387768</c:v>
                </c:pt>
                <c:pt idx="229">
                  <c:v>-6.6018708921433369</c:v>
                </c:pt>
                <c:pt idx="230">
                  <c:v>-7.0273592288544773</c:v>
                </c:pt>
                <c:pt idx="231">
                  <c:v>-7.0858328796454781</c:v>
                </c:pt>
                <c:pt idx="232">
                  <c:v>-7.151380838590141</c:v>
                </c:pt>
                <c:pt idx="233">
                  <c:v>-7.1648923386131838</c:v>
                </c:pt>
                <c:pt idx="234">
                  <c:v>-7.1801573975508273</c:v>
                </c:pt>
                <c:pt idx="235">
                  <c:v>-7.2178495289836615</c:v>
                </c:pt>
                <c:pt idx="236">
                  <c:v>-7.3082875005851076</c:v>
                </c:pt>
                <c:pt idx="237">
                  <c:v>-7.4028459334619452</c:v>
                </c:pt>
                <c:pt idx="238">
                  <c:v>-7.4830392177262564</c:v>
                </c:pt>
                <c:pt idx="239">
                  <c:v>-7.6214296415846103</c:v>
                </c:pt>
                <c:pt idx="240">
                  <c:v>-7.7842723696594174</c:v>
                </c:pt>
                <c:pt idx="241">
                  <c:v>-7.8462179890502011</c:v>
                </c:pt>
                <c:pt idx="242">
                  <c:v>-7.9404755012223642</c:v>
                </c:pt>
                <c:pt idx="243">
                  <c:v>-8.0369389128733939</c:v>
                </c:pt>
                <c:pt idx="244">
                  <c:v>-8.0957403528316956</c:v>
                </c:pt>
                <c:pt idx="245">
                  <c:v>-8.1455013371967322</c:v>
                </c:pt>
                <c:pt idx="246">
                  <c:v>-8.1820592443583831</c:v>
                </c:pt>
                <c:pt idx="247">
                  <c:v>-8.2042042283872529</c:v>
                </c:pt>
                <c:pt idx="248">
                  <c:v>-8.2132590653862945</c:v>
                </c:pt>
                <c:pt idx="249">
                  <c:v>-8.2143609372266422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42032640"/>
        <c:axId val="219162880"/>
      </c:lineChart>
      <c:catAx>
        <c:axId val="242032640"/>
        <c:scaling>
          <c:orientation val="minMax"/>
        </c:scaling>
        <c:delete val="0"/>
        <c:axPos val="b"/>
        <c:majorTickMark val="out"/>
        <c:minorTickMark val="none"/>
        <c:tickLblPos val="nextTo"/>
        <c:crossAx val="219162880"/>
        <c:crosses val="autoZero"/>
        <c:auto val="1"/>
        <c:lblAlgn val="ctr"/>
        <c:lblOffset val="100"/>
        <c:noMultiLvlLbl val="0"/>
      </c:catAx>
      <c:valAx>
        <c:axId val="2191628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42032640"/>
        <c:crosses val="autoZero"/>
        <c:crossBetween val="between"/>
      </c:valAx>
    </c:plotArea>
    <c:legend>
      <c:legendPos val="r"/>
      <c:layout/>
      <c:overlay val="0"/>
    </c:legend>
    <c:plotVisOnly val="1"/>
    <c:dispBlanksAs val="zero"/>
    <c:showDLblsOverMax val="0"/>
  </c:chart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142875</xdr:colOff>
      <xdr:row>0</xdr:row>
      <xdr:rowOff>171450</xdr:rowOff>
    </xdr:from>
    <xdr:to>
      <xdr:col>15</xdr:col>
      <xdr:colOff>104775</xdr:colOff>
      <xdr:row>26</xdr:row>
      <xdr:rowOff>38100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Summative_v4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puts"/>
      <sheetName val="Simulation"/>
      <sheetName val="Graph"/>
    </sheetNames>
    <sheetDataSet>
      <sheetData sheetId="0" refreshError="1">
        <row r="4">
          <cell r="C4">
            <v>3.5400000000000001E-2</v>
          </cell>
          <cell r="H4">
            <v>15.811388300841896</v>
          </cell>
        </row>
        <row r="5">
          <cell r="C5">
            <v>3.5400000000000001E-2</v>
          </cell>
        </row>
        <row r="6">
          <cell r="C6">
            <v>0.38769999999999999</v>
          </cell>
        </row>
        <row r="7">
          <cell r="C7">
            <v>-0.71650000000000003</v>
          </cell>
        </row>
        <row r="8">
          <cell r="C8">
            <v>1.3252999999999999</v>
          </cell>
        </row>
        <row r="9">
          <cell r="C9">
            <v>0</v>
          </cell>
        </row>
        <row r="10">
          <cell r="C10">
            <v>0</v>
          </cell>
        </row>
        <row r="12">
          <cell r="C12">
            <v>100</v>
          </cell>
        </row>
      </sheetData>
      <sheetData sheetId="1" refreshError="1"/>
      <sheetData sheetId="2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H12"/>
  <sheetViews>
    <sheetView workbookViewId="0">
      <selection activeCell="C11" sqref="C11"/>
    </sheetView>
  </sheetViews>
  <sheetFormatPr defaultRowHeight="15" x14ac:dyDescent="0.25"/>
  <cols>
    <col min="3" max="3" width="7.7109375" bestFit="1" customWidth="1"/>
    <col min="4" max="4" width="9.28515625" customWidth="1"/>
  </cols>
  <sheetData>
    <row r="2" spans="2:8" ht="18.75" x14ac:dyDescent="0.3">
      <c r="B2" s="1" t="s">
        <v>0</v>
      </c>
      <c r="H2" s="2"/>
    </row>
    <row r="3" spans="2:8" ht="15.75" x14ac:dyDescent="0.25">
      <c r="B3" s="3" t="s">
        <v>1</v>
      </c>
      <c r="C3" s="4">
        <v>1.7399999999999999E-2</v>
      </c>
      <c r="D3" t="s">
        <v>2</v>
      </c>
    </row>
    <row r="4" spans="2:8" ht="15.75" x14ac:dyDescent="0.25">
      <c r="B4" s="3" t="s">
        <v>3</v>
      </c>
      <c r="C4" s="4">
        <v>3.5400000000000001E-2</v>
      </c>
      <c r="D4" t="s">
        <v>4</v>
      </c>
      <c r="G4" t="s">
        <v>5</v>
      </c>
      <c r="H4">
        <f>SQRT(250)</f>
        <v>15.811388300841896</v>
      </c>
    </row>
    <row r="5" spans="2:8" ht="15.75" x14ac:dyDescent="0.25">
      <c r="B5" s="3" t="s">
        <v>6</v>
      </c>
      <c r="C5" s="4">
        <f>C4</f>
        <v>3.5400000000000001E-2</v>
      </c>
    </row>
    <row r="6" spans="2:8" ht="15.75" x14ac:dyDescent="0.25">
      <c r="B6" s="3" t="s">
        <v>7</v>
      </c>
      <c r="C6" s="4">
        <v>0.38769999999999999</v>
      </c>
      <c r="D6" t="s">
        <v>8</v>
      </c>
    </row>
    <row r="7" spans="2:8" ht="15.75" x14ac:dyDescent="0.25">
      <c r="B7" s="5" t="s">
        <v>9</v>
      </c>
      <c r="C7" s="4">
        <v>-0.71650000000000003</v>
      </c>
    </row>
    <row r="8" spans="2:8" ht="15.75" x14ac:dyDescent="0.25">
      <c r="B8" s="3" t="s">
        <v>10</v>
      </c>
      <c r="C8" s="4">
        <v>1.3252999999999999</v>
      </c>
      <c r="D8" t="s">
        <v>11</v>
      </c>
    </row>
    <row r="9" spans="2:8" ht="15.75" x14ac:dyDescent="0.25">
      <c r="B9" s="3" t="s">
        <v>12</v>
      </c>
      <c r="C9" s="4">
        <v>0</v>
      </c>
    </row>
    <row r="10" spans="2:8" ht="15.75" x14ac:dyDescent="0.25">
      <c r="B10" s="3" t="s">
        <v>13</v>
      </c>
      <c r="C10" s="4">
        <v>0</v>
      </c>
    </row>
    <row r="11" spans="2:8" ht="15.75" x14ac:dyDescent="0.25">
      <c r="B11" s="3" t="s">
        <v>14</v>
      </c>
      <c r="C11" s="4">
        <v>100</v>
      </c>
    </row>
    <row r="12" spans="2:8" ht="15.75" x14ac:dyDescent="0.25">
      <c r="B12" s="6" t="s">
        <v>15</v>
      </c>
      <c r="C12" s="7">
        <v>100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AD254"/>
  <sheetViews>
    <sheetView tabSelected="1" topLeftCell="I1" workbookViewId="0">
      <pane ySplit="3" topLeftCell="A4" activePane="bottomLeft" state="frozen"/>
      <selection pane="bottomLeft" activeCell="L5" sqref="L5"/>
    </sheetView>
  </sheetViews>
  <sheetFormatPr defaultRowHeight="15" x14ac:dyDescent="0.25"/>
  <cols>
    <col min="1" max="1" width="17.5703125" bestFit="1" customWidth="1"/>
    <col min="8" max="8" width="20.85546875" bestFit="1" customWidth="1"/>
    <col min="9" max="9" width="22" bestFit="1" customWidth="1"/>
    <col min="10" max="11" width="18.5703125" bestFit="1" customWidth="1"/>
    <col min="14" max="14" width="13.5703125" customWidth="1"/>
    <col min="15" max="15" width="9.42578125" customWidth="1"/>
    <col min="17" max="17" width="12.5703125" customWidth="1"/>
    <col min="22" max="22" width="12" customWidth="1"/>
  </cols>
  <sheetData>
    <row r="1" spans="1:30" x14ac:dyDescent="0.25">
      <c r="A1" s="8"/>
      <c r="B1" s="8"/>
      <c r="C1" s="8"/>
      <c r="G1" s="24" t="s">
        <v>16</v>
      </c>
      <c r="H1" s="24"/>
      <c r="I1" s="24"/>
      <c r="J1" s="24"/>
      <c r="K1" s="24"/>
      <c r="L1" s="24"/>
      <c r="M1" s="24"/>
      <c r="N1" s="24"/>
      <c r="O1" s="24"/>
      <c r="P1" s="24"/>
      <c r="Q1" s="24"/>
      <c r="R1" s="24"/>
      <c r="S1" s="24"/>
      <c r="T1" s="24"/>
      <c r="U1" s="24"/>
      <c r="V1" s="24"/>
      <c r="W1" s="24"/>
      <c r="X1" s="24"/>
      <c r="Y1" s="24"/>
      <c r="Z1" s="24"/>
      <c r="AA1" s="24"/>
      <c r="AB1" s="24"/>
      <c r="AC1" s="24"/>
      <c r="AD1" s="24"/>
    </row>
    <row r="2" spans="1:30" x14ac:dyDescent="0.25">
      <c r="A2" s="8"/>
      <c r="B2" s="8"/>
      <c r="C2" s="8"/>
      <c r="G2" s="24" t="s">
        <v>17</v>
      </c>
      <c r="H2" s="24"/>
      <c r="I2" s="24"/>
      <c r="J2" s="24"/>
      <c r="K2" s="24"/>
      <c r="L2" s="24"/>
      <c r="M2" s="24"/>
      <c r="N2" s="24" t="s">
        <v>18</v>
      </c>
      <c r="O2" s="24"/>
      <c r="P2" s="24"/>
      <c r="Q2" s="9" t="s">
        <v>19</v>
      </c>
      <c r="R2" s="24" t="s">
        <v>20</v>
      </c>
      <c r="S2" s="24"/>
      <c r="T2" s="24"/>
      <c r="U2" s="24"/>
      <c r="V2" s="24" t="s">
        <v>21</v>
      </c>
      <c r="W2" s="24"/>
      <c r="X2" s="24"/>
      <c r="Y2" s="24"/>
      <c r="Z2" s="24"/>
      <c r="AA2" s="24" t="s">
        <v>22</v>
      </c>
      <c r="AB2" s="24"/>
      <c r="AC2" s="24"/>
      <c r="AD2" s="24"/>
    </row>
    <row r="3" spans="1:30" ht="45" x14ac:dyDescent="0.25">
      <c r="A3" s="10"/>
      <c r="G3" s="11" t="s">
        <v>23</v>
      </c>
      <c r="H3" s="11" t="s">
        <v>24</v>
      </c>
      <c r="I3" s="11" t="s">
        <v>25</v>
      </c>
      <c r="J3" s="11" t="s">
        <v>26</v>
      </c>
      <c r="K3" s="11" t="s">
        <v>27</v>
      </c>
      <c r="L3" s="9" t="s">
        <v>28</v>
      </c>
      <c r="M3" s="9" t="s">
        <v>29</v>
      </c>
      <c r="N3" s="9" t="s">
        <v>30</v>
      </c>
      <c r="O3" s="11" t="s">
        <v>31</v>
      </c>
      <c r="P3" s="9" t="s">
        <v>32</v>
      </c>
      <c r="Q3" s="12" t="s">
        <v>33</v>
      </c>
      <c r="R3" s="9" t="s">
        <v>34</v>
      </c>
      <c r="S3" s="9" t="s">
        <v>35</v>
      </c>
      <c r="T3" s="12" t="s">
        <v>36</v>
      </c>
      <c r="U3" s="9" t="s">
        <v>37</v>
      </c>
      <c r="V3" s="12" t="s">
        <v>38</v>
      </c>
      <c r="W3" s="12" t="s">
        <v>39</v>
      </c>
      <c r="X3" s="12" t="s">
        <v>40</v>
      </c>
      <c r="Y3" s="12" t="s">
        <v>41</v>
      </c>
      <c r="Z3" s="12" t="s">
        <v>37</v>
      </c>
      <c r="AA3" s="12" t="s">
        <v>42</v>
      </c>
      <c r="AB3" s="12" t="s">
        <v>35</v>
      </c>
      <c r="AC3" s="12" t="s">
        <v>41</v>
      </c>
      <c r="AD3" s="12" t="s">
        <v>43</v>
      </c>
    </row>
    <row r="4" spans="1:30" x14ac:dyDescent="0.25">
      <c r="A4" s="11" t="s">
        <v>44</v>
      </c>
      <c r="B4" s="11" t="s">
        <v>45</v>
      </c>
      <c r="C4" s="13" t="s">
        <v>46</v>
      </c>
      <c r="G4" s="14"/>
      <c r="H4" s="14"/>
      <c r="I4" s="14"/>
      <c r="J4" s="14"/>
      <c r="K4" s="14"/>
      <c r="L4" s="15"/>
      <c r="M4" s="15"/>
      <c r="N4" s="15"/>
      <c r="O4" s="16"/>
      <c r="P4" s="17"/>
      <c r="Q4" s="14"/>
      <c r="R4" s="14"/>
      <c r="S4" s="14"/>
      <c r="T4" s="14"/>
      <c r="U4" s="14"/>
    </row>
    <row r="5" spans="1:30" x14ac:dyDescent="0.25">
      <c r="A5" s="11" t="s">
        <v>45</v>
      </c>
      <c r="B5" s="18">
        <v>1</v>
      </c>
      <c r="C5" s="18"/>
      <c r="G5" s="19">
        <v>250</v>
      </c>
      <c r="H5" s="26">
        <f ca="1">RAND()</f>
        <v>0.32452400614850663</v>
      </c>
      <c r="I5" s="27">
        <f ca="1">RAND()</f>
        <v>0.68053993936452051</v>
      </c>
      <c r="J5" s="25">
        <f ca="1">SQRT(-2*LN(H5))*COS(2*PI()*I5)</f>
        <v>-0.63417229829544441</v>
      </c>
      <c r="K5" s="25">
        <f ca="1">SQRT(-2*LN(H5))*SIN(2*PI()*I5)</f>
        <v>-1.3596385657413763</v>
      </c>
      <c r="L5" s="19">
        <f t="array" aca="1" ref="L5:M5" ca="1">MMULT(J5:K5,TRANSPOSE($B$10:$C$11))</f>
        <v>-0.63417229829544441</v>
      </c>
      <c r="M5" s="19">
        <f ca="1"/>
        <v>-0.49408186061643555</v>
      </c>
      <c r="N5" s="20">
        <f>Variance_T0</f>
        <v>3.5400000000000001E-2</v>
      </c>
      <c r="O5" s="20">
        <v>0</v>
      </c>
      <c r="P5" s="19">
        <v>100</v>
      </c>
      <c r="Q5" s="19">
        <f>HCTrans(P5,Strike,RiskFreeRate,Dividend,Variance_T0*AnnualVarConvtr,(Simulation!G5)/250,0.5,Variance_Avg*AnnualVarConvtr,Lambda,SQRT(Simulation!N5),Rho,1,"Call")</f>
        <v>28.818569228825197</v>
      </c>
      <c r="R5" s="19">
        <f>BSvol(1,P5,Strike,Q5,Dividend,RiskFreeRate,G5/250)</f>
        <v>0.73884103340948371</v>
      </c>
      <c r="S5" s="19">
        <f t="shared" ref="S5" si="0">BSdelta(1,P5,Strike,R5/AnnualVarConvtr,Dividend,RiskFreeRate,G5/250)</f>
        <v>0.50932012123821535</v>
      </c>
      <c r="T5" s="19">
        <f>(S5)*P5</f>
        <v>50.932012123821536</v>
      </c>
      <c r="U5" s="19">
        <f>Q5-T5</f>
        <v>-22.113442894996339</v>
      </c>
      <c r="V5" s="21">
        <f>(O5-O4)^2</f>
        <v>0</v>
      </c>
      <c r="W5">
        <f>SQRT(V5)</f>
        <v>0</v>
      </c>
      <c r="X5">
        <v>0</v>
      </c>
      <c r="AA5">
        <f>$R$5</f>
        <v>0.73884103340948371</v>
      </c>
      <c r="AB5">
        <f t="shared" ref="AB5" si="1">BSdelta(1,P5,Strike,AA5/AnnualVarConvtr,Dividend,RiskFreeRate,G5/250)</f>
        <v>0.50932012123821535</v>
      </c>
      <c r="AC5">
        <f>AB5*P5</f>
        <v>50.932012123821536</v>
      </c>
      <c r="AD5">
        <f>Q5-AC5</f>
        <v>-22.113442894996339</v>
      </c>
    </row>
    <row r="6" spans="1:30" x14ac:dyDescent="0.25">
      <c r="A6" s="13" t="s">
        <v>46</v>
      </c>
      <c r="B6" s="18">
        <f>Rho</f>
        <v>-0.71650000000000003</v>
      </c>
      <c r="C6" s="18">
        <v>1</v>
      </c>
      <c r="G6" s="19">
        <v>249</v>
      </c>
      <c r="H6" s="19">
        <f t="shared" ref="H6:I30" ca="1" si="2">RAND()</f>
        <v>2.6975592906941959E-2</v>
      </c>
      <c r="I6" s="19">
        <f t="shared" ca="1" si="2"/>
        <v>0.16634420086649127</v>
      </c>
      <c r="J6" s="19">
        <f t="shared" ref="J6:J69" ca="1" si="3">SQRT(-2*LN(H6))*COS(2*PI()*I6)</f>
        <v>1.3487419235634519</v>
      </c>
      <c r="K6" s="19">
        <f t="shared" ref="K6:K69" ca="1" si="4">SQRT(-2*LN(H6))*SIN(2*PI()*I6)</f>
        <v>2.3251969379055075</v>
      </c>
      <c r="L6" s="19">
        <f t="array" aca="1" ref="L6:M6" ca="1">MMULT(J6:K6,TRANSPOSE($B$10:$C$11))</f>
        <v>1.3487419235634519</v>
      </c>
      <c r="M6" s="19">
        <f ca="1"/>
        <v>0.65565378046596201</v>
      </c>
      <c r="N6" s="20">
        <f t="shared" ref="N6" ca="1" si="5">GetVariance(N5,Variance_Avg,Lambda,Eta,M6,"Daily")</f>
        <v>3.8339141953741961E-2</v>
      </c>
      <c r="O6" s="20">
        <f t="shared" ref="O6:O69" ca="1" si="6">GetStockReturns(0,RiskFreeRate,N6,L6,"Daily")</f>
        <v>1.6702444880947506E-2</v>
      </c>
      <c r="P6" s="19">
        <f ca="1">P5*EXP(O6)</f>
        <v>101.68427105518364</v>
      </c>
      <c r="Q6" s="19">
        <f ca="1">HCTrans(P6,Strike,RiskFreeRate,Dividend,Variance_T0*AnnualVarConvtr,(Simulation!G6)/250,0.5,Variance_Avg*AnnualVarConvtr,Lambda,SQRT(Simulation!N6),Rho,1,"Call")</f>
        <v>29.860085592595482</v>
      </c>
      <c r="R6" s="19">
        <f t="shared" ref="R6:R69" ca="1" si="7">BSvol(1,P6,Strike,Q6,Dividend,RiskFreeRate,G6/250)</f>
        <v>0.73897887778411753</v>
      </c>
      <c r="S6" s="19">
        <f t="shared" ref="S6:S69" ca="1" si="8">BSdelta(1,P6,Strike,R6/AnnualVarConvtr,Dividend,RiskFreeRate,G6/250)</f>
        <v>0.6485499660923304</v>
      </c>
      <c r="T6" s="19">
        <f ca="1">(S6-S5)*P6</f>
        <v>14.157485283116999</v>
      </c>
      <c r="U6" s="19">
        <f ca="1">(Q6-Q5)+U5-T6</f>
        <v>-35.229411814343052</v>
      </c>
      <c r="V6" s="21">
        <f ca="1">(O6-O5)^2</f>
        <v>2.7897166500108955E-4</v>
      </c>
      <c r="W6">
        <f ca="1">SQRT(V6)</f>
        <v>1.6702444880947506E-2</v>
      </c>
      <c r="X6" s="22">
        <f t="shared" ref="X6" ca="1" si="9">BSdelta(1,P6,Strike,W6*AnnualVarConvtr,Dividend,RiskFreeRate,G6/250)</f>
        <v>0.57736321524963929</v>
      </c>
      <c r="Y6" s="22">
        <f ca="1">X6*P6</f>
        <v>58.70875767673666</v>
      </c>
      <c r="Z6" s="22">
        <f ca="1">Q6-Y6</f>
        <v>-28.848672084141178</v>
      </c>
      <c r="AA6">
        <f t="shared" ref="AA6:AA69" si="10">$R$5</f>
        <v>0.73884103340948371</v>
      </c>
      <c r="AB6">
        <f t="shared" ref="AB6" ca="1" si="11">BSdelta(1,P6,Strike,AA6/AnnualVarConvtr,Dividend,RiskFreeRate,G6/250)</f>
        <v>0.648573134689441</v>
      </c>
      <c r="AC6">
        <f ca="1">(AB6-AB5)*P6</f>
        <v>14.159841165025563</v>
      </c>
      <c r="AD6">
        <f ca="1">(Q6-Q5)+AD5-AC6</f>
        <v>-35.231767696251616</v>
      </c>
    </row>
    <row r="7" spans="1:30" x14ac:dyDescent="0.25">
      <c r="G7" s="19">
        <v>248</v>
      </c>
      <c r="H7" s="19">
        <f t="shared" ca="1" si="2"/>
        <v>0.79977059455421262</v>
      </c>
      <c r="I7" s="19">
        <f t="shared" ca="1" si="2"/>
        <v>0.26426563114467749</v>
      </c>
      <c r="J7" s="19">
        <f t="shared" ca="1" si="3"/>
        <v>-5.9837749263578169E-2</v>
      </c>
      <c r="K7" s="19">
        <f t="shared" ca="1" si="4"/>
        <v>0.66579286737779553</v>
      </c>
      <c r="L7" s="19">
        <f t="array" aca="1" ref="L7:M7" ca="1">MMULT(J7:K7,TRANSPOSE($B$10:$C$11))</f>
        <v>-5.9837749263578169E-2</v>
      </c>
      <c r="M7" s="19">
        <f ca="1"/>
        <v>0.50732225713434342</v>
      </c>
      <c r="N7" s="20">
        <f t="shared" ref="N7" ca="1" si="12">GetVariance(N6,Variance_Avg,Lambda,Eta,M7,"Daily")</f>
        <v>4.0647676065740268E-2</v>
      </c>
      <c r="O7" s="20">
        <f t="shared" ca="1" si="6"/>
        <v>-7.6299748375451709E-4</v>
      </c>
      <c r="P7" s="19">
        <f t="shared" ref="P7:P70" ca="1" si="13">P6*EXP(O7)</f>
        <v>101.60671580322467</v>
      </c>
      <c r="Q7" s="19">
        <f ca="1">HCTrans(P7,Strike,RiskFreeRate,Dividend,Variance_T0*AnnualVarConvtr,(Simulation!G7)/250,0.5,Variance_Avg*AnnualVarConvtr,Lambda,SQRT(Simulation!N7),Rho,1,"Call")</f>
        <v>29.742672211279825</v>
      </c>
      <c r="R7" s="19">
        <f t="shared" ca="1" si="7"/>
        <v>0.7386808264955963</v>
      </c>
      <c r="S7" s="19">
        <f t="shared" ca="1" si="8"/>
        <v>0.64275058036611099</v>
      </c>
      <c r="T7" s="19">
        <f t="shared" ref="T7:T70" ca="1" si="14">(S7-S6)*P7</f>
        <v>-0.58925653731725314</v>
      </c>
      <c r="U7" s="19">
        <f t="shared" ref="U7:U70" ca="1" si="15">(Q7-Q6)+U6-T7</f>
        <v>-34.757568658341455</v>
      </c>
      <c r="V7" s="21">
        <f t="shared" ref="V7:V70" ca="1" si="16">(O7-O6)^2</f>
        <v>3.0504167699472822E-4</v>
      </c>
      <c r="W7">
        <f t="shared" ref="W7:W70" ca="1" si="17">SQRT(V7)</f>
        <v>1.7465442364702023E-2</v>
      </c>
      <c r="X7" s="22">
        <f t="shared" ref="X7" ca="1" si="18">BSdelta(1,P7,Strike,W7*AnnualVarConvtr,Dividend,RiskFreeRate,G7/250)</f>
        <v>0.57748942714249307</v>
      </c>
      <c r="Y7" s="22">
        <f ca="1">(X7-X6)*P7</f>
        <v>1.2823975928180874E-2</v>
      </c>
      <c r="Z7" s="22">
        <f ca="1">(Q7-Q6)+Z6-Y7</f>
        <v>-28.978909441385017</v>
      </c>
      <c r="AA7">
        <f t="shared" si="10"/>
        <v>0.73884103340948371</v>
      </c>
      <c r="AB7">
        <f t="shared" ref="AB7" ca="1" si="19">BSdelta(1,P7,Strike,AA7/AnnualVarConvtr,Dividend,RiskFreeRate,G7/250)</f>
        <v>0.64272474799987567</v>
      </c>
      <c r="AC7">
        <f t="shared" ref="AC7:AC70" ca="1" si="20">(AB7-AB6)*P7</f>
        <v>-0.59423536427402668</v>
      </c>
      <c r="AD7">
        <f t="shared" ref="AD7:AD70" ca="1" si="21">(Q7-Q6)+AD6-AC7</f>
        <v>-34.754945713293246</v>
      </c>
    </row>
    <row r="8" spans="1:30" x14ac:dyDescent="0.25">
      <c r="G8" s="19">
        <v>247</v>
      </c>
      <c r="H8" s="19">
        <f t="shared" ca="1" si="2"/>
        <v>0.62557254118446881</v>
      </c>
      <c r="I8" s="19">
        <f t="shared" ca="1" si="2"/>
        <v>0.63824759450847213</v>
      </c>
      <c r="J8" s="19">
        <f t="shared" ca="1" si="3"/>
        <v>-0.62558544007263228</v>
      </c>
      <c r="K8" s="19">
        <f t="shared" ca="1" si="4"/>
        <v>-0.73947198901302813</v>
      </c>
      <c r="L8" s="19">
        <f t="array" aca="1" ref="L8:M8" ca="1">MMULT(J8:K8,TRANSPOSE($B$10:$C$11))</f>
        <v>-0.62558544007263228</v>
      </c>
      <c r="M8" s="19">
        <f ca="1"/>
        <v>-6.7614146128734787E-2</v>
      </c>
      <c r="N8" s="20">
        <f t="shared" ref="N8" ca="1" si="22">GetVariance(N7,Variance_Avg,Lambda,Eta,M8,"Daily")</f>
        <v>4.0135975419890418E-2</v>
      </c>
      <c r="O8" s="20">
        <f t="shared" ca="1" si="6"/>
        <v>-7.9265378735128237E-3</v>
      </c>
      <c r="P8" s="19">
        <f t="shared" ca="1" si="13"/>
        <v>100.80450988023492</v>
      </c>
      <c r="Q8" s="19">
        <f ca="1">HCTrans(P8,Strike,RiskFreeRate,Dividend,Variance_T0*AnnualVarConvtr,(Simulation!G8)/250,0.5,Variance_Avg*AnnualVarConvtr,Lambda,SQRT(Simulation!N8),Rho,1,"Call")</f>
        <v>29.159841036170079</v>
      </c>
      <c r="R8" s="19">
        <f t="shared" ca="1" si="7"/>
        <v>0.73851529140383332</v>
      </c>
      <c r="S8" s="19">
        <f t="shared" ca="1" si="8"/>
        <v>0.57761899339898592</v>
      </c>
      <c r="T8" s="19">
        <f t="shared" ca="1" si="14"/>
        <v>-6.5655577019429385</v>
      </c>
      <c r="U8" s="19">
        <f t="shared" ca="1" si="15"/>
        <v>-28.774842131508262</v>
      </c>
      <c r="V8" s="21">
        <f t="shared" ca="1" si="16"/>
        <v>5.1316310915698591E-5</v>
      </c>
      <c r="W8">
        <f t="shared" ca="1" si="17"/>
        <v>7.1635403897583067E-3</v>
      </c>
      <c r="X8" s="22">
        <f t="shared" ref="X8" ca="1" si="23">BSdelta(1,P8,Strike,W8*AnnualVarConvtr,Dividend,RiskFreeRate,G8/250)</f>
        <v>0.55071370924878338</v>
      </c>
      <c r="Y8" s="22">
        <f t="shared" ref="Y8:Y71" ca="1" si="24">(X8-X7)*P8</f>
        <v>-2.6991131189668418</v>
      </c>
      <c r="Z8" s="22">
        <f t="shared" ref="Z8:Z71" ca="1" si="25">(Q8-Q7)+Z7-Y8</f>
        <v>-26.862627497527921</v>
      </c>
      <c r="AA8">
        <f t="shared" si="10"/>
        <v>0.73884103340948371</v>
      </c>
      <c r="AB8">
        <f t="shared" ref="AB8" ca="1" si="26">BSdelta(1,P8,Strike,AA8/AnnualVarConvtr,Dividend,RiskFreeRate,G8/250)</f>
        <v>0.57759322005266922</v>
      </c>
      <c r="AC8">
        <f t="shared" ca="1" si="20"/>
        <v>-6.565551752468969</v>
      </c>
      <c r="AD8">
        <f t="shared" ca="1" si="21"/>
        <v>-28.772225135934022</v>
      </c>
    </row>
    <row r="9" spans="1:30" x14ac:dyDescent="0.25">
      <c r="A9" s="11" t="s">
        <v>47</v>
      </c>
      <c r="B9" s="23" t="s">
        <v>45</v>
      </c>
      <c r="C9" s="13" t="s">
        <v>46</v>
      </c>
      <c r="G9" s="19">
        <v>246</v>
      </c>
      <c r="H9" s="19">
        <f t="shared" ca="1" si="2"/>
        <v>0.24224445822943075</v>
      </c>
      <c r="I9" s="19">
        <f t="shared" ca="1" si="2"/>
        <v>0.27852615119742563</v>
      </c>
      <c r="J9" s="19">
        <f t="shared" ca="1" si="3"/>
        <v>-0.30020570878288133</v>
      </c>
      <c r="K9" s="19">
        <f t="shared" ca="1" si="4"/>
        <v>1.6569527277058391</v>
      </c>
      <c r="L9" s="19">
        <f t="array" aca="1" ref="L9:M9" ca="1">MMULT(J9:K9,TRANSPOSE($B$10:$C$11))</f>
        <v>-0.30020570878288133</v>
      </c>
      <c r="M9" s="19">
        <f ca="1"/>
        <v>1.37096622414614</v>
      </c>
      <c r="N9" s="20">
        <f t="shared" ref="N9" ca="1" si="27">GetVariance(N8,Variance_Avg,Lambda,Eta,M9,"Daily")</f>
        <v>4.6977793859414051E-2</v>
      </c>
      <c r="O9" s="20">
        <f t="shared" ca="1" si="6"/>
        <v>-4.1152407862203189E-3</v>
      </c>
      <c r="P9" s="19">
        <f t="shared" ca="1" si="13"/>
        <v>100.39052745266585</v>
      </c>
      <c r="Q9" s="19">
        <f ca="1">HCTrans(P9,Strike,RiskFreeRate,Dividend,Variance_T0*AnnualVarConvtr,(Simulation!G9)/250,0.5,Variance_Avg*AnnualVarConvtr,Lambda,SQRT(Simulation!N9),Rho,1,"Call")</f>
        <v>28.800137883313795</v>
      </c>
      <c r="R9" s="19">
        <f t="shared" ca="1" si="7"/>
        <v>0.73752864814751806</v>
      </c>
      <c r="S9" s="19">
        <f t="shared" ca="1" si="8"/>
        <v>0.54275287430659147</v>
      </c>
      <c r="T9" s="19">
        <f t="shared" ca="1" si="14"/>
        <v>-3.5002280859129424</v>
      </c>
      <c r="U9" s="19">
        <f t="shared" ca="1" si="15"/>
        <v>-25.634317198451605</v>
      </c>
      <c r="V9" s="21">
        <f t="shared" ca="1" si="16"/>
        <v>1.452598548760433E-5</v>
      </c>
      <c r="W9">
        <f t="shared" ca="1" si="17"/>
        <v>3.8112970872925048E-3</v>
      </c>
      <c r="X9" s="22">
        <f t="shared" ref="X9" ca="1" si="28">BSdelta(1,P9,Strike,W9*AnnualVarConvtr,Dividend,RiskFreeRate,G9/250)</f>
        <v>0.53787891641869956</v>
      </c>
      <c r="Y9" s="22">
        <f t="shared" ca="1" si="24"/>
        <v>-1.2884916219578084</v>
      </c>
      <c r="Z9" s="22">
        <f t="shared" ca="1" si="25"/>
        <v>-25.933839028426398</v>
      </c>
      <c r="AA9">
        <f t="shared" si="10"/>
        <v>0.73884103340948371</v>
      </c>
      <c r="AB9">
        <f t="shared" ref="AB9" ca="1" si="29">BSdelta(1,P9,Strike,AA9/AnnualVarConvtr,Dividend,RiskFreeRate,G9/250)</f>
        <v>0.54270985399715477</v>
      </c>
      <c r="AC9">
        <f t="shared" ca="1" si="20"/>
        <v>-3.5019595176375158</v>
      </c>
      <c r="AD9">
        <f t="shared" ca="1" si="21"/>
        <v>-25.629968771152789</v>
      </c>
    </row>
    <row r="10" spans="1:30" x14ac:dyDescent="0.25">
      <c r="A10" s="11" t="s">
        <v>45</v>
      </c>
      <c r="B10" s="19">
        <f t="array" ref="B10:C11">cholesky(B5:C6)</f>
        <v>1</v>
      </c>
      <c r="C10" s="19">
        <v>0</v>
      </c>
      <c r="G10" s="19">
        <v>245</v>
      </c>
      <c r="H10" s="19">
        <f t="shared" ca="1" si="2"/>
        <v>0.49583666624491718</v>
      </c>
      <c r="I10" s="19">
        <f t="shared" ca="1" si="2"/>
        <v>0.62396958828570248</v>
      </c>
      <c r="J10" s="19">
        <f t="shared" ca="1" si="3"/>
        <v>-0.84296617072794044</v>
      </c>
      <c r="K10" s="19">
        <f t="shared" ca="1" si="4"/>
        <v>-0.8321210559993073</v>
      </c>
      <c r="L10" s="19">
        <f t="array" aca="1" ref="L10:M10" ca="1">MMULT(J10:K10,TRANSPOSE($B$10:$C$11))</f>
        <v>-0.84296617072794044</v>
      </c>
      <c r="M10" s="19">
        <f ca="1"/>
        <v>2.350835423174924E-2</v>
      </c>
      <c r="N10" s="20">
        <f t="shared" ref="N10:N73" ca="1" si="30">GetVariance(N9,Variance_Avg,Lambda,Eta,M10,"Daily")</f>
        <v>4.6891127374414046E-2</v>
      </c>
      <c r="O10" s="20">
        <f t="shared" ca="1" si="6"/>
        <v>-1.15447751544432E-2</v>
      </c>
      <c r="P10" s="19">
        <f t="shared" ca="1" si="13"/>
        <v>99.238205831201341</v>
      </c>
      <c r="Q10" s="19">
        <f ca="1">HCTrans(P10,Strike,RiskFreeRate,Dividend,Variance_T0*AnnualVarConvtr,(Simulation!G10)/250,0.5,Variance_Avg*AnnualVarConvtr,Lambda,SQRT(Simulation!N10),Rho,1,"Call")</f>
        <v>27.991739533289717</v>
      </c>
      <c r="R10" s="19">
        <f t="shared" ca="1" si="7"/>
        <v>0.73716143275093893</v>
      </c>
      <c r="S10" s="19">
        <f t="shared" ca="1" si="8"/>
        <v>0.44329856081400915</v>
      </c>
      <c r="T10" s="19">
        <f t="shared" ca="1" si="14"/>
        <v>-9.8696676331777091</v>
      </c>
      <c r="U10" s="19">
        <f t="shared" ca="1" si="15"/>
        <v>-16.573047915297973</v>
      </c>
      <c r="V10" s="21">
        <f t="shared" ca="1" si="16"/>
        <v>5.5197980928604959E-5</v>
      </c>
      <c r="W10">
        <f t="shared" ca="1" si="17"/>
        <v>7.4295343682228808E-3</v>
      </c>
      <c r="X10" s="22">
        <f t="shared" ref="X10" ca="1" si="31">BSdelta(1,P10,Strike,W10*AnnualVarConvtr,Dividend,RiskFreeRate,G10/250)</f>
        <v>0.49696276731489331</v>
      </c>
      <c r="Y10" s="22">
        <f t="shared" ca="1" si="24"/>
        <v>-4.0604452265836493</v>
      </c>
      <c r="Z10" s="22">
        <f t="shared" ca="1" si="25"/>
        <v>-22.681792151866826</v>
      </c>
      <c r="AA10">
        <f t="shared" si="10"/>
        <v>0.73884103340948371</v>
      </c>
      <c r="AB10">
        <f t="shared" ref="AB10" ca="1" si="32">BSdelta(1,P10,Strike,AA10/AnnualVarConvtr,Dividend,RiskFreeRate,G10/250)</f>
        <v>0.44346807435361213</v>
      </c>
      <c r="AC10">
        <f t="shared" ca="1" si="20"/>
        <v>-9.848576155320611</v>
      </c>
      <c r="AD10">
        <f t="shared" ca="1" si="21"/>
        <v>-16.589790965856256</v>
      </c>
    </row>
    <row r="11" spans="1:30" x14ac:dyDescent="0.25">
      <c r="A11" s="13" t="s">
        <v>46</v>
      </c>
      <c r="B11" s="19">
        <v>-0.71650000000000003</v>
      </c>
      <c r="C11" s="19">
        <v>0.69758709133698849</v>
      </c>
      <c r="G11" s="19">
        <v>244</v>
      </c>
      <c r="H11" s="19">
        <f t="shared" ca="1" si="2"/>
        <v>0.45326984449305763</v>
      </c>
      <c r="I11" s="19">
        <f t="shared" ca="1" si="2"/>
        <v>0.74766416593956708</v>
      </c>
      <c r="J11" s="19">
        <f t="shared" ca="1" si="3"/>
        <v>-1.8462179387972216E-2</v>
      </c>
      <c r="K11" s="19">
        <f t="shared" ca="1" si="4"/>
        <v>-1.2578531087582601</v>
      </c>
      <c r="L11" s="19">
        <f t="array" aca="1" ref="L11:M11" ca="1">MMULT(J11:K11,TRANSPOSE($B$10:$C$11))</f>
        <v>-1.8462179387972216E-2</v>
      </c>
      <c r="M11" s="19">
        <f ca="1"/>
        <v>-0.8642339399363812</v>
      </c>
      <c r="N11" s="20">
        <f t="shared" ca="1" si="30"/>
        <v>4.2203331767480631E-2</v>
      </c>
      <c r="O11" s="20">
        <f t="shared" ca="1" si="6"/>
        <v>-2.3987574199188844E-4</v>
      </c>
      <c r="P11" s="19">
        <f t="shared" ca="1" si="13"/>
        <v>99.214403847816982</v>
      </c>
      <c r="Q11" s="19">
        <f ca="1">HCTrans(P11,Strike,RiskFreeRate,Dividend,Variance_T0*AnnualVarConvtr,(Simulation!G11)/250,0.5,Variance_Avg*AnnualVarConvtr,Lambda,SQRT(Simulation!N11),Rho,1,"Call")</f>
        <v>27.944353053892968</v>
      </c>
      <c r="R11" s="19">
        <f t="shared" ca="1" si="7"/>
        <v>0.73779404687114625</v>
      </c>
      <c r="S11" s="19">
        <f t="shared" ca="1" si="8"/>
        <v>0.44115596622520115</v>
      </c>
      <c r="T11" s="19">
        <f t="shared" ca="1" si="14"/>
        <v>-0.21257624481614429</v>
      </c>
      <c r="U11" s="19">
        <f t="shared" ca="1" si="15"/>
        <v>-16.407858149878578</v>
      </c>
      <c r="V11" s="21">
        <f t="shared" ca="1" si="16"/>
        <v>1.2780075072564199E-4</v>
      </c>
      <c r="W11">
        <f t="shared" ca="1" si="17"/>
        <v>1.1304899412451311E-2</v>
      </c>
      <c r="X11" s="22">
        <f t="shared" ref="X11" ca="1" si="33">BSdelta(1,P11,Strike,W11*AnnualVarConvtr,Dividend,RiskFreeRate,G11/250)</f>
        <v>0.51740070886648715</v>
      </c>
      <c r="Y11" s="22">
        <f t="shared" ca="1" si="24"/>
        <v>2.0277381869179107</v>
      </c>
      <c r="Z11" s="22">
        <f t="shared" ca="1" si="25"/>
        <v>-24.756916818181487</v>
      </c>
      <c r="AA11">
        <f t="shared" si="10"/>
        <v>0.73884103340948371</v>
      </c>
      <c r="AB11">
        <f t="shared" ref="AB11" ca="1" si="34">BSdelta(1,P11,Strike,AA11/AnnualVarConvtr,Dividend,RiskFreeRate,G11/250)</f>
        <v>0.44126454217192335</v>
      </c>
      <c r="AC11">
        <f t="shared" ca="1" si="20"/>
        <v>-0.21862213176573217</v>
      </c>
      <c r="AD11">
        <f t="shared" ca="1" si="21"/>
        <v>-16.418555313487275</v>
      </c>
    </row>
    <row r="12" spans="1:30" x14ac:dyDescent="0.25">
      <c r="G12" s="19">
        <v>243</v>
      </c>
      <c r="H12" s="19">
        <f t="shared" ca="1" si="2"/>
        <v>0.19946444473261871</v>
      </c>
      <c r="I12" s="19">
        <f t="shared" ca="1" si="2"/>
        <v>0.25585999450188213</v>
      </c>
      <c r="J12" s="19">
        <f t="shared" ca="1" si="3"/>
        <v>-6.6098640879041007E-2</v>
      </c>
      <c r="K12" s="19">
        <f t="shared" ca="1" si="4"/>
        <v>1.7943994902274325</v>
      </c>
      <c r="L12" s="19">
        <f t="array" aca="1" ref="L12:M12" ca="1">MMULT(J12:K12,TRANSPOSE($B$10:$C$11))</f>
        <v>-6.6098640879041007E-2</v>
      </c>
      <c r="M12" s="19">
        <f ca="1"/>
        <v>1.2991095972741624</v>
      </c>
      <c r="N12" s="20">
        <f t="shared" ca="1" si="30"/>
        <v>4.8814657982514768E-2</v>
      </c>
      <c r="O12" s="20">
        <f t="shared" ca="1" si="6"/>
        <v>-9.2362919200657506E-4</v>
      </c>
      <c r="P12" s="19">
        <f t="shared" ca="1" si="13"/>
        <v>99.122808834581207</v>
      </c>
      <c r="Q12" s="19">
        <f ca="1">HCTrans(P12,Strike,RiskFreeRate,Dividend,Variance_T0*AnnualVarConvtr,(Simulation!G12)/250,0.5,Variance_Avg*AnnualVarConvtr,Lambda,SQRT(Simulation!N12),Rho,1,"Call")</f>
        <v>27.798643389186722</v>
      </c>
      <c r="R12" s="19">
        <f t="shared" ca="1" si="7"/>
        <v>0.73692910021914471</v>
      </c>
      <c r="S12" s="19">
        <f t="shared" ca="1" si="8"/>
        <v>0.43299003465019503</v>
      </c>
      <c r="T12" s="19">
        <f t="shared" ca="1" si="14"/>
        <v>-0.80943007446560156</v>
      </c>
      <c r="U12" s="19">
        <f t="shared" ca="1" si="15"/>
        <v>-15.744137740119221</v>
      </c>
      <c r="V12" s="21">
        <f t="shared" ca="1" si="16"/>
        <v>4.6751878040698653E-7</v>
      </c>
      <c r="W12">
        <f t="shared" ca="1" si="17"/>
        <v>6.8375345001468659E-4</v>
      </c>
      <c r="X12" s="22">
        <f t="shared" ref="X12" ca="1" si="35">BSdelta(1,P12,Strike,W12*AnnualVarConvtr,Dividend,RiskFreeRate,G12/250)</f>
        <v>0.20574173282643871</v>
      </c>
      <c r="Y12" s="22">
        <f t="shared" ca="1" si="24"/>
        <v>-30.892513103599047</v>
      </c>
      <c r="Z12" s="22">
        <f t="shared" ca="1" si="25"/>
        <v>5.9898866207113137</v>
      </c>
      <c r="AA12">
        <f t="shared" si="10"/>
        <v>0.73884103340948371</v>
      </c>
      <c r="AB12">
        <f t="shared" ref="AB12" ca="1" si="36">BSdelta(1,P12,Strike,AA12/AnnualVarConvtr,Dividend,RiskFreeRate,G12/250)</f>
        <v>0.43320863687332051</v>
      </c>
      <c r="AC12">
        <f t="shared" ca="1" si="20"/>
        <v>-0.79852396090289901</v>
      </c>
      <c r="AD12">
        <f t="shared" ca="1" si="21"/>
        <v>-15.765741017290621</v>
      </c>
    </row>
    <row r="13" spans="1:30" x14ac:dyDescent="0.25">
      <c r="G13" s="19">
        <v>242</v>
      </c>
      <c r="H13" s="19">
        <f t="shared" ca="1" si="2"/>
        <v>0.95941670524005551</v>
      </c>
      <c r="I13" s="19">
        <f t="shared" ca="1" si="2"/>
        <v>0.73880400431382931</v>
      </c>
      <c r="J13" s="19">
        <f t="shared" ca="1" si="3"/>
        <v>-2.0232783672497225E-2</v>
      </c>
      <c r="K13" s="19">
        <f t="shared" ca="1" si="4"/>
        <v>-0.28714141158621187</v>
      </c>
      <c r="L13" s="19">
        <f t="array" aca="1" ref="L13:M13" ca="1">MMULT(J13:K13,TRANSPOSE($B$10:$C$11))</f>
        <v>-2.0232783672497225E-2</v>
      </c>
      <c r="M13" s="19">
        <f ca="1"/>
        <v>-0.18580935260947834</v>
      </c>
      <c r="N13" s="20">
        <f t="shared" ca="1" si="30"/>
        <v>4.7591795614016073E-2</v>
      </c>
      <c r="O13" s="20">
        <f t="shared" ca="1" si="6"/>
        <v>-2.7915902908351979E-4</v>
      </c>
      <c r="P13" s="19">
        <f t="shared" ca="1" si="13"/>
        <v>99.095141669456069</v>
      </c>
      <c r="Q13" s="19">
        <f ca="1">HCTrans(P13,Strike,RiskFreeRate,Dividend,Variance_T0*AnnualVarConvtr,(Simulation!G13)/250,0.5,Variance_Avg*AnnualVarConvtr,Lambda,SQRT(Simulation!N13),Rho,1,"Call")</f>
        <v>27.731676165751665</v>
      </c>
      <c r="R13" s="19">
        <f t="shared" ca="1" si="7"/>
        <v>0.73710131729842054</v>
      </c>
      <c r="S13" s="19">
        <f t="shared" ca="1" si="8"/>
        <v>0.43044317829994744</v>
      </c>
      <c r="T13" s="19">
        <f t="shared" ca="1" si="14"/>
        <v>-0.25238109083953925</v>
      </c>
      <c r="U13" s="19">
        <f t="shared" ca="1" si="15"/>
        <v>-15.558723872714738</v>
      </c>
      <c r="V13" s="21">
        <f t="shared" ca="1" si="16"/>
        <v>4.1534179089806948E-7</v>
      </c>
      <c r="W13">
        <f t="shared" ca="1" si="17"/>
        <v>6.4447016292305532E-4</v>
      </c>
      <c r="X13" s="22">
        <f t="shared" ref="X13" ca="1" si="37">BSdelta(1,P13,Strike,W13*AnnualVarConvtr,Dividend,RiskFreeRate,G13/250)</f>
        <v>0.18362328769763786</v>
      </c>
      <c r="Y13" s="22">
        <f t="shared" ca="1" si="24"/>
        <v>-2.1918304535466104</v>
      </c>
      <c r="Z13" s="22">
        <f t="shared" ca="1" si="25"/>
        <v>8.1147498508228679</v>
      </c>
      <c r="AA13">
        <f t="shared" si="10"/>
        <v>0.73884103340948371</v>
      </c>
      <c r="AB13">
        <f t="shared" ref="AB13" ca="1" si="38">BSdelta(1,P13,Strike,AA13/AnnualVarConvtr,Dividend,RiskFreeRate,G13/250)</f>
        <v>0.43064777932355836</v>
      </c>
      <c r="AC13">
        <f t="shared" ca="1" si="20"/>
        <v>-0.25376854168897661</v>
      </c>
      <c r="AD13">
        <f t="shared" ca="1" si="21"/>
        <v>-15.578939699036701</v>
      </c>
    </row>
    <row r="14" spans="1:30" x14ac:dyDescent="0.25">
      <c r="A14" s="1" t="s">
        <v>48</v>
      </c>
      <c r="B14">
        <f ca="1">CORREL(L5:L254,M5:M254)</f>
        <v>-0.65282773739556554</v>
      </c>
      <c r="G14" s="19">
        <v>241</v>
      </c>
      <c r="H14" s="19">
        <f t="shared" ca="1" si="2"/>
        <v>7.9979805722125152E-2</v>
      </c>
      <c r="I14" s="19">
        <f t="shared" ca="1" si="2"/>
        <v>0.98936758582748796</v>
      </c>
      <c r="J14" s="19">
        <f t="shared" ca="1" si="3"/>
        <v>2.2426433062738309</v>
      </c>
      <c r="K14" s="19">
        <f t="shared" ca="1" si="4"/>
        <v>-0.15004402727007499</v>
      </c>
      <c r="L14" s="19">
        <f t="array" aca="1" ref="L14:M14" ca="1">MMULT(J14:K14,TRANSPOSE($B$10:$C$11))</f>
        <v>2.2426433062738309</v>
      </c>
      <c r="M14" s="19">
        <f ca="1"/>
        <v>-1.7115227055010194</v>
      </c>
      <c r="N14" s="20">
        <f t="shared" ca="1" si="30"/>
        <v>3.8661820909290198E-2</v>
      </c>
      <c r="O14" s="20">
        <f t="shared" ca="1" si="6"/>
        <v>2.7888897897084833E-2</v>
      </c>
      <c r="P14" s="19">
        <f t="shared" ca="1" si="13"/>
        <v>101.89769436295299</v>
      </c>
      <c r="Q14" s="19">
        <f ca="1">HCTrans(P14,Strike,RiskFreeRate,Dividend,Variance_T0*AnnualVarConvtr,(Simulation!G14)/250,0.5,Variance_Avg*AnnualVarConvtr,Lambda,SQRT(Simulation!N14),Rho,1,"Call")</f>
        <v>29.55805389321938</v>
      </c>
      <c r="R14" s="19">
        <f t="shared" ca="1" si="7"/>
        <v>0.73920532592492638</v>
      </c>
      <c r="S14" s="19">
        <f t="shared" ca="1" si="8"/>
        <v>0.66731040364064076</v>
      </c>
      <c r="T14" s="19">
        <f t="shared" ca="1" si="14"/>
        <v>24.136224132366682</v>
      </c>
      <c r="U14" s="19">
        <f t="shared" ca="1" si="15"/>
        <v>-37.868570277613706</v>
      </c>
      <c r="V14" s="21">
        <f t="shared" ca="1" si="16"/>
        <v>7.9343943099586102E-4</v>
      </c>
      <c r="W14">
        <f t="shared" ca="1" si="17"/>
        <v>2.8168056926168354E-2</v>
      </c>
      <c r="X14" s="22">
        <f t="shared" ref="X14" ca="1" si="39">BSdelta(1,P14,Strike,W14*AnnualVarConvtr,Dividend,RiskFreeRate,G14/250)</f>
        <v>0.60319795328965897</v>
      </c>
      <c r="Y14" s="22">
        <f t="shared" ca="1" si="24"/>
        <v>42.753691036933972</v>
      </c>
      <c r="Z14" s="22">
        <f t="shared" ca="1" si="25"/>
        <v>-32.812563458643389</v>
      </c>
      <c r="AA14">
        <f t="shared" si="10"/>
        <v>0.73884103340948371</v>
      </c>
      <c r="AB14">
        <f t="shared" ref="AB14" ca="1" si="40">BSdelta(1,P14,Strike,AA14/AnnualVarConvtr,Dividend,RiskFreeRate,G14/250)</f>
        <v>0.66737965738477212</v>
      </c>
      <c r="AC14">
        <f t="shared" ca="1" si="20"/>
        <v>24.122432556649418</v>
      </c>
      <c r="AD14">
        <f t="shared" ca="1" si="21"/>
        <v>-37.874994528218402</v>
      </c>
    </row>
    <row r="15" spans="1:30" x14ac:dyDescent="0.25">
      <c r="G15" s="19">
        <v>240</v>
      </c>
      <c r="H15" s="19">
        <f t="shared" ca="1" si="2"/>
        <v>0.95929608691169532</v>
      </c>
      <c r="I15" s="19">
        <f t="shared" ca="1" si="2"/>
        <v>0.42394835737392667</v>
      </c>
      <c r="J15" s="19">
        <f t="shared" ca="1" si="3"/>
        <v>-0.25599768043192223</v>
      </c>
      <c r="K15" s="19">
        <f t="shared" ca="1" si="4"/>
        <v>0.13257526225727589</v>
      </c>
      <c r="L15" s="19">
        <f t="array" aca="1" ref="L15:M15" ca="1">MMULT(J15:K15,TRANSPOSE($B$10:$C$11))</f>
        <v>-0.25599768043192223</v>
      </c>
      <c r="M15" s="19">
        <f ca="1"/>
        <v>0.2759051296107638</v>
      </c>
      <c r="N15" s="20">
        <f t="shared" ca="1" si="30"/>
        <v>3.9835890253834667E-2</v>
      </c>
      <c r="O15" s="20">
        <f t="shared" ca="1" si="6"/>
        <v>-3.2314935209808099E-3</v>
      </c>
      <c r="P15" s="19">
        <f t="shared" ca="1" si="13"/>
        <v>101.56894408709202</v>
      </c>
      <c r="Q15" s="19">
        <f ca="1">HCTrans(P15,Strike,RiskFreeRate,Dividend,Variance_T0*AnnualVarConvtr,(Simulation!G15)/250,0.5,Variance_Avg*AnnualVarConvtr,Lambda,SQRT(Simulation!N15),Rho,1,"Call")</f>
        <v>29.279092957171173</v>
      </c>
      <c r="R15" s="19">
        <f t="shared" ca="1" si="7"/>
        <v>0.73897799417357102</v>
      </c>
      <c r="S15" s="19">
        <f t="shared" ca="1" si="8"/>
        <v>0.64164323935635337</v>
      </c>
      <c r="T15" s="19">
        <f t="shared" ca="1" si="14"/>
        <v>-2.6069867740649912</v>
      </c>
      <c r="U15" s="19">
        <f t="shared" ca="1" si="15"/>
        <v>-35.540544439596921</v>
      </c>
      <c r="V15" s="21">
        <f t="shared" ca="1" si="16"/>
        <v>9.6847876201361361E-4</v>
      </c>
      <c r="W15">
        <f t="shared" ca="1" si="17"/>
        <v>3.1120391418065642E-2</v>
      </c>
      <c r="X15" s="22">
        <f t="shared" ref="X15" ca="1" si="41">BSdelta(1,P15,Strike,W15*AnnualVarConvtr,Dividend,RiskFreeRate,G15/250)</f>
        <v>0.6077070645531778</v>
      </c>
      <c r="Y15" s="22">
        <f t="shared" ca="1" si="24"/>
        <v>0.45798566980682071</v>
      </c>
      <c r="Z15" s="22">
        <f t="shared" ca="1" si="25"/>
        <v>-33.549510064498421</v>
      </c>
      <c r="AA15">
        <f t="shared" si="10"/>
        <v>0.73884103340948371</v>
      </c>
      <c r="AB15">
        <f t="shared" ref="AB15" ca="1" si="42">BSdelta(1,P15,Strike,AA15/AnnualVarConvtr,Dividend,RiskFreeRate,G15/250)</f>
        <v>0.64166519316907666</v>
      </c>
      <c r="AC15">
        <f t="shared" ca="1" si="20"/>
        <v>-2.6117909781535</v>
      </c>
      <c r="AD15">
        <f t="shared" ca="1" si="21"/>
        <v>-35.542164486113109</v>
      </c>
    </row>
    <row r="16" spans="1:30" x14ac:dyDescent="0.25">
      <c r="B16">
        <f t="array" ref="B16:C17">TRANSPOSE(B10:C11)</f>
        <v>1</v>
      </c>
      <c r="C16">
        <v>-0.71650000000000003</v>
      </c>
      <c r="G16" s="19">
        <v>239</v>
      </c>
      <c r="H16" s="19">
        <f t="shared" ca="1" si="2"/>
        <v>0.26548915641654247</v>
      </c>
      <c r="I16" s="19">
        <f t="shared" ca="1" si="2"/>
        <v>0.67120649873155369</v>
      </c>
      <c r="J16" s="19">
        <f t="shared" ca="1" si="3"/>
        <v>-0.77374642719208109</v>
      </c>
      <c r="K16" s="19">
        <f t="shared" ca="1" si="4"/>
        <v>-1.4330663030440713</v>
      </c>
      <c r="L16" s="19">
        <f t="array" aca="1" ref="L16:M16" ca="1">MMULT(J16:K16,TRANSPOSE($B$10:$C$11))</f>
        <v>-0.77374642719208109</v>
      </c>
      <c r="M16" s="19">
        <f ca="1"/>
        <v>-0.44529923895043888</v>
      </c>
      <c r="N16" s="20">
        <f t="shared" ca="1" si="30"/>
        <v>3.7512578924881079E-2</v>
      </c>
      <c r="O16" s="20">
        <f t="shared" ca="1" si="6"/>
        <v>-9.4780089269668327E-3</v>
      </c>
      <c r="P16" s="19">
        <f t="shared" ca="1" si="13"/>
        <v>100.61082045306513</v>
      </c>
      <c r="Q16" s="19">
        <f ca="1">HCTrans(P16,Strike,RiskFreeRate,Dividend,Variance_T0*AnnualVarConvtr,(Simulation!G16)/250,0.5,Variance_Avg*AnnualVarConvtr,Lambda,SQRT(Simulation!N16),Rho,1,"Call")</f>
        <v>28.603500617825844</v>
      </c>
      <c r="R16" s="19">
        <f t="shared" ca="1" si="7"/>
        <v>0.73900045393506386</v>
      </c>
      <c r="S16" s="19">
        <f t="shared" ca="1" si="8"/>
        <v>0.56202502148689448</v>
      </c>
      <c r="T16" s="19">
        <f t="shared" ca="1" si="14"/>
        <v>-8.0104542228571489</v>
      </c>
      <c r="U16" s="19">
        <f t="shared" ca="1" si="15"/>
        <v>-28.205682556085101</v>
      </c>
      <c r="V16" s="21">
        <f t="shared" ca="1" si="16"/>
        <v>3.9018954717220724E-5</v>
      </c>
      <c r="W16">
        <f t="shared" ca="1" si="17"/>
        <v>6.2465154059860228E-3</v>
      </c>
      <c r="X16" s="22">
        <f t="shared" ref="X16" ca="1" si="43">BSdelta(1,P16,Strike,W16*AnnualVarConvtr,Dividend,RiskFreeRate,G16/250)</f>
        <v>0.54432836264508644</v>
      </c>
      <c r="Y16" s="22">
        <f t="shared" ca="1" si="24"/>
        <v>-6.3765831982233161</v>
      </c>
      <c r="Z16" s="22">
        <f t="shared" ca="1" si="25"/>
        <v>-27.848519205620434</v>
      </c>
      <c r="AA16">
        <f t="shared" si="10"/>
        <v>0.73884103340948371</v>
      </c>
      <c r="AB16">
        <f t="shared" ref="AB16" ca="1" si="44">BSdelta(1,P16,Strike,AA16/AnnualVarConvtr,Dividend,RiskFreeRate,G16/250)</f>
        <v>0.56203441062388748</v>
      </c>
      <c r="AC16">
        <f t="shared" ca="1" si="20"/>
        <v>-8.0117183651911024</v>
      </c>
      <c r="AD16">
        <f t="shared" ca="1" si="21"/>
        <v>-28.206038460267337</v>
      </c>
    </row>
    <row r="17" spans="2:30" x14ac:dyDescent="0.25">
      <c r="B17">
        <v>0</v>
      </c>
      <c r="C17">
        <v>0.69758709133698849</v>
      </c>
      <c r="G17" s="19">
        <v>238</v>
      </c>
      <c r="H17" s="19">
        <f t="shared" ca="1" si="2"/>
        <v>0.84314676938034361</v>
      </c>
      <c r="I17" s="19">
        <f t="shared" ca="1" si="2"/>
        <v>0.53925151862555765</v>
      </c>
      <c r="J17" s="19">
        <f t="shared" ca="1" si="3"/>
        <v>-0.56647249831250501</v>
      </c>
      <c r="K17" s="19">
        <f t="shared" ca="1" si="4"/>
        <v>-0.14260916385935882</v>
      </c>
      <c r="L17" s="19">
        <f t="array" aca="1" ref="L17:M17" ca="1">MMULT(J17:K17,TRANSPOSE($B$10:$C$11))</f>
        <v>-0.56647249831250501</v>
      </c>
      <c r="M17" s="19">
        <f ca="1"/>
        <v>0.30639523322625972</v>
      </c>
      <c r="N17" s="20">
        <f t="shared" ca="1" si="30"/>
        <v>3.882029082429525E-2</v>
      </c>
      <c r="O17" s="20">
        <f t="shared" ca="1" si="6"/>
        <v>-7.0589193192486703E-3</v>
      </c>
      <c r="P17" s="19">
        <f t="shared" ca="1" si="13"/>
        <v>99.90311753637512</v>
      </c>
      <c r="Q17" s="19">
        <f ca="1">HCTrans(P17,Strike,RiskFreeRate,Dividend,Variance_T0*AnnualVarConvtr,(Simulation!G17)/250,0.5,Variance_Avg*AnnualVarConvtr,Lambda,SQRT(Simulation!N17),Rho,1,"Call")</f>
        <v>28.078666361508823</v>
      </c>
      <c r="R17" s="19">
        <f t="shared" ca="1" si="7"/>
        <v>0.73862509545464894</v>
      </c>
      <c r="S17" s="19">
        <f t="shared" ca="1" si="8"/>
        <v>0.50060800307029685</v>
      </c>
      <c r="T17" s="19">
        <f t="shared" ca="1" si="14"/>
        <v>-6.1357516096070688</v>
      </c>
      <c r="U17" s="19">
        <f t="shared" ca="1" si="15"/>
        <v>-22.594765202795053</v>
      </c>
      <c r="V17" s="21">
        <f t="shared" ca="1" si="16"/>
        <v>5.8519945301700125E-6</v>
      </c>
      <c r="W17">
        <f t="shared" ca="1" si="17"/>
        <v>2.4190896077181624E-3</v>
      </c>
      <c r="X17" s="22">
        <f t="shared" ref="X17" ca="1" si="45">BSdelta(1,P17,Strike,W17*AnnualVarConvtr,Dividend,RiskFreeRate,G17/250)</f>
        <v>0.4970827054620835</v>
      </c>
      <c r="Y17" s="22">
        <f t="shared" ca="1" si="24"/>
        <v>-4.7199884426368284</v>
      </c>
      <c r="Z17" s="22">
        <f t="shared" ca="1" si="25"/>
        <v>-23.653365019300626</v>
      </c>
      <c r="AA17">
        <f t="shared" si="10"/>
        <v>0.73884103340948371</v>
      </c>
      <c r="AB17">
        <f t="shared" ref="AB17" ca="1" si="46">BSdelta(1,P17,Strike,AA17/AnnualVarConvtr,Dividend,RiskFreeRate,G17/250)</f>
        <v>0.5006131406200488</v>
      </c>
      <c r="AC17">
        <f t="shared" ca="1" si="20"/>
        <v>-6.1361763564269269</v>
      </c>
      <c r="AD17">
        <f t="shared" ca="1" si="21"/>
        <v>-22.594696360157432</v>
      </c>
    </row>
    <row r="18" spans="2:30" x14ac:dyDescent="0.25">
      <c r="G18" s="19">
        <v>237</v>
      </c>
      <c r="H18" s="19">
        <f t="shared" ca="1" si="2"/>
        <v>0.72927159543453624</v>
      </c>
      <c r="I18" s="19">
        <f t="shared" ca="1" si="2"/>
        <v>0.28982495193570934</v>
      </c>
      <c r="J18" s="19">
        <f t="shared" ca="1" si="3"/>
        <v>-0.19676688500074344</v>
      </c>
      <c r="K18" s="19">
        <f t="shared" ca="1" si="4"/>
        <v>0.76987070855404338</v>
      </c>
      <c r="L18" s="19">
        <f t="array" aca="1" ref="L18:M18" ca="1">MMULT(J18:K18,TRANSPOSE($B$10:$C$11))</f>
        <v>-0.19676688500074344</v>
      </c>
      <c r="M18" s="19">
        <f ca="1"/>
        <v>0.67803534138879407</v>
      </c>
      <c r="N18" s="20">
        <f t="shared" ca="1" si="30"/>
        <v>4.1996676428621454E-2</v>
      </c>
      <c r="O18" s="20">
        <f t="shared" ca="1" si="6"/>
        <v>-2.5502894078754841E-3</v>
      </c>
      <c r="P18" s="19">
        <f t="shared" ca="1" si="13"/>
        <v>99.64866028164441</v>
      </c>
      <c r="Q18" s="19">
        <f ca="1">HCTrans(P18,Strike,RiskFreeRate,Dividend,Variance_T0*AnnualVarConvtr,(Simulation!G18)/250,0.5,Variance_Avg*AnnualVarConvtr,Lambda,SQRT(Simulation!N18),Rho,1,"Call")</f>
        <v>27.841985100675629</v>
      </c>
      <c r="R18" s="19">
        <f t="shared" ca="1" si="7"/>
        <v>0.73814709489857344</v>
      </c>
      <c r="S18" s="19">
        <f t="shared" ca="1" si="8"/>
        <v>0.47818729143648148</v>
      </c>
      <c r="T18" s="19">
        <f t="shared" ca="1" si="14"/>
        <v>-2.2341938768707807</v>
      </c>
      <c r="U18" s="19">
        <f t="shared" ca="1" si="15"/>
        <v>-20.597252586757467</v>
      </c>
      <c r="V18" s="21">
        <f t="shared" ca="1" si="16"/>
        <v>2.0327743677728984E-5</v>
      </c>
      <c r="W18">
        <f t="shared" ca="1" si="17"/>
        <v>4.5086299113731862E-3</v>
      </c>
      <c r="X18" s="22">
        <f t="shared" ref="X18" ca="1" si="47">BSdelta(1,P18,Strike,W18*AnnualVarConvtr,Dividend,RiskFreeRate,G18/250)</f>
        <v>0.49361607848084721</v>
      </c>
      <c r="Y18" s="22">
        <f t="shared" ca="1" si="24"/>
        <v>-0.34544473437639728</v>
      </c>
      <c r="Z18" s="22">
        <f t="shared" ca="1" si="25"/>
        <v>-23.544601545757423</v>
      </c>
      <c r="AA18">
        <f t="shared" si="10"/>
        <v>0.73884103340948371</v>
      </c>
      <c r="AB18">
        <f t="shared" ref="AB18" ca="1" si="48">BSdelta(1,P18,Strike,AA18/AnnualVarConvtr,Dividend,RiskFreeRate,G18/250)</f>
        <v>0.478224772357696</v>
      </c>
      <c r="AC18">
        <f t="shared" ca="1" si="20"/>
        <v>-2.2309709032355434</v>
      </c>
      <c r="AD18">
        <f t="shared" ca="1" si="21"/>
        <v>-20.600406717755082</v>
      </c>
    </row>
    <row r="19" spans="2:30" x14ac:dyDescent="0.25">
      <c r="G19" s="19">
        <v>236</v>
      </c>
      <c r="H19" s="19">
        <f t="shared" ca="1" si="2"/>
        <v>0.66408493131321311</v>
      </c>
      <c r="I19" s="19">
        <f t="shared" ca="1" si="2"/>
        <v>0.45696585805826517</v>
      </c>
      <c r="J19" s="19">
        <f t="shared" ca="1" si="3"/>
        <v>-0.8719399598302221</v>
      </c>
      <c r="K19" s="19">
        <f t="shared" ca="1" si="4"/>
        <v>0.24168401811749943</v>
      </c>
      <c r="L19" s="19">
        <f t="array" aca="1" ref="L19:M19" ca="1">MMULT(J19:K19,TRANSPOSE($B$10:$C$11))</f>
        <v>-0.8719399598302221</v>
      </c>
      <c r="M19" s="19">
        <f ca="1"/>
        <v>0.79334063243957664</v>
      </c>
      <c r="N19" s="20">
        <f t="shared" ca="1" si="30"/>
        <v>4.5892510063404467E-2</v>
      </c>
      <c r="O19" s="20">
        <f t="shared" ca="1" si="6"/>
        <v>-1.1813742020237805E-2</v>
      </c>
      <c r="P19" s="19">
        <f t="shared" ca="1" si="13"/>
        <v>98.478363121745005</v>
      </c>
      <c r="Q19" s="19">
        <f ca="1">HCTrans(P19,Strike,RiskFreeRate,Dividend,Variance_T0*AnnualVarConvtr,(Simulation!G19)/250,0.5,Variance_Avg*AnnualVarConvtr,Lambda,SQRT(Simulation!N19),Rho,1,"Call")</f>
        <v>27.010049320209532</v>
      </c>
      <c r="R19" s="19">
        <f t="shared" ca="1" si="7"/>
        <v>0.73726045884830649</v>
      </c>
      <c r="S19" s="19">
        <f t="shared" ca="1" si="8"/>
        <v>0.37607647448735682</v>
      </c>
      <c r="T19" s="19">
        <f t="shared" ca="1" si="14"/>
        <v>-10.055706110173933</v>
      </c>
      <c r="U19" s="19">
        <f t="shared" ca="1" si="15"/>
        <v>-11.373482257049631</v>
      </c>
      <c r="V19" s="21">
        <f t="shared" ca="1" si="16"/>
        <v>8.58115543014823E-5</v>
      </c>
      <c r="W19">
        <f t="shared" ca="1" si="17"/>
        <v>9.2634526123623207E-3</v>
      </c>
      <c r="X19" s="22">
        <f t="shared" ref="X19" ca="1" si="49">BSdelta(1,P19,Strike,W19*AnnualVarConvtr,Dividend,RiskFreeRate,G19/250)</f>
        <v>0.48540450818411274</v>
      </c>
      <c r="Y19" s="22">
        <f t="shared" ca="1" si="24"/>
        <v>-0.80866200148155265</v>
      </c>
      <c r="Z19" s="22">
        <f t="shared" ca="1" si="25"/>
        <v>-23.567875324741969</v>
      </c>
      <c r="AA19">
        <f t="shared" si="10"/>
        <v>0.73884103340948371</v>
      </c>
      <c r="AB19">
        <f t="shared" ref="AB19" ca="1" si="50">BSdelta(1,P19,Strike,AA19/AnnualVarConvtr,Dividend,RiskFreeRate,G19/250)</f>
        <v>0.37636974178728494</v>
      </c>
      <c r="AC19">
        <f t="shared" ca="1" si="20"/>
        <v>-10.03051668628938</v>
      </c>
      <c r="AD19">
        <f t="shared" ca="1" si="21"/>
        <v>-11.401825811931799</v>
      </c>
    </row>
    <row r="20" spans="2:30" x14ac:dyDescent="0.25">
      <c r="G20" s="19">
        <v>235</v>
      </c>
      <c r="H20" s="19">
        <f t="shared" ca="1" si="2"/>
        <v>0.10905736223324902</v>
      </c>
      <c r="I20" s="19">
        <f t="shared" ca="1" si="2"/>
        <v>0.94143528070409932</v>
      </c>
      <c r="J20" s="19">
        <f t="shared" ca="1" si="3"/>
        <v>1.9642514515439085</v>
      </c>
      <c r="K20" s="19">
        <f t="shared" ca="1" si="4"/>
        <v>-0.75728382223826674</v>
      </c>
      <c r="L20" s="19">
        <f t="array" aca="1" ref="L20:M20" ca="1">MMULT(J20:K20,TRANSPOSE($B$10:$C$11))</f>
        <v>1.9642514515439085</v>
      </c>
      <c r="M20" s="19">
        <f ca="1"/>
        <v>-1.9356575839029602</v>
      </c>
      <c r="N20" s="20">
        <f t="shared" ca="1" si="30"/>
        <v>3.6081998936483575E-2</v>
      </c>
      <c r="O20" s="20">
        <f t="shared" ca="1" si="6"/>
        <v>2.3597846571371522E-2</v>
      </c>
      <c r="P20" s="19">
        <f t="shared" ca="1" si="13"/>
        <v>100.82987663215546</v>
      </c>
      <c r="Q20" s="19">
        <f ca="1">HCTrans(P20,Strike,RiskFreeRate,Dividend,Variance_T0*AnnualVarConvtr,(Simulation!G20)/250,0.5,Variance_Avg*AnnualVarConvtr,Lambda,SQRT(Simulation!N20),Rho,1,"Call")</f>
        <v>28.529794917765273</v>
      </c>
      <c r="R20" s="19">
        <f t="shared" ca="1" si="7"/>
        <v>0.73935848326783649</v>
      </c>
      <c r="S20" s="19">
        <f t="shared" ca="1" si="8"/>
        <v>0.58119860809739132</v>
      </c>
      <c r="T20" s="19">
        <f t="shared" ca="1" si="14"/>
        <v>20.682439426424288</v>
      </c>
      <c r="U20" s="19">
        <f t="shared" ca="1" si="15"/>
        <v>-30.536176085918179</v>
      </c>
      <c r="V20" s="21">
        <f t="shared" ca="1" si="16"/>
        <v>1.2539806065813956E-3</v>
      </c>
      <c r="W20">
        <f t="shared" ca="1" si="17"/>
        <v>3.5411588591609325E-2</v>
      </c>
      <c r="X20" s="22">
        <f t="shared" ref="X20" ca="1" si="51">BSdelta(1,P20,Strike,W20*AnnualVarConvtr,Dividend,RiskFreeRate,G20/250)</f>
        <v>0.61280946273982018</v>
      </c>
      <c r="Y20" s="22">
        <f t="shared" ca="1" si="24"/>
        <v>12.846225850177355</v>
      </c>
      <c r="Z20" s="22">
        <f t="shared" ca="1" si="25"/>
        <v>-34.894355577363584</v>
      </c>
      <c r="AA20">
        <f t="shared" si="10"/>
        <v>0.73884103340948371</v>
      </c>
      <c r="AB20">
        <f t="shared" ref="AB20" ca="1" si="52">BSdelta(1,P20,Strike,AA20/AnnualVarConvtr,Dividend,RiskFreeRate,G20/250)</f>
        <v>0.58124228401203659</v>
      </c>
      <c r="AC20">
        <f t="shared" ca="1" si="20"/>
        <v>20.657273157837771</v>
      </c>
      <c r="AD20">
        <f t="shared" ca="1" si="21"/>
        <v>-30.539353372213832</v>
      </c>
    </row>
    <row r="21" spans="2:30" x14ac:dyDescent="0.25">
      <c r="G21" s="19">
        <v>234</v>
      </c>
      <c r="H21" s="19">
        <f t="shared" ca="1" si="2"/>
        <v>1.8758935895468509E-2</v>
      </c>
      <c r="I21" s="19">
        <f t="shared" ca="1" si="2"/>
        <v>0.9264559204398356</v>
      </c>
      <c r="J21" s="19">
        <f t="shared" ca="1" si="3"/>
        <v>2.5242081420797304</v>
      </c>
      <c r="K21" s="19">
        <f t="shared" ca="1" si="4"/>
        <v>-1.2571966327762418</v>
      </c>
      <c r="L21" s="19">
        <f t="array" aca="1" ref="L21:M21" ca="1">MMULT(J21:K21,TRANSPOSE($B$10:$C$11))</f>
        <v>2.5242081420797304</v>
      </c>
      <c r="M21" s="19">
        <f ca="1"/>
        <v>-2.6855992760971614</v>
      </c>
      <c r="N21" s="20">
        <f t="shared" ca="1" si="30"/>
        <v>2.4503480295324412E-2</v>
      </c>
      <c r="O21" s="20">
        <f t="shared" ca="1" si="6"/>
        <v>2.4990160494405573E-2</v>
      </c>
      <c r="P21" s="19">
        <f t="shared" ca="1" si="13"/>
        <v>103.38137988489153</v>
      </c>
      <c r="Q21" s="19">
        <f ca="1">HCTrans(P21,Strike,RiskFreeRate,Dividend,Variance_T0*AnnualVarConvtr,(Simulation!G21)/250,0.5,Variance_Avg*AnnualVarConvtr,Lambda,SQRT(Simulation!N21),Rho,1,"Call")</f>
        <v>30.217852523117472</v>
      </c>
      <c r="R21" s="19">
        <f t="shared" ca="1" si="7"/>
        <v>0.7416870888570597</v>
      </c>
      <c r="S21" s="19">
        <f t="shared" ca="1" si="8"/>
        <v>0.77501208080250517</v>
      </c>
      <c r="T21" s="19">
        <f t="shared" ca="1" si="14"/>
        <v>20.036704248537429</v>
      </c>
      <c r="U21" s="19">
        <f t="shared" ca="1" si="15"/>
        <v>-48.884822729103405</v>
      </c>
      <c r="V21" s="21">
        <f t="shared" ca="1" si="16"/>
        <v>1.9385380602744697E-6</v>
      </c>
      <c r="W21">
        <f t="shared" ca="1" si="17"/>
        <v>1.3923139230340512E-3</v>
      </c>
      <c r="X21" s="22">
        <f t="shared" ref="X21" ca="1" si="53">BSdelta(1,P21,Strike,W21*AnnualVarConvtr,Dividend,RiskFreeRate,G21/250)</f>
        <v>0.94202772320324812</v>
      </c>
      <c r="Y21" s="22">
        <f t="shared" ca="1" si="24"/>
        <v>34.035038050012808</v>
      </c>
      <c r="Z21" s="22">
        <f t="shared" ca="1" si="25"/>
        <v>-67.2413360220242</v>
      </c>
      <c r="AA21">
        <f t="shared" si="10"/>
        <v>0.73884103340948371</v>
      </c>
      <c r="AB21">
        <f t="shared" ref="AB21" ca="1" si="54">BSdelta(1,P21,Strike,AA21/AnnualVarConvtr,Dividend,RiskFreeRate,G21/250)</f>
        <v>0.77583164055144871</v>
      </c>
      <c r="AC21">
        <f t="shared" ca="1" si="20"/>
        <v>20.116916189957564</v>
      </c>
      <c r="AD21">
        <f t="shared" ca="1" si="21"/>
        <v>-48.968211956819196</v>
      </c>
    </row>
    <row r="22" spans="2:30" x14ac:dyDescent="0.25">
      <c r="G22" s="19">
        <v>233</v>
      </c>
      <c r="H22" s="19">
        <f t="shared" ca="1" si="2"/>
        <v>0.79945937436418357</v>
      </c>
      <c r="I22" s="19">
        <f t="shared" ca="1" si="2"/>
        <v>0.75990764757757068</v>
      </c>
      <c r="J22" s="19">
        <f t="shared" ca="1" si="3"/>
        <v>4.1623049918294276E-2</v>
      </c>
      <c r="K22" s="19">
        <f t="shared" ca="1" si="4"/>
        <v>-0.66776241682254089</v>
      </c>
      <c r="L22" s="19">
        <f t="array" aca="1" ref="L22:M22" ca="1">MMULT(J22:K22,TRANSPOSE($B$10:$C$11))</f>
        <v>4.1623049918294276E-2</v>
      </c>
      <c r="M22" s="19">
        <f ca="1"/>
        <v>-0.49564535732185189</v>
      </c>
      <c r="N22" s="20">
        <f t="shared" ca="1" si="30"/>
        <v>2.2545420821411265E-2</v>
      </c>
      <c r="O22" s="20">
        <f t="shared" ca="1" si="6"/>
        <v>3.9526928536392803E-4</v>
      </c>
      <c r="P22" s="19">
        <f t="shared" ca="1" si="13"/>
        <v>103.42225144614282</v>
      </c>
      <c r="Q22" s="19">
        <f ca="1">HCTrans(P22,Strike,RiskFreeRate,Dividend,Variance_T0*AnnualVarConvtr,(Simulation!G22)/250,0.5,Variance_Avg*AnnualVarConvtr,Lambda,SQRT(Simulation!N22),Rho,1,"Call")</f>
        <v>30.197960435240361</v>
      </c>
      <c r="R22" s="19">
        <f t="shared" ca="1" si="7"/>
        <v>0.74200247359996441</v>
      </c>
      <c r="S22" s="19">
        <f t="shared" ca="1" si="8"/>
        <v>0.7779832230917868</v>
      </c>
      <c r="T22" s="19">
        <f t="shared" ca="1" si="14"/>
        <v>0.30728222492435381</v>
      </c>
      <c r="U22" s="19">
        <f t="shared" ca="1" si="15"/>
        <v>-49.211997041904873</v>
      </c>
      <c r="V22" s="21">
        <f t="shared" ca="1" si="16"/>
        <v>6.0490867358459406E-4</v>
      </c>
      <c r="W22">
        <f t="shared" ca="1" si="17"/>
        <v>2.4594891209041646E-2</v>
      </c>
      <c r="X22" s="22">
        <f t="shared" ref="X22" ca="1" si="55">BSdelta(1,P22,Strike,W22*AnnualVarConvtr,Dividend,RiskFreeRate,G22/250)</f>
        <v>0.60924202928406967</v>
      </c>
      <c r="Y22" s="22">
        <f t="shared" ca="1" si="24"/>
        <v>-34.417445714188396</v>
      </c>
      <c r="Z22" s="22">
        <f t="shared" ca="1" si="25"/>
        <v>-32.843782395712914</v>
      </c>
      <c r="AA22">
        <f t="shared" si="10"/>
        <v>0.73884103340948371</v>
      </c>
      <c r="AB22">
        <f t="shared" ref="AB22" ca="1" si="56">BSdelta(1,P22,Strike,AA22/AnnualVarConvtr,Dividend,RiskFreeRate,G22/250)</f>
        <v>0.7788993727886504</v>
      </c>
      <c r="AC22">
        <f t="shared" ca="1" si="20"/>
        <v>0.31727177480531171</v>
      </c>
      <c r="AD22">
        <f t="shared" ca="1" si="21"/>
        <v>-49.30537581950162</v>
      </c>
    </row>
    <row r="23" spans="2:30" x14ac:dyDescent="0.25">
      <c r="G23" s="19">
        <v>232</v>
      </c>
      <c r="H23" s="19">
        <f t="shared" ca="1" si="2"/>
        <v>0.97432233865584983</v>
      </c>
      <c r="I23" s="19">
        <f t="shared" ca="1" si="2"/>
        <v>0.18607544304343704</v>
      </c>
      <c r="J23" s="19">
        <f t="shared" ca="1" si="3"/>
        <v>8.9169879058092455E-2</v>
      </c>
      <c r="K23" s="19">
        <f t="shared" ca="1" si="4"/>
        <v>0.20994024504657813</v>
      </c>
      <c r="L23" s="19">
        <f t="array" aca="1" ref="L23:M23" ca="1">MMULT(J23:K23,TRANSPOSE($B$10:$C$11))</f>
        <v>8.9169879058092455E-2</v>
      </c>
      <c r="M23" s="19">
        <f ca="1"/>
        <v>8.2561386551493796E-2</v>
      </c>
      <c r="N23" s="20">
        <f t="shared" ca="1" si="30"/>
        <v>2.2768249662627194E-2</v>
      </c>
      <c r="O23" s="20">
        <f t="shared" ca="1" si="6"/>
        <v>8.509675428166368E-4</v>
      </c>
      <c r="P23" s="19">
        <f t="shared" ca="1" si="13"/>
        <v>103.51029788234504</v>
      </c>
      <c r="Q23" s="19">
        <f ca="1">HCTrans(P23,Strike,RiskFreeRate,Dividend,Variance_T0*AnnualVarConvtr,(Simulation!G23)/250,0.5,Variance_Avg*AnnualVarConvtr,Lambda,SQRT(Simulation!N23),Rho,1,"Call")</f>
        <v>30.197663250574863</v>
      </c>
      <c r="R23" s="19">
        <f t="shared" ca="1" si="7"/>
        <v>0.74201143303606554</v>
      </c>
      <c r="S23" s="19">
        <f t="shared" ca="1" si="8"/>
        <v>0.78399735247869229</v>
      </c>
      <c r="T23" s="19">
        <f t="shared" ca="1" si="14"/>
        <v>0.62252432434155214</v>
      </c>
      <c r="U23" s="19">
        <f t="shared" ca="1" si="15"/>
        <v>-49.834818550911926</v>
      </c>
      <c r="V23" s="21">
        <f t="shared" ca="1" si="16"/>
        <v>2.0766090184543524E-7</v>
      </c>
      <c r="W23">
        <f t="shared" ca="1" si="17"/>
        <v>4.5569825745270877E-4</v>
      </c>
      <c r="X23" s="22">
        <f t="shared" ref="X23" ca="1" si="57">BSdelta(1,P23,Strike,W23*AnnualVarConvtr,Dividend,RiskFreeRate,G23/250)</f>
        <v>0.99999967220200414</v>
      </c>
      <c r="Y23" s="22">
        <f t="shared" ca="1" si="24"/>
        <v>40.44744001823841</v>
      </c>
      <c r="Z23" s="22">
        <f t="shared" ca="1" si="25"/>
        <v>-73.291519598616816</v>
      </c>
      <c r="AA23">
        <f t="shared" si="10"/>
        <v>0.73884103340948371</v>
      </c>
      <c r="AB23">
        <f t="shared" ref="AB23" ca="1" si="58">BSdelta(1,P23,Strike,AA23/AnnualVarConvtr,Dividend,RiskFreeRate,G23/250)</f>
        <v>0.78492733074006082</v>
      </c>
      <c r="AC23">
        <f t="shared" ca="1" si="20"/>
        <v>0.62395572317274328</v>
      </c>
      <c r="AD23">
        <f t="shared" ca="1" si="21"/>
        <v>-49.92962872733986</v>
      </c>
    </row>
    <row r="24" spans="2:30" x14ac:dyDescent="0.25">
      <c r="G24" s="19">
        <v>231</v>
      </c>
      <c r="H24" s="19">
        <f t="shared" ca="1" si="2"/>
        <v>0.90747957360045106</v>
      </c>
      <c r="I24" s="19">
        <f t="shared" ca="1" si="2"/>
        <v>0.80553019203168807</v>
      </c>
      <c r="J24" s="19">
        <f t="shared" ca="1" si="3"/>
        <v>0.15064364192243623</v>
      </c>
      <c r="K24" s="19">
        <f t="shared" ca="1" si="4"/>
        <v>-0.41409532260067161</v>
      </c>
      <c r="L24" s="19">
        <f t="array" aca="1" ref="L24:M24" ca="1">MMULT(J24:K24,TRANSPOSE($B$10:$C$11))</f>
        <v>0.15064364192243623</v>
      </c>
      <c r="M24" s="19">
        <f ca="1"/>
        <v>-0.39680372106667999</v>
      </c>
      <c r="N24" s="20">
        <f t="shared" ca="1" si="30"/>
        <v>2.1240432572853234E-2</v>
      </c>
      <c r="O24" s="20">
        <f t="shared" ca="1" si="6"/>
        <v>1.3885530629027686E-3</v>
      </c>
      <c r="P24" s="19">
        <f t="shared" ca="1" si="13"/>
        <v>103.6541272577619</v>
      </c>
      <c r="Q24" s="19">
        <f ca="1">HCTrans(P24,Strike,RiskFreeRate,Dividend,Variance_T0*AnnualVarConvtr,(Simulation!G24)/250,0.5,Variance_Avg*AnnualVarConvtr,Lambda,SQRT(Simulation!N24),Rho,1,"Call")</f>
        <v>30.24382559964171</v>
      </c>
      <c r="R24" s="19">
        <f t="shared" ca="1" si="7"/>
        <v>0.74229126072408913</v>
      </c>
      <c r="S24" s="19">
        <f t="shared" ca="1" si="8"/>
        <v>0.79328026760282344</v>
      </c>
      <c r="T24" s="19">
        <f t="shared" ca="1" si="14"/>
        <v>0.96221246559969309</v>
      </c>
      <c r="U24" s="19">
        <f t="shared" ca="1" si="15"/>
        <v>-50.75086866744477</v>
      </c>
      <c r="V24" s="21">
        <f t="shared" ca="1" si="16"/>
        <v>2.8899819140627677E-7</v>
      </c>
      <c r="W24">
        <f t="shared" ca="1" si="17"/>
        <v>5.3758552008613175E-4</v>
      </c>
      <c r="X24" s="22">
        <f t="shared" ref="X24" ca="1" si="59">BSdelta(1,P24,Strike,W24*AnnualVarConvtr,Dividend,RiskFreeRate,G24/250)</f>
        <v>0.99999450208707807</v>
      </c>
      <c r="Y24" s="22">
        <f t="shared" ca="1" si="24"/>
        <v>-5.3590375048384955E-4</v>
      </c>
      <c r="Z24" s="22">
        <f t="shared" ca="1" si="25"/>
        <v>-73.24482134579948</v>
      </c>
      <c r="AA24">
        <f t="shared" si="10"/>
        <v>0.73884103340948371</v>
      </c>
      <c r="AB24">
        <f t="shared" ref="AB24" ca="1" si="60">BSdelta(1,P24,Strike,AA24/AnnualVarConvtr,Dividend,RiskFreeRate,G24/250)</f>
        <v>0.79430923989122759</v>
      </c>
      <c r="AC24">
        <f t="shared" ca="1" si="20"/>
        <v>0.97247360507580105</v>
      </c>
      <c r="AD24">
        <f t="shared" ca="1" si="21"/>
        <v>-50.855939983348811</v>
      </c>
    </row>
    <row r="25" spans="2:30" x14ac:dyDescent="0.25">
      <c r="G25" s="19">
        <v>230</v>
      </c>
      <c r="H25" s="19">
        <f t="shared" ca="1" si="2"/>
        <v>0.68507596852001584</v>
      </c>
      <c r="I25" s="19">
        <f t="shared" ca="1" si="2"/>
        <v>0.27062058401242084</v>
      </c>
      <c r="J25" s="19">
        <f t="shared" ca="1" si="3"/>
        <v>-0.11237133053516071</v>
      </c>
      <c r="K25" s="19">
        <f t="shared" ca="1" si="4"/>
        <v>0.86245218529161349</v>
      </c>
      <c r="L25" s="19">
        <f t="array" aca="1" ref="L25:M25" ca="1">MMULT(J25:K25,TRANSPOSE($B$10:$C$11))</f>
        <v>-0.11237133053516071</v>
      </c>
      <c r="M25" s="19">
        <f ca="1"/>
        <v>0.68214956968324869</v>
      </c>
      <c r="N25" s="20">
        <f t="shared" ca="1" si="30"/>
        <v>2.3672866361653604E-2</v>
      </c>
      <c r="O25" s="20">
        <f t="shared" ca="1" si="6"/>
        <v>-1.0934802466040531E-3</v>
      </c>
      <c r="P25" s="19">
        <f t="shared" ca="1" si="13"/>
        <v>103.54084546411595</v>
      </c>
      <c r="Q25" s="19">
        <f ca="1">HCTrans(P25,Strike,RiskFreeRate,Dividend,Variance_T0*AnnualVarConvtr,(Simulation!G25)/250,0.5,Variance_Avg*AnnualVarConvtr,Lambda,SQRT(Simulation!N25),Rho,1,"Call")</f>
        <v>30.097304545653998</v>
      </c>
      <c r="R25" s="19">
        <f t="shared" ca="1" si="7"/>
        <v>0.7419301995560843</v>
      </c>
      <c r="S25" s="19">
        <f t="shared" ca="1" si="8"/>
        <v>0.78687224248070942</v>
      </c>
      <c r="T25" s="19">
        <f t="shared" ca="1" si="14"/>
        <v>-0.66349233889898096</v>
      </c>
      <c r="U25" s="19">
        <f t="shared" ca="1" si="15"/>
        <v>-50.233897382533499</v>
      </c>
      <c r="V25" s="21">
        <f t="shared" ca="1" si="16"/>
        <v>6.1604893495013867E-6</v>
      </c>
      <c r="W25">
        <f t="shared" ca="1" si="17"/>
        <v>2.4820333095068219E-3</v>
      </c>
      <c r="X25" s="22">
        <f t="shared" ref="X25" ca="1" si="61">BSdelta(1,P25,Strike,W25*AnnualVarConvtr,Dividend,RiskFreeRate,G25/250)</f>
        <v>0.82721482538534885</v>
      </c>
      <c r="Y25" s="22">
        <f t="shared" ca="1" si="24"/>
        <v>-17.88975380471366</v>
      </c>
      <c r="Z25" s="22">
        <f t="shared" ca="1" si="25"/>
        <v>-55.501588595073528</v>
      </c>
      <c r="AA25">
        <f t="shared" si="10"/>
        <v>0.73884103340948371</v>
      </c>
      <c r="AB25">
        <f t="shared" ref="AB25" ca="1" si="62">BSdelta(1,P25,Strike,AA25/AnnualVarConvtr,Dividend,RiskFreeRate,G25/250)</f>
        <v>0.78778355989595295</v>
      </c>
      <c r="AC25">
        <f t="shared" ca="1" si="20"/>
        <v>-0.67567442393900512</v>
      </c>
      <c r="AD25">
        <f t="shared" ca="1" si="21"/>
        <v>-50.326786613397516</v>
      </c>
    </row>
    <row r="26" spans="2:30" x14ac:dyDescent="0.25">
      <c r="G26" s="19">
        <v>229</v>
      </c>
      <c r="H26" s="19">
        <f t="shared" ca="1" si="2"/>
        <v>0.79612496689325385</v>
      </c>
      <c r="I26" s="19">
        <f t="shared" ca="1" si="2"/>
        <v>0.90743846613076806</v>
      </c>
      <c r="J26" s="19">
        <f t="shared" ca="1" si="3"/>
        <v>0.56425760889054322</v>
      </c>
      <c r="K26" s="19">
        <f t="shared" ca="1" si="4"/>
        <v>-0.3709603409531288</v>
      </c>
      <c r="L26" s="19">
        <f t="array" aca="1" ref="L26:M26" ca="1">MMULT(J26:K26,TRANSPOSE($B$10:$C$11))</f>
        <v>0.56425760889054322</v>
      </c>
      <c r="M26" s="19">
        <f ca="1"/>
        <v>-0.66306772201694486</v>
      </c>
      <c r="N26" s="20">
        <f t="shared" ca="1" si="30"/>
        <v>2.1149259100232205E-2</v>
      </c>
      <c r="O26" s="20">
        <f t="shared" ca="1" si="6"/>
        <v>5.1898523053329811E-3</v>
      </c>
      <c r="P26" s="19">
        <f t="shared" ca="1" si="13"/>
        <v>104.07960398896168</v>
      </c>
      <c r="Q26" s="19">
        <f ca="1">HCTrans(P26,Strike,RiskFreeRate,Dividend,Variance_T0*AnnualVarConvtr,(Simulation!G26)/250,0.5,Variance_Avg*AnnualVarConvtr,Lambda,SQRT(Simulation!N26),Rho,1,"Call")</f>
        <v>30.41174648260035</v>
      </c>
      <c r="R26" s="19">
        <f t="shared" ca="1" si="7"/>
        <v>0.74244376238488596</v>
      </c>
      <c r="S26" s="19">
        <f t="shared" ca="1" si="8"/>
        <v>0.8191720185748983</v>
      </c>
      <c r="T26" s="19">
        <f t="shared" ca="1" si="14"/>
        <v>3.3617479048153101</v>
      </c>
      <c r="U26" s="19">
        <f t="shared" ca="1" si="15"/>
        <v>-53.281203350402457</v>
      </c>
      <c r="V26" s="21">
        <f t="shared" ca="1" si="16"/>
        <v>3.9480267958231567E-5</v>
      </c>
      <c r="W26">
        <f t="shared" ca="1" si="17"/>
        <v>6.2833325519370343E-3</v>
      </c>
      <c r="X26" s="22">
        <f t="shared" ref="X26" ca="1" si="63">BSdelta(1,P26,Strike,W26*AnnualVarConvtr,Dividend,RiskFreeRate,G26/250)</f>
        <v>0.6801339783681003</v>
      </c>
      <c r="Y26" s="22">
        <f t="shared" ca="1" si="24"/>
        <v>-15.308116311916285</v>
      </c>
      <c r="Z26" s="22">
        <f t="shared" ca="1" si="25"/>
        <v>-39.879030346210889</v>
      </c>
      <c r="AA26">
        <f t="shared" si="10"/>
        <v>0.73884103340948371</v>
      </c>
      <c r="AB26">
        <f t="shared" ref="AB26" ca="1" si="64">BSdelta(1,P26,Strike,AA26/AnnualVarConvtr,Dividend,RiskFreeRate,G26/250)</f>
        <v>0.82028289732533444</v>
      </c>
      <c r="AC26">
        <f t="shared" ca="1" si="20"/>
        <v>3.3825181695536655</v>
      </c>
      <c r="AD26">
        <f t="shared" ca="1" si="21"/>
        <v>-53.394862846004827</v>
      </c>
    </row>
    <row r="27" spans="2:30" x14ac:dyDescent="0.25">
      <c r="G27" s="19">
        <v>228</v>
      </c>
      <c r="H27" s="19">
        <f t="shared" ca="1" si="2"/>
        <v>0.36083288924084211</v>
      </c>
      <c r="I27" s="19">
        <f t="shared" ca="1" si="2"/>
        <v>8.6853857891955322E-4</v>
      </c>
      <c r="J27" s="19">
        <f t="shared" ca="1" si="3"/>
        <v>1.4278024946988521</v>
      </c>
      <c r="K27" s="19">
        <f t="shared" ca="1" si="4"/>
        <v>7.7918651863990917E-3</v>
      </c>
      <c r="L27" s="19">
        <f t="array" aca="1" ref="L27:M27" ca="1">MMULT(J27:K27,TRANSPOSE($B$10:$C$11))</f>
        <v>1.4278024946988521</v>
      </c>
      <c r="M27" s="19">
        <f ca="1"/>
        <v>-1.0175849828802577</v>
      </c>
      <c r="N27" s="20">
        <f t="shared" ca="1" si="30"/>
        <v>1.7601496538638055E-2</v>
      </c>
      <c r="O27" s="20">
        <f t="shared" ca="1" si="6"/>
        <v>1.1980444438771998E-2</v>
      </c>
      <c r="P27" s="19">
        <f t="shared" ca="1" si="13"/>
        <v>105.33402314730331</v>
      </c>
      <c r="Q27" s="19">
        <f ca="1">HCTrans(P27,Strike,RiskFreeRate,Dividend,Variance_T0*AnnualVarConvtr,(Simulation!G27)/250,0.5,Variance_Avg*AnnualVarConvtr,Lambda,SQRT(Simulation!N27),Rho,1,"Call")</f>
        <v>31.21363161249711</v>
      </c>
      <c r="R27" s="19">
        <f t="shared" ca="1" si="7"/>
        <v>0.74326467546974895</v>
      </c>
      <c r="S27" s="19">
        <f t="shared" ca="1" si="8"/>
        <v>0.88100496189837363</v>
      </c>
      <c r="T27" s="19">
        <f t="shared" ca="1" si="14"/>
        <v>6.5131126833008448</v>
      </c>
      <c r="U27" s="19">
        <f t="shared" ca="1" si="15"/>
        <v>-58.992430903806543</v>
      </c>
      <c r="V27" s="21">
        <f t="shared" ca="1" si="16"/>
        <v>4.6112141522723853E-5</v>
      </c>
      <c r="W27">
        <f t="shared" ca="1" si="17"/>
        <v>6.7905921334390166E-3</v>
      </c>
      <c r="X27" s="22">
        <f t="shared" ref="X27" ca="1" si="65">BSdelta(1,P27,Strike,W27*AnnualVarConvtr,Dividend,RiskFreeRate,G27/250)</f>
        <v>0.71160496351349389</v>
      </c>
      <c r="Y27" s="22">
        <f t="shared" ca="1" si="24"/>
        <v>3.3149654777733275</v>
      </c>
      <c r="Z27" s="22">
        <f t="shared" ca="1" si="25"/>
        <v>-42.392110694087457</v>
      </c>
      <c r="AA27">
        <f t="shared" si="10"/>
        <v>0.73884103340948371</v>
      </c>
      <c r="AB27">
        <f t="shared" ref="AB27" ca="1" si="66">BSdelta(1,P27,Strike,AA27/AnnualVarConvtr,Dividend,RiskFreeRate,G27/250)</f>
        <v>0.88235120736291828</v>
      </c>
      <c r="AC27">
        <f t="shared" ca="1" si="20"/>
        <v>6.5379048062128549</v>
      </c>
      <c r="AD27">
        <f t="shared" ca="1" si="21"/>
        <v>-59.130882522320924</v>
      </c>
    </row>
    <row r="28" spans="2:30" x14ac:dyDescent="0.25">
      <c r="G28" s="19">
        <v>227</v>
      </c>
      <c r="H28" s="19">
        <f t="shared" ca="1" si="2"/>
        <v>0.81336315315961194</v>
      </c>
      <c r="I28" s="19">
        <f t="shared" ca="1" si="2"/>
        <v>0.39122224127749206</v>
      </c>
      <c r="J28" s="19">
        <f t="shared" ca="1" si="3"/>
        <v>-0.49839575766716754</v>
      </c>
      <c r="K28" s="19">
        <f t="shared" ca="1" si="4"/>
        <v>0.40590250229321728</v>
      </c>
      <c r="L28" s="19">
        <f t="array" aca="1" ref="L28:M28" ca="1">MMULT(J28:K28,TRANSPOSE($B$10:$C$11))</f>
        <v>-0.49839575766716754</v>
      </c>
      <c r="M28" s="19">
        <f ca="1"/>
        <v>0.64025290630965626</v>
      </c>
      <c r="N28" s="20">
        <f t="shared" ca="1" si="30"/>
        <v>1.9689976829721283E-2</v>
      </c>
      <c r="O28" s="20">
        <f t="shared" ca="1" si="6"/>
        <v>-4.423101801705783E-3</v>
      </c>
      <c r="P28" s="19">
        <f t="shared" ca="1" si="13"/>
        <v>104.86914889071365</v>
      </c>
      <c r="Q28" s="19">
        <f ca="1">HCTrans(P28,Strike,RiskFreeRate,Dividend,Variance_T0*AnnualVarConvtr,(Simulation!G28)/250,0.5,Variance_Avg*AnnualVarConvtr,Lambda,SQRT(Simulation!N28),Rho,1,"Call")</f>
        <v>30.830844050090448</v>
      </c>
      <c r="R28" s="19">
        <f t="shared" ca="1" si="7"/>
        <v>0.74287573184434386</v>
      </c>
      <c r="S28" s="19">
        <f t="shared" ca="1" si="8"/>
        <v>0.86088923287456065</v>
      </c>
      <c r="T28" s="19">
        <f t="shared" ca="1" si="14"/>
        <v>-2.109519382043493</v>
      </c>
      <c r="U28" s="19">
        <f t="shared" ca="1" si="15"/>
        <v>-57.265699084169711</v>
      </c>
      <c r="V28" s="21">
        <f t="shared" ca="1" si="16"/>
        <v>2.6907632926349276E-4</v>
      </c>
      <c r="W28">
        <f t="shared" ca="1" si="17"/>
        <v>1.6403546240477782E-2</v>
      </c>
      <c r="X28" s="22">
        <f t="shared" ref="X28" ca="1" si="67">BSdelta(1,P28,Strike,W28*AnnualVarConvtr,Dividend,RiskFreeRate,G28/250)</f>
        <v>0.62397684305790002</v>
      </c>
      <c r="Y28" s="22">
        <f t="shared" ca="1" si="24"/>
        <v>-9.1894864110710639</v>
      </c>
      <c r="Z28" s="22">
        <f t="shared" ca="1" si="25"/>
        <v>-33.585411845423053</v>
      </c>
      <c r="AA28">
        <f t="shared" si="10"/>
        <v>0.73884103340948371</v>
      </c>
      <c r="AB28">
        <f t="shared" ref="AB28" ca="1" si="68">BSdelta(1,P28,Strike,AA28/AnnualVarConvtr,Dividend,RiskFreeRate,G28/250)</f>
        <v>0.86214357717345957</v>
      </c>
      <c r="AC28">
        <f t="shared" ca="1" si="20"/>
        <v>-2.1191569790668248</v>
      </c>
      <c r="AD28">
        <f t="shared" ca="1" si="21"/>
        <v>-57.394513105660764</v>
      </c>
    </row>
    <row r="29" spans="2:30" x14ac:dyDescent="0.25">
      <c r="G29" s="19">
        <v>226</v>
      </c>
      <c r="H29" s="19">
        <f t="shared" ca="1" si="2"/>
        <v>0.69096824456277006</v>
      </c>
      <c r="I29" s="19">
        <f t="shared" ca="1" si="2"/>
        <v>0.53100931948680707</v>
      </c>
      <c r="J29" s="19">
        <f t="shared" ca="1" si="3"/>
        <v>-0.84356998221093982</v>
      </c>
      <c r="K29" s="19">
        <f t="shared" ca="1" si="4"/>
        <v>-0.16647074576041715</v>
      </c>
      <c r="L29" s="19">
        <f t="array" aca="1" ref="L29:M29" ca="1">MMULT(J29:K29,TRANSPOSE($B$10:$C$11))</f>
        <v>-0.84356998221093982</v>
      </c>
      <c r="M29" s="19">
        <f ca="1"/>
        <v>0.48829004892642974</v>
      </c>
      <c r="N29" s="20">
        <f t="shared" ca="1" si="30"/>
        <v>2.1338851539345071E-2</v>
      </c>
      <c r="O29" s="20">
        <f t="shared" ca="1" si="6"/>
        <v>-7.7935734713283061E-3</v>
      </c>
      <c r="P29" s="19">
        <f t="shared" ca="1" si="13"/>
        <v>104.05502008113456</v>
      </c>
      <c r="Q29" s="19">
        <f ca="1">HCTrans(P29,Strike,RiskFreeRate,Dividend,Variance_T0*AnnualVarConvtr,(Simulation!G29)/250,0.5,Variance_Avg*AnnualVarConvtr,Lambda,SQRT(Simulation!N29),Rho,1,"Call")</f>
        <v>30.218340444852956</v>
      </c>
      <c r="R29" s="19">
        <f t="shared" ca="1" si="7"/>
        <v>0.74247175609541416</v>
      </c>
      <c r="S29" s="19">
        <f t="shared" ca="1" si="8"/>
        <v>0.81928101209324566</v>
      </c>
      <c r="T29" s="19">
        <f t="shared" ca="1" si="14"/>
        <v>-4.3295442489400111</v>
      </c>
      <c r="U29" s="19">
        <f t="shared" ca="1" si="15"/>
        <v>-53.548658440467193</v>
      </c>
      <c r="V29" s="21">
        <f t="shared" ca="1" si="16"/>
        <v>1.1360079275728039E-5</v>
      </c>
      <c r="W29">
        <f t="shared" ca="1" si="17"/>
        <v>3.3704716696225231E-3</v>
      </c>
      <c r="X29" s="22">
        <f t="shared" ref="X29" ca="1" si="69">BSdelta(1,P29,Strike,W29*AnnualVarConvtr,Dividend,RiskFreeRate,G29/250)</f>
        <v>0.79097982296871183</v>
      </c>
      <c r="Y29" s="22">
        <f t="shared" ca="1" si="24"/>
        <v>17.377498428228833</v>
      </c>
      <c r="Z29" s="22">
        <f t="shared" ca="1" si="25"/>
        <v>-51.575413878889378</v>
      </c>
      <c r="AA29">
        <f t="shared" si="10"/>
        <v>0.73884103340948371</v>
      </c>
      <c r="AB29">
        <f t="shared" ref="AB29" ca="1" si="70">BSdelta(1,P29,Strike,AA29/AnnualVarConvtr,Dividend,RiskFreeRate,G29/250)</f>
        <v>0.82040099336579608</v>
      </c>
      <c r="AC29">
        <f t="shared" ca="1" si="20"/>
        <v>-4.3435253963448668</v>
      </c>
      <c r="AD29">
        <f t="shared" ca="1" si="21"/>
        <v>-53.66349131455339</v>
      </c>
    </row>
    <row r="30" spans="2:30" x14ac:dyDescent="0.25">
      <c r="G30" s="19">
        <v>225</v>
      </c>
      <c r="H30" s="19">
        <f t="shared" ca="1" si="2"/>
        <v>4.4928738647888489E-2</v>
      </c>
      <c r="I30" s="19">
        <f t="shared" ca="1" si="2"/>
        <v>0.57245207507767659</v>
      </c>
      <c r="J30" s="19">
        <f t="shared" ca="1" si="3"/>
        <v>-2.2373660283415227</v>
      </c>
      <c r="K30" s="19">
        <f t="shared" ca="1" si="4"/>
        <v>-1.0952390219700288</v>
      </c>
      <c r="L30" s="19">
        <f t="array" aca="1" ref="L30:M30" ca="1">MMULT(J30:K30,TRANSPOSE($B$10:$C$11))</f>
        <v>-2.2373660283415227</v>
      </c>
      <c r="M30" s="19">
        <f ca="1"/>
        <v>0.83904815565186075</v>
      </c>
      <c r="N30" s="20">
        <f t="shared" ca="1" si="30"/>
        <v>2.4374272413480572E-2</v>
      </c>
      <c r="O30" s="20">
        <f t="shared" ca="1" si="6"/>
        <v>-2.2091889665343357E-2</v>
      </c>
      <c r="P30" s="19">
        <f t="shared" ca="1" si="13"/>
        <v>101.78145420894231</v>
      </c>
      <c r="Q30" s="19">
        <f ca="1">HCTrans(P30,Strike,RiskFreeRate,Dividend,Variance_T0*AnnualVarConvtr,(Simulation!G30)/250,0.5,Variance_Avg*AnnualVarConvtr,Lambda,SQRT(Simulation!N30),Rho,1,"Call")</f>
        <v>28.639273381031032</v>
      </c>
      <c r="R30" s="19">
        <f t="shared" ca="1" si="7"/>
        <v>0.74149311939564144</v>
      </c>
      <c r="S30" s="19">
        <f t="shared" ca="1" si="8"/>
        <v>0.66244324624758044</v>
      </c>
      <c r="T30" s="19">
        <f t="shared" ca="1" si="14"/>
        <v>-15.96317588265339</v>
      </c>
      <c r="U30" s="19">
        <f t="shared" ca="1" si="15"/>
        <v>-39.164549621635729</v>
      </c>
      <c r="V30" s="21">
        <f t="shared" ca="1" si="16"/>
        <v>2.0444184598403305E-4</v>
      </c>
      <c r="W30">
        <f t="shared" ca="1" si="17"/>
        <v>1.4298316194015051E-2</v>
      </c>
      <c r="X30" s="22">
        <f t="shared" ref="X30" ca="1" si="71">BSdelta(1,P30,Strike,W30*AnnualVarConvtr,Dividend,RiskFreeRate,G30/250)</f>
        <v>0.57517595284832101</v>
      </c>
      <c r="Y30" s="22">
        <f t="shared" ca="1" si="24"/>
        <v>-21.964831724771091</v>
      </c>
      <c r="Z30" s="22">
        <f t="shared" ca="1" si="25"/>
        <v>-31.189649217940211</v>
      </c>
      <c r="AA30">
        <f t="shared" si="10"/>
        <v>0.73884103340948371</v>
      </c>
      <c r="AB30">
        <f t="shared" ref="AB30" ca="1" si="72">BSdelta(1,P30,Strike,AA30/AnnualVarConvtr,Dividend,RiskFreeRate,G30/250)</f>
        <v>0.662934600697488</v>
      </c>
      <c r="AC30">
        <f t="shared" ca="1" si="20"/>
        <v>-16.027158434816727</v>
      </c>
      <c r="AD30">
        <f t="shared" ca="1" si="21"/>
        <v>-39.215399943558587</v>
      </c>
    </row>
    <row r="31" spans="2:30" x14ac:dyDescent="0.25">
      <c r="G31" s="19">
        <v>224</v>
      </c>
      <c r="H31" s="19">
        <f t="shared" ref="H31:I94" ca="1" si="73">RAND()</f>
        <v>0.74478268662874836</v>
      </c>
      <c r="I31" s="19">
        <f t="shared" ca="1" si="73"/>
        <v>0.81522604839531776</v>
      </c>
      <c r="J31" s="19">
        <f t="shared" ca="1" si="3"/>
        <v>0.30588103584389215</v>
      </c>
      <c r="K31" s="19">
        <f t="shared" ca="1" si="4"/>
        <v>-0.70410396236627437</v>
      </c>
      <c r="L31" s="19">
        <f t="array" aca="1" ref="L31:M31" ca="1">MMULT(J31:K31,TRANSPOSE($B$10:$C$11))</f>
        <v>0.30588103584389215</v>
      </c>
      <c r="M31" s="19">
        <f ca="1"/>
        <v>-0.71033759728808654</v>
      </c>
      <c r="N31" s="20">
        <f t="shared" ca="1" si="30"/>
        <v>2.163895905035234E-2</v>
      </c>
      <c r="O31" s="20">
        <f t="shared" ca="1" si="6"/>
        <v>2.8457761180078825E-3</v>
      </c>
      <c r="P31" s="19">
        <f t="shared" ca="1" si="13"/>
        <v>102.07151396740029</v>
      </c>
      <c r="Q31" s="19">
        <f ca="1">HCTrans(P31,Strike,RiskFreeRate,Dividend,Variance_T0*AnnualVarConvtr,(Simulation!G31)/250,0.5,Variance_Avg*AnnualVarConvtr,Lambda,SQRT(Simulation!N31),Rho,1,"Call")</f>
        <v>28.785915775190176</v>
      </c>
      <c r="R31" s="19">
        <f t="shared" ca="1" si="7"/>
        <v>0.74199721717622813</v>
      </c>
      <c r="S31" s="19">
        <f t="shared" ca="1" si="8"/>
        <v>0.68573069253461005</v>
      </c>
      <c r="T31" s="19">
        <f t="shared" ca="1" si="14"/>
        <v>2.3769848989516271</v>
      </c>
      <c r="U31" s="19">
        <f t="shared" ca="1" si="15"/>
        <v>-41.394892126428211</v>
      </c>
      <c r="V31" s="21">
        <f t="shared" ca="1" si="16"/>
        <v>6.2188717472212718E-4</v>
      </c>
      <c r="W31">
        <f t="shared" ca="1" si="17"/>
        <v>2.4937665783351239E-2</v>
      </c>
      <c r="X31" s="22">
        <f t="shared" ref="X31" ca="1" si="74">BSdelta(1,P31,Strike,W31*AnnualVarConvtr,Dividend,RiskFreeRate,G31/250)</f>
        <v>0.59543606206821131</v>
      </c>
      <c r="Y31" s="22">
        <f t="shared" ca="1" si="24"/>
        <v>2.0679800212190882</v>
      </c>
      <c r="Z31" s="22">
        <f t="shared" ca="1" si="25"/>
        <v>-33.110986845000156</v>
      </c>
      <c r="AA31">
        <f t="shared" si="10"/>
        <v>0.73884103340948371</v>
      </c>
      <c r="AB31">
        <f t="shared" ref="AB31" ca="1" si="75">BSdelta(1,P31,Strike,AA31/AnnualVarConvtr,Dividend,RiskFreeRate,G31/250)</f>
        <v>0.68639660770629229</v>
      </c>
      <c r="AC31">
        <f t="shared" ca="1" si="20"/>
        <v>2.3948025761024114</v>
      </c>
      <c r="AD31">
        <f t="shared" ca="1" si="21"/>
        <v>-41.463560125501857</v>
      </c>
    </row>
    <row r="32" spans="2:30" x14ac:dyDescent="0.25">
      <c r="G32" s="19">
        <v>223</v>
      </c>
      <c r="H32" s="19">
        <f t="shared" ca="1" si="73"/>
        <v>0.63800146254090262</v>
      </c>
      <c r="I32" s="19">
        <f t="shared" ca="1" si="73"/>
        <v>8.7222212327216497E-2</v>
      </c>
      <c r="J32" s="19">
        <f t="shared" ca="1" si="3"/>
        <v>0.80922264069086081</v>
      </c>
      <c r="K32" s="19">
        <f t="shared" ca="1" si="4"/>
        <v>0.49395154044252093</v>
      </c>
      <c r="L32" s="19">
        <f t="array" aca="1" ref="L32:M32" ca="1">MMULT(J32:K32,TRANSPOSE($B$10:$C$11))</f>
        <v>0.80922264069086081</v>
      </c>
      <c r="M32" s="19">
        <f ca="1"/>
        <v>-0.23523380369627883</v>
      </c>
      <c r="N32" s="20">
        <f t="shared" ca="1" si="30"/>
        <v>2.0721431153393702E-2</v>
      </c>
      <c r="O32" s="20">
        <f t="shared" ca="1" si="6"/>
        <v>7.367292187946935E-3</v>
      </c>
      <c r="P32" s="19">
        <f t="shared" ca="1" si="13"/>
        <v>102.82628151752905</v>
      </c>
      <c r="Q32" s="19">
        <f ca="1">HCTrans(P32,Strike,RiskFreeRate,Dividend,Variance_T0*AnnualVarConvtr,(Simulation!G32)/250,0.5,Variance_Avg*AnnualVarConvtr,Lambda,SQRT(Simulation!N32),Rho,1,"Call")</f>
        <v>29.229116202283365</v>
      </c>
      <c r="R32" s="19">
        <f t="shared" ca="1" si="7"/>
        <v>0.74233633493280105</v>
      </c>
      <c r="S32" s="19">
        <f t="shared" ca="1" si="8"/>
        <v>0.74238494541120204</v>
      </c>
      <c r="T32" s="19">
        <f t="shared" ca="1" si="14"/>
        <v>5.8255461554537273</v>
      </c>
      <c r="U32" s="19">
        <f t="shared" ca="1" si="15"/>
        <v>-46.777237854788751</v>
      </c>
      <c r="V32" s="21">
        <f t="shared" ca="1" si="16"/>
        <v>2.0444107570717094E-5</v>
      </c>
      <c r="W32">
        <f t="shared" ca="1" si="17"/>
        <v>4.5215160699390525E-3</v>
      </c>
      <c r="X32" s="22">
        <f t="shared" ref="X32" ca="1" si="76">BSdelta(1,P32,Strike,W32*AnnualVarConvtr,Dividend,RiskFreeRate,G32/250)</f>
        <v>0.67239449054450895</v>
      </c>
      <c r="Y32" s="22">
        <f t="shared" ca="1" si="24"/>
        <v>7.9133490316504052</v>
      </c>
      <c r="Z32" s="22">
        <f t="shared" ca="1" si="25"/>
        <v>-40.581135449557372</v>
      </c>
      <c r="AA32">
        <f t="shared" si="10"/>
        <v>0.73884103340948371</v>
      </c>
      <c r="AB32">
        <f t="shared" ref="AB32" ca="1" si="77">BSdelta(1,P32,Strike,AA32/AnnualVarConvtr,Dividend,RiskFreeRate,G32/250)</f>
        <v>0.74331029561326589</v>
      </c>
      <c r="AC32">
        <f t="shared" ca="1" si="20"/>
        <v>5.8522228949232558</v>
      </c>
      <c r="AD32">
        <f t="shared" ca="1" si="21"/>
        <v>-46.872582593331927</v>
      </c>
    </row>
    <row r="33" spans="7:30" x14ac:dyDescent="0.25">
      <c r="G33" s="19">
        <v>222</v>
      </c>
      <c r="H33" s="19">
        <f t="shared" ca="1" si="73"/>
        <v>0.11688329284630716</v>
      </c>
      <c r="I33" s="19">
        <f t="shared" ca="1" si="73"/>
        <v>5.8393581901505454E-2</v>
      </c>
      <c r="J33" s="19">
        <f t="shared" ca="1" si="3"/>
        <v>1.9340917112164542</v>
      </c>
      <c r="K33" s="19">
        <f t="shared" ca="1" si="4"/>
        <v>0.74326841094943796</v>
      </c>
      <c r="L33" s="19">
        <f t="array" aca="1" ref="L33:M33" ca="1">MMULT(J33:K33,TRANSPOSE($B$10:$C$11))</f>
        <v>1.9340917112164542</v>
      </c>
      <c r="M33" s="19">
        <f ca="1"/>
        <v>-0.86728226220970561</v>
      </c>
      <c r="N33" s="20">
        <f t="shared" ca="1" si="30"/>
        <v>1.7700763591793012E-2</v>
      </c>
      <c r="O33" s="20">
        <f t="shared" ca="1" si="6"/>
        <v>1.6274327833116716E-2</v>
      </c>
      <c r="P33" s="19">
        <f t="shared" ca="1" si="13"/>
        <v>104.5134012662467</v>
      </c>
      <c r="Q33" s="19">
        <f ca="1">HCTrans(P33,Strike,RiskFreeRate,Dividend,Variance_T0*AnnualVarConvtr,(Simulation!G33)/250,0.5,Variance_Avg*AnnualVarConvtr,Lambda,SQRT(Simulation!N33),Rho,1,"Call")</f>
        <v>30.306650884768601</v>
      </c>
      <c r="R33" s="19">
        <f t="shared" ca="1" si="7"/>
        <v>0.74319023020714237</v>
      </c>
      <c r="S33" s="19">
        <f t="shared" ca="1" si="8"/>
        <v>0.84585215707572414</v>
      </c>
      <c r="T33" s="19">
        <f t="shared" ca="1" si="14"/>
        <v>10.81371021059388</v>
      </c>
      <c r="U33" s="19">
        <f t="shared" ca="1" si="15"/>
        <v>-56.513413382897397</v>
      </c>
      <c r="V33" s="21">
        <f t="shared" ca="1" si="16"/>
        <v>7.9335283984325054E-5</v>
      </c>
      <c r="W33">
        <f t="shared" ca="1" si="17"/>
        <v>8.9070356451697811E-3</v>
      </c>
      <c r="X33" s="22">
        <f t="shared" ref="X33" ca="1" si="78">BSdelta(1,P33,Strike,W33*AnnualVarConvtr,Dividend,RiskFreeRate,G33/250)</f>
        <v>0.65505148372313182</v>
      </c>
      <c r="Y33" s="22">
        <f t="shared" ca="1" si="24"/>
        <v>-1.8125766310858415</v>
      </c>
      <c r="Z33" s="22">
        <f t="shared" ca="1" si="25"/>
        <v>-37.691024135986297</v>
      </c>
      <c r="AA33">
        <f t="shared" si="10"/>
        <v>0.73884103340948371</v>
      </c>
      <c r="AB33">
        <f t="shared" ref="AB33" ca="1" si="79">BSdelta(1,P33,Strike,AA33/AnnualVarConvtr,Dividend,RiskFreeRate,G33/250)</f>
        <v>0.84721031743046749</v>
      </c>
      <c r="AC33">
        <f t="shared" ca="1" si="20"/>
        <v>10.858944671752978</v>
      </c>
      <c r="AD33">
        <f t="shared" ca="1" si="21"/>
        <v>-56.65399258259967</v>
      </c>
    </row>
    <row r="34" spans="7:30" x14ac:dyDescent="0.25">
      <c r="G34" s="19">
        <v>221</v>
      </c>
      <c r="H34" s="19">
        <f t="shared" ca="1" si="73"/>
        <v>0.55458588157391586</v>
      </c>
      <c r="I34" s="19">
        <f t="shared" ca="1" si="73"/>
        <v>0.73108395723349806</v>
      </c>
      <c r="J34" s="19">
        <f t="shared" ca="1" si="3"/>
        <v>-0.12875273917084223</v>
      </c>
      <c r="K34" s="19">
        <f t="shared" ca="1" si="4"/>
        <v>-1.0781882666356615</v>
      </c>
      <c r="L34" s="19">
        <f t="array" aca="1" ref="L34:M34" ca="1">MMULT(J34:K34,TRANSPOSE($B$10:$C$11))</f>
        <v>-0.12875273917084223</v>
      </c>
      <c r="M34" s="19">
        <f ca="1"/>
        <v>-0.659878879220132</v>
      </c>
      <c r="N34" s="20">
        <f t="shared" ca="1" si="30"/>
        <v>1.555701859679366E-2</v>
      </c>
      <c r="O34" s="20">
        <f t="shared" ca="1" si="6"/>
        <v>-1.0156630625026367E-3</v>
      </c>
      <c r="P34" s="19">
        <f t="shared" ca="1" si="13"/>
        <v>104.4073047533192</v>
      </c>
      <c r="Q34" s="19">
        <f ca="1">HCTrans(P34,Strike,RiskFreeRate,Dividend,Variance_T0*AnnualVarConvtr,(Simulation!G34)/250,0.5,Variance_Avg*AnnualVarConvtr,Lambda,SQRT(Simulation!N34),Rho,1,"Call")</f>
        <v>30.188054584612388</v>
      </c>
      <c r="R34" s="19">
        <f t="shared" ca="1" si="7"/>
        <v>0.74351990134781243</v>
      </c>
      <c r="S34" s="19">
        <f t="shared" ca="1" si="8"/>
        <v>0.84076378001794316</v>
      </c>
      <c r="T34" s="19">
        <f t="shared" ca="1" si="14"/>
        <v>-0.53126373417153638</v>
      </c>
      <c r="U34" s="19">
        <f t="shared" ca="1" si="15"/>
        <v>-56.100745948882071</v>
      </c>
      <c r="V34" s="21">
        <f t="shared" ca="1" si="16"/>
        <v>2.9894378517060017E-4</v>
      </c>
      <c r="W34">
        <f t="shared" ca="1" si="17"/>
        <v>1.7289990895619355E-2</v>
      </c>
      <c r="X34" s="22">
        <f t="shared" ref="X34" ca="1" si="80">BSdelta(1,P34,Strike,W34*AnnualVarConvtr,Dividend,RiskFreeRate,G34/250)</f>
        <v>0.61650472492117503</v>
      </c>
      <c r="Y34" s="22">
        <f t="shared" ca="1" si="24"/>
        <v>-4.0245631934885919</v>
      </c>
      <c r="Z34" s="22">
        <f t="shared" ca="1" si="25"/>
        <v>-33.78505724265392</v>
      </c>
      <c r="AA34">
        <f t="shared" si="10"/>
        <v>0.73884103340948371</v>
      </c>
      <c r="AB34">
        <f t="shared" ref="AB34" ca="1" si="81">BSdelta(1,P34,Strike,AA34/AnnualVarConvtr,Dividend,RiskFreeRate,G34/250)</f>
        <v>0.84222399329245157</v>
      </c>
      <c r="AC34">
        <f t="shared" ca="1" si="20"/>
        <v>-0.52060866387665961</v>
      </c>
      <c r="AD34">
        <f t="shared" ca="1" si="21"/>
        <v>-56.251980218879226</v>
      </c>
    </row>
    <row r="35" spans="7:30" x14ac:dyDescent="0.25">
      <c r="G35" s="19">
        <v>220</v>
      </c>
      <c r="H35" s="19">
        <f t="shared" ca="1" si="73"/>
        <v>0.28496539294693157</v>
      </c>
      <c r="I35" s="19">
        <f t="shared" ca="1" si="73"/>
        <v>0.33773766882236556</v>
      </c>
      <c r="J35" s="19">
        <f t="shared" ca="1" si="3"/>
        <v>-0.82993781848759385</v>
      </c>
      <c r="K35" s="19">
        <f t="shared" ca="1" si="4"/>
        <v>1.3498067588102389</v>
      </c>
      <c r="L35" s="19">
        <f t="array" aca="1" ref="L35:M35" ca="1">MMULT(J35:K35,TRANSPOSE($B$10:$C$11))</f>
        <v>-0.82993781848759385</v>
      </c>
      <c r="M35" s="19">
        <f ca="1"/>
        <v>1.5362582176918036</v>
      </c>
      <c r="N35" s="20">
        <f t="shared" ca="1" si="30"/>
        <v>2.0565081751619557E-2</v>
      </c>
      <c r="O35" s="20">
        <f t="shared" ca="1" si="6"/>
        <v>-7.5273267880478136E-3</v>
      </c>
      <c r="P35" s="19">
        <f t="shared" ca="1" si="13"/>
        <v>103.62434733645337</v>
      </c>
      <c r="Q35" s="19">
        <f ca="1">HCTrans(P35,Strike,RiskFreeRate,Dividend,Variance_T0*AnnualVarConvtr,(Simulation!G35)/250,0.5,Variance_Avg*AnnualVarConvtr,Lambda,SQRT(Simulation!N35),Rho,1,"Call")</f>
        <v>29.58007675383358</v>
      </c>
      <c r="R35" s="19">
        <f t="shared" ca="1" si="7"/>
        <v>0.74260650940462514</v>
      </c>
      <c r="S35" s="19">
        <f t="shared" ca="1" si="8"/>
        <v>0.79675704140753867</v>
      </c>
      <c r="T35" s="19">
        <f t="shared" ca="1" si="14"/>
        <v>-4.5601695669090683</v>
      </c>
      <c r="U35" s="19">
        <f t="shared" ca="1" si="15"/>
        <v>-52.148554212751812</v>
      </c>
      <c r="V35" s="21">
        <f t="shared" ca="1" si="16"/>
        <v>4.2401764474580891E-5</v>
      </c>
      <c r="W35">
        <f t="shared" ca="1" si="17"/>
        <v>6.5116637255451769E-3</v>
      </c>
      <c r="X35" s="22">
        <f t="shared" ref="X35" ca="1" si="82">BSdelta(1,P35,Strike,W35*AnnualVarConvtr,Dividend,RiskFreeRate,G35/250)</f>
        <v>0.6616266018919883</v>
      </c>
      <c r="Y35" s="22">
        <f t="shared" ca="1" si="24"/>
        <v>4.6757250516962703</v>
      </c>
      <c r="Z35" s="22">
        <f t="shared" ca="1" si="25"/>
        <v>-39.068760125128996</v>
      </c>
      <c r="AA35">
        <f t="shared" si="10"/>
        <v>0.73884103340948371</v>
      </c>
      <c r="AB35">
        <f t="shared" ref="AB35" ca="1" si="83">BSdelta(1,P35,Strike,AA35/AnnualVarConvtr,Dividend,RiskFreeRate,G35/250)</f>
        <v>0.79788770374282381</v>
      </c>
      <c r="AC35">
        <f t="shared" ca="1" si="20"/>
        <v>-4.5943190679001944</v>
      </c>
      <c r="AD35">
        <f t="shared" ca="1" si="21"/>
        <v>-52.265638981757839</v>
      </c>
    </row>
    <row r="36" spans="7:30" x14ac:dyDescent="0.25">
      <c r="G36" s="19">
        <v>219</v>
      </c>
      <c r="H36" s="19">
        <f t="shared" ca="1" si="73"/>
        <v>0.23828855140149519</v>
      </c>
      <c r="I36" s="19">
        <f t="shared" ca="1" si="73"/>
        <v>0.965283328970577</v>
      </c>
      <c r="J36" s="19">
        <f t="shared" ca="1" si="3"/>
        <v>1.6535440583422061</v>
      </c>
      <c r="K36" s="19">
        <f t="shared" ca="1" si="4"/>
        <v>-0.36652138379374677</v>
      </c>
      <c r="L36" s="19">
        <f t="array" aca="1" ref="L36:M36" ca="1">MMULT(J36:K36,TRANSPOSE($B$10:$C$11))</f>
        <v>1.6535440583422061</v>
      </c>
      <c r="M36" s="19">
        <f ca="1"/>
        <v>-1.4404449038356786</v>
      </c>
      <c r="N36" s="20">
        <f t="shared" ca="1" si="30"/>
        <v>1.5740195597807996E-2</v>
      </c>
      <c r="O36" s="20">
        <f t="shared" ca="1" si="6"/>
        <v>1.3120513402057818E-2</v>
      </c>
      <c r="P36" s="19">
        <f t="shared" ca="1" si="13"/>
        <v>104.99291046702939</v>
      </c>
      <c r="Q36" s="19">
        <f ca="1">HCTrans(P36,Strike,RiskFreeRate,Dividend,Variance_T0*AnnualVarConvtr,(Simulation!G36)/250,0.5,Variance_Avg*AnnualVarConvtr,Lambda,SQRT(Simulation!N36),Rho,1,"Call")</f>
        <v>30.45797933750093</v>
      </c>
      <c r="R36" s="19">
        <f t="shared" ca="1" si="7"/>
        <v>0.74364480604104877</v>
      </c>
      <c r="S36" s="19">
        <f t="shared" ca="1" si="8"/>
        <v>0.87051855093269292</v>
      </c>
      <c r="T36" s="19">
        <f t="shared" ca="1" si="14"/>
        <v>7.7444355654874562</v>
      </c>
      <c r="U36" s="19">
        <f t="shared" ca="1" si="15"/>
        <v>-59.015087194571919</v>
      </c>
      <c r="V36" s="21">
        <f t="shared" ca="1" si="16"/>
        <v>4.2633330451614145E-4</v>
      </c>
      <c r="W36">
        <f t="shared" ca="1" si="17"/>
        <v>2.0647840190105633E-2</v>
      </c>
      <c r="X36" s="22">
        <f t="shared" ref="X36" ca="1" si="84">BSdelta(1,P36,Strike,W36*AnnualVarConvtr,Dividend,RiskFreeRate,G36/250)</f>
        <v>0.62256850029419919</v>
      </c>
      <c r="Y36" s="22">
        <f t="shared" ca="1" si="24"/>
        <v>-4.1008237640688092</v>
      </c>
      <c r="Z36" s="22">
        <f t="shared" ca="1" si="25"/>
        <v>-34.09003377739284</v>
      </c>
      <c r="AA36">
        <f t="shared" si="10"/>
        <v>0.73884103340948371</v>
      </c>
      <c r="AB36">
        <f t="shared" ref="AB36" ca="1" si="85">BSdelta(1,P36,Strike,AA36/AnnualVarConvtr,Dividend,RiskFreeRate,G36/250)</f>
        <v>0.87200078821853821</v>
      </c>
      <c r="AC36">
        <f t="shared" ca="1" si="20"/>
        <v>7.7813484427940685</v>
      </c>
      <c r="AD36">
        <f t="shared" ca="1" si="21"/>
        <v>-59.169084840884558</v>
      </c>
    </row>
    <row r="37" spans="7:30" x14ac:dyDescent="0.25">
      <c r="G37" s="19">
        <v>218</v>
      </c>
      <c r="H37" s="19">
        <f t="shared" ca="1" si="73"/>
        <v>0.69539294529211904</v>
      </c>
      <c r="I37" s="19">
        <f t="shared" ca="1" si="73"/>
        <v>0.92389205247474782</v>
      </c>
      <c r="J37" s="19">
        <f t="shared" ca="1" si="3"/>
        <v>0.75676634575583757</v>
      </c>
      <c r="K37" s="19">
        <f t="shared" ca="1" si="4"/>
        <v>-0.39225133077043656</v>
      </c>
      <c r="L37" s="19">
        <f t="array" aca="1" ref="L37:M37" ca="1">MMULT(J37:K37,TRANSPOSE($B$10:$C$11))</f>
        <v>0.75676634575583757</v>
      </c>
      <c r="M37" s="19">
        <f ca="1"/>
        <v>-0.8158525516392694</v>
      </c>
      <c r="N37" s="20">
        <f t="shared" ca="1" si="30"/>
        <v>1.3284334604088222E-2</v>
      </c>
      <c r="O37" s="20">
        <f t="shared" ca="1" si="6"/>
        <v>5.5164756933641047E-3</v>
      </c>
      <c r="P37" s="19">
        <f t="shared" ca="1" si="13"/>
        <v>105.57370179335153</v>
      </c>
      <c r="Q37" s="19">
        <f ca="1">HCTrans(P37,Strike,RiskFreeRate,Dividend,Variance_T0*AnnualVarConvtr,(Simulation!G37)/250,0.5,Variance_Avg*AnnualVarConvtr,Lambda,SQRT(Simulation!N37),Rho,1,"Call")</f>
        <v>30.800667584284426</v>
      </c>
      <c r="R37" s="19">
        <f t="shared" ca="1" si="7"/>
        <v>0.74416107449663005</v>
      </c>
      <c r="S37" s="19">
        <f t="shared" ca="1" si="8"/>
        <v>0.89545922372062325</v>
      </c>
      <c r="T37" s="19">
        <f t="shared" ca="1" si="14"/>
        <v>2.6330791514385141</v>
      </c>
      <c r="U37" s="19">
        <f t="shared" ca="1" si="15"/>
        <v>-61.305478099226939</v>
      </c>
      <c r="V37" s="21">
        <f t="shared" ca="1" si="16"/>
        <v>5.7821389475235938E-5</v>
      </c>
      <c r="W37">
        <f t="shared" ca="1" si="17"/>
        <v>7.6040377086937132E-3</v>
      </c>
      <c r="X37" s="22">
        <f t="shared" ref="X37" ca="1" si="86">BSdelta(1,P37,Strike,W37*AnnualVarConvtr,Dividend,RiskFreeRate,G37/250)</f>
        <v>0.70513921500252996</v>
      </c>
      <c r="Y37" s="22">
        <f t="shared" ca="1" si="24"/>
        <v>8.7172960114812188</v>
      </c>
      <c r="Z37" s="22">
        <f t="shared" ca="1" si="25"/>
        <v>-42.464641542090561</v>
      </c>
      <c r="AA37">
        <f t="shared" si="10"/>
        <v>0.73884103340948371</v>
      </c>
      <c r="AB37">
        <f t="shared" ref="AB37" ca="1" si="87">BSdelta(1,P37,Strike,AA37/AnnualVarConvtr,Dividend,RiskFreeRate,G37/250)</f>
        <v>0.8970328128754006</v>
      </c>
      <c r="AC37">
        <f t="shared" ca="1" si="20"/>
        <v>2.6427235064074122</v>
      </c>
      <c r="AD37">
        <f t="shared" ca="1" si="21"/>
        <v>-61.469120100508476</v>
      </c>
    </row>
    <row r="38" spans="7:30" x14ac:dyDescent="0.25">
      <c r="G38" s="19">
        <v>217</v>
      </c>
      <c r="H38" s="19">
        <f t="shared" ca="1" si="73"/>
        <v>0.29801371545695843</v>
      </c>
      <c r="I38" s="19">
        <f t="shared" ca="1" si="73"/>
        <v>0.63271052655445403</v>
      </c>
      <c r="J38" s="19">
        <f t="shared" ca="1" si="3"/>
        <v>-1.0457048467641854</v>
      </c>
      <c r="K38" s="19">
        <f t="shared" ca="1" si="4"/>
        <v>-1.1522729322859639</v>
      </c>
      <c r="L38" s="19">
        <f t="array" aca="1" ref="L38:M38" ca="1">MMULT(J38:K38,TRANSPOSE($B$10:$C$11))</f>
        <v>-1.0457048467641854</v>
      </c>
      <c r="M38" s="19">
        <f ca="1"/>
        <v>-5.4563200553169433E-2</v>
      </c>
      <c r="N38" s="20">
        <f t="shared" ca="1" si="30"/>
        <v>1.3097506414067069E-2</v>
      </c>
      <c r="O38" s="20">
        <f t="shared" ca="1" si="6"/>
        <v>-7.5689114871191846E-3</v>
      </c>
      <c r="P38" s="19">
        <f t="shared" ca="1" si="13"/>
        <v>104.7776402492152</v>
      </c>
      <c r="Q38" s="19">
        <f ca="1">HCTrans(P38,Strike,RiskFreeRate,Dividend,Variance_T0*AnnualVarConvtr,(Simulation!G38)/250,0.5,Variance_Avg*AnnualVarConvtr,Lambda,SQRT(Simulation!N38),Rho,1,"Call")</f>
        <v>30.208296600514302</v>
      </c>
      <c r="R38" s="19">
        <f t="shared" ca="1" si="7"/>
        <v>0.74406193682903432</v>
      </c>
      <c r="S38" s="19">
        <f t="shared" ca="1" si="8"/>
        <v>0.86135105947094481</v>
      </c>
      <c r="T38" s="19">
        <f t="shared" ca="1" si="14"/>
        <v>-3.5737729633139508</v>
      </c>
      <c r="U38" s="19">
        <f t="shared" ca="1" si="15"/>
        <v>-58.324076119683113</v>
      </c>
      <c r="V38" s="21">
        <f t="shared" ca="1" si="16"/>
        <v>1.7122735766315639E-4</v>
      </c>
      <c r="W38">
        <f t="shared" ca="1" si="17"/>
        <v>1.3085387180483288E-2</v>
      </c>
      <c r="X38" s="22">
        <f t="shared" ref="X38" ca="1" si="88">BSdelta(1,P38,Strike,W38*AnnualVarConvtr,Dividend,RiskFreeRate,G38/250)</f>
        <v>0.63250519587046516</v>
      </c>
      <c r="Y38" s="22">
        <f t="shared" ca="1" si="24"/>
        <v>-7.6104211264740993</v>
      </c>
      <c r="Z38" s="22">
        <f t="shared" ca="1" si="25"/>
        <v>-35.446591399386584</v>
      </c>
      <c r="AA38">
        <f t="shared" si="10"/>
        <v>0.73884103340948371</v>
      </c>
      <c r="AB38">
        <f t="shared" ref="AB38" ca="1" si="89">BSdelta(1,P38,Strike,AA38/AnnualVarConvtr,Dividend,RiskFreeRate,G38/250)</f>
        <v>0.86297375053716863</v>
      </c>
      <c r="AC38">
        <f t="shared" ca="1" si="20"/>
        <v>-3.5686281809008635</v>
      </c>
      <c r="AD38">
        <f t="shared" ca="1" si="21"/>
        <v>-58.492862903377734</v>
      </c>
    </row>
    <row r="39" spans="7:30" x14ac:dyDescent="0.25">
      <c r="G39" s="19">
        <v>216</v>
      </c>
      <c r="H39" s="19">
        <f t="shared" ca="1" si="73"/>
        <v>0.13001629833153594</v>
      </c>
      <c r="I39" s="19">
        <f t="shared" ca="1" si="73"/>
        <v>0.48288624969348282</v>
      </c>
      <c r="J39" s="19">
        <f t="shared" ca="1" si="3"/>
        <v>-2.0082817147136125</v>
      </c>
      <c r="K39" s="19">
        <f t="shared" ca="1" si="4"/>
        <v>0.21678441723228509</v>
      </c>
      <c r="L39" s="19">
        <f t="array" aca="1" ref="L39:M39" ca="1">MMULT(J39:K39,TRANSPOSE($B$10:$C$11))</f>
        <v>-2.0082817147136125</v>
      </c>
      <c r="M39" s="19">
        <f ca="1"/>
        <v>1.5901598596565572</v>
      </c>
      <c r="N39" s="20">
        <f t="shared" ca="1" si="30"/>
        <v>1.7907825359937908E-2</v>
      </c>
      <c r="O39" s="20">
        <f t="shared" ca="1" si="6"/>
        <v>-1.6997147958790232E-2</v>
      </c>
      <c r="P39" s="19">
        <f t="shared" ca="1" si="13"/>
        <v>103.01176909535603</v>
      </c>
      <c r="Q39" s="19">
        <f ca="1">HCTrans(P39,Strike,RiskFreeRate,Dividend,Variance_T0*AnnualVarConvtr,(Simulation!G39)/250,0.5,Variance_Avg*AnnualVarConvtr,Lambda,SQRT(Simulation!N39),Rho,1,"Call")</f>
        <v>28.949412153765564</v>
      </c>
      <c r="R39" s="19">
        <f t="shared" ca="1" si="7"/>
        <v>0.74294785844851408</v>
      </c>
      <c r="S39" s="19">
        <f t="shared" ca="1" si="8"/>
        <v>0.75841867413718944</v>
      </c>
      <c r="T39" s="19">
        <f t="shared" ca="1" si="14"/>
        <v>-10.603247110435019</v>
      </c>
      <c r="U39" s="19">
        <f t="shared" ca="1" si="15"/>
        <v>-48.97971345599683</v>
      </c>
      <c r="V39" s="21">
        <f t="shared" ca="1" si="16"/>
        <v>8.8891642965748121E-5</v>
      </c>
      <c r="W39">
        <f t="shared" ca="1" si="17"/>
        <v>9.4282364716710473E-3</v>
      </c>
      <c r="X39" s="22">
        <f t="shared" ref="X39" ca="1" si="90">BSdelta(1,P39,Strike,W39*AnnualVarConvtr,Dividend,RiskFreeRate,G39/250)</f>
        <v>0.61157509681621702</v>
      </c>
      <c r="Y39" s="22">
        <f t="shared" ca="1" si="24"/>
        <v>-2.1560465309191392</v>
      </c>
      <c r="Z39" s="22">
        <f t="shared" ca="1" si="25"/>
        <v>-34.54942931521618</v>
      </c>
      <c r="AA39">
        <f t="shared" si="10"/>
        <v>0.73884103340948371</v>
      </c>
      <c r="AB39">
        <f t="shared" ref="AB39" ca="1" si="91">BSdelta(1,P39,Strike,AA39/AnnualVarConvtr,Dividend,RiskFreeRate,G39/250)</f>
        <v>0.75955771828011343</v>
      </c>
      <c r="AC39">
        <f t="shared" ca="1" si="20"/>
        <v>-10.653068435621661</v>
      </c>
      <c r="AD39">
        <f t="shared" ca="1" si="21"/>
        <v>-49.098678914504809</v>
      </c>
    </row>
    <row r="40" spans="7:30" x14ac:dyDescent="0.25">
      <c r="G40" s="19">
        <v>215</v>
      </c>
      <c r="H40" s="19">
        <f t="shared" ca="1" si="73"/>
        <v>0.22620456643262266</v>
      </c>
      <c r="I40" s="19">
        <f t="shared" ca="1" si="73"/>
        <v>0.19521399554857966</v>
      </c>
      <c r="J40" s="19">
        <f t="shared" ca="1" si="3"/>
        <v>0.58184718010101666</v>
      </c>
      <c r="K40" s="19">
        <f t="shared" ca="1" si="4"/>
        <v>1.622986418562504</v>
      </c>
      <c r="L40" s="19">
        <f t="array" aca="1" ref="L40:M40" ca="1">MMULT(J40:K40,TRANSPOSE($B$10:$C$11))</f>
        <v>0.58184718010101666</v>
      </c>
      <c r="M40" s="19">
        <f ca="1"/>
        <v>0.71528087046207478</v>
      </c>
      <c r="N40" s="20">
        <f t="shared" ca="1" si="30"/>
        <v>2.0274204914877414E-2</v>
      </c>
      <c r="O40" s="20">
        <f t="shared" ca="1" si="6"/>
        <v>5.2397533665632587E-3</v>
      </c>
      <c r="P40" s="19">
        <f t="shared" ca="1" si="13"/>
        <v>103.55294192719434</v>
      </c>
      <c r="Q40" s="19">
        <f ca="1">HCTrans(P40,Strike,RiskFreeRate,Dividend,Variance_T0*AnnualVarConvtr,(Simulation!G40)/250,0.5,Variance_Avg*AnnualVarConvtr,Lambda,SQRT(Simulation!N40),Rho,1,"Call")</f>
        <v>29.233827764121315</v>
      </c>
      <c r="R40" s="19">
        <f t="shared" ca="1" si="7"/>
        <v>0.74273470586505974</v>
      </c>
      <c r="S40" s="19">
        <f t="shared" ca="1" si="8"/>
        <v>0.7948093694004903</v>
      </c>
      <c r="T40" s="19">
        <f t="shared" ca="1" si="14"/>
        <v>3.7683635532908193</v>
      </c>
      <c r="U40" s="19">
        <f t="shared" ca="1" si="15"/>
        <v>-52.463661398931897</v>
      </c>
      <c r="V40" s="21">
        <f t="shared" ca="1" si="16"/>
        <v>4.9447978055350782E-4</v>
      </c>
      <c r="W40">
        <f t="shared" ca="1" si="17"/>
        <v>2.2236901325353491E-2</v>
      </c>
      <c r="X40" s="22">
        <f t="shared" ref="X40" ca="1" si="92">BSdelta(1,P40,Strike,W40*AnnualVarConvtr,Dividend,RiskFreeRate,G40/250)</f>
        <v>0.6064599891541822</v>
      </c>
      <c r="Y40" s="22">
        <f t="shared" ca="1" si="24"/>
        <v>-0.52968444667803893</v>
      </c>
      <c r="Z40" s="22">
        <f t="shared" ca="1" si="25"/>
        <v>-33.735329258182389</v>
      </c>
      <c r="AA40">
        <f t="shared" si="10"/>
        <v>0.73884103340948371</v>
      </c>
      <c r="AB40">
        <f t="shared" ref="AB40" ca="1" si="93">BSdelta(1,P40,Strike,AA40/AnnualVarConvtr,Dividend,RiskFreeRate,G40/250)</f>
        <v>0.79597562064938643</v>
      </c>
      <c r="AC40">
        <f t="shared" ca="1" si="20"/>
        <v>3.7711809291555602</v>
      </c>
      <c r="AD40">
        <f t="shared" ca="1" si="21"/>
        <v>-52.585444233304621</v>
      </c>
    </row>
    <row r="41" spans="7:30" x14ac:dyDescent="0.25">
      <c r="G41" s="19">
        <v>214</v>
      </c>
      <c r="H41" s="19">
        <f t="shared" ca="1" si="73"/>
        <v>0.54339069625319802</v>
      </c>
      <c r="I41" s="19">
        <f t="shared" ca="1" si="73"/>
        <v>0.57622343267475573</v>
      </c>
      <c r="J41" s="19">
        <f t="shared" ca="1" si="3"/>
        <v>-0.98020627379397551</v>
      </c>
      <c r="K41" s="19">
        <f t="shared" ca="1" si="4"/>
        <v>-0.50896863145682802</v>
      </c>
      <c r="L41" s="19">
        <f t="array" aca="1" ref="L41:M41" ca="1">MMULT(J41:K41,TRANSPOSE($B$10:$C$11))</f>
        <v>-0.98020627379397551</v>
      </c>
      <c r="M41" s="19">
        <f ca="1"/>
        <v>0.34726784797364713</v>
      </c>
      <c r="N41" s="20">
        <f t="shared" ca="1" si="30"/>
        <v>2.1434650947344216E-2</v>
      </c>
      <c r="O41" s="20">
        <f t="shared" ca="1" si="6"/>
        <v>-9.0762339412612542E-3</v>
      </c>
      <c r="P41" s="19">
        <f t="shared" ca="1" si="13"/>
        <v>102.61732356936203</v>
      </c>
      <c r="Q41" s="19">
        <f ca="1">HCTrans(P41,Strike,RiskFreeRate,Dividend,Variance_T0*AnnualVarConvtr,(Simulation!G41)/250,0.5,Variance_Avg*AnnualVarConvtr,Lambda,SQRT(Simulation!N41),Rho,1,"Call")</f>
        <v>28.550508596491994</v>
      </c>
      <c r="R41" s="19">
        <f t="shared" ca="1" si="7"/>
        <v>0.74236497191485096</v>
      </c>
      <c r="S41" s="19">
        <f t="shared" ca="1" si="8"/>
        <v>0.73121504351998656</v>
      </c>
      <c r="T41" s="19">
        <f t="shared" ca="1" si="14"/>
        <v>-6.5258795160551051</v>
      </c>
      <c r="U41" s="19">
        <f t="shared" ca="1" si="15"/>
        <v>-46.621101050506113</v>
      </c>
      <c r="V41" s="21">
        <f t="shared" ca="1" si="16"/>
        <v>2.0494749259779255E-4</v>
      </c>
      <c r="W41">
        <f t="shared" ca="1" si="17"/>
        <v>1.4315987307824513E-2</v>
      </c>
      <c r="X41" s="22">
        <f t="shared" ref="X41" ca="1" si="94">BSdelta(1,P41,Strike,W41*AnnualVarConvtr,Dividend,RiskFreeRate,G41/250)</f>
        <v>0.59020861168535488</v>
      </c>
      <c r="Y41" s="22">
        <f t="shared" ca="1" si="24"/>
        <v>-1.667672860166493</v>
      </c>
      <c r="Z41" s="22">
        <f t="shared" ca="1" si="25"/>
        <v>-32.75097556564522</v>
      </c>
      <c r="AA41">
        <f t="shared" si="10"/>
        <v>0.73884103340948371</v>
      </c>
      <c r="AB41">
        <f t="shared" ref="AB41" ca="1" si="95">BSdelta(1,P41,Strike,AA41/AnnualVarConvtr,Dividend,RiskFreeRate,G41/250)</f>
        <v>0.73211612479304156</v>
      </c>
      <c r="AC41">
        <f t="shared" ca="1" si="20"/>
        <v>-6.5530905492668756</v>
      </c>
      <c r="AD41">
        <f t="shared" ca="1" si="21"/>
        <v>-46.715672851667065</v>
      </c>
    </row>
    <row r="42" spans="7:30" x14ac:dyDescent="0.25">
      <c r="G42" s="19">
        <v>213</v>
      </c>
      <c r="H42" s="19">
        <f t="shared" ca="1" si="73"/>
        <v>0.70694487778991033</v>
      </c>
      <c r="I42" s="19">
        <f t="shared" ca="1" si="73"/>
        <v>0.80639502311633782</v>
      </c>
      <c r="J42" s="19">
        <f t="shared" ca="1" si="3"/>
        <v>0.28896838996089108</v>
      </c>
      <c r="K42" s="19">
        <f t="shared" ca="1" si="4"/>
        <v>-0.78109054184224791</v>
      </c>
      <c r="L42" s="19">
        <f t="array" aca="1" ref="L42:M42" ca="1">MMULT(J42:K42,TRANSPOSE($B$10:$C$11))</f>
        <v>0.28896838996089108</v>
      </c>
      <c r="M42" s="19">
        <f ca="1"/>
        <v>-0.75192453056154451</v>
      </c>
      <c r="N42" s="20">
        <f t="shared" ca="1" si="30"/>
        <v>1.8744013192088876E-2</v>
      </c>
      <c r="O42" s="20">
        <f t="shared" ca="1" si="6"/>
        <v>2.5021401080907654E-3</v>
      </c>
      <c r="P42" s="19">
        <f t="shared" ca="1" si="13"/>
        <v>102.87440798693858</v>
      </c>
      <c r="Q42" s="19">
        <f ca="1">HCTrans(P42,Strike,RiskFreeRate,Dividend,Variance_T0*AnnualVarConvtr,(Simulation!G42)/250,0.5,Variance_Avg*AnnualVarConvtr,Lambda,SQRT(Simulation!N42),Rho,1,"Call")</f>
        <v>28.673075570840339</v>
      </c>
      <c r="R42" s="19">
        <f t="shared" ca="1" si="7"/>
        <v>0.7428463889400907</v>
      </c>
      <c r="S42" s="19">
        <f t="shared" ca="1" si="8"/>
        <v>0.75021345275281404</v>
      </c>
      <c r="T42" s="19">
        <f t="shared" ca="1" si="14"/>
        <v>1.9544501025207142</v>
      </c>
      <c r="U42" s="19">
        <f t="shared" ca="1" si="15"/>
        <v>-48.452984178678484</v>
      </c>
      <c r="V42" s="21">
        <f t="shared" ca="1" si="16"/>
        <v>1.3405874562670829E-4</v>
      </c>
      <c r="W42">
        <f t="shared" ca="1" si="17"/>
        <v>1.157837404935202E-2</v>
      </c>
      <c r="X42" s="22">
        <f t="shared" ref="X42" ca="1" si="96">BSdelta(1,P42,Strike,W42*AnnualVarConvtr,Dividend,RiskFreeRate,G42/250)</f>
        <v>0.59955450927279186</v>
      </c>
      <c r="Y42" s="22">
        <f t="shared" ca="1" si="24"/>
        <v>0.96145368141413678</v>
      </c>
      <c r="Z42" s="22">
        <f t="shared" ca="1" si="25"/>
        <v>-33.589862272711009</v>
      </c>
      <c r="AA42">
        <f t="shared" si="10"/>
        <v>0.73884103340948371</v>
      </c>
      <c r="AB42">
        <f t="shared" ref="AB42" ca="1" si="97">BSdelta(1,P42,Strike,AA42/AnnualVarConvtr,Dividend,RiskFreeRate,G42/250)</f>
        <v>0.75130030134583103</v>
      </c>
      <c r="AC42">
        <f t="shared" ca="1" si="20"/>
        <v>1.9735608055851257</v>
      </c>
      <c r="AD42">
        <f t="shared" ca="1" si="21"/>
        <v>-48.566666682903843</v>
      </c>
    </row>
    <row r="43" spans="7:30" x14ac:dyDescent="0.25">
      <c r="G43" s="19">
        <v>212</v>
      </c>
      <c r="H43" s="19">
        <f t="shared" ca="1" si="73"/>
        <v>0.94444065053228499</v>
      </c>
      <c r="I43" s="19">
        <f t="shared" ca="1" si="73"/>
        <v>0.76380252443390817</v>
      </c>
      <c r="J43" s="19">
        <f t="shared" ca="1" si="3"/>
        <v>2.9286279945680088E-2</v>
      </c>
      <c r="K43" s="19">
        <f t="shared" ca="1" si="4"/>
        <v>-0.33684889144823293</v>
      </c>
      <c r="L43" s="19">
        <f t="array" aca="1" ref="L43:M43" ca="1">MMULT(J43:K43,TRANSPOSE($B$10:$C$11))</f>
        <v>2.9286279945680088E-2</v>
      </c>
      <c r="M43" s="19">
        <f ca="1"/>
        <v>-0.25596505798654157</v>
      </c>
      <c r="N43" s="20">
        <f t="shared" ca="1" si="30"/>
        <v>1.7832560662529959E-2</v>
      </c>
      <c r="O43" s="20">
        <f t="shared" ca="1" si="6"/>
        <v>2.4734381793041656E-4</v>
      </c>
      <c r="P43" s="19">
        <f t="shared" ca="1" si="13"/>
        <v>102.89985648291173</v>
      </c>
      <c r="Q43" s="19">
        <f ca="1">HCTrans(P43,Strike,RiskFreeRate,Dividend,Variance_T0*AnnualVarConvtr,(Simulation!G43)/250,0.5,Variance_Avg*AnnualVarConvtr,Lambda,SQRT(Simulation!N43),Rho,1,"Call")</f>
        <v>28.633963624921876</v>
      </c>
      <c r="R43" s="19">
        <f t="shared" ca="1" si="7"/>
        <v>0.74301160500418661</v>
      </c>
      <c r="S43" s="19">
        <f t="shared" ca="1" si="8"/>
        <v>0.75245166464672708</v>
      </c>
      <c r="T43" s="19">
        <f t="shared" ca="1" si="14"/>
        <v>0.23031168266199833</v>
      </c>
      <c r="U43" s="19">
        <f t="shared" ca="1" si="15"/>
        <v>-48.722407807258946</v>
      </c>
      <c r="V43" s="21">
        <f t="shared" ca="1" si="16"/>
        <v>5.084106310120872E-6</v>
      </c>
      <c r="W43">
        <f t="shared" ca="1" si="17"/>
        <v>2.2547962901603488E-3</v>
      </c>
      <c r="X43" s="22">
        <f t="shared" ref="X43" ca="1" si="98">BSdelta(1,P43,Strike,W43*AnnualVarConvtr,Dividend,RiskFreeRate,G43/250)</f>
        <v>0.81249724129955614</v>
      </c>
      <c r="Y43" s="22">
        <f t="shared" ca="1" si="24"/>
        <v>21.911776564633175</v>
      </c>
      <c r="Z43" s="22">
        <f t="shared" ca="1" si="25"/>
        <v>-55.540750783262652</v>
      </c>
      <c r="AA43">
        <f t="shared" si="10"/>
        <v>0.73884103340948371</v>
      </c>
      <c r="AB43">
        <f t="shared" ref="AB43" ca="1" si="99">BSdelta(1,P43,Strike,AA43/AnnualVarConvtr,Dividend,RiskFreeRate,G43/250)</f>
        <v>0.75359060949064782</v>
      </c>
      <c r="AC43">
        <f t="shared" ca="1" si="20"/>
        <v>0.23567237940329133</v>
      </c>
      <c r="AD43">
        <f t="shared" ca="1" si="21"/>
        <v>-48.841451008225597</v>
      </c>
    </row>
    <row r="44" spans="7:30" x14ac:dyDescent="0.25">
      <c r="G44" s="19">
        <v>211</v>
      </c>
      <c r="H44" s="19">
        <f t="shared" ca="1" si="73"/>
        <v>0.33905405094180019</v>
      </c>
      <c r="I44" s="19">
        <f t="shared" ca="1" si="73"/>
        <v>0.99829069580828633</v>
      </c>
      <c r="J44" s="19">
        <f t="shared" ca="1" si="3"/>
        <v>1.4706943871743885</v>
      </c>
      <c r="K44" s="19">
        <f t="shared" ca="1" si="4"/>
        <v>-1.5795681178105928E-2</v>
      </c>
      <c r="L44" s="19">
        <f t="array" aca="1" ref="L44:M44" ca="1">MMULT(J44:K44,TRANSPOSE($B$10:$C$11))</f>
        <v>1.4706943871743885</v>
      </c>
      <c r="M44" s="19">
        <f ca="1"/>
        <v>-1.0647713916991708</v>
      </c>
      <c r="N44" s="20">
        <f t="shared" ca="1" si="30"/>
        <v>1.4459296689524528E-2</v>
      </c>
      <c r="O44" s="20">
        <f t="shared" ca="1" si="6"/>
        <v>1.1184743147303701E-2</v>
      </c>
      <c r="P44" s="19">
        <f t="shared" ca="1" si="13"/>
        <v>104.05722531874699</v>
      </c>
      <c r="Q44" s="19">
        <f ca="1">HCTrans(P44,Strike,RiskFreeRate,Dividend,Variance_T0*AnnualVarConvtr,(Simulation!G44)/250,0.5,Variance_Avg*AnnualVarConvtr,Lambda,SQRT(Simulation!N44),Rho,1,"Call")</f>
        <v>29.355137517765883</v>
      </c>
      <c r="R44" s="19">
        <f t="shared" ca="1" si="7"/>
        <v>0.74380425791222293</v>
      </c>
      <c r="S44" s="19">
        <f t="shared" ca="1" si="8"/>
        <v>0.82686680577697369</v>
      </c>
      <c r="T44" s="19">
        <f t="shared" ca="1" si="14"/>
        <v>7.7434331077164273</v>
      </c>
      <c r="U44" s="19">
        <f t="shared" ca="1" si="15"/>
        <v>-55.744667022131367</v>
      </c>
      <c r="V44" s="21">
        <f t="shared" ca="1" si="16"/>
        <v>1.1962670409017517E-4</v>
      </c>
      <c r="W44">
        <f t="shared" ca="1" si="17"/>
        <v>1.0937399329373284E-2</v>
      </c>
      <c r="X44" s="22">
        <f t="shared" ref="X44" ca="1" si="100">BSdelta(1,P44,Strike,W44*AnnualVarConvtr,Dividend,RiskFreeRate,G44/250)</f>
        <v>0.62921132845885053</v>
      </c>
      <c r="Y44" s="22">
        <f t="shared" ca="1" si="24"/>
        <v>-19.072223530217524</v>
      </c>
      <c r="Z44" s="22">
        <f t="shared" ca="1" si="25"/>
        <v>-35.747353360201117</v>
      </c>
      <c r="AA44">
        <f t="shared" si="10"/>
        <v>0.73884103340948371</v>
      </c>
      <c r="AB44">
        <f t="shared" ref="AB44" ca="1" si="101">BSdelta(1,P44,Strike,AA44/AnnualVarConvtr,Dividend,RiskFreeRate,G44/250)</f>
        <v>0.82840819049636638</v>
      </c>
      <c r="AC44">
        <f t="shared" ca="1" si="20"/>
        <v>7.7853098845156605</v>
      </c>
      <c r="AD44">
        <f t="shared" ca="1" si="21"/>
        <v>-55.905586999897253</v>
      </c>
    </row>
    <row r="45" spans="7:30" x14ac:dyDescent="0.25">
      <c r="G45" s="19">
        <v>210</v>
      </c>
      <c r="H45" s="19">
        <f t="shared" ca="1" si="73"/>
        <v>0.96743400945403202</v>
      </c>
      <c r="I45" s="19">
        <f t="shared" ca="1" si="73"/>
        <v>0.18887832781239966</v>
      </c>
      <c r="J45" s="19">
        <f t="shared" ca="1" si="3"/>
        <v>9.6411452876000656E-2</v>
      </c>
      <c r="K45" s="19">
        <f t="shared" ca="1" si="4"/>
        <v>0.23858113741134804</v>
      </c>
      <c r="L45" s="19">
        <f t="array" aca="1" ref="L45:M45" ca="1">MMULT(J45:K45,TRANSPOSE($B$10:$C$11))</f>
        <v>9.6411452876000656E-2</v>
      </c>
      <c r="M45" s="19">
        <f ca="1"/>
        <v>9.7352315708998188E-2</v>
      </c>
      <c r="N45" s="20">
        <f t="shared" ca="1" si="30"/>
        <v>1.4708462972788581E-2</v>
      </c>
      <c r="O45" s="20">
        <f t="shared" ca="1" si="6"/>
        <v>7.3950696539559204E-4</v>
      </c>
      <c r="P45" s="19">
        <f t="shared" ca="1" si="13"/>
        <v>104.13420482160106</v>
      </c>
      <c r="Q45" s="19">
        <f ca="1">HCTrans(P45,Strike,RiskFreeRate,Dividend,Variance_T0*AnnualVarConvtr,(Simulation!G45)/250,0.5,Variance_Avg*AnnualVarConvtr,Lambda,SQRT(Simulation!N45),Rho,1,"Call")</f>
        <v>29.343205677407383</v>
      </c>
      <c r="R45" s="19">
        <f t="shared" ca="1" si="7"/>
        <v>0.74379740106607084</v>
      </c>
      <c r="S45" s="19">
        <f t="shared" ca="1" si="8"/>
        <v>0.8317625264785663</v>
      </c>
      <c r="T45" s="19">
        <f t="shared" ca="1" si="14"/>
        <v>0.50981198228899727</v>
      </c>
      <c r="U45" s="19">
        <f t="shared" ca="1" si="15"/>
        <v>-56.266410844778861</v>
      </c>
      <c r="V45" s="21">
        <f t="shared" ca="1" si="16"/>
        <v>1.0910295889584229E-4</v>
      </c>
      <c r="W45">
        <f t="shared" ca="1" si="17"/>
        <v>1.0445236181908108E-2</v>
      </c>
      <c r="X45" s="22">
        <f t="shared" ref="X45" ca="1" si="102">BSdelta(1,P45,Strike,W45*AnnualVarConvtr,Dividend,RiskFreeRate,G45/250)</f>
        <v>0.63431913995199141</v>
      </c>
      <c r="Y45" s="22">
        <f t="shared" ca="1" si="24"/>
        <v>0.53189788821686024</v>
      </c>
      <c r="Z45" s="22">
        <f t="shared" ca="1" si="25"/>
        <v>-36.291183088776478</v>
      </c>
      <c r="AA45">
        <f t="shared" si="10"/>
        <v>0.73884103340948371</v>
      </c>
      <c r="AB45">
        <f t="shared" ref="AB45" ca="1" si="103">BSdelta(1,P45,Strike,AA45/AnnualVarConvtr,Dividend,RiskFreeRate,G45/250)</f>
        <v>0.83330621562986318</v>
      </c>
      <c r="AC45">
        <f t="shared" ca="1" si="20"/>
        <v>0.51005195247290536</v>
      </c>
      <c r="AD45">
        <f t="shared" ca="1" si="21"/>
        <v>-56.427570792728659</v>
      </c>
    </row>
    <row r="46" spans="7:30" x14ac:dyDescent="0.25">
      <c r="G46" s="19">
        <v>209</v>
      </c>
      <c r="H46" s="19">
        <f t="shared" ca="1" si="73"/>
        <v>0.38587638380672296</v>
      </c>
      <c r="I46" s="19">
        <f t="shared" ca="1" si="73"/>
        <v>0.17770642180167651</v>
      </c>
      <c r="J46" s="19">
        <f t="shared" ca="1" si="3"/>
        <v>0.60552036622996341</v>
      </c>
      <c r="K46" s="19">
        <f t="shared" ca="1" si="4"/>
        <v>1.2400893137623439</v>
      </c>
      <c r="L46" s="19">
        <f t="array" aca="1" ref="L46:M46" ca="1">MMULT(J46:K46,TRANSPOSE($B$10:$C$11))</f>
        <v>0.60552036622996341</v>
      </c>
      <c r="M46" s="19">
        <f ca="1"/>
        <v>0.43121495498178669</v>
      </c>
      <c r="N46" s="20">
        <f t="shared" ca="1" si="30"/>
        <v>1.5978131691281594E-2</v>
      </c>
      <c r="O46" s="20">
        <f t="shared" ca="1" si="6"/>
        <v>4.8408513713426886E-3</v>
      </c>
      <c r="P46" s="19">
        <f t="shared" ca="1" si="13"/>
        <v>104.63952513327794</v>
      </c>
      <c r="Q46" s="19">
        <f ca="1">HCTrans(P46,Strike,RiskFreeRate,Dividend,Variance_T0*AnnualVarConvtr,(Simulation!G46)/250,0.5,Variance_Avg*AnnualVarConvtr,Lambda,SQRT(Simulation!N46),Rho,1,"Call")</f>
        <v>29.610041631031621</v>
      </c>
      <c r="R46" s="19">
        <f t="shared" ca="1" si="7"/>
        <v>0.74372253658808529</v>
      </c>
      <c r="S46" s="19">
        <f t="shared" ca="1" si="8"/>
        <v>0.85903600053595686</v>
      </c>
      <c r="T46" s="19">
        <f t="shared" ca="1" si="14"/>
        <v>2.853883374100123</v>
      </c>
      <c r="U46" s="19">
        <f t="shared" ca="1" si="15"/>
        <v>-58.853458265254744</v>
      </c>
      <c r="V46" s="21">
        <f t="shared" ca="1" si="16"/>
        <v>1.6821025936193545E-5</v>
      </c>
      <c r="W46">
        <f t="shared" ca="1" si="17"/>
        <v>4.1013444059470969E-3</v>
      </c>
      <c r="X46" s="22">
        <f t="shared" ref="X46" ca="1" si="104">BSdelta(1,P46,Strike,W46*AnnualVarConvtr,Dividend,RiskFreeRate,G46/250)</f>
        <v>0.78655324589211584</v>
      </c>
      <c r="Y46" s="22">
        <f t="shared" ca="1" si="24"/>
        <v>15.929704554663747</v>
      </c>
      <c r="Z46" s="22">
        <f t="shared" ca="1" si="25"/>
        <v>-51.954051689815984</v>
      </c>
      <c r="AA46">
        <f t="shared" si="10"/>
        <v>0.73884103340948371</v>
      </c>
      <c r="AB46">
        <f t="shared" ref="AB46" ca="1" si="105">BSdelta(1,P46,Strike,AA46/AnnualVarConvtr,Dividend,RiskFreeRate,G46/250)</f>
        <v>0.86055677251353579</v>
      </c>
      <c r="AC46">
        <f t="shared" ca="1" si="20"/>
        <v>2.8514853319248812</v>
      </c>
      <c r="AD46">
        <f t="shared" ca="1" si="21"/>
        <v>-59.012220171029306</v>
      </c>
    </row>
    <row r="47" spans="7:30" x14ac:dyDescent="0.25">
      <c r="G47" s="19">
        <v>208</v>
      </c>
      <c r="H47" s="19">
        <f t="shared" ca="1" si="73"/>
        <v>8.154461746051167E-3</v>
      </c>
      <c r="I47" s="19">
        <f t="shared" ca="1" si="73"/>
        <v>2.2232318237460968E-2</v>
      </c>
      <c r="J47" s="19">
        <f t="shared" ca="1" si="3"/>
        <v>3.0711418095237071</v>
      </c>
      <c r="K47" s="19">
        <f t="shared" ca="1" si="4"/>
        <v>0.43181950146301024</v>
      </c>
      <c r="L47" s="19">
        <f t="array" aca="1" ref="L47:M47" ca="1">MMULT(J47:K47,TRANSPOSE($B$10:$C$11))</f>
        <v>3.0711418095237071</v>
      </c>
      <c r="M47" s="19">
        <f ca="1"/>
        <v>-1.8992413965155666</v>
      </c>
      <c r="N47" s="20">
        <f t="shared" ca="1" si="30"/>
        <v>1.0586310017785218E-2</v>
      </c>
      <c r="O47" s="20">
        <f t="shared" ca="1" si="6"/>
        <v>1.9984908770654161E-2</v>
      </c>
      <c r="P47" s="19">
        <f t="shared" ca="1" si="13"/>
        <v>106.751772733092</v>
      </c>
      <c r="Q47" s="19">
        <f ca="1">HCTrans(P47,Strike,RiskFreeRate,Dividend,Variance_T0*AnnualVarConvtr,(Simulation!G47)/250,0.5,Variance_Avg*AnnualVarConvtr,Lambda,SQRT(Simulation!N47),Rho,1,"Call")</f>
        <v>30.991885695725486</v>
      </c>
      <c r="R47" s="19">
        <f t="shared" ca="1" si="7"/>
        <v>0.74496573538648958</v>
      </c>
      <c r="S47" s="19">
        <f t="shared" ca="1" si="8"/>
        <v>0.93843565316632716</v>
      </c>
      <c r="T47" s="19">
        <f t="shared" ca="1" si="14"/>
        <v>8.4760536726837401</v>
      </c>
      <c r="U47" s="19">
        <f t="shared" ca="1" si="15"/>
        <v>-65.947667873244626</v>
      </c>
      <c r="V47" s="21">
        <f t="shared" ca="1" si="16"/>
        <v>2.2934247451364054E-4</v>
      </c>
      <c r="W47">
        <f t="shared" ca="1" si="17"/>
        <v>1.5144057399311472E-2</v>
      </c>
      <c r="X47" s="22">
        <f t="shared" ref="X47" ca="1" si="106">BSdelta(1,P47,Strike,W47*AnnualVarConvtr,Dividend,RiskFreeRate,G47/250)</f>
        <v>0.65849109361595659</v>
      </c>
      <c r="Y47" s="22">
        <f t="shared" ca="1" si="24"/>
        <v>-13.670861775495172</v>
      </c>
      <c r="Z47" s="22">
        <f t="shared" ca="1" si="25"/>
        <v>-36.901345849626949</v>
      </c>
      <c r="AA47">
        <f t="shared" si="10"/>
        <v>0.73884103340948371</v>
      </c>
      <c r="AB47">
        <f t="shared" ref="AB47" ca="1" si="107">BSdelta(1,P47,Strike,AA47/AnnualVarConvtr,Dividend,RiskFreeRate,G47/250)</f>
        <v>0.93993154570687332</v>
      </c>
      <c r="AC47">
        <f t="shared" ca="1" si="20"/>
        <v>8.4733977486758896</v>
      </c>
      <c r="AD47">
        <f t="shared" ca="1" si="21"/>
        <v>-66.103773855011326</v>
      </c>
    </row>
    <row r="48" spans="7:30" x14ac:dyDescent="0.25">
      <c r="G48" s="19">
        <v>207</v>
      </c>
      <c r="H48" s="19">
        <f t="shared" ca="1" si="73"/>
        <v>0.14941132350040165</v>
      </c>
      <c r="I48" s="19">
        <f t="shared" ca="1" si="73"/>
        <v>0.52299596316306129</v>
      </c>
      <c r="J48" s="19">
        <f t="shared" ca="1" si="3"/>
        <v>-1.929580180040517</v>
      </c>
      <c r="K48" s="19">
        <f t="shared" ca="1" si="4"/>
        <v>-0.28075747675743834</v>
      </c>
      <c r="L48" s="19">
        <f t="array" aca="1" ref="L48:M48" ca="1">MMULT(J48:K48,TRANSPOSE($B$10:$C$11))</f>
        <v>-1.929580180040517</v>
      </c>
      <c r="M48" s="19">
        <f ca="1"/>
        <v>1.186691407416697</v>
      </c>
      <c r="N48" s="20">
        <f t="shared" ca="1" si="30"/>
        <v>1.377310531067997E-2</v>
      </c>
      <c r="O48" s="20">
        <f t="shared" ca="1" si="6"/>
        <v>-1.4322167854430842E-2</v>
      </c>
      <c r="P48" s="19">
        <f t="shared" ca="1" si="13"/>
        <v>105.23375254373444</v>
      </c>
      <c r="Q48" s="19">
        <f ca="1">HCTrans(P48,Strike,RiskFreeRate,Dividend,Variance_T0*AnnualVarConvtr,(Simulation!G48)/250,0.5,Variance_Avg*AnnualVarConvtr,Lambda,SQRT(Simulation!N48),Rho,1,"Call")</f>
        <v>29.893368487052328</v>
      </c>
      <c r="R48" s="19">
        <f t="shared" ca="1" si="7"/>
        <v>0.7442114156098627</v>
      </c>
      <c r="S48" s="19">
        <f t="shared" ca="1" si="8"/>
        <v>0.88734168191612417</v>
      </c>
      <c r="T48" s="19">
        <f t="shared" ca="1" si="14"/>
        <v>-5.376810327020543</v>
      </c>
      <c r="U48" s="19">
        <f t="shared" ca="1" si="15"/>
        <v>-61.669374754897241</v>
      </c>
      <c r="V48" s="21">
        <f t="shared" ca="1" si="16"/>
        <v>1.1769755065594539E-3</v>
      </c>
      <c r="W48">
        <f t="shared" ca="1" si="17"/>
        <v>3.4307076625085003E-2</v>
      </c>
      <c r="X48" s="22">
        <f t="shared" ref="X48" ca="1" si="108">BSdelta(1,P48,Strike,W48*AnnualVarConvtr,Dividend,RiskFreeRate,G48/250)</f>
        <v>0.63688642110295268</v>
      </c>
      <c r="Y48" s="22">
        <f t="shared" ca="1" si="24"/>
        <v>-2.2735407610218745</v>
      </c>
      <c r="Z48" s="22">
        <f t="shared" ca="1" si="25"/>
        <v>-35.72632229727823</v>
      </c>
      <c r="AA48">
        <f t="shared" si="10"/>
        <v>0.73884103340948371</v>
      </c>
      <c r="AB48">
        <f t="shared" ref="AB48" ca="1" si="109">BSdelta(1,P48,Strike,AA48/AnnualVarConvtr,Dividend,RiskFreeRate,G48/250)</f>
        <v>0.88895976544822985</v>
      </c>
      <c r="AC48">
        <f t="shared" ca="1" si="20"/>
        <v>-5.3639517104516941</v>
      </c>
      <c r="AD48">
        <f t="shared" ca="1" si="21"/>
        <v>-61.83833935323279</v>
      </c>
    </row>
    <row r="49" spans="7:30" x14ac:dyDescent="0.25">
      <c r="G49" s="19">
        <v>206</v>
      </c>
      <c r="H49" s="19">
        <f t="shared" ca="1" si="73"/>
        <v>0.51725273608705291</v>
      </c>
      <c r="I49" s="19">
        <f t="shared" ca="1" si="73"/>
        <v>0.36178492260763329</v>
      </c>
      <c r="J49" s="19">
        <f t="shared" ca="1" si="3"/>
        <v>-0.74178959767479757</v>
      </c>
      <c r="K49" s="19">
        <f t="shared" ca="1" si="4"/>
        <v>0.8764676480978234</v>
      </c>
      <c r="L49" s="19">
        <f t="array" aca="1" ref="L49:M49" ca="1">MMULT(J49:K49,TRANSPOSE($B$10:$C$11))</f>
        <v>-0.74178959767479757</v>
      </c>
      <c r="M49" s="19">
        <f ca="1"/>
        <v>1.1429047640215244</v>
      </c>
      <c r="N49" s="20">
        <f t="shared" ca="1" si="30"/>
        <v>1.7222692194124204E-2</v>
      </c>
      <c r="O49" s="20">
        <f t="shared" ca="1" si="6"/>
        <v>-6.1568880142440314E-3</v>
      </c>
      <c r="P49" s="19">
        <f t="shared" ca="1" si="13"/>
        <v>104.58783058900148</v>
      </c>
      <c r="Q49" s="19">
        <f ca="1">HCTrans(P49,Strike,RiskFreeRate,Dividend,Variance_T0*AnnualVarConvtr,(Simulation!G49)/250,0.5,Variance_Avg*AnnualVarConvtr,Lambda,SQRT(Simulation!N49),Rho,1,"Call")</f>
        <v>29.383055019501242</v>
      </c>
      <c r="R49" s="19">
        <f t="shared" ca="1" si="7"/>
        <v>0.74358773891931818</v>
      </c>
      <c r="S49" s="19">
        <f t="shared" ca="1" si="8"/>
        <v>0.8581641200293828</v>
      </c>
      <c r="T49" s="19">
        <f t="shared" ca="1" si="14"/>
        <v>-3.0516178996106125</v>
      </c>
      <c r="U49" s="19">
        <f t="shared" ca="1" si="15"/>
        <v>-59.128070322837715</v>
      </c>
      <c r="V49" s="21">
        <f t="shared" ca="1" si="16"/>
        <v>6.6671794868561134E-5</v>
      </c>
      <c r="W49">
        <f t="shared" ca="1" si="17"/>
        <v>8.16527984018681E-3</v>
      </c>
      <c r="X49" s="22">
        <f t="shared" ref="X49" ca="1" si="110">BSdelta(1,P49,Strike,W49*AnnualVarConvtr,Dividend,RiskFreeRate,G49/250)</f>
        <v>0.6705224132162837</v>
      </c>
      <c r="Y49" s="22">
        <f t="shared" ca="1" si="24"/>
        <v>3.5179154448420542</v>
      </c>
      <c r="Z49" s="22">
        <f t="shared" ca="1" si="25"/>
        <v>-39.754551209671369</v>
      </c>
      <c r="AA49">
        <f t="shared" si="10"/>
        <v>0.73884103340948371</v>
      </c>
      <c r="AB49">
        <f t="shared" ref="AB49" ca="1" si="111">BSdelta(1,P49,Strike,AA49/AnnualVarConvtr,Dividend,RiskFreeRate,G49/250)</f>
        <v>0.85964413492557912</v>
      </c>
      <c r="AC49">
        <f t="shared" ca="1" si="20"/>
        <v>-3.0660581987127564</v>
      </c>
      <c r="AD49">
        <f t="shared" ca="1" si="21"/>
        <v>-59.282594622071116</v>
      </c>
    </row>
    <row r="50" spans="7:30" x14ac:dyDescent="0.25">
      <c r="G50" s="19">
        <v>205</v>
      </c>
      <c r="H50" s="19">
        <f t="shared" ca="1" si="73"/>
        <v>0.86809997473344103</v>
      </c>
      <c r="I50" s="19">
        <f t="shared" ca="1" si="73"/>
        <v>0.27692722782506007</v>
      </c>
      <c r="J50" s="19">
        <f t="shared" ca="1" si="3"/>
        <v>-8.9559488402294593E-2</v>
      </c>
      <c r="K50" s="19">
        <f t="shared" ca="1" si="4"/>
        <v>0.52428607021075924</v>
      </c>
      <c r="L50" s="19">
        <f t="array" aca="1" ref="L50:M50" ca="1">MMULT(J50:K50,TRANSPOSE($B$10:$C$11))</f>
        <v>-8.9559488402294593E-2</v>
      </c>
      <c r="M50" s="19">
        <f ca="1"/>
        <v>0.42990456818706774</v>
      </c>
      <c r="N50" s="20">
        <f t="shared" ca="1" si="30"/>
        <v>1.857992459887528E-2</v>
      </c>
      <c r="O50" s="20">
        <f t="shared" ca="1" si="6"/>
        <v>-7.7208225905092481E-4</v>
      </c>
      <c r="P50" s="19">
        <f t="shared" ca="1" si="13"/>
        <v>104.50711134544885</v>
      </c>
      <c r="Q50" s="19">
        <f ca="1">HCTrans(P50,Strike,RiskFreeRate,Dividend,Variance_T0*AnnualVarConvtr,(Simulation!G50)/250,0.5,Variance_Avg*AnnualVarConvtr,Lambda,SQRT(Simulation!N50),Rho,1,"Call")</f>
        <v>29.260412015586951</v>
      </c>
      <c r="R50" s="19">
        <f t="shared" ca="1" si="7"/>
        <v>0.74339909031566043</v>
      </c>
      <c r="S50" s="19">
        <f t="shared" ca="1" si="8"/>
        <v>0.85468549782949099</v>
      </c>
      <c r="T50" s="19">
        <f t="shared" ca="1" si="14"/>
        <v>-0.36354075757284382</v>
      </c>
      <c r="U50" s="19">
        <f t="shared" ca="1" si="15"/>
        <v>-58.887172569179164</v>
      </c>
      <c r="V50" s="21">
        <f t="shared" ca="1" si="16"/>
        <v>2.8996133021160799E-5</v>
      </c>
      <c r="W50">
        <f t="shared" ca="1" si="17"/>
        <v>5.3848057551931063E-3</v>
      </c>
      <c r="X50" s="22">
        <f t="shared" ref="X50" ca="1" si="112">BSdelta(1,P50,Strike,W50*AnnualVarConvtr,Dividend,RiskFreeRate,G50/250)</f>
        <v>0.72918438764621207</v>
      </c>
      <c r="Y50" s="22">
        <f t="shared" ca="1" si="24"/>
        <v>6.1305934934923982</v>
      </c>
      <c r="Z50" s="22">
        <f t="shared" ca="1" si="25"/>
        <v>-46.007787707078059</v>
      </c>
      <c r="AA50">
        <f t="shared" si="10"/>
        <v>0.73884103340948371</v>
      </c>
      <c r="AB50">
        <f t="shared" ref="AB50" ca="1" si="113">BSdelta(1,P50,Strike,AA50/AnnualVarConvtr,Dividend,RiskFreeRate,G50/250)</f>
        <v>0.8561090616050786</v>
      </c>
      <c r="AC50">
        <f t="shared" ca="1" si="20"/>
        <v>-0.36944030111987286</v>
      </c>
      <c r="AD50">
        <f t="shared" ca="1" si="21"/>
        <v>-59.035797324865534</v>
      </c>
    </row>
    <row r="51" spans="7:30" x14ac:dyDescent="0.25">
      <c r="G51" s="19">
        <v>204</v>
      </c>
      <c r="H51" s="19">
        <f t="shared" ca="1" si="73"/>
        <v>0.3359624857592125</v>
      </c>
      <c r="I51" s="19">
        <f t="shared" ca="1" si="73"/>
        <v>0.40236545715952254</v>
      </c>
      <c r="J51" s="19">
        <f t="shared" ca="1" si="3"/>
        <v>-1.2076839230389549</v>
      </c>
      <c r="K51" s="19">
        <f t="shared" ca="1" si="4"/>
        <v>0.85030058896248983</v>
      </c>
      <c r="L51" s="19">
        <f t="array" aca="1" ref="L51:M51" ca="1">MMULT(J51:K51,TRANSPOSE($B$10:$C$11))</f>
        <v>-1.2076839230389549</v>
      </c>
      <c r="M51" s="19">
        <f ca="1"/>
        <v>1.4584642454738828</v>
      </c>
      <c r="N51" s="20">
        <f t="shared" ca="1" si="30"/>
        <v>2.3713161063740388E-2</v>
      </c>
      <c r="O51" s="20">
        <f t="shared" ca="1" si="6"/>
        <v>-1.1761914176069286E-2</v>
      </c>
      <c r="P51" s="19">
        <f t="shared" ca="1" si="13"/>
        <v>103.28510830634239</v>
      </c>
      <c r="Q51" s="19">
        <f ca="1">HCTrans(P51,Strike,RiskFreeRate,Dividend,Variance_T0*AnnualVarConvtr,(Simulation!G51)/250,0.5,Variance_Avg*AnnualVarConvtr,Lambda,SQRT(Simulation!N51),Rho,1,"Call")</f>
        <v>28.366267238177727</v>
      </c>
      <c r="R51" s="19">
        <f t="shared" ca="1" si="7"/>
        <v>0.74243618964239133</v>
      </c>
      <c r="S51" s="19">
        <f t="shared" ca="1" si="8"/>
        <v>0.78325929515190285</v>
      </c>
      <c r="T51" s="19">
        <f t="shared" ca="1" si="14"/>
        <v>-7.3772630794654548</v>
      </c>
      <c r="U51" s="19">
        <f t="shared" ca="1" si="15"/>
        <v>-52.40405426712293</v>
      </c>
      <c r="V51" s="21">
        <f t="shared" ca="1" si="16"/>
        <v>1.2077640556431546E-4</v>
      </c>
      <c r="W51">
        <f t="shared" ca="1" si="17"/>
        <v>1.0989831917018361E-2</v>
      </c>
      <c r="X51" s="22">
        <f t="shared" ref="X51" ca="1" si="114">BSdelta(1,P51,Strike,W51*AnnualVarConvtr,Dividend,RiskFreeRate,G51/250)</f>
        <v>0.611950577879532</v>
      </c>
      <c r="Y51" s="22">
        <f t="shared" ca="1" si="24"/>
        <v>-12.108506738916692</v>
      </c>
      <c r="Z51" s="22">
        <f t="shared" ca="1" si="25"/>
        <v>-34.793425745570588</v>
      </c>
      <c r="AA51">
        <f t="shared" si="10"/>
        <v>0.73884103340948371</v>
      </c>
      <c r="AB51">
        <f t="shared" ref="AB51" ca="1" si="115">BSdelta(1,P51,Strike,AA51/AnnualVarConvtr,Dividend,RiskFreeRate,G51/250)</f>
        <v>0.78431617985737712</v>
      </c>
      <c r="AC51">
        <f t="shared" ca="1" si="20"/>
        <v>-7.4151355669357804</v>
      </c>
      <c r="AD51">
        <f t="shared" ca="1" si="21"/>
        <v>-52.514806535338977</v>
      </c>
    </row>
    <row r="52" spans="7:30" x14ac:dyDescent="0.25">
      <c r="G52" s="19">
        <v>203</v>
      </c>
      <c r="H52" s="19">
        <f t="shared" ca="1" si="73"/>
        <v>0.91994839888666702</v>
      </c>
      <c r="I52" s="19">
        <f t="shared" ca="1" si="73"/>
        <v>0.1174914798973109</v>
      </c>
      <c r="J52" s="19">
        <f t="shared" ca="1" si="3"/>
        <v>0.30215686899604444</v>
      </c>
      <c r="K52" s="19">
        <f t="shared" ca="1" si="4"/>
        <v>0.27491202934019093</v>
      </c>
      <c r="L52" s="19">
        <f t="array" aca="1" ref="L52:M52" ca="1">MMULT(J52:K52,TRANSPOSE($B$10:$C$11))</f>
        <v>0.30215686899604444</v>
      </c>
      <c r="M52" s="19">
        <f ca="1"/>
        <v>-2.4720313714693243E-2</v>
      </c>
      <c r="N52" s="20">
        <f t="shared" ca="1" si="30"/>
        <v>2.3531554457858563E-2</v>
      </c>
      <c r="O52" s="20">
        <f t="shared" ca="1" si="6"/>
        <v>2.9314856712018499E-3</v>
      </c>
      <c r="P52" s="19">
        <f t="shared" ca="1" si="13"/>
        <v>103.58833135124833</v>
      </c>
      <c r="Q52" s="19">
        <f ca="1">HCTrans(P52,Strike,RiskFreeRate,Dividend,Variance_T0*AnnualVarConvtr,(Simulation!G52)/250,0.5,Variance_Avg*AnnualVarConvtr,Lambda,SQRT(Simulation!N52),Rho,1,"Call")</f>
        <v>28.504610736419608</v>
      </c>
      <c r="R52" s="19">
        <f t="shared" ca="1" si="7"/>
        <v>0.74256058424911886</v>
      </c>
      <c r="S52" s="19">
        <f t="shared" ca="1" si="8"/>
        <v>0.80350754452972872</v>
      </c>
      <c r="T52" s="19">
        <f t="shared" ca="1" si="14"/>
        <v>2.0974823658329349</v>
      </c>
      <c r="U52" s="19">
        <f t="shared" ca="1" si="15"/>
        <v>-54.363193134713981</v>
      </c>
      <c r="V52" s="21">
        <f t="shared" ca="1" si="16"/>
        <v>2.1589599907178745E-4</v>
      </c>
      <c r="W52">
        <f t="shared" ca="1" si="17"/>
        <v>1.4693399847271136E-2</v>
      </c>
      <c r="X52" s="22">
        <f t="shared" ref="X52" ca="1" si="116">BSdelta(1,P52,Strike,W52*AnnualVarConvtr,Dividend,RiskFreeRate,G52/250)</f>
        <v>0.60760230465151777</v>
      </c>
      <c r="Y52" s="22">
        <f t="shared" ca="1" si="24"/>
        <v>-0.45043036794930047</v>
      </c>
      <c r="Z52" s="22">
        <f t="shared" ca="1" si="25"/>
        <v>-34.204651879379405</v>
      </c>
      <c r="AA52">
        <f t="shared" si="10"/>
        <v>0.73884103340948371</v>
      </c>
      <c r="AB52">
        <f t="shared" ref="AB52" ca="1" si="117">BSdelta(1,P52,Strike,AA52/AnnualVarConvtr,Dividend,RiskFreeRate,G52/250)</f>
        <v>0.80463785758352502</v>
      </c>
      <c r="AC52">
        <f t="shared" ca="1" si="20"/>
        <v>2.1050886859094917</v>
      </c>
      <c r="AD52">
        <f t="shared" ca="1" si="21"/>
        <v>-54.481551723006589</v>
      </c>
    </row>
    <row r="53" spans="7:30" x14ac:dyDescent="0.25">
      <c r="G53" s="19">
        <v>202</v>
      </c>
      <c r="H53" s="19">
        <f t="shared" ca="1" si="73"/>
        <v>0.20481666107280083</v>
      </c>
      <c r="I53" s="19">
        <f t="shared" ca="1" si="73"/>
        <v>0.71047671531812306</v>
      </c>
      <c r="J53" s="19">
        <f t="shared" ca="1" si="3"/>
        <v>-0.43770070550317525</v>
      </c>
      <c r="K53" s="19">
        <f t="shared" ca="1" si="4"/>
        <v>-1.7261802237496684</v>
      </c>
      <c r="L53" s="19">
        <f t="array" aca="1" ref="L53:M53" ca="1">MMULT(J53:K53,TRANSPOSE($B$10:$C$11))</f>
        <v>-0.43770070550317525</v>
      </c>
      <c r="M53" s="19">
        <f ca="1"/>
        <v>-0.89054848591593805</v>
      </c>
      <c r="N53" s="20">
        <f t="shared" ca="1" si="30"/>
        <v>2.0213647239636017E-2</v>
      </c>
      <c r="O53" s="20">
        <f t="shared" ca="1" si="6"/>
        <v>-3.9357688436604393E-3</v>
      </c>
      <c r="P53" s="19">
        <f t="shared" ca="1" si="13"/>
        <v>103.18143287856232</v>
      </c>
      <c r="Q53" s="19">
        <f ca="1">HCTrans(P53,Strike,RiskFreeRate,Dividend,Variance_T0*AnnualVarConvtr,(Simulation!G53)/250,0.5,Variance_Avg*AnnualVarConvtr,Lambda,SQRT(Simulation!N53),Rho,1,"Call")</f>
        <v>28.189776049800358</v>
      </c>
      <c r="R53" s="19">
        <f t="shared" ca="1" si="7"/>
        <v>0.74292865176098455</v>
      </c>
      <c r="S53" s="19">
        <f t="shared" ca="1" si="8"/>
        <v>0.77715962197668964</v>
      </c>
      <c r="T53" s="19">
        <f t="shared" ca="1" si="14"/>
        <v>-2.7186164023959605</v>
      </c>
      <c r="U53" s="19">
        <f t="shared" ca="1" si="15"/>
        <v>-51.959411418937272</v>
      </c>
      <c r="V53" s="21">
        <f t="shared" ca="1" si="16"/>
        <v>4.7159184571896504E-5</v>
      </c>
      <c r="W53">
        <f t="shared" ca="1" si="17"/>
        <v>6.8672545148622897E-3</v>
      </c>
      <c r="X53" s="22">
        <f t="shared" ref="X53" ca="1" si="118">BSdelta(1,P53,Strike,W53*AnnualVarConvtr,Dividend,RiskFreeRate,G53/250)</f>
        <v>0.64419066968196814</v>
      </c>
      <c r="Y53" s="22">
        <f t="shared" ca="1" si="24"/>
        <v>3.775239930525752</v>
      </c>
      <c r="Z53" s="22">
        <f t="shared" ca="1" si="25"/>
        <v>-38.294726496524405</v>
      </c>
      <c r="AA53">
        <f t="shared" si="10"/>
        <v>0.73884103340948371</v>
      </c>
      <c r="AB53">
        <f t="shared" ref="AB53" ca="1" si="119">BSdelta(1,P53,Strike,AA53/AnnualVarConvtr,Dividend,RiskFreeRate,G53/250)</f>
        <v>0.77834680071104134</v>
      </c>
      <c r="AC53">
        <f t="shared" ca="1" si="20"/>
        <v>-2.7127489199946391</v>
      </c>
      <c r="AD53">
        <f t="shared" ca="1" si="21"/>
        <v>-52.083637489631201</v>
      </c>
    </row>
    <row r="54" spans="7:30" x14ac:dyDescent="0.25">
      <c r="G54" s="19">
        <v>201</v>
      </c>
      <c r="H54" s="19">
        <f t="shared" ca="1" si="73"/>
        <v>0.96745135934897275</v>
      </c>
      <c r="I54" s="19">
        <f t="shared" ca="1" si="73"/>
        <v>0.7768130382792312</v>
      </c>
      <c r="J54" s="19">
        <f t="shared" ca="1" si="3"/>
        <v>4.3135395474410913E-2</v>
      </c>
      <c r="K54" s="19">
        <f t="shared" ca="1" si="4"/>
        <v>-0.25361308619764567</v>
      </c>
      <c r="L54" s="19">
        <f t="array" aca="1" ref="L54:M54" ca="1">MMULT(J54:K54,TRANSPOSE($B$10:$C$11))</f>
        <v>4.3135395474410913E-2</v>
      </c>
      <c r="M54" s="19">
        <f ca="1"/>
        <v>-0.20782372598302801</v>
      </c>
      <c r="N54" s="20">
        <f t="shared" ca="1" si="30"/>
        <v>1.9425825760501669E-2</v>
      </c>
      <c r="O54" s="20">
        <f t="shared" ca="1" si="6"/>
        <v>3.8023625534172411E-4</v>
      </c>
      <c r="P54" s="19">
        <f t="shared" ca="1" si="13"/>
        <v>103.22067366013199</v>
      </c>
      <c r="Q54" s="19">
        <f ca="1">HCTrans(P54,Strike,RiskFreeRate,Dividend,Variance_T0*AnnualVarConvtr,(Simulation!G54)/250,0.5,Variance_Avg*AnnualVarConvtr,Lambda,SQRT(Simulation!N54),Rho,1,"Call")</f>
        <v>28.156689206010995</v>
      </c>
      <c r="R54" s="19">
        <f t="shared" ca="1" si="7"/>
        <v>0.74306986730290525</v>
      </c>
      <c r="S54" s="19">
        <f t="shared" ca="1" si="8"/>
        <v>0.7803309960515219</v>
      </c>
      <c r="T54" s="19">
        <f t="shared" ca="1" si="14"/>
        <v>0.32735136843246332</v>
      </c>
      <c r="U54" s="19">
        <f t="shared" ca="1" si="15"/>
        <v>-52.319849631159094</v>
      </c>
      <c r="V54" s="21">
        <f t="shared" ca="1" si="16"/>
        <v>1.8627900014612675E-5</v>
      </c>
      <c r="W54">
        <f t="shared" ca="1" si="17"/>
        <v>4.3160050990021636E-3</v>
      </c>
      <c r="X54" s="22">
        <f t="shared" ref="X54" ca="1" si="120">BSdelta(1,P54,Strike,W54*AnnualVarConvtr,Dividend,RiskFreeRate,G54/250)</f>
        <v>0.70837279442128021</v>
      </c>
      <c r="Y54" s="22">
        <f t="shared" ca="1" si="24"/>
        <v>6.6249221525304147</v>
      </c>
      <c r="Z54" s="22">
        <f t="shared" ca="1" si="25"/>
        <v>-44.952735492844184</v>
      </c>
      <c r="AA54">
        <f t="shared" si="10"/>
        <v>0.73884103340948371</v>
      </c>
      <c r="AB54">
        <f t="shared" ref="AB54" ca="1" si="121">BSdelta(1,P54,Strike,AA54/AnnualVarConvtr,Dividend,RiskFreeRate,G54/250)</f>
        <v>0.78156725732218346</v>
      </c>
      <c r="AC54">
        <f t="shared" ca="1" si="20"/>
        <v>0.3324177008953153</v>
      </c>
      <c r="AD54">
        <f t="shared" ca="1" si="21"/>
        <v>-52.449142034315877</v>
      </c>
    </row>
    <row r="55" spans="7:30" x14ac:dyDescent="0.25">
      <c r="G55" s="19">
        <v>200</v>
      </c>
      <c r="H55" s="19">
        <f t="shared" ca="1" si="73"/>
        <v>0.87135179575174238</v>
      </c>
      <c r="I55" s="19">
        <f t="shared" ca="1" si="73"/>
        <v>0.65758066677832427</v>
      </c>
      <c r="J55" s="19">
        <f t="shared" ca="1" si="3"/>
        <v>-0.28790687399661302</v>
      </c>
      <c r="K55" s="19">
        <f t="shared" ca="1" si="4"/>
        <v>-0.43878081303954131</v>
      </c>
      <c r="L55" s="19">
        <f t="array" aca="1" ref="L55:M55" ca="1">MMULT(J55:K55,TRANSPOSE($B$10:$C$11))</f>
        <v>-0.28790687399661302</v>
      </c>
      <c r="M55" s="19">
        <f ca="1"/>
        <v>-9.9802555884159344E-2</v>
      </c>
      <c r="N55" s="20">
        <f t="shared" ca="1" si="30"/>
        <v>1.9020613199770574E-2</v>
      </c>
      <c r="O55" s="20">
        <f t="shared" ca="1" si="6"/>
        <v>-2.5112750781323173E-3</v>
      </c>
      <c r="P55" s="19">
        <f t="shared" ca="1" si="13"/>
        <v>102.96178336325421</v>
      </c>
      <c r="Q55" s="19">
        <f ca="1">HCTrans(P55,Strike,RiskFreeRate,Dividend,Variance_T0*AnnualVarConvtr,(Simulation!G55)/250,0.5,Variance_Avg*AnnualVarConvtr,Lambda,SQRT(Simulation!N55),Rho,1,"Call")</f>
        <v>27.926165718053937</v>
      </c>
      <c r="R55" s="19">
        <f t="shared" ca="1" si="7"/>
        <v>0.74308829631406959</v>
      </c>
      <c r="S55" s="19">
        <f t="shared" ca="1" si="8"/>
        <v>0.76281203110068663</v>
      </c>
      <c r="T55" s="19">
        <f t="shared" ca="1" si="14"/>
        <v>-1.8037838740163445</v>
      </c>
      <c r="U55" s="19">
        <f t="shared" ca="1" si="15"/>
        <v>-50.746589245099806</v>
      </c>
      <c r="V55" s="21">
        <f t="shared" ca="1" si="16"/>
        <v>8.3608377916088295E-6</v>
      </c>
      <c r="W55">
        <f t="shared" ca="1" si="17"/>
        <v>2.8915113334740416E-3</v>
      </c>
      <c r="X55" s="22">
        <f t="shared" ref="X55" ca="1" si="122">BSdelta(1,P55,Strike,W55*AnnualVarConvtr,Dividend,RiskFreeRate,G55/250)</f>
        <v>0.76859230070357742</v>
      </c>
      <c r="Y55" s="22">
        <f t="shared" ca="1" si="24"/>
        <v>6.2003077600800127</v>
      </c>
      <c r="Z55" s="22">
        <f t="shared" ca="1" si="25"/>
        <v>-51.383566740881257</v>
      </c>
      <c r="AA55">
        <f t="shared" si="10"/>
        <v>0.73884103340948371</v>
      </c>
      <c r="AB55">
        <f t="shared" ref="AB55" ca="1" si="123">BSdelta(1,P55,Strike,AA55/AnnualVarConvtr,Dividend,RiskFreeRate,G55/250)</f>
        <v>0.76400615852722609</v>
      </c>
      <c r="AC55">
        <f t="shared" ca="1" si="20"/>
        <v>-1.8081220497471058</v>
      </c>
      <c r="AD55">
        <f t="shared" ca="1" si="21"/>
        <v>-50.871543472525829</v>
      </c>
    </row>
    <row r="56" spans="7:30" x14ac:dyDescent="0.25">
      <c r="G56" s="19">
        <v>199</v>
      </c>
      <c r="H56" s="19">
        <f t="shared" ca="1" si="73"/>
        <v>0.67835471583002427</v>
      </c>
      <c r="I56" s="19">
        <f t="shared" ca="1" si="73"/>
        <v>7.3572922437069033E-2</v>
      </c>
      <c r="J56" s="19">
        <f t="shared" ca="1" si="3"/>
        <v>0.7885359919586834</v>
      </c>
      <c r="K56" s="19">
        <f t="shared" ca="1" si="4"/>
        <v>0.39291333104155779</v>
      </c>
      <c r="L56" s="19">
        <f t="array" aca="1" ref="L56:M56" ca="1">MMULT(J56:K56,TRANSPOSE($B$10:$C$11))</f>
        <v>0.7885359919586834</v>
      </c>
      <c r="M56" s="19">
        <f ca="1"/>
        <v>-0.29089477048958912</v>
      </c>
      <c r="N56" s="20">
        <f t="shared" ca="1" si="30"/>
        <v>1.7986126034883941E-2</v>
      </c>
      <c r="O56" s="20">
        <f t="shared" ca="1" si="6"/>
        <v>6.688370657197149E-3</v>
      </c>
      <c r="P56" s="19">
        <f t="shared" ca="1" si="13"/>
        <v>103.65273803862245</v>
      </c>
      <c r="Q56" s="19">
        <f ca="1">HCTrans(P56,Strike,RiskFreeRate,Dividend,Variance_T0*AnnualVarConvtr,(Simulation!G56)/250,0.5,Variance_Avg*AnnualVarConvtr,Lambda,SQRT(Simulation!N56),Rho,1,"Call")</f>
        <v>28.321560344981265</v>
      </c>
      <c r="R56" s="19">
        <f t="shared" ca="1" si="7"/>
        <v>0.7434144192272687</v>
      </c>
      <c r="S56" s="19">
        <f t="shared" ca="1" si="8"/>
        <v>0.809542871391146</v>
      </c>
      <c r="T56" s="19">
        <f t="shared" ca="1" si="14"/>
        <v>4.8437795469516889</v>
      </c>
      <c r="U56" s="19">
        <f t="shared" ca="1" si="15"/>
        <v>-55.194974165124165</v>
      </c>
      <c r="V56" s="21">
        <f t="shared" ca="1" si="16"/>
        <v>8.4633481655565652E-5</v>
      </c>
      <c r="W56">
        <f t="shared" ca="1" si="17"/>
        <v>9.1996457353294668E-3</v>
      </c>
      <c r="X56" s="22">
        <f t="shared" ref="X56" ca="1" si="124">BSdelta(1,P56,Strike,W56*AnnualVarConvtr,Dividend,RiskFreeRate,G56/250)</f>
        <v>0.63357336195911629</v>
      </c>
      <c r="Y56" s="22">
        <f t="shared" ca="1" si="24"/>
        <v>-13.99508268793244</v>
      </c>
      <c r="Z56" s="22">
        <f t="shared" ca="1" si="25"/>
        <v>-36.993089426021491</v>
      </c>
      <c r="AA56">
        <f t="shared" si="10"/>
        <v>0.73884103340948371</v>
      </c>
      <c r="AB56">
        <f t="shared" ref="AB56" ca="1" si="125">BSdelta(1,P56,Strike,AA56/AnnualVarConvtr,Dividend,RiskFreeRate,G56/250)</f>
        <v>0.81094332551646753</v>
      </c>
      <c r="AC56">
        <f t="shared" ca="1" si="20"/>
        <v>4.8651658742109198</v>
      </c>
      <c r="AD56">
        <f t="shared" ca="1" si="21"/>
        <v>-55.341314719809418</v>
      </c>
    </row>
    <row r="57" spans="7:30" x14ac:dyDescent="0.25">
      <c r="G57" s="19">
        <v>198</v>
      </c>
      <c r="H57" s="19">
        <f t="shared" ca="1" si="73"/>
        <v>0.4397465787898186</v>
      </c>
      <c r="I57" s="19">
        <f t="shared" ca="1" si="73"/>
        <v>0.95775101663324202</v>
      </c>
      <c r="J57" s="19">
        <f t="shared" ca="1" si="3"/>
        <v>1.2369400510294843</v>
      </c>
      <c r="K57" s="19">
        <f t="shared" ca="1" si="4"/>
        <v>-0.33629252258235931</v>
      </c>
      <c r="L57" s="19">
        <f t="array" aca="1" ref="L57:M57" ca="1">MMULT(J57:K57,TRANSPOSE($B$10:$C$11))</f>
        <v>1.2369400510294843</v>
      </c>
      <c r="M57" s="19">
        <f ca="1"/>
        <v>-1.1208608692292321</v>
      </c>
      <c r="N57" s="20">
        <f t="shared" ca="1" si="30"/>
        <v>1.4431046093079877E-2</v>
      </c>
      <c r="O57" s="20">
        <f t="shared" ca="1" si="6"/>
        <v>9.3978293447920819E-3</v>
      </c>
      <c r="P57" s="19">
        <f t="shared" ca="1" si="13"/>
        <v>104.6314404176251</v>
      </c>
      <c r="Q57" s="19">
        <f ca="1">HCTrans(P57,Strike,RiskFreeRate,Dividend,Variance_T0*AnnualVarConvtr,(Simulation!G57)/250,0.5,Variance_Avg*AnnualVarConvtr,Lambda,SQRT(Simulation!N57),Rho,1,"Call")</f>
        <v>28.921633795183922</v>
      </c>
      <c r="R57" s="19">
        <f t="shared" ca="1" si="7"/>
        <v>0.74415815470153135</v>
      </c>
      <c r="S57" s="19">
        <f t="shared" ca="1" si="8"/>
        <v>0.86473737456213828</v>
      </c>
      <c r="T57" s="19">
        <f t="shared" ca="1" si="14"/>
        <v>5.7750803699160986</v>
      </c>
      <c r="U57" s="19">
        <f t="shared" ca="1" si="15"/>
        <v>-60.369981084837605</v>
      </c>
      <c r="V57" s="21">
        <f t="shared" ca="1" si="16"/>
        <v>7.3411663797836565E-6</v>
      </c>
      <c r="W57">
        <f t="shared" ca="1" si="17"/>
        <v>2.7094586875949329E-3</v>
      </c>
      <c r="X57" s="22">
        <f t="shared" ref="X57" ca="1" si="126">BSdelta(1,P57,Strike,W57*AnnualVarConvtr,Dividend,RiskFreeRate,G57/250)</f>
        <v>0.88619925468409311</v>
      </c>
      <c r="Y57" s="22">
        <f t="shared" ca="1" si="24"/>
        <v>26.432611042602762</v>
      </c>
      <c r="Z57" s="22">
        <f t="shared" ca="1" si="25"/>
        <v>-62.825627018421599</v>
      </c>
      <c r="AA57">
        <f t="shared" si="10"/>
        <v>0.73884103340948371</v>
      </c>
      <c r="AB57">
        <f t="shared" ref="AB57" ca="1" si="127">BSdelta(1,P57,Strike,AA57/AnnualVarConvtr,Dividend,RiskFreeRate,G57/250)</f>
        <v>0.86638905948547451</v>
      </c>
      <c r="AC57">
        <f t="shared" ca="1" si="20"/>
        <v>5.8013670101896464</v>
      </c>
      <c r="AD57">
        <f t="shared" ca="1" si="21"/>
        <v>-60.542608279796404</v>
      </c>
    </row>
    <row r="58" spans="7:30" x14ac:dyDescent="0.25">
      <c r="G58" s="19">
        <v>197</v>
      </c>
      <c r="H58" s="19">
        <f t="shared" ca="1" si="73"/>
        <v>0.93666637554040688</v>
      </c>
      <c r="I58" s="19">
        <f t="shared" ca="1" si="73"/>
        <v>0.15434718659094371</v>
      </c>
      <c r="J58" s="19">
        <f t="shared" ca="1" si="3"/>
        <v>0.20455383771069238</v>
      </c>
      <c r="K58" s="19">
        <f t="shared" ca="1" si="4"/>
        <v>0.29835207347149767</v>
      </c>
      <c r="L58" s="19">
        <f t="array" aca="1" ref="L58:M58" ca="1">MMULT(J58:K58,TRANSPOSE($B$10:$C$11))</f>
        <v>0.20455383771069238</v>
      </c>
      <c r="M58" s="19">
        <f ca="1"/>
        <v>6.156373040763044E-2</v>
      </c>
      <c r="N58" s="20">
        <f t="shared" ca="1" si="30"/>
        <v>1.4573807628914933E-2</v>
      </c>
      <c r="O58" s="20">
        <f t="shared" ca="1" si="6"/>
        <v>1.56179541617303E-3</v>
      </c>
      <c r="P58" s="19">
        <f t="shared" ca="1" si="13"/>
        <v>104.79498099687802</v>
      </c>
      <c r="Q58" s="19">
        <f ca="1">HCTrans(P58,Strike,RiskFreeRate,Dividend,Variance_T0*AnnualVarConvtr,(Simulation!G58)/250,0.5,Variance_Avg*AnnualVarConvtr,Lambda,SQRT(Simulation!N58),Rho,1,"Call")</f>
        <v>28.965315913884638</v>
      </c>
      <c r="R58" s="19">
        <f t="shared" ca="1" si="7"/>
        <v>0.74418845390942334</v>
      </c>
      <c r="S58" s="19">
        <f t="shared" ca="1" si="8"/>
        <v>0.87324768706089939</v>
      </c>
      <c r="T58" s="19">
        <f t="shared" ca="1" si="14"/>
        <v>0.89183803658516381</v>
      </c>
      <c r="U58" s="19">
        <f t="shared" ca="1" si="15"/>
        <v>-61.218137002722052</v>
      </c>
      <c r="V58" s="21">
        <f t="shared" ca="1" si="16"/>
        <v>6.1403427730468945E-5</v>
      </c>
      <c r="W58">
        <f t="shared" ca="1" si="17"/>
        <v>7.8360339286190524E-3</v>
      </c>
      <c r="X58" s="22">
        <f t="shared" ref="X58" ca="1" si="128">BSdelta(1,P58,Strike,W58*AnnualVarConvtr,Dividend,RiskFreeRate,G58/250)</f>
        <v>0.68468242021332315</v>
      </c>
      <c r="Y58" s="22">
        <f t="shared" ca="1" si="24"/>
        <v>-21.11795283891535</v>
      </c>
      <c r="Z58" s="22">
        <f t="shared" ca="1" si="25"/>
        <v>-41.663992060805533</v>
      </c>
      <c r="AA58">
        <f t="shared" si="10"/>
        <v>0.73884103340948371</v>
      </c>
      <c r="AB58">
        <f t="shared" ref="AB58" ca="1" si="129">BSdelta(1,P58,Strike,AA58/AnnualVarConvtr,Dividend,RiskFreeRate,G58/250)</f>
        <v>0.87489539796121729</v>
      </c>
      <c r="AC58">
        <f t="shared" ca="1" si="20"/>
        <v>0.89142157891847706</v>
      </c>
      <c r="AD58">
        <f t="shared" ca="1" si="21"/>
        <v>-61.390347740014164</v>
      </c>
    </row>
    <row r="59" spans="7:30" x14ac:dyDescent="0.25">
      <c r="G59" s="19">
        <v>196</v>
      </c>
      <c r="H59" s="19">
        <f t="shared" ca="1" si="73"/>
        <v>0.84128289873636097</v>
      </c>
      <c r="I59" s="19">
        <f t="shared" ca="1" si="73"/>
        <v>0.78837095017728354</v>
      </c>
      <c r="J59" s="19">
        <f t="shared" ca="1" si="3"/>
        <v>0.1403744780602626</v>
      </c>
      <c r="K59" s="19">
        <f t="shared" ca="1" si="4"/>
        <v>-0.57091995021205721</v>
      </c>
      <c r="L59" s="19">
        <f t="array" aca="1" ref="L59:M59" ca="1">MMULT(J59:K59,TRANSPOSE($B$10:$C$11))</f>
        <v>0.1403744780602626</v>
      </c>
      <c r="M59" s="19">
        <f ca="1"/>
        <v>-0.49884470098486544</v>
      </c>
      <c r="N59" s="20">
        <f t="shared" ca="1" si="30"/>
        <v>1.3094654156406427E-2</v>
      </c>
      <c r="O59" s="20">
        <f t="shared" ca="1" si="6"/>
        <v>1.0159332316085205E-3</v>
      </c>
      <c r="P59" s="19">
        <f t="shared" ca="1" si="13"/>
        <v>104.90149979941251</v>
      </c>
      <c r="Q59" s="19">
        <f ca="1">HCTrans(P59,Strike,RiskFreeRate,Dividend,Variance_T0*AnnualVarConvtr,(Simulation!G59)/250,0.5,Variance_Avg*AnnualVarConvtr,Lambda,SQRT(Simulation!N59),Rho,1,"Call")</f>
        <v>28.979292097877732</v>
      </c>
      <c r="R59" s="19">
        <f t="shared" ca="1" si="7"/>
        <v>0.74444819941416196</v>
      </c>
      <c r="S59" s="19">
        <f t="shared" ca="1" si="8"/>
        <v>0.87873081209011472</v>
      </c>
      <c r="T59" s="19">
        <f t="shared" ca="1" si="14"/>
        <v>0.57518803915238559</v>
      </c>
      <c r="U59" s="19">
        <f t="shared" ca="1" si="15"/>
        <v>-61.779348857881345</v>
      </c>
      <c r="V59" s="21">
        <f t="shared" ca="1" si="16"/>
        <v>2.9796552453753868E-7</v>
      </c>
      <c r="W59">
        <f t="shared" ca="1" si="17"/>
        <v>5.4586218456450955E-4</v>
      </c>
      <c r="X59" s="22">
        <f t="shared" ref="X59" ca="1" si="130">BSdelta(1,P59,Strike,W59*AnnualVarConvtr,Dividend,RiskFreeRate,G59/250)</f>
        <v>0.99999999981409615</v>
      </c>
      <c r="Y59" s="22">
        <f t="shared" ca="1" si="24"/>
        <v>33.077287013241722</v>
      </c>
      <c r="Z59" s="22">
        <f t="shared" ca="1" si="25"/>
        <v>-74.727302890054162</v>
      </c>
      <c r="AA59">
        <f t="shared" si="10"/>
        <v>0.73884103340948371</v>
      </c>
      <c r="AB59">
        <f t="shared" ref="AB59" ca="1" si="131">BSdelta(1,P59,Strike,AA59/AnnualVarConvtr,Dividend,RiskFreeRate,G59/250)</f>
        <v>0.88044606587749497</v>
      </c>
      <c r="AC59">
        <f t="shared" ca="1" si="20"/>
        <v>0.5822733893060078</v>
      </c>
      <c r="AD59">
        <f t="shared" ca="1" si="21"/>
        <v>-61.95864494532708</v>
      </c>
    </row>
    <row r="60" spans="7:30" x14ac:dyDescent="0.25">
      <c r="G60" s="19">
        <v>195</v>
      </c>
      <c r="H60" s="19">
        <f t="shared" ca="1" si="73"/>
        <v>2.8363122108095884E-2</v>
      </c>
      <c r="I60" s="19">
        <f t="shared" ca="1" si="73"/>
        <v>0.95709982792014614</v>
      </c>
      <c r="J60" s="19">
        <f t="shared" ca="1" si="3"/>
        <v>2.5729444009608642</v>
      </c>
      <c r="K60" s="19">
        <f t="shared" ca="1" si="4"/>
        <v>-0.71083619733630921</v>
      </c>
      <c r="L60" s="19">
        <f t="array" aca="1" ref="L60:M60" ca="1">MMULT(J60:K60,TRANSPOSE($B$10:$C$11))</f>
        <v>2.5729444009608642</v>
      </c>
      <c r="M60" s="19">
        <f ca="1"/>
        <v>-2.3393848186053408</v>
      </c>
      <c r="N60" s="20">
        <f t="shared" ca="1" si="30"/>
        <v>7.3211104751282783E-3</v>
      </c>
      <c r="O60" s="20">
        <f t="shared" ca="1" si="6"/>
        <v>1.3923514692916937E-2</v>
      </c>
      <c r="P60" s="19">
        <f t="shared" ca="1" si="13"/>
        <v>106.37231305674445</v>
      </c>
      <c r="Q60" s="19">
        <f ca="1">HCTrans(P60,Strike,RiskFreeRate,Dividend,Variance_T0*AnnualVarConvtr,(Simulation!G60)/250,0.5,Variance_Avg*AnnualVarConvtr,Lambda,SQRT(Simulation!N60),Rho,1,"Call")</f>
        <v>29.926225150004484</v>
      </c>
      <c r="R60" s="19">
        <f t="shared" ca="1" si="7"/>
        <v>0.74565540317527601</v>
      </c>
      <c r="S60" s="19">
        <f t="shared" ca="1" si="8"/>
        <v>0.93371190718535768</v>
      </c>
      <c r="T60" s="19">
        <f t="shared" ca="1" si="14"/>
        <v>5.8484662596738204</v>
      </c>
      <c r="U60" s="19">
        <f t="shared" ca="1" si="15"/>
        <v>-66.68088206542842</v>
      </c>
      <c r="V60" s="21">
        <f t="shared" ca="1" si="16"/>
        <v>1.6660565918031272E-4</v>
      </c>
      <c r="W60">
        <f t="shared" ca="1" si="17"/>
        <v>1.2907581461308416E-2</v>
      </c>
      <c r="X60" s="22">
        <f t="shared" ref="X60" ca="1" si="132">BSdelta(1,P60,Strike,W60*AnnualVarConvtr,Dividend,RiskFreeRate,G60/250)</f>
        <v>0.667438797667532</v>
      </c>
      <c r="Y60" s="22">
        <f t="shared" ca="1" si="24"/>
        <v>-35.375304305261594</v>
      </c>
      <c r="Z60" s="22">
        <f t="shared" ca="1" si="25"/>
        <v>-38.405065532665816</v>
      </c>
      <c r="AA60">
        <f t="shared" si="10"/>
        <v>0.73884103340948371</v>
      </c>
      <c r="AB60">
        <f t="shared" ref="AB60" ca="1" si="133">BSdelta(1,P60,Strike,AA60/AnnualVarConvtr,Dividend,RiskFreeRate,G60/250)</f>
        <v>0.93543093822141721</v>
      </c>
      <c r="AC60">
        <f t="shared" ca="1" si="20"/>
        <v>5.8488680543528266</v>
      </c>
      <c r="AD60">
        <f t="shared" ca="1" si="21"/>
        <v>-66.860579947553148</v>
      </c>
    </row>
    <row r="61" spans="7:30" x14ac:dyDescent="0.25">
      <c r="G61" s="19">
        <v>194</v>
      </c>
      <c r="H61" s="19">
        <f t="shared" ca="1" si="73"/>
        <v>0.75464538157912509</v>
      </c>
      <c r="I61" s="19">
        <f t="shared" ca="1" si="73"/>
        <v>3.2669988572430531E-2</v>
      </c>
      <c r="J61" s="19">
        <f t="shared" ca="1" si="3"/>
        <v>0.73459007680766153</v>
      </c>
      <c r="K61" s="19">
        <f t="shared" ca="1" si="4"/>
        <v>0.1529447146787925</v>
      </c>
      <c r="L61" s="19">
        <f t="array" aca="1" ref="L61:M61" ca="1">MMULT(J61:K61,TRANSPOSE($B$10:$C$11))</f>
        <v>0.73459007680766153</v>
      </c>
      <c r="M61" s="19">
        <f ca="1"/>
        <v>-0.41964153138454507</v>
      </c>
      <c r="N61" s="20">
        <f t="shared" ca="1" si="30"/>
        <v>6.465694906041158E-3</v>
      </c>
      <c r="O61" s="20">
        <f t="shared" ca="1" si="6"/>
        <v>3.7357917355207333E-3</v>
      </c>
      <c r="P61" s="19">
        <f t="shared" ca="1" si="13"/>
        <v>106.77044106338107</v>
      </c>
      <c r="Q61" s="19">
        <f ca="1">HCTrans(P61,Strike,RiskFreeRate,Dividend,Variance_T0*AnnualVarConvtr,(Simulation!G61)/250,0.5,Variance_Avg*AnnualVarConvtr,Lambda,SQRT(Simulation!N61),Rho,1,"Call")</f>
        <v>30.132923309803459</v>
      </c>
      <c r="R61" s="19">
        <f t="shared" ca="1" si="7"/>
        <v>0.74587968806015315</v>
      </c>
      <c r="S61" s="19">
        <f t="shared" ca="1" si="8"/>
        <v>0.94489412808543782</v>
      </c>
      <c r="T61" s="19">
        <f t="shared" ca="1" si="14"/>
        <v>1.1939306575697148</v>
      </c>
      <c r="U61" s="19">
        <f t="shared" ca="1" si="15"/>
        <v>-67.668114563199154</v>
      </c>
      <c r="V61" s="21">
        <f t="shared" ca="1" si="16"/>
        <v>1.0378969905665764E-4</v>
      </c>
      <c r="W61">
        <f t="shared" ca="1" si="17"/>
        <v>1.0187722957396204E-2</v>
      </c>
      <c r="X61" s="22">
        <f t="shared" ref="X61" ca="1" si="134">BSdelta(1,P61,Strike,W61*AnnualVarConvtr,Dividend,RiskFreeRate,G61/250)</f>
        <v>0.70285294716810842</v>
      </c>
      <c r="Y61" s="22">
        <f t="shared" ca="1" si="24"/>
        <v>3.7811843620610608</v>
      </c>
      <c r="Z61" s="22">
        <f t="shared" ca="1" si="25"/>
        <v>-41.979551734927902</v>
      </c>
      <c r="AA61">
        <f t="shared" si="10"/>
        <v>0.73884103340948371</v>
      </c>
      <c r="AB61">
        <f t="shared" ref="AB61" ca="1" si="135">BSdelta(1,P61,Strike,AA61/AnnualVarConvtr,Dividend,RiskFreeRate,G61/250)</f>
        <v>0.94652604006555363</v>
      </c>
      <c r="AC61">
        <f t="shared" ca="1" si="20"/>
        <v>1.1846289175415787</v>
      </c>
      <c r="AD61">
        <f t="shared" ca="1" si="21"/>
        <v>-67.838510705295747</v>
      </c>
    </row>
    <row r="62" spans="7:30" x14ac:dyDescent="0.25">
      <c r="G62" s="19">
        <v>193</v>
      </c>
      <c r="H62" s="19">
        <f t="shared" ca="1" si="73"/>
        <v>0.37949412607516531</v>
      </c>
      <c r="I62" s="19">
        <f t="shared" ca="1" si="73"/>
        <v>0.90925621540610346</v>
      </c>
      <c r="J62" s="19">
        <f t="shared" ca="1" si="3"/>
        <v>1.1718568400099527</v>
      </c>
      <c r="K62" s="19">
        <f t="shared" ca="1" si="4"/>
        <v>-0.75138796049709011</v>
      </c>
      <c r="L62" s="19">
        <f t="array" aca="1" ref="L62:M62" ca="1">MMULT(J62:K62,TRANSPOSE($B$10:$C$11))</f>
        <v>1.1718568400099527</v>
      </c>
      <c r="M62" s="19">
        <f ca="1"/>
        <v>-1.3637939676959281</v>
      </c>
      <c r="N62" s="20">
        <f t="shared" ca="1" si="30"/>
        <v>4.0593927043906719E-3</v>
      </c>
      <c r="O62" s="20">
        <f t="shared" ca="1" si="6"/>
        <v>4.7220990050463024E-3</v>
      </c>
      <c r="P62" s="19">
        <f t="shared" ca="1" si="13"/>
        <v>107.27581392816992</v>
      </c>
      <c r="Q62" s="19">
        <f ca="1">HCTrans(P62,Strike,RiskFreeRate,Dividend,Variance_T0*AnnualVarConvtr,(Simulation!G62)/250,0.5,Variance_Avg*AnnualVarConvtr,Lambda,SQRT(Simulation!N62),Rho,1,"Call")</f>
        <v>30.423070803747763</v>
      </c>
      <c r="R62" s="19">
        <f t="shared" ca="1" si="7"/>
        <v>0.74643634814858106</v>
      </c>
      <c r="S62" s="19">
        <f t="shared" ca="1" si="8"/>
        <v>0.95673071565225432</v>
      </c>
      <c r="T62" s="19">
        <f t="shared" ca="1" si="14"/>
        <v>1.2697795653622956</v>
      </c>
      <c r="U62" s="19">
        <f t="shared" ca="1" si="15"/>
        <v>-68.64774663461715</v>
      </c>
      <c r="V62" s="21">
        <f t="shared" ca="1" si="16"/>
        <v>9.728020299189834E-7</v>
      </c>
      <c r="W62">
        <f t="shared" ca="1" si="17"/>
        <v>9.8630726952556903E-4</v>
      </c>
      <c r="X62" s="22">
        <f t="shared" ref="X62" ca="1" si="136">BSdelta(1,P62,Strike,W62*AnnualVarConvtr,Dividend,RiskFreeRate,G62/250)</f>
        <v>0.99999985705566885</v>
      </c>
      <c r="Y62" s="22">
        <f t="shared" ca="1" si="24"/>
        <v>31.876676614428607</v>
      </c>
      <c r="Z62" s="22">
        <f t="shared" ca="1" si="25"/>
        <v>-73.56608085541221</v>
      </c>
      <c r="AA62">
        <f t="shared" si="10"/>
        <v>0.73884103340948371</v>
      </c>
      <c r="AB62">
        <f t="shared" ref="AB62" ca="1" si="137">BSdelta(1,P62,Strike,AA62/AnnualVarConvtr,Dividend,RiskFreeRate,G62/250)</f>
        <v>0.95828674433689176</v>
      </c>
      <c r="AC62">
        <f t="shared" ca="1" si="20"/>
        <v>1.2616391230763024</v>
      </c>
      <c r="AD62">
        <f t="shared" ca="1" si="21"/>
        <v>-68.81000233442775</v>
      </c>
    </row>
    <row r="63" spans="7:30" x14ac:dyDescent="0.25">
      <c r="G63" s="19">
        <v>192</v>
      </c>
      <c r="H63" s="19">
        <f t="shared" ca="1" si="73"/>
        <v>7.4804390993059022E-2</v>
      </c>
      <c r="I63" s="19">
        <f t="shared" ca="1" si="73"/>
        <v>0.12426804209113451</v>
      </c>
      <c r="J63" s="19">
        <f t="shared" ca="1" si="3"/>
        <v>1.6176303024708791</v>
      </c>
      <c r="K63" s="19">
        <f t="shared" ca="1" si="4"/>
        <v>1.6028192629694031</v>
      </c>
      <c r="L63" s="19">
        <f t="array" aca="1" ref="L63:M63" ca="1">MMULT(J63:K63,TRANSPOSE($B$10:$C$11))</f>
        <v>1.6176303024708791</v>
      </c>
      <c r="M63" s="19">
        <f ca="1"/>
        <v>-4.0926084126663431E-2</v>
      </c>
      <c r="N63" s="20">
        <f t="shared" ca="1" si="30"/>
        <v>4.0115383765025985E-3</v>
      </c>
      <c r="O63" s="20">
        <f t="shared" ca="1" si="6"/>
        <v>6.4798469032522933E-3</v>
      </c>
      <c r="P63" s="19">
        <f t="shared" ca="1" si="13"/>
        <v>107.97320182205581</v>
      </c>
      <c r="Q63" s="19">
        <f ca="1">HCTrans(P63,Strike,RiskFreeRate,Dividend,Variance_T0*AnnualVarConvtr,(Simulation!G63)/250,0.5,Variance_Avg*AnnualVarConvtr,Lambda,SQRT(Simulation!N63),Rho,1,"Call")</f>
        <v>30.827117186673334</v>
      </c>
      <c r="R63" s="19">
        <f t="shared" ca="1" si="7"/>
        <v>0.74652910341411827</v>
      </c>
      <c r="S63" s="19">
        <f t="shared" ca="1" si="8"/>
        <v>0.96958255324702303</v>
      </c>
      <c r="T63" s="19">
        <f t="shared" ca="1" si="14"/>
        <v>1.3876540544042464</v>
      </c>
      <c r="U63" s="19">
        <f t="shared" ca="1" si="15"/>
        <v>-69.63135430609583</v>
      </c>
      <c r="V63" s="21">
        <f t="shared" ca="1" si="16"/>
        <v>3.0896776736475788E-6</v>
      </c>
      <c r="W63">
        <f t="shared" ca="1" si="17"/>
        <v>1.757747898205991E-3</v>
      </c>
      <c r="X63" s="22">
        <f t="shared" ref="X63" ca="1" si="138">BSdelta(1,P63,Strike,W63*AnnualVarConvtr,Dividend,RiskFreeRate,G63/250)</f>
        <v>0.99921606566483145</v>
      </c>
      <c r="Y63" s="22">
        <f t="shared" ca="1" si="24"/>
        <v>-8.4628466029275998E-2</v>
      </c>
      <c r="Z63" s="22">
        <f t="shared" ca="1" si="25"/>
        <v>-73.077406006457366</v>
      </c>
      <c r="AA63">
        <f t="shared" si="10"/>
        <v>0.73884103340948371</v>
      </c>
      <c r="AB63">
        <f t="shared" ref="AB63" ca="1" si="139">BSdelta(1,P63,Strike,AA63/AnnualVarConvtr,Dividend,RiskFreeRate,G63/250)</f>
        <v>0.97087239341113962</v>
      </c>
      <c r="AC63">
        <f t="shared" ca="1" si="20"/>
        <v>1.3589128275553344</v>
      </c>
      <c r="AD63">
        <f t="shared" ca="1" si="21"/>
        <v>-69.764868779057508</v>
      </c>
    </row>
    <row r="64" spans="7:30" x14ac:dyDescent="0.25">
      <c r="G64" s="19">
        <v>191</v>
      </c>
      <c r="H64" s="19">
        <f t="shared" ca="1" si="73"/>
        <v>0.32571943003213188</v>
      </c>
      <c r="I64" s="19">
        <f t="shared" ca="1" si="73"/>
        <v>0.25263386059012682</v>
      </c>
      <c r="J64" s="19">
        <f t="shared" ca="1" si="3"/>
        <v>-2.4786194182751832E-2</v>
      </c>
      <c r="K64" s="19">
        <f t="shared" ca="1" si="4"/>
        <v>1.4976059124778822</v>
      </c>
      <c r="L64" s="19">
        <f t="array" aca="1" ref="L64:M64" ca="1">MMULT(J64:K64,TRANSPOSE($B$10:$C$11))</f>
        <v>-2.4786194182751832E-2</v>
      </c>
      <c r="M64" s="19">
        <f ca="1"/>
        <v>1.062469860586464</v>
      </c>
      <c r="N64" s="20">
        <f t="shared" ca="1" si="30"/>
        <v>5.8473543172612432E-3</v>
      </c>
      <c r="O64" s="20">
        <f t="shared" ca="1" si="6"/>
        <v>-1.1987249608721933E-4</v>
      </c>
      <c r="P64" s="19">
        <f t="shared" ca="1" si="13"/>
        <v>107.96025958056777</v>
      </c>
      <c r="Q64" s="19">
        <f ca="1">HCTrans(P64,Strike,RiskFreeRate,Dividend,Variance_T0*AnnualVarConvtr,(Simulation!G64)/250,0.5,Variance_Avg*AnnualVarConvtr,Lambda,SQRT(Simulation!N64),Rho,1,"Call")</f>
        <v>30.740033555591651</v>
      </c>
      <c r="R64" s="19">
        <f t="shared" ca="1" si="7"/>
        <v>0.74618291235356815</v>
      </c>
      <c r="S64" s="19">
        <f t="shared" ca="1" si="8"/>
        <v>0.9697706498309836</v>
      </c>
      <c r="T64" s="19">
        <f t="shared" ca="1" si="14"/>
        <v>2.0306956030601526E-2</v>
      </c>
      <c r="U64" s="19">
        <f t="shared" ca="1" si="15"/>
        <v>-69.738744893208107</v>
      </c>
      <c r="V64" s="21">
        <f t="shared" ca="1" si="16"/>
        <v>4.3556296150018294E-5</v>
      </c>
      <c r="W64">
        <f t="shared" ca="1" si="17"/>
        <v>6.5997193993395124E-3</v>
      </c>
      <c r="X64" s="22">
        <f t="shared" ref="X64" ca="1" si="140">BSdelta(1,P64,Strike,W64*AnnualVarConvtr,Dividend,RiskFreeRate,G64/250)</f>
        <v>0.81201580447069954</v>
      </c>
      <c r="Y64" s="22">
        <f t="shared" ca="1" si="24"/>
        <v>-20.210188792068568</v>
      </c>
      <c r="Z64" s="22">
        <f t="shared" ca="1" si="25"/>
        <v>-52.954300845470485</v>
      </c>
      <c r="AA64">
        <f t="shared" si="10"/>
        <v>0.73884103340948371</v>
      </c>
      <c r="AB64">
        <f t="shared" ref="AB64" ca="1" si="141">BSdelta(1,P64,Strike,AA64/AnnualVarConvtr,Dividend,RiskFreeRate,G64/250)</f>
        <v>0.97099892916649222</v>
      </c>
      <c r="AC64">
        <f t="shared" ca="1" si="20"/>
        <v>1.3660832994089586E-2</v>
      </c>
      <c r="AD64">
        <f t="shared" ca="1" si="21"/>
        <v>-69.865613243133282</v>
      </c>
    </row>
    <row r="65" spans="7:30" x14ac:dyDescent="0.25">
      <c r="G65" s="19">
        <v>190</v>
      </c>
      <c r="H65" s="19">
        <f t="shared" ca="1" si="73"/>
        <v>0.75212739727610978</v>
      </c>
      <c r="I65" s="19">
        <f t="shared" ca="1" si="73"/>
        <v>0.44419038583045567</v>
      </c>
      <c r="J65" s="19">
        <f t="shared" ca="1" si="3"/>
        <v>-0.70885210813073207</v>
      </c>
      <c r="K65" s="19">
        <f t="shared" ca="1" si="4"/>
        <v>0.25928325248134348</v>
      </c>
      <c r="L65" s="19">
        <f t="array" aca="1" ref="L65:M65" ca="1">MMULT(J65:K65,TRANSPOSE($B$10:$C$11))</f>
        <v>-0.70885210813073207</v>
      </c>
      <c r="M65" s="19">
        <f ca="1"/>
        <v>0.68876518540652398</v>
      </c>
      <c r="N65" s="20">
        <f t="shared" ca="1" si="30"/>
        <v>7.2164621105652261E-3</v>
      </c>
      <c r="O65" s="20">
        <f t="shared" ca="1" si="6"/>
        <v>-3.8084459712228081E-3</v>
      </c>
      <c r="P65" s="19">
        <f t="shared" ca="1" si="13"/>
        <v>107.54988071380693</v>
      </c>
      <c r="Q65" s="19">
        <f ca="1">HCTrans(P65,Strike,RiskFreeRate,Dividend,Variance_T0*AnnualVarConvtr,(Simulation!G65)/250,0.5,Variance_Avg*AnnualVarConvtr,Lambda,SQRT(Simulation!N65),Rho,1,"Call")</f>
        <v>30.388927333964517</v>
      </c>
      <c r="R65" s="19">
        <f t="shared" ca="1" si="7"/>
        <v>0.74590682848260625</v>
      </c>
      <c r="S65" s="19">
        <f t="shared" ca="1" si="8"/>
        <v>0.96330016881485803</v>
      </c>
      <c r="T65" s="19">
        <f t="shared" ca="1" si="14"/>
        <v>-0.69589946144525761</v>
      </c>
      <c r="U65" s="19">
        <f t="shared" ca="1" si="15"/>
        <v>-69.39395165338999</v>
      </c>
      <c r="V65" s="21">
        <f t="shared" ca="1" si="16"/>
        <v>1.3605574281473832E-5</v>
      </c>
      <c r="W65">
        <f t="shared" ca="1" si="17"/>
        <v>3.6885734751355885E-3</v>
      </c>
      <c r="X65" s="22">
        <f t="shared" ref="X65" ca="1" si="142">BSdelta(1,P65,Strike,W65*AnnualVarConvtr,Dividend,RiskFreeRate,G65/250)</f>
        <v>0.92743677349521636</v>
      </c>
      <c r="Y65" s="22">
        <f t="shared" ca="1" si="24"/>
        <v>12.413511450458788</v>
      </c>
      <c r="Z65" s="22">
        <f t="shared" ca="1" si="25"/>
        <v>-65.718918517556403</v>
      </c>
      <c r="AA65">
        <f t="shared" si="10"/>
        <v>0.73884103340948371</v>
      </c>
      <c r="AB65">
        <f t="shared" ref="AB65" ca="1" si="143">BSdelta(1,P65,Strike,AA65/AnnualVarConvtr,Dividend,RiskFreeRate,G65/250)</f>
        <v>0.96462414067708491</v>
      </c>
      <c r="AC65">
        <f t="shared" ca="1" si="20"/>
        <v>-0.68560774161150595</v>
      </c>
      <c r="AD65">
        <f t="shared" ca="1" si="21"/>
        <v>-69.531111723148911</v>
      </c>
    </row>
    <row r="66" spans="7:30" x14ac:dyDescent="0.25">
      <c r="G66" s="19">
        <v>189</v>
      </c>
      <c r="H66" s="19">
        <f t="shared" ca="1" si="73"/>
        <v>0.71015977066157387</v>
      </c>
      <c r="I66" s="19">
        <f t="shared" ca="1" si="73"/>
        <v>0.75491137428909127</v>
      </c>
      <c r="J66" s="19">
        <f t="shared" ca="1" si="3"/>
        <v>2.5527624721479021E-2</v>
      </c>
      <c r="K66" s="19">
        <f t="shared" ca="1" si="4"/>
        <v>-0.8269697398928908</v>
      </c>
      <c r="L66" s="19">
        <f t="array" aca="1" ref="L66:M66" ca="1">MMULT(J66:K66,TRANSPOSE($B$10:$C$11))</f>
        <v>2.5527624721479021E-2</v>
      </c>
      <c r="M66" s="19">
        <f ca="1"/>
        <v>-0.5951739585885274</v>
      </c>
      <c r="N66" s="20">
        <f t="shared" ca="1" si="30"/>
        <v>6.0290588373672054E-3</v>
      </c>
      <c r="O66" s="20">
        <f t="shared" ca="1" si="6"/>
        <v>1.2536178388255787E-4</v>
      </c>
      <c r="P66" s="19">
        <f t="shared" ca="1" si="13"/>
        <v>107.56336420384909</v>
      </c>
      <c r="Q66" s="19">
        <f ca="1">HCTrans(P66,Strike,RiskFreeRate,Dividend,Variance_T0*AnnualVarConvtr,(Simulation!G66)/250,0.5,Variance_Avg*AnnualVarConvtr,Lambda,SQRT(Simulation!N66),Rho,1,"Call")</f>
        <v>30.338549072907867</v>
      </c>
      <c r="R66" s="19">
        <f t="shared" ca="1" si="7"/>
        <v>0.74612601737591655</v>
      </c>
      <c r="S66" s="19">
        <f t="shared" ca="1" si="8"/>
        <v>0.96387180077985457</v>
      </c>
      <c r="T66" s="19">
        <f t="shared" ca="1" si="14"/>
        <v>6.1486657241485179E-2</v>
      </c>
      <c r="U66" s="19">
        <f t="shared" ca="1" si="15"/>
        <v>-69.505816571688129</v>
      </c>
      <c r="V66" s="21">
        <f t="shared" ca="1" si="16"/>
        <v>1.5474843454127123E-5</v>
      </c>
      <c r="W66">
        <f t="shared" ca="1" si="17"/>
        <v>3.9338077551053664E-3</v>
      </c>
      <c r="X66" s="22">
        <f t="shared" ref="X66" ca="1" si="144">BSdelta(1,P66,Strike,W66*AnnualVarConvtr,Dividend,RiskFreeRate,G66/250)</f>
        <v>0.91546590683654028</v>
      </c>
      <c r="Y66" s="22">
        <f t="shared" ca="1" si="24"/>
        <v>-1.2876266902428894</v>
      </c>
      <c r="Z66" s="22">
        <f t="shared" ca="1" si="25"/>
        <v>-64.481670088370166</v>
      </c>
      <c r="AA66">
        <f t="shared" si="10"/>
        <v>0.73884103340948371</v>
      </c>
      <c r="AB66">
        <f t="shared" ref="AB66" ca="1" si="145">BSdelta(1,P66,Strike,AA66/AnnualVarConvtr,Dividend,RiskFreeRate,G66/250)</f>
        <v>0.96522421430134364</v>
      </c>
      <c r="AC66">
        <f t="shared" ca="1" si="20"/>
        <v>6.4545937795265962E-2</v>
      </c>
      <c r="AD66">
        <f t="shared" ca="1" si="21"/>
        <v>-69.64603592200082</v>
      </c>
    </row>
    <row r="67" spans="7:30" x14ac:dyDescent="0.25">
      <c r="G67" s="19">
        <v>188</v>
      </c>
      <c r="H67" s="19">
        <f t="shared" ca="1" si="73"/>
        <v>6.4519358580708785E-2</v>
      </c>
      <c r="I67" s="19">
        <f t="shared" ca="1" si="73"/>
        <v>0.84783721790486977</v>
      </c>
      <c r="J67" s="19">
        <f t="shared" ca="1" si="3"/>
        <v>1.3503023843544424</v>
      </c>
      <c r="K67" s="19">
        <f t="shared" ca="1" si="4"/>
        <v>-1.9126587267886705</v>
      </c>
      <c r="L67" s="19">
        <f t="array" aca="1" ref="L67:M67" ca="1">MMULT(J67:K67,TRANSPOSE($B$10:$C$11))</f>
        <v>1.3503023843544424</v>
      </c>
      <c r="M67" s="19">
        <f ca="1"/>
        <v>-2.3017376963307745</v>
      </c>
      <c r="N67" s="20">
        <f t="shared" ca="1" si="30"/>
        <v>2.4484542362342757E-3</v>
      </c>
      <c r="O67" s="20">
        <f t="shared" ca="1" si="6"/>
        <v>4.2257813856844476E-3</v>
      </c>
      <c r="P67" s="19">
        <f t="shared" ca="1" si="13"/>
        <v>108.01886521209228</v>
      </c>
      <c r="Q67" s="19">
        <f ca="1">HCTrans(P67,Strike,RiskFreeRate,Dividend,Variance_T0*AnnualVarConvtr,(Simulation!G67)/250,0.5,Variance_Avg*AnnualVarConvtr,Lambda,SQRT(Simulation!N67),Rho,1,"Call")</f>
        <v>30.603996131077594</v>
      </c>
      <c r="R67" s="19">
        <f t="shared" ca="1" si="7"/>
        <v>0.74693417219776448</v>
      </c>
      <c r="S67" s="19">
        <f t="shared" ca="1" si="8"/>
        <v>0.97150666236532668</v>
      </c>
      <c r="T67" s="19">
        <f t="shared" ca="1" si="14"/>
        <v>0.82470908451409275</v>
      </c>
      <c r="U67" s="19">
        <f t="shared" ca="1" si="15"/>
        <v>-70.0650785980325</v>
      </c>
      <c r="V67" s="21">
        <f t="shared" ca="1" si="16"/>
        <v>1.6813440910841169E-5</v>
      </c>
      <c r="W67">
        <f t="shared" ca="1" si="17"/>
        <v>4.1004196018018897E-3</v>
      </c>
      <c r="X67" s="22">
        <f t="shared" ref="X67" ca="1" si="146">BSdelta(1,P67,Strike,W67*AnnualVarConvtr,Dividend,RiskFreeRate,G67/250)</f>
        <v>0.91925718234326848</v>
      </c>
      <c r="Y67" s="22">
        <f t="shared" ca="1" si="24"/>
        <v>0.40952927794318006</v>
      </c>
      <c r="Z67" s="22">
        <f t="shared" ca="1" si="25"/>
        <v>-64.625752308143618</v>
      </c>
      <c r="AA67">
        <f t="shared" si="10"/>
        <v>0.73884103340948371</v>
      </c>
      <c r="AB67">
        <f t="shared" ref="AB67" ca="1" si="147">BSdelta(1,P67,Strike,AA67/AnnualVarConvtr,Dividend,RiskFreeRate,G67/250)</f>
        <v>0.97281119739298882</v>
      </c>
      <c r="AC67">
        <f t="shared" ca="1" si="20"/>
        <v>0.81953730394284419</v>
      </c>
      <c r="AD67">
        <f t="shared" ca="1" si="21"/>
        <v>-70.200126167773931</v>
      </c>
    </row>
    <row r="68" spans="7:30" x14ac:dyDescent="0.25">
      <c r="G68" s="19">
        <v>187</v>
      </c>
      <c r="H68" s="19">
        <f t="shared" ca="1" si="73"/>
        <v>1.5599023862240435E-2</v>
      </c>
      <c r="I68" s="19">
        <f t="shared" ca="1" si="73"/>
        <v>0.18940930323274563</v>
      </c>
      <c r="J68" s="19">
        <f t="shared" ca="1" si="3"/>
        <v>1.0718503816170855</v>
      </c>
      <c r="K68" s="19">
        <f t="shared" ca="1" si="4"/>
        <v>2.6781020590453131</v>
      </c>
      <c r="L68" s="19">
        <f t="array" aca="1" ref="L68:M68" ca="1">MMULT(J68:K68,TRANSPOSE($B$10:$C$11))</f>
        <v>1.0718503816170855</v>
      </c>
      <c r="M68" s="19">
        <f ca="1"/>
        <v>1.100228627244378</v>
      </c>
      <c r="N68" s="20">
        <f t="shared" ca="1" si="30"/>
        <v>3.989696395341821E-3</v>
      </c>
      <c r="O68" s="20">
        <f t="shared" ca="1" si="6"/>
        <v>4.2818760045819125E-3</v>
      </c>
      <c r="P68" s="19">
        <f t="shared" ca="1" si="13"/>
        <v>108.48238024784943</v>
      </c>
      <c r="Q68" s="19">
        <f ca="1">HCTrans(P68,Strike,RiskFreeRate,Dividend,Variance_T0*AnnualVarConvtr,(Simulation!G68)/250,0.5,Variance_Avg*AnnualVarConvtr,Lambda,SQRT(Simulation!N68),Rho,1,"Call")</f>
        <v>30.838113996449337</v>
      </c>
      <c r="R68" s="19">
        <f t="shared" ca="1" si="7"/>
        <v>0.74663825487813551</v>
      </c>
      <c r="S68" s="19">
        <f t="shared" ca="1" si="8"/>
        <v>0.97799367707688589</v>
      </c>
      <c r="T68" s="19">
        <f t="shared" ca="1" si="14"/>
        <v>0.70372679661275994</v>
      </c>
      <c r="U68" s="19">
        <f t="shared" ca="1" si="15"/>
        <v>-70.534687529273512</v>
      </c>
      <c r="V68" s="21">
        <f t="shared" ca="1" si="16"/>
        <v>3.1466062692518357E-9</v>
      </c>
      <c r="W68">
        <f t="shared" ca="1" si="17"/>
        <v>5.6094618897464983E-5</v>
      </c>
      <c r="X68" s="22">
        <f t="shared" ref="X68" ca="1" si="148">BSdelta(1,P68,Strike,W68*AnnualVarConvtr,Dividend,RiskFreeRate,G68/250)</f>
        <v>1</v>
      </c>
      <c r="Y68" s="22">
        <f t="shared" ca="1" si="24"/>
        <v>8.7591730473203206</v>
      </c>
      <c r="Z68" s="22">
        <f t="shared" ca="1" si="25"/>
        <v>-73.150807490092191</v>
      </c>
      <c r="AA68">
        <f t="shared" si="10"/>
        <v>0.73884103340948371</v>
      </c>
      <c r="AB68">
        <f t="shared" ref="AB68" ca="1" si="149">BSdelta(1,P68,Strike,AA68/AnnualVarConvtr,Dividend,RiskFreeRate,G68/250)</f>
        <v>0.97906428133388856</v>
      </c>
      <c r="AC68">
        <f t="shared" ca="1" si="20"/>
        <v>0.6783494297984064</v>
      </c>
      <c r="AD68">
        <f t="shared" ca="1" si="21"/>
        <v>-70.644357732200589</v>
      </c>
    </row>
    <row r="69" spans="7:30" x14ac:dyDescent="0.25">
      <c r="G69" s="19">
        <v>186</v>
      </c>
      <c r="H69" s="19">
        <f t="shared" ca="1" si="73"/>
        <v>0.36648034002741536</v>
      </c>
      <c r="I69" s="19">
        <f t="shared" ca="1" si="73"/>
        <v>0.6324581266643069</v>
      </c>
      <c r="J69" s="19">
        <f t="shared" ca="1" si="3"/>
        <v>-0.95387072895226488</v>
      </c>
      <c r="K69" s="19">
        <f t="shared" ca="1" si="4"/>
        <v>-1.0477363387878431</v>
      </c>
      <c r="L69" s="19">
        <f t="array" aca="1" ref="L69:M69" ca="1">MMULT(J69:K69,TRANSPOSE($B$10:$C$11))</f>
        <v>-0.95387072895226488</v>
      </c>
      <c r="M69" s="19">
        <f ca="1"/>
        <v>-4.7438967768779206E-2</v>
      </c>
      <c r="N69" s="20">
        <f t="shared" ca="1" si="30"/>
        <v>3.9327621379865061E-3</v>
      </c>
      <c r="O69" s="20">
        <f t="shared" ca="1" si="6"/>
        <v>-3.78327889493859E-3</v>
      </c>
      <c r="P69" s="19">
        <f t="shared" ca="1" si="13"/>
        <v>108.0727365350009</v>
      </c>
      <c r="Q69" s="19">
        <f ca="1">HCTrans(P69,Strike,RiskFreeRate,Dividend,Variance_T0*AnnualVarConvtr,(Simulation!G69)/250,0.5,Variance_Avg*AnnualVarConvtr,Lambda,SQRT(Simulation!N69),Rho,1,"Call")</f>
        <v>30.494492703658921</v>
      </c>
      <c r="R69" s="19">
        <f t="shared" ca="1" si="7"/>
        <v>0.74661825182284058</v>
      </c>
      <c r="S69" s="19">
        <f t="shared" ca="1" si="8"/>
        <v>0.97297488888375216</v>
      </c>
      <c r="T69" s="19">
        <f t="shared" ca="1" si="14"/>
        <v>-0.54239417412151458</v>
      </c>
      <c r="U69" s="19">
        <f t="shared" ca="1" si="15"/>
        <v>-70.335914647942417</v>
      </c>
      <c r="V69" s="21">
        <f t="shared" ca="1" si="16"/>
        <v>6.5046723553259571E-5</v>
      </c>
      <c r="W69">
        <f t="shared" ca="1" si="17"/>
        <v>8.0651548995205029E-3</v>
      </c>
      <c r="X69" s="22">
        <f t="shared" ref="X69" ca="1" si="150">BSdelta(1,P69,Strike,W69*AnnualVarConvtr,Dividend,RiskFreeRate,G69/250)</f>
        <v>0.77661220665700204</v>
      </c>
      <c r="Y69" s="22">
        <f t="shared" ca="1" si="24"/>
        <v>-24.142130135093048</v>
      </c>
      <c r="Z69" s="22">
        <f t="shared" ca="1" si="25"/>
        <v>-49.35229864778956</v>
      </c>
      <c r="AA69">
        <f t="shared" si="10"/>
        <v>0.73884103340948371</v>
      </c>
      <c r="AB69">
        <f t="shared" ref="AB69" ca="1" si="151">BSdelta(1,P69,Strike,AA69/AnnualVarConvtr,Dividend,RiskFreeRate,G69/250)</f>
        <v>0.97418977103587234</v>
      </c>
      <c r="AC69">
        <f t="shared" ca="1" si="20"/>
        <v>-0.52680166717465582</v>
      </c>
      <c r="AD69">
        <f t="shared" ca="1" si="21"/>
        <v>-70.461177357816354</v>
      </c>
    </row>
    <row r="70" spans="7:30" x14ac:dyDescent="0.25">
      <c r="G70" s="19">
        <v>185</v>
      </c>
      <c r="H70" s="19">
        <f t="shared" ca="1" si="73"/>
        <v>6.3092478224575199E-2</v>
      </c>
      <c r="I70" s="19">
        <f t="shared" ca="1" si="73"/>
        <v>0.56844211907942566</v>
      </c>
      <c r="J70" s="19">
        <f t="shared" ref="J70:J133" ca="1" si="152">SQRT(-2*LN(H70))*COS(2*PI()*I70)</f>
        <v>-2.1367719050680072</v>
      </c>
      <c r="K70" s="19">
        <f t="shared" ref="K70:K133" ca="1" si="153">SQRT(-2*LN(H70))*SIN(2*PI()*I70)</f>
        <v>-0.98005778752509565</v>
      </c>
      <c r="L70" s="19">
        <f t="array" aca="1" ref="L70:M70" ca="1">MMULT(J70:K70,TRANSPOSE($B$10:$C$11))</f>
        <v>-2.1367719050680072</v>
      </c>
      <c r="M70" s="19">
        <f ca="1"/>
        <v>0.84732140863943139</v>
      </c>
      <c r="N70" s="20">
        <f t="shared" ca="1" si="30"/>
        <v>5.3601166940443782E-3</v>
      </c>
      <c r="O70" s="20">
        <f t="shared" ref="O70:O133" ca="1" si="154">GetStockReturns(0,RiskFreeRate,N70,L70,"Daily")</f>
        <v>-9.8940769301984841E-3</v>
      </c>
      <c r="P70" s="19">
        <f t="shared" ca="1" si="13"/>
        <v>107.00872893207777</v>
      </c>
      <c r="Q70" s="19">
        <f ca="1">HCTrans(P70,Strike,RiskFreeRate,Dividend,Variance_T0*AnnualVarConvtr,(Simulation!G70)/250,0.5,Variance_Avg*AnnualVarConvtr,Lambda,SQRT(Simulation!N70),Rho,1,"Call")</f>
        <v>29.702970198401104</v>
      </c>
      <c r="R70" s="19">
        <f t="shared" ref="R70:R133" ca="1" si="155">BSvol(1,P70,Strike,Q70,Dividend,RiskFreeRate,G70/250)</f>
        <v>0.7462299071772901</v>
      </c>
      <c r="S70" s="19">
        <f t="shared" ref="S70:S133" ca="1" si="156">BSdelta(1,P70,Strike,R70/AnnualVarConvtr,Dividend,RiskFreeRate,G70/250)</f>
        <v>0.95437178806842238</v>
      </c>
      <c r="T70" s="19">
        <f t="shared" ca="1" si="14"/>
        <v>-1.9906941724437401</v>
      </c>
      <c r="U70" s="19">
        <f t="shared" ca="1" si="15"/>
        <v>-69.136742980756495</v>
      </c>
      <c r="V70" s="21">
        <f t="shared" ca="1" si="16"/>
        <v>3.7341852627736189E-5</v>
      </c>
      <c r="W70">
        <f t="shared" ca="1" si="17"/>
        <v>6.1107980352598946E-3</v>
      </c>
      <c r="X70" s="22">
        <f t="shared" ref="X70" ca="1" si="157">BSdelta(1,P70,Strike,W70*AnnualVarConvtr,Dividend,RiskFreeRate,G70/250)</f>
        <v>0.80415808534311184</v>
      </c>
      <c r="Y70" s="22">
        <f t="shared" ca="1" si="24"/>
        <v>2.9476494655178227</v>
      </c>
      <c r="Z70" s="22">
        <f t="shared" ca="1" si="25"/>
        <v>-53.091470618565197</v>
      </c>
      <c r="AA70">
        <f t="shared" ref="AA70:AA133" si="158">$R$5</f>
        <v>0.73884103340948371</v>
      </c>
      <c r="AB70">
        <f t="shared" ref="AB70" ca="1" si="159">BSdelta(1,P70,Strike,AA70/AnnualVarConvtr,Dividend,RiskFreeRate,G70/250)</f>
        <v>0.95593002089389467</v>
      </c>
      <c r="AC70">
        <f t="shared" ca="1" si="20"/>
        <v>-1.9539526533103573</v>
      </c>
      <c r="AD70">
        <f t="shared" ca="1" si="21"/>
        <v>-69.298747209763818</v>
      </c>
    </row>
    <row r="71" spans="7:30" x14ac:dyDescent="0.25">
      <c r="G71" s="19">
        <v>184</v>
      </c>
      <c r="H71" s="19">
        <f t="shared" ca="1" si="73"/>
        <v>0.37592138544607967</v>
      </c>
      <c r="I71" s="19">
        <f t="shared" ca="1" si="73"/>
        <v>0.90604169987535033</v>
      </c>
      <c r="J71" s="19">
        <f t="shared" ca="1" si="152"/>
        <v>1.1620739750708273</v>
      </c>
      <c r="K71" s="19">
        <f t="shared" ca="1" si="153"/>
        <v>-0.77867487046230777</v>
      </c>
      <c r="L71" s="19">
        <f t="array" aca="1" ref="L71:M71" ca="1">MMULT(J71:K71,TRANSPOSE($B$10:$C$11))</f>
        <v>1.1620739750708273</v>
      </c>
      <c r="M71" s="19">
        <f ca="1"/>
        <v>-1.3758195411212553</v>
      </c>
      <c r="N71" s="20">
        <f t="shared" ca="1" si="30"/>
        <v>3.1837022871843155E-3</v>
      </c>
      <c r="O71" s="20">
        <f t="shared" ca="1" si="154"/>
        <v>4.1469614246648556E-3</v>
      </c>
      <c r="P71" s="19">
        <f t="shared" ref="P71:P134" ca="1" si="160">P70*EXP(O71)</f>
        <v>107.4534114063174</v>
      </c>
      <c r="Q71" s="19">
        <f ca="1">HCTrans(P71,Strike,RiskFreeRate,Dividend,Variance_T0*AnnualVarConvtr,(Simulation!G71)/250,0.5,Variance_Avg*AnnualVarConvtr,Lambda,SQRT(Simulation!N71),Rho,1,"Call")</f>
        <v>29.948545836466735</v>
      </c>
      <c r="R71" s="19">
        <f t="shared" ca="1" si="155"/>
        <v>0.74674053437928434</v>
      </c>
      <c r="S71" s="19">
        <f t="shared" ca="1" si="156"/>
        <v>0.96363334397997402</v>
      </c>
      <c r="T71" s="19">
        <f t="shared" ref="T71:T134" ca="1" si="161">(S71-S70)*P71</f>
        <v>0.99518577762656979</v>
      </c>
      <c r="U71" s="19">
        <f t="shared" ref="U71:U134" ca="1" si="162">(Q71-Q70)+U70-T71</f>
        <v>-69.886353120317438</v>
      </c>
      <c r="V71" s="21">
        <f t="shared" ref="V71:V134" ca="1" si="163">(O71-O70)^2</f>
        <v>1.9715075808274338E-4</v>
      </c>
      <c r="W71">
        <f t="shared" ref="W71:W134" ca="1" si="164">SQRT(V71)</f>
        <v>1.4041038354863339E-2</v>
      </c>
      <c r="X71" s="22">
        <f t="shared" ref="X71" ca="1" si="165">BSdelta(1,P71,Strike,W71*AnnualVarConvtr,Dividend,RiskFreeRate,G71/250)</f>
        <v>0.68177460399008005</v>
      </c>
      <c r="Y71" s="22">
        <f t="shared" ca="1" si="24"/>
        <v>-13.150522571164698</v>
      </c>
      <c r="Z71" s="22">
        <f t="shared" ca="1" si="25"/>
        <v>-39.695372409334865</v>
      </c>
      <c r="AA71">
        <f t="shared" si="158"/>
        <v>0.73884103340948371</v>
      </c>
      <c r="AB71">
        <f t="shared" ref="AB71" ca="1" si="166">BSdelta(1,P71,Strike,AA71/AnnualVarConvtr,Dividend,RiskFreeRate,G71/250)</f>
        <v>0.96510382534671624</v>
      </c>
      <c r="AC71">
        <f t="shared" ref="AC71:AC134" ca="1" si="167">(AB71-AB70)*P71</f>
        <v>0.98575658403014221</v>
      </c>
      <c r="AD71">
        <f t="shared" ref="AD71:AD134" ca="1" si="168">(Q71-Q70)+AD70-AC71</f>
        <v>-70.038928155728328</v>
      </c>
    </row>
    <row r="72" spans="7:30" x14ac:dyDescent="0.25">
      <c r="G72" s="19">
        <v>183</v>
      </c>
      <c r="H72" s="19">
        <f t="shared" ca="1" si="73"/>
        <v>0.76551895573404505</v>
      </c>
      <c r="I72" s="19">
        <f t="shared" ca="1" si="73"/>
        <v>0.31853801468934662</v>
      </c>
      <c r="J72" s="19">
        <f t="shared" ca="1" si="152"/>
        <v>-0.30516766192828226</v>
      </c>
      <c r="K72" s="19">
        <f t="shared" ca="1" si="153"/>
        <v>0.66428555711374537</v>
      </c>
      <c r="L72" s="19">
        <f t="array" aca="1" ref="L72:M72" ca="1">MMULT(J72:K72,TRANSPOSE($B$10:$C$11))</f>
        <v>-0.30516766192828226</v>
      </c>
      <c r="M72" s="19">
        <f ca="1"/>
        <v>0.68204965937576278</v>
      </c>
      <c r="N72" s="20">
        <f t="shared" ca="1" si="30"/>
        <v>4.2177432460866453E-3</v>
      </c>
      <c r="O72" s="20">
        <f t="shared" ca="1" si="154"/>
        <v>-1.2534545042548848E-3</v>
      </c>
      <c r="P72" s="19">
        <f t="shared" ca="1" si="160"/>
        <v>107.31880782115117</v>
      </c>
      <c r="Q72" s="19">
        <f ca="1">HCTrans(P72,Strike,RiskFreeRate,Dividend,Variance_T0*AnnualVarConvtr,(Simulation!G72)/250,0.5,Variance_Avg*AnnualVarConvtr,Lambda,SQRT(Simulation!N72),Rho,1,"Call")</f>
        <v>29.78312614172853</v>
      </c>
      <c r="R72" s="19">
        <f t="shared" ca="1" si="155"/>
        <v>0.74651271058579061</v>
      </c>
      <c r="S72" s="19">
        <f t="shared" ca="1" si="156"/>
        <v>0.96153578420920716</v>
      </c>
      <c r="T72" s="19">
        <f t="shared" ca="1" si="161"/>
        <v>-0.22510761393230716</v>
      </c>
      <c r="U72" s="19">
        <f t="shared" ca="1" si="162"/>
        <v>-69.826665201123333</v>
      </c>
      <c r="V72" s="21">
        <f t="shared" ca="1" si="163"/>
        <v>2.916449220533006E-5</v>
      </c>
      <c r="W72">
        <f t="shared" ca="1" si="164"/>
        <v>5.4004159289197402E-3</v>
      </c>
      <c r="X72" s="22">
        <f t="shared" ref="X72" ca="1" si="169">BSdelta(1,P72,Strike,W72*AnnualVarConvtr,Dividend,RiskFreeRate,G72/250)</f>
        <v>0.84216083487030935</v>
      </c>
      <c r="Y72" s="22">
        <f t="shared" ref="Y72:Y135" ca="1" si="170">(X72-X71)*P72</f>
        <v>17.212459088994109</v>
      </c>
      <c r="Z72" s="22">
        <f t="shared" ref="Z72:Z135" ca="1" si="171">(Q72-Q71)+Z71-Y72</f>
        <v>-57.073251193067179</v>
      </c>
      <c r="AA72">
        <f t="shared" si="158"/>
        <v>0.73884103340948371</v>
      </c>
      <c r="AB72">
        <f t="shared" ref="AB72" ca="1" si="172">BSdelta(1,P72,Strike,AA72/AnnualVarConvtr,Dividend,RiskFreeRate,G72/250)</f>
        <v>0.96301038176937936</v>
      </c>
      <c r="AC72">
        <f t="shared" ca="1" si="167"/>
        <v>-0.22466586896063911</v>
      </c>
      <c r="AD72">
        <f t="shared" ca="1" si="168"/>
        <v>-69.979681981505891</v>
      </c>
    </row>
    <row r="73" spans="7:30" x14ac:dyDescent="0.25">
      <c r="G73" s="19">
        <v>182</v>
      </c>
      <c r="H73" s="19">
        <f t="shared" ca="1" si="73"/>
        <v>0.28486741005316263</v>
      </c>
      <c r="I73" s="19">
        <f t="shared" ca="1" si="73"/>
        <v>0.22329544349235297</v>
      </c>
      <c r="J73" s="19">
        <f t="shared" ca="1" si="152"/>
        <v>0.26466035703715535</v>
      </c>
      <c r="K73" s="19">
        <f t="shared" ca="1" si="153"/>
        <v>1.5625036848312883</v>
      </c>
      <c r="L73" s="19">
        <f t="array" aca="1" ref="L73:M73" ca="1">MMULT(J73:K73,TRANSPOSE($B$10:$C$11))</f>
        <v>0.26466035703715535</v>
      </c>
      <c r="M73" s="19">
        <f ca="1"/>
        <v>0.90035325488766316</v>
      </c>
      <c r="N73" s="20">
        <f t="shared" ca="1" si="30"/>
        <v>5.7883508175566164E-3</v>
      </c>
      <c r="O73" s="20">
        <f t="shared" ca="1" si="154"/>
        <v>1.2734922668036898E-3</v>
      </c>
      <c r="P73" s="19">
        <f t="shared" ca="1" si="160"/>
        <v>107.45556455383228</v>
      </c>
      <c r="Q73" s="19">
        <f ca="1">HCTrans(P73,Strike,RiskFreeRate,Dividend,Variance_T0*AnnualVarConvtr,(Simulation!G73)/250,0.5,Variance_Avg*AnnualVarConvtr,Lambda,SQRT(Simulation!N73),Rho,1,"Call")</f>
        <v>29.797121694184</v>
      </c>
      <c r="R73" s="19">
        <f t="shared" ca="1" si="155"/>
        <v>0.74624450923218022</v>
      </c>
      <c r="S73" s="19">
        <f t="shared" ca="1" si="156"/>
        <v>0.96452380774918223</v>
      </c>
      <c r="T73" s="19">
        <f t="shared" ca="1" si="161"/>
        <v>0.32107975638816166</v>
      </c>
      <c r="U73" s="19">
        <f t="shared" ca="1" si="162"/>
        <v>-70.133749405056022</v>
      </c>
      <c r="V73" s="21">
        <f t="shared" ca="1" si="163"/>
        <v>6.3854599837633566E-6</v>
      </c>
      <c r="W73">
        <f t="shared" ca="1" si="164"/>
        <v>2.5269467710585746E-3</v>
      </c>
      <c r="X73" s="22">
        <f t="shared" ref="X73" ca="1" si="173">BSdelta(1,P73,Strike,W73*AnnualVarConvtr,Dividend,RiskFreeRate,G73/250)</f>
        <v>0.98326321630728164</v>
      </c>
      <c r="Y73" s="22">
        <f t="shared" ca="1" si="170"/>
        <v>15.16223605720004</v>
      </c>
      <c r="Z73" s="22">
        <f t="shared" ca="1" si="171"/>
        <v>-72.221491697811757</v>
      </c>
      <c r="AA73">
        <f t="shared" si="158"/>
        <v>0.73884103340948371</v>
      </c>
      <c r="AB73">
        <f t="shared" ref="AB73" ca="1" si="174">BSdelta(1,P73,Strike,AA73/AnnualVarConvtr,Dividend,RiskFreeRate,G73/250)</f>
        <v>0.96588427616297123</v>
      </c>
      <c r="AC73">
        <f t="shared" ca="1" si="167"/>
        <v>0.30881594453150779</v>
      </c>
      <c r="AD73">
        <f t="shared" ca="1" si="168"/>
        <v>-70.274502373581925</v>
      </c>
    </row>
    <row r="74" spans="7:30" x14ac:dyDescent="0.25">
      <c r="G74" s="19">
        <v>181</v>
      </c>
      <c r="H74" s="19">
        <f t="shared" ca="1" si="73"/>
        <v>0.55497227325971321</v>
      </c>
      <c r="I74" s="19">
        <f t="shared" ca="1" si="73"/>
        <v>0.58115771176082776</v>
      </c>
      <c r="J74" s="19">
        <f t="shared" ca="1" si="152"/>
        <v>-0.94714609765492153</v>
      </c>
      <c r="K74" s="19">
        <f t="shared" ca="1" si="153"/>
        <v>-0.52970606834882183</v>
      </c>
      <c r="L74" s="19">
        <f t="array" aca="1" ref="L74:M74" ca="1">MMULT(J74:K74,TRANSPOSE($B$10:$C$11))</f>
        <v>-0.94714609765492153</v>
      </c>
      <c r="M74" s="19">
        <f ca="1"/>
        <v>0.30911406348674464</v>
      </c>
      <c r="N74" s="20">
        <f t="shared" ref="N74:N137" ca="1" si="175">GetVariance(N73,Variance_Avg,Lambda,Eta,M74,"Daily")</f>
        <v>6.3860421343449056E-3</v>
      </c>
      <c r="O74" s="20">
        <f t="shared" ca="1" si="154"/>
        <v>-4.7869937421451412E-3</v>
      </c>
      <c r="P74" s="19">
        <f t="shared" ca="1" si="160"/>
        <v>106.94240466527643</v>
      </c>
      <c r="Q74" s="19">
        <f ca="1">HCTrans(P74,Strike,RiskFreeRate,Dividend,Variance_T0*AnnualVarConvtr,(Simulation!G74)/250,0.5,Variance_Avg*AnnualVarConvtr,Lambda,SQRT(Simulation!N74),Rho,1,"Call")</f>
        <v>29.382082020374995</v>
      </c>
      <c r="R74" s="19">
        <f t="shared" ca="1" si="155"/>
        <v>0.74608764009448236</v>
      </c>
      <c r="S74" s="19">
        <f t="shared" ca="1" si="156"/>
        <v>0.95465776466123919</v>
      </c>
      <c r="T74" s="19">
        <f t="shared" ca="1" si="161"/>
        <v>-1.0550983723558571</v>
      </c>
      <c r="U74" s="19">
        <f t="shared" ca="1" si="162"/>
        <v>-69.49369070650917</v>
      </c>
      <c r="V74" s="21">
        <f t="shared" ca="1" si="163"/>
        <v>3.6729490664664525E-5</v>
      </c>
      <c r="W74">
        <f t="shared" ca="1" si="164"/>
        <v>6.0604860089488307E-3</v>
      </c>
      <c r="X74" s="22">
        <f t="shared" ref="X74" ca="1" si="176">BSdelta(1,P74,Strike,W74*AnnualVarConvtr,Dividend,RiskFreeRate,G74/250)</f>
        <v>0.80619788898366707</v>
      </c>
      <c r="Y74" s="22">
        <f t="shared" ca="1" si="170"/>
        <v>-18.935791886831616</v>
      </c>
      <c r="Z74" s="22">
        <f t="shared" ca="1" si="171"/>
        <v>-53.700739484789146</v>
      </c>
      <c r="AA74">
        <f t="shared" si="158"/>
        <v>0.73884103340948371</v>
      </c>
      <c r="AB74">
        <f t="shared" ref="AB74" ca="1" si="177">BSdelta(1,P74,Strike,AA74/AnnualVarConvtr,Dividend,RiskFreeRate,G74/250)</f>
        <v>0.95618178444137436</v>
      </c>
      <c r="AC74">
        <f t="shared" ca="1" si="167"/>
        <v>-1.0376077959525074</v>
      </c>
      <c r="AD74">
        <f t="shared" ca="1" si="168"/>
        <v>-69.651934251438419</v>
      </c>
    </row>
    <row r="75" spans="7:30" x14ac:dyDescent="0.25">
      <c r="G75" s="19">
        <v>180</v>
      </c>
      <c r="H75" s="19">
        <f t="shared" ca="1" si="73"/>
        <v>0.13226628553861519</v>
      </c>
      <c r="I75" s="19">
        <f t="shared" ca="1" si="73"/>
        <v>0.27053673000472001</v>
      </c>
      <c r="J75" s="19">
        <f t="shared" ca="1" si="152"/>
        <v>-0.2588282015214059</v>
      </c>
      <c r="K75" s="19">
        <f t="shared" ca="1" si="153"/>
        <v>1.9947140420645579</v>
      </c>
      <c r="L75" s="19">
        <f t="array" aca="1" ref="L75:M75" ca="1">MMULT(J75:K75,TRANSPOSE($B$10:$C$11))</f>
        <v>-0.2588282015214059</v>
      </c>
      <c r="M75" s="19">
        <f ca="1"/>
        <v>1.5769371730429496</v>
      </c>
      <c r="N75" s="20">
        <f t="shared" ca="1" si="175"/>
        <v>9.853306268916855E-3</v>
      </c>
      <c r="O75" s="20">
        <f t="shared" ca="1" si="154"/>
        <v>-1.6249222344902896E-3</v>
      </c>
      <c r="P75" s="19">
        <f t="shared" ca="1" si="160"/>
        <v>106.76877268156585</v>
      </c>
      <c r="Q75" s="19">
        <f ca="1">HCTrans(P75,Strike,RiskFreeRate,Dividend,Variance_T0*AnnualVarConvtr,(Simulation!G75)/250,0.5,Variance_Avg*AnnualVarConvtr,Lambda,SQRT(Simulation!N75),Rho,1,"Call")</f>
        <v>29.18018783697579</v>
      </c>
      <c r="R75" s="19">
        <f t="shared" ca="1" si="155"/>
        <v>0.74553698960457437</v>
      </c>
      <c r="S75" s="19">
        <f t="shared" ca="1" si="156"/>
        <v>0.95123925373960372</v>
      </c>
      <c r="T75" s="19">
        <f t="shared" ca="1" si="161"/>
        <v>-0.36499021550154831</v>
      </c>
      <c r="U75" s="19">
        <f t="shared" ca="1" si="162"/>
        <v>-69.330594674406825</v>
      </c>
      <c r="V75" s="21">
        <f t="shared" ca="1" si="163"/>
        <v>9.9986962195226257E-6</v>
      </c>
      <c r="W75">
        <f t="shared" ca="1" si="164"/>
        <v>3.1620715076548516E-3</v>
      </c>
      <c r="X75" s="22">
        <f t="shared" ref="X75" ca="1" si="178">BSdelta(1,P75,Strike,W75*AnnualVarConvtr,Dividend,RiskFreeRate,G75/250)</f>
        <v>0.9412146015504359</v>
      </c>
      <c r="Y75" s="22">
        <f t="shared" ca="1" si="170"/>
        <v>14.415568692253657</v>
      </c>
      <c r="Z75" s="22">
        <f t="shared" ca="1" si="171"/>
        <v>-68.318202360442001</v>
      </c>
      <c r="AA75">
        <f t="shared" si="158"/>
        <v>0.73884103340948371</v>
      </c>
      <c r="AB75">
        <f t="shared" ref="AB75" ca="1" si="179">BSdelta(1,P75,Strike,AA75/AnnualVarConvtr,Dividend,RiskFreeRate,G75/250)</f>
        <v>0.95270292506837806</v>
      </c>
      <c r="AC75">
        <f t="shared" ca="1" si="167"/>
        <v>-0.37143354558657682</v>
      </c>
      <c r="AD75">
        <f t="shared" ca="1" si="168"/>
        <v>-69.48239488925104</v>
      </c>
    </row>
    <row r="76" spans="7:30" x14ac:dyDescent="0.25">
      <c r="G76" s="19">
        <v>179</v>
      </c>
      <c r="H76" s="19">
        <f t="shared" ca="1" si="73"/>
        <v>0.53211474951388438</v>
      </c>
      <c r="I76" s="19">
        <f t="shared" ca="1" si="73"/>
        <v>0.41349557270761583</v>
      </c>
      <c r="J76" s="19">
        <f t="shared" ca="1" si="152"/>
        <v>-0.96141929246807734</v>
      </c>
      <c r="K76" s="19">
        <f t="shared" ca="1" si="153"/>
        <v>0.58091753349222164</v>
      </c>
      <c r="L76" s="19">
        <f t="array" aca="1" ref="L76:M76" ca="1">MMULT(J76:K76,TRANSPOSE($B$10:$C$11))</f>
        <v>-0.96141929246807734</v>
      </c>
      <c r="M76" s="19">
        <f ca="1"/>
        <v>1.094097495548874</v>
      </c>
      <c r="N76" s="20">
        <f t="shared" ca="1" si="175"/>
        <v>1.2681363228697394E-2</v>
      </c>
      <c r="O76" s="20">
        <f t="shared" ca="1" si="154"/>
        <v>-6.8474015913654492E-3</v>
      </c>
      <c r="P76" s="19">
        <f t="shared" ca="1" si="160"/>
        <v>106.04018134312383</v>
      </c>
      <c r="Q76" s="19">
        <f ca="1">HCTrans(P76,Strike,RiskFreeRate,Dividend,Variance_T0*AnnualVarConvtr,(Simulation!G76)/250,0.5,Variance_Avg*AnnualVarConvtr,Lambda,SQRT(Simulation!N76),Rho,1,"Call")</f>
        <v>28.613831208701114</v>
      </c>
      <c r="R76" s="19">
        <f t="shared" ca="1" si="155"/>
        <v>0.74503644348079268</v>
      </c>
      <c r="S76" s="19">
        <f t="shared" ca="1" si="156"/>
        <v>0.93200006992662621</v>
      </c>
      <c r="T76" s="19">
        <f t="shared" ca="1" si="161"/>
        <v>-2.0401265404218281</v>
      </c>
      <c r="U76" s="19">
        <f t="shared" ca="1" si="162"/>
        <v>-67.856824762259677</v>
      </c>
      <c r="V76" s="21">
        <f t="shared" ca="1" si="163"/>
        <v>2.7274290632987186E-5</v>
      </c>
      <c r="W76">
        <f t="shared" ca="1" si="164"/>
        <v>5.22247935687516E-3</v>
      </c>
      <c r="X76" s="22">
        <f t="shared" ref="X76" ca="1" si="180">BSdelta(1,P76,Strike,W76*AnnualVarConvtr,Dividend,RiskFreeRate,G76/250)</f>
        <v>0.80902198434022932</v>
      </c>
      <c r="Y76" s="22">
        <f t="shared" ca="1" si="170"/>
        <v>-14.01772910119246</v>
      </c>
      <c r="Z76" s="22">
        <f t="shared" ca="1" si="171"/>
        <v>-54.866829887524219</v>
      </c>
      <c r="AA76">
        <f t="shared" si="158"/>
        <v>0.73884103340948371</v>
      </c>
      <c r="AB76">
        <f t="shared" ref="AB76" ca="1" si="181">BSdelta(1,P76,Strike,AA76/AnnualVarConvtr,Dividend,RiskFreeRate,G76/250)</f>
        <v>0.93358334185671588</v>
      </c>
      <c r="AC76">
        <f t="shared" ca="1" si="167"/>
        <v>-2.027444070969604</v>
      </c>
      <c r="AD76">
        <f t="shared" ca="1" si="168"/>
        <v>-68.021307446556108</v>
      </c>
    </row>
    <row r="77" spans="7:30" x14ac:dyDescent="0.25">
      <c r="G77" s="19">
        <v>178</v>
      </c>
      <c r="H77" s="19">
        <f t="shared" ca="1" si="73"/>
        <v>0.48265770614348469</v>
      </c>
      <c r="I77" s="19">
        <f t="shared" ca="1" si="73"/>
        <v>0.89128235986325466</v>
      </c>
      <c r="J77" s="19">
        <f t="shared" ca="1" si="152"/>
        <v>0.9361931015344267</v>
      </c>
      <c r="K77" s="19">
        <f t="shared" ca="1" si="153"/>
        <v>-0.76186455202540726</v>
      </c>
      <c r="L77" s="19">
        <f t="array" aca="1" ref="L77:M77" ca="1">MMULT(J77:K77,TRANSPOSE($B$10:$C$11))</f>
        <v>0.9361931015344267</v>
      </c>
      <c r="M77" s="19">
        <f ca="1"/>
        <v>-1.2022492340895783</v>
      </c>
      <c r="N77" s="20">
        <f t="shared" ca="1" si="175"/>
        <v>9.549014472282619E-3</v>
      </c>
      <c r="O77" s="20">
        <f t="shared" ca="1" si="154"/>
        <v>5.785950423193003E-3</v>
      </c>
      <c r="P77" s="19">
        <f t="shared" ca="1" si="160"/>
        <v>106.65550296884798</v>
      </c>
      <c r="Q77" s="19">
        <f ca="1">HCTrans(P77,Strike,RiskFreeRate,Dividend,Variance_T0*AnnualVarConvtr,(Simulation!G77)/250,0.5,Variance_Avg*AnnualVarConvtr,Lambda,SQRT(Simulation!N77),Rho,1,"Call")</f>
        <v>28.969639966880564</v>
      </c>
      <c r="R77" s="19">
        <f t="shared" ca="1" si="155"/>
        <v>0.74559528722998447</v>
      </c>
      <c r="S77" s="19">
        <f t="shared" ca="1" si="156"/>
        <v>0.9494189704574586</v>
      </c>
      <c r="T77" s="19">
        <f t="shared" ca="1" si="161"/>
        <v>1.8578215972802621</v>
      </c>
      <c r="U77" s="19">
        <f t="shared" ca="1" si="162"/>
        <v>-69.358837601360491</v>
      </c>
      <c r="V77" s="21">
        <f t="shared" ca="1" si="163"/>
        <v>1.5960158312374809E-4</v>
      </c>
      <c r="W77">
        <f t="shared" ca="1" si="164"/>
        <v>1.2633352014558452E-2</v>
      </c>
      <c r="X77" s="22">
        <f t="shared" ref="X77" ca="1" si="182">BSdelta(1,P77,Strike,W77*AnnualVarConvtr,Dividend,RiskFreeRate,G77/250)</f>
        <v>0.67959208744126309</v>
      </c>
      <c r="Y77" s="22">
        <f t="shared" ca="1" si="170"/>
        <v>-13.80441075296538</v>
      </c>
      <c r="Z77" s="22">
        <f t="shared" ca="1" si="171"/>
        <v>-40.706610376379388</v>
      </c>
      <c r="AA77">
        <f t="shared" si="158"/>
        <v>0.73884103340948371</v>
      </c>
      <c r="AB77">
        <f t="shared" ref="AB77" ca="1" si="183">BSdelta(1,P77,Strike,AA77/AnnualVarConvtr,Dividend,RiskFreeRate,G77/250)</f>
        <v>0.9509229610875376</v>
      </c>
      <c r="AC77">
        <f t="shared" ca="1" si="167"/>
        <v>1.8493658103516</v>
      </c>
      <c r="AD77">
        <f t="shared" ca="1" si="168"/>
        <v>-69.514864498728258</v>
      </c>
    </row>
    <row r="78" spans="7:30" x14ac:dyDescent="0.25">
      <c r="G78" s="19">
        <v>177</v>
      </c>
      <c r="H78" s="19">
        <f t="shared" ca="1" si="73"/>
        <v>0.52457845009550241</v>
      </c>
      <c r="I78" s="19">
        <f t="shared" ca="1" si="73"/>
        <v>0.58862595181949318</v>
      </c>
      <c r="J78" s="19">
        <f t="shared" ca="1" si="152"/>
        <v>-0.96431031000767675</v>
      </c>
      <c r="K78" s="19">
        <f t="shared" ca="1" si="153"/>
        <v>-0.60035506849661824</v>
      </c>
      <c r="L78" s="19">
        <f t="array" aca="1" ref="L78:M78" ca="1">MMULT(J78:K78,TRANSPOSE($B$10:$C$11))</f>
        <v>-0.96431031000767675</v>
      </c>
      <c r="M78" s="19">
        <f ca="1"/>
        <v>0.27212839111852599</v>
      </c>
      <c r="N78" s="20">
        <f t="shared" ca="1" si="175"/>
        <v>1.0198922596261437E-2</v>
      </c>
      <c r="O78" s="20">
        <f t="shared" ca="1" si="154"/>
        <v>-6.1591949938262017E-3</v>
      </c>
      <c r="P78" s="19">
        <f t="shared" ca="1" si="160"/>
        <v>106.00060980655854</v>
      </c>
      <c r="Q78" s="19">
        <f ca="1">HCTrans(P78,Strike,RiskFreeRate,Dividend,Variance_T0*AnnualVarConvtr,(Simulation!G78)/250,0.5,Variance_Avg*AnnualVarConvtr,Lambda,SQRT(Simulation!N78),Rho,1,"Call")</f>
        <v>28.462498913462483</v>
      </c>
      <c r="R78" s="19">
        <f t="shared" ca="1" si="155"/>
        <v>0.74540884565984911</v>
      </c>
      <c r="S78" s="19">
        <f t="shared" ca="1" si="156"/>
        <v>0.93174194248631137</v>
      </c>
      <c r="T78" s="19">
        <f t="shared" ca="1" si="161"/>
        <v>-1.8737757445091987</v>
      </c>
      <c r="U78" s="19">
        <f t="shared" ca="1" si="162"/>
        <v>-67.99220291026937</v>
      </c>
      <c r="V78" s="21">
        <f t="shared" ca="1" si="163"/>
        <v>1.426864990337349E-4</v>
      </c>
      <c r="W78">
        <f t="shared" ca="1" si="164"/>
        <v>1.1945145417019205E-2</v>
      </c>
      <c r="X78" s="22">
        <f t="shared" ref="X78" ca="1" si="184">BSdelta(1,P78,Strike,W78*AnnualVarConvtr,Dividend,RiskFreeRate,G78/250)</f>
        <v>0.67225631681221698</v>
      </c>
      <c r="Y78" s="22">
        <f t="shared" ca="1" si="170"/>
        <v>-0.77759616007992949</v>
      </c>
      <c r="Z78" s="22">
        <f t="shared" ca="1" si="171"/>
        <v>-40.436155269717538</v>
      </c>
      <c r="AA78">
        <f t="shared" si="158"/>
        <v>0.73884103340948371</v>
      </c>
      <c r="AB78">
        <f t="shared" ref="AB78" ca="1" si="185">BSdelta(1,P78,Strike,AA78/AnnualVarConvtr,Dividend,RiskFreeRate,G78/250)</f>
        <v>0.93342239138786898</v>
      </c>
      <c r="AC78">
        <f t="shared" ca="1" si="167"/>
        <v>-1.855071060127055</v>
      </c>
      <c r="AD78">
        <f t="shared" ca="1" si="168"/>
        <v>-68.16693449201928</v>
      </c>
    </row>
    <row r="79" spans="7:30" x14ac:dyDescent="0.25">
      <c r="G79" s="19">
        <v>176</v>
      </c>
      <c r="H79" s="19">
        <f t="shared" ca="1" si="73"/>
        <v>0.74310587250707183</v>
      </c>
      <c r="I79" s="19">
        <f t="shared" ca="1" si="73"/>
        <v>7.6595122028560669E-2</v>
      </c>
      <c r="J79" s="19">
        <f t="shared" ca="1" si="152"/>
        <v>0.68307415598440502</v>
      </c>
      <c r="K79" s="19">
        <f t="shared" ca="1" si="153"/>
        <v>0.35671164782954445</v>
      </c>
      <c r="L79" s="19">
        <f t="array" aca="1" ref="L79:M79" ca="1">MMULT(J79:K79,TRANSPOSE($B$10:$C$11))</f>
        <v>0.68307415598440502</v>
      </c>
      <c r="M79" s="19">
        <f ca="1"/>
        <v>-0.24058519190739011</v>
      </c>
      <c r="N79" s="20">
        <f t="shared" ca="1" si="175"/>
        <v>9.595146779620492E-3</v>
      </c>
      <c r="O79" s="20">
        <f t="shared" ca="1" si="154"/>
        <v>4.2317856463404274E-3</v>
      </c>
      <c r="P79" s="19">
        <f t="shared" ca="1" si="160"/>
        <v>106.45013213587441</v>
      </c>
      <c r="Q79" s="19">
        <f ca="1">HCTrans(P79,Strike,RiskFreeRate,Dividend,Variance_T0*AnnualVarConvtr,(Simulation!G79)/250,0.5,Variance_Avg*AnnualVarConvtr,Lambda,SQRT(Simulation!N79),Rho,1,"Call")</f>
        <v>28.695436107264641</v>
      </c>
      <c r="R79" s="19">
        <f t="shared" ca="1" si="155"/>
        <v>0.74558813986429828</v>
      </c>
      <c r="S79" s="19">
        <f t="shared" ca="1" si="156"/>
        <v>0.94515738611912492</v>
      </c>
      <c r="T79" s="19">
        <f t="shared" ca="1" si="161"/>
        <v>1.4280757473743775</v>
      </c>
      <c r="U79" s="19">
        <f t="shared" ca="1" si="162"/>
        <v>-69.187341463841591</v>
      </c>
      <c r="V79" s="21">
        <f t="shared" ca="1" si="163"/>
        <v>1.0797247866431768E-4</v>
      </c>
      <c r="W79">
        <f t="shared" ca="1" si="164"/>
        <v>1.0390980640166629E-2</v>
      </c>
      <c r="X79" s="22">
        <f t="shared" ref="X79" ca="1" si="186">BSdelta(1,P79,Strike,W79*AnnualVarConvtr,Dividend,RiskFreeRate,G79/250)</f>
        <v>0.6992893605553212</v>
      </c>
      <c r="Y79" s="22">
        <f t="shared" ca="1" si="170"/>
        <v>2.8776710784883175</v>
      </c>
      <c r="Z79" s="22">
        <f t="shared" ca="1" si="171"/>
        <v>-43.0808891544037</v>
      </c>
      <c r="AA79">
        <f t="shared" si="158"/>
        <v>0.73884103340948371</v>
      </c>
      <c r="AB79">
        <f t="shared" ref="AB79" ca="1" si="187">BSdelta(1,P79,Strike,AA79/AnnualVarConvtr,Dividend,RiskFreeRate,G79/250)</f>
        <v>0.94672083409307106</v>
      </c>
      <c r="AC79">
        <f t="shared" ca="1" si="167"/>
        <v>1.4156209831701172</v>
      </c>
      <c r="AD79">
        <f t="shared" ca="1" si="168"/>
        <v>-69.349618281387237</v>
      </c>
    </row>
    <row r="80" spans="7:30" x14ac:dyDescent="0.25">
      <c r="G80" s="19">
        <v>175</v>
      </c>
      <c r="H80" s="19">
        <f t="shared" ca="1" si="73"/>
        <v>0.22917882340778872</v>
      </c>
      <c r="I80" s="19">
        <f t="shared" ca="1" si="73"/>
        <v>5.459880683381102E-3</v>
      </c>
      <c r="J80" s="19">
        <f t="shared" ca="1" si="152"/>
        <v>1.7155288134326654</v>
      </c>
      <c r="K80" s="19">
        <f t="shared" ca="1" si="153"/>
        <v>5.8875072144774547E-2</v>
      </c>
      <c r="L80" s="19">
        <f t="array" aca="1" ref="L80:M80" ca="1">MMULT(J80:K80,TRANSPOSE($B$10:$C$11))</f>
        <v>1.7155288134326654</v>
      </c>
      <c r="M80" s="19">
        <f ca="1"/>
        <v>-1.1881059044947762</v>
      </c>
      <c r="N80" s="20">
        <f t="shared" ca="1" si="175"/>
        <v>6.9401211441359927E-3</v>
      </c>
      <c r="O80" s="20">
        <f t="shared" ca="1" si="154"/>
        <v>9.038815841330301E-3</v>
      </c>
      <c r="P80" s="19">
        <f t="shared" ca="1" si="160"/>
        <v>107.41667690606045</v>
      </c>
      <c r="Q80" s="19">
        <f ca="1">HCTrans(P80,Strike,RiskFreeRate,Dividend,Variance_T0*AnnualVarConvtr,(Simulation!G80)/250,0.5,Variance_Avg*AnnualVarConvtr,Lambda,SQRT(Simulation!N80),Rho,1,"Call")</f>
        <v>29.284610337113833</v>
      </c>
      <c r="R80" s="19">
        <f t="shared" ca="1" si="155"/>
        <v>0.74614526690894289</v>
      </c>
      <c r="S80" s="19">
        <f t="shared" ca="1" si="156"/>
        <v>0.96651130949274466</v>
      </c>
      <c r="T80" s="19">
        <f t="shared" ca="1" si="161"/>
        <v>2.293767487700884</v>
      </c>
      <c r="U80" s="19">
        <f t="shared" ca="1" si="162"/>
        <v>-70.891934721693289</v>
      </c>
      <c r="V80" s="21">
        <f t="shared" ca="1" si="163"/>
        <v>2.3107539295544383E-5</v>
      </c>
      <c r="W80">
        <f t="shared" ca="1" si="164"/>
        <v>4.8070301949898735E-3</v>
      </c>
      <c r="X80" s="22">
        <f t="shared" ref="X80" ca="1" si="188">BSdelta(1,P80,Strike,W80*AnnualVarConvtr,Dividend,RiskFreeRate,G80/250)</f>
        <v>0.87633923652377954</v>
      </c>
      <c r="Y80" s="22">
        <f t="shared" ca="1" si="170"/>
        <v>19.018109323161966</v>
      </c>
      <c r="Z80" s="22">
        <f t="shared" ca="1" si="171"/>
        <v>-61.509824247716473</v>
      </c>
      <c r="AA80">
        <f t="shared" si="158"/>
        <v>0.73884103340948371</v>
      </c>
      <c r="AB80">
        <f t="shared" ref="AB80" ca="1" si="189">BSdelta(1,P80,Strike,AA80/AnnualVarConvtr,Dividend,RiskFreeRate,G80/250)</f>
        <v>0.96781056054252912</v>
      </c>
      <c r="AC80">
        <f t="shared" ca="1" si="167"/>
        <v>2.2653883320586337</v>
      </c>
      <c r="AD80">
        <f t="shared" ca="1" si="168"/>
        <v>-71.025832383596679</v>
      </c>
    </row>
    <row r="81" spans="7:30" x14ac:dyDescent="0.25">
      <c r="G81" s="19">
        <v>174</v>
      </c>
      <c r="H81" s="19">
        <f t="shared" ca="1" si="73"/>
        <v>0.11536101661902076</v>
      </c>
      <c r="I81" s="19">
        <f t="shared" ca="1" si="73"/>
        <v>0.63770711397073621</v>
      </c>
      <c r="J81" s="19">
        <f t="shared" ca="1" si="152"/>
        <v>-1.347697453662468</v>
      </c>
      <c r="K81" s="19">
        <f t="shared" ca="1" si="153"/>
        <v>-1.5821154064112906</v>
      </c>
      <c r="L81" s="19">
        <f t="array" aca="1" ref="L81:M81" ca="1">MMULT(J81:K81,TRANSPOSE($B$10:$C$11))</f>
        <v>-1.347697453662468</v>
      </c>
      <c r="M81" s="19">
        <f ca="1"/>
        <v>-0.13803805896873123</v>
      </c>
      <c r="N81" s="20">
        <f t="shared" ca="1" si="175"/>
        <v>6.6615720549315065E-3</v>
      </c>
      <c r="O81" s="20">
        <f t="shared" ca="1" si="154"/>
        <v>-6.9568200282569808E-3</v>
      </c>
      <c r="P81" s="19">
        <f t="shared" ca="1" si="160"/>
        <v>106.67199174052504</v>
      </c>
      <c r="Q81" s="19">
        <f ca="1">HCTrans(P81,Strike,RiskFreeRate,Dividend,Variance_T0*AnnualVarConvtr,(Simulation!G81)/250,0.5,Variance_Avg*AnnualVarConvtr,Lambda,SQRT(Simulation!N81),Rho,1,"Call")</f>
        <v>28.719558205199078</v>
      </c>
      <c r="R81" s="19">
        <f t="shared" ca="1" si="155"/>
        <v>0.74610059590071565</v>
      </c>
      <c r="S81" s="19">
        <f t="shared" ca="1" si="156"/>
        <v>0.95157891628227931</v>
      </c>
      <c r="T81" s="19">
        <f t="shared" ca="1" si="161"/>
        <v>-1.5928681252130326</v>
      </c>
      <c r="U81" s="19">
        <f t="shared" ca="1" si="162"/>
        <v>-69.864118728395013</v>
      </c>
      <c r="V81" s="21">
        <f t="shared" ca="1" si="163"/>
        <v>2.558603668724273E-4</v>
      </c>
      <c r="W81">
        <f t="shared" ca="1" si="164"/>
        <v>1.5995635869587282E-2</v>
      </c>
      <c r="X81" s="22">
        <f t="shared" ref="X81" ca="1" si="190">BSdelta(1,P81,Strike,W81*AnnualVarConvtr,Dividend,RiskFreeRate,G81/250)</f>
        <v>0.65968708664793552</v>
      </c>
      <c r="Y81" s="22">
        <f t="shared" ca="1" si="170"/>
        <v>-23.110716342123027</v>
      </c>
      <c r="Z81" s="22">
        <f t="shared" ca="1" si="171"/>
        <v>-38.964160037508201</v>
      </c>
      <c r="AA81">
        <f t="shared" si="158"/>
        <v>0.73884103340948371</v>
      </c>
      <c r="AB81">
        <f t="shared" ref="AB81" ca="1" si="191">BSdelta(1,P81,Strike,AA81/AnnualVarConvtr,Dividend,RiskFreeRate,G81/250)</f>
        <v>0.95315915614509705</v>
      </c>
      <c r="AC81">
        <f t="shared" ca="1" si="167"/>
        <v>-1.5628944888699656</v>
      </c>
      <c r="AD81">
        <f t="shared" ca="1" si="168"/>
        <v>-70.027990026641461</v>
      </c>
    </row>
    <row r="82" spans="7:30" x14ac:dyDescent="0.25">
      <c r="G82" s="19">
        <v>173</v>
      </c>
      <c r="H82" s="19">
        <f t="shared" ca="1" si="73"/>
        <v>0.61934237497348632</v>
      </c>
      <c r="I82" s="19">
        <f t="shared" ca="1" si="73"/>
        <v>0.60621220863106906</v>
      </c>
      <c r="J82" s="19">
        <f t="shared" ca="1" si="152"/>
        <v>-0.76887011819916284</v>
      </c>
      <c r="K82" s="19">
        <f t="shared" ca="1" si="153"/>
        <v>-0.60583235315526596</v>
      </c>
      <c r="L82" s="19">
        <f t="array" aca="1" ref="L82:M82" ca="1">MMULT(J82:K82,TRANSPOSE($B$10:$C$11))</f>
        <v>-0.76887011819916284</v>
      </c>
      <c r="M82" s="19">
        <f ca="1"/>
        <v>0.12827461061427503</v>
      </c>
      <c r="N82" s="20">
        <f t="shared" ca="1" si="175"/>
        <v>6.9227993380623788E-3</v>
      </c>
      <c r="O82" s="20">
        <f t="shared" ca="1" si="154"/>
        <v>-4.045981102346754E-3</v>
      </c>
      <c r="P82" s="19">
        <f t="shared" ca="1" si="160"/>
        <v>106.24127080974002</v>
      </c>
      <c r="Q82" s="19">
        <f ca="1">HCTrans(P82,Strike,RiskFreeRate,Dividend,Variance_T0*AnnualVarConvtr,(Simulation!G82)/250,0.5,Variance_Avg*AnnualVarConvtr,Lambda,SQRT(Simulation!N82),Rho,1,"Call")</f>
        <v>28.362662873941431</v>
      </c>
      <c r="R82" s="19">
        <f t="shared" ca="1" si="155"/>
        <v>0.74601174356080846</v>
      </c>
      <c r="S82" s="19">
        <f t="shared" ca="1" si="156"/>
        <v>0.94087326003693461</v>
      </c>
      <c r="T82" s="19">
        <f t="shared" ca="1" si="161"/>
        <v>-1.1373825243576505</v>
      </c>
      <c r="U82" s="19">
        <f t="shared" ca="1" si="162"/>
        <v>-69.083631535295012</v>
      </c>
      <c r="V82" s="21">
        <f t="shared" ca="1" si="163"/>
        <v>8.4729832525942019E-6</v>
      </c>
      <c r="W82">
        <f t="shared" ca="1" si="164"/>
        <v>2.9108389259102268E-3</v>
      </c>
      <c r="X82" s="22">
        <f t="shared" ref="X82" ca="1" si="192">BSdelta(1,P82,Strike,W82*AnnualVarConvtr,Dividend,RiskFreeRate,G82/250)</f>
        <v>0.94525168192165188</v>
      </c>
      <c r="Y82" s="22">
        <f t="shared" ca="1" si="170"/>
        <v>30.338745500148704</v>
      </c>
      <c r="Z82" s="22">
        <f t="shared" ca="1" si="171"/>
        <v>-69.659800868914544</v>
      </c>
      <c r="AA82">
        <f t="shared" si="158"/>
        <v>0.73884103340948371</v>
      </c>
      <c r="AB82">
        <f t="shared" ref="AB82" ca="1" si="193">BSdelta(1,P82,Strike,AA82/AnnualVarConvtr,Dividend,RiskFreeRate,G82/250)</f>
        <v>0.94259402088601962</v>
      </c>
      <c r="AC82">
        <f t="shared" ca="1" si="167"/>
        <v>-1.122453396201178</v>
      </c>
      <c r="AD82">
        <f t="shared" ca="1" si="168"/>
        <v>-69.262431961697928</v>
      </c>
    </row>
    <row r="83" spans="7:30" x14ac:dyDescent="0.25">
      <c r="G83" s="19">
        <v>172</v>
      </c>
      <c r="H83" s="19">
        <f t="shared" ca="1" si="73"/>
        <v>0.66830100567683126</v>
      </c>
      <c r="I83" s="19">
        <f t="shared" ca="1" si="73"/>
        <v>0.36360142730246614</v>
      </c>
      <c r="J83" s="19">
        <f t="shared" ca="1" si="152"/>
        <v>-0.58778076727281392</v>
      </c>
      <c r="K83" s="19">
        <f t="shared" ca="1" si="153"/>
        <v>0.67863610933978269</v>
      </c>
      <c r="L83" s="19">
        <f t="array" aca="1" ref="L83:M83" ca="1">MMULT(J83:K83,TRANSPOSE($B$10:$C$11))</f>
        <v>-0.58778076727281392</v>
      </c>
      <c r="M83" s="19">
        <f ca="1"/>
        <v>0.89455270934156061</v>
      </c>
      <c r="N83" s="20">
        <f t="shared" ca="1" si="175"/>
        <v>8.8687750777189708E-3</v>
      </c>
      <c r="O83" s="20">
        <f t="shared" ca="1" si="154"/>
        <v>-3.5008797006764623E-3</v>
      </c>
      <c r="P83" s="19">
        <f t="shared" ca="1" si="160"/>
        <v>105.86998319723425</v>
      </c>
      <c r="Q83" s="19">
        <f ca="1">HCTrans(P83,Strike,RiskFreeRate,Dividend,Variance_T0*AnnualVarConvtr,(Simulation!G83)/250,0.5,Variance_Avg*AnnualVarConvtr,Lambda,SQRT(Simulation!N83),Rho,1,"Call")</f>
        <v>28.037466920081741</v>
      </c>
      <c r="R83" s="19">
        <f t="shared" ca="1" si="155"/>
        <v>0.74566579243684117</v>
      </c>
      <c r="S83" s="19">
        <f t="shared" ca="1" si="156"/>
        <v>0.93026651315678244</v>
      </c>
      <c r="T83" s="19">
        <f t="shared" ca="1" si="161"/>
        <v>-1.1229361139790275</v>
      </c>
      <c r="U83" s="19">
        <f t="shared" ca="1" si="162"/>
        <v>-68.28589137517568</v>
      </c>
      <c r="V83" s="21">
        <f t="shared" ca="1" si="163"/>
        <v>2.9713553810291671E-7</v>
      </c>
      <c r="W83">
        <f t="shared" ca="1" si="164"/>
        <v>5.4510140167029174E-4</v>
      </c>
      <c r="X83" s="22">
        <f t="shared" ref="X83" ca="1" si="194">BSdelta(1,P83,Strike,W83*AnnualVarConvtr,Dividend,RiskFreeRate,G83/250)</f>
        <v>0.99999999999999933</v>
      </c>
      <c r="Y83" s="22">
        <f t="shared" ca="1" si="170"/>
        <v>5.7962035150314817</v>
      </c>
      <c r="Z83" s="22">
        <f t="shared" ca="1" si="171"/>
        <v>-75.781200337805714</v>
      </c>
      <c r="AA83">
        <f t="shared" si="158"/>
        <v>0.73884103340948371</v>
      </c>
      <c r="AB83">
        <f t="shared" ref="AB83" ca="1" si="195">BSdelta(1,P83,Strike,AA83/AnnualVarConvtr,Dividend,RiskFreeRate,G83/250)</f>
        <v>0.93202839038830532</v>
      </c>
      <c r="AC83">
        <f t="shared" ca="1" si="167"/>
        <v>-1.1185831232611994</v>
      </c>
      <c r="AD83">
        <f t="shared" ca="1" si="168"/>
        <v>-68.469044792296415</v>
      </c>
    </row>
    <row r="84" spans="7:30" x14ac:dyDescent="0.25">
      <c r="G84" s="19">
        <v>171</v>
      </c>
      <c r="H84" s="19">
        <f t="shared" ca="1" si="73"/>
        <v>0.61852969961925441</v>
      </c>
      <c r="I84" s="19">
        <f t="shared" ca="1" si="73"/>
        <v>0.17372943965133758</v>
      </c>
      <c r="J84" s="19">
        <f t="shared" ca="1" si="152"/>
        <v>0.45196605720749949</v>
      </c>
      <c r="K84" s="19">
        <f t="shared" ca="1" si="153"/>
        <v>0.86979700054947273</v>
      </c>
      <c r="L84" s="19">
        <f t="array" aca="1" ref="L84:M84" ca="1">MMULT(J84:K84,TRANSPOSE($B$10:$C$11))</f>
        <v>0.45196605720749949</v>
      </c>
      <c r="M84" s="19">
        <f ca="1"/>
        <v>0.28292547967777021</v>
      </c>
      <c r="N84" s="20">
        <f t="shared" ca="1" si="175"/>
        <v>9.5244686620927308E-3</v>
      </c>
      <c r="O84" s="20">
        <f t="shared" ca="1" si="154"/>
        <v>2.7896915994482818E-3</v>
      </c>
      <c r="P84" s="19">
        <f t="shared" ca="1" si="160"/>
        <v>106.16574014351986</v>
      </c>
      <c r="Q84" s="19">
        <f ca="1">HCTrans(P84,Strike,RiskFreeRate,Dividend,Variance_T0*AnnualVarConvtr,(Simulation!G84)/250,0.5,Variance_Avg*AnnualVarConvtr,Lambda,SQRT(Simulation!N84),Rho,1,"Call")</f>
        <v>28.160483769601512</v>
      </c>
      <c r="R84" s="19">
        <f t="shared" ca="1" si="155"/>
        <v>0.74563489188114807</v>
      </c>
      <c r="S84" s="19">
        <f t="shared" ca="1" si="156"/>
        <v>0.93985608907494644</v>
      </c>
      <c r="T84" s="19">
        <f t="shared" ca="1" si="161"/>
        <v>1.0180844250143557</v>
      </c>
      <c r="U84" s="19">
        <f t="shared" ca="1" si="162"/>
        <v>-69.180958950670259</v>
      </c>
      <c r="V84" s="21">
        <f t="shared" ca="1" si="163"/>
        <v>3.957128728195312E-5</v>
      </c>
      <c r="W84">
        <f t="shared" ca="1" si="164"/>
        <v>6.2905713001247445E-3</v>
      </c>
      <c r="X84" s="22">
        <f t="shared" ref="X84" ca="1" si="196">BSdelta(1,P84,Strike,W84*AnnualVarConvtr,Dividend,RiskFreeRate,G84/250)</f>
        <v>0.77889728783565571</v>
      </c>
      <c r="Y84" s="22">
        <f t="shared" ca="1" si="170"/>
        <v>-23.473533084667171</v>
      </c>
      <c r="Z84" s="22">
        <f t="shared" ca="1" si="171"/>
        <v>-52.184650403618775</v>
      </c>
      <c r="AA84">
        <f t="shared" si="158"/>
        <v>0.73884103340948371</v>
      </c>
      <c r="AB84">
        <f t="shared" ref="AB84" ca="1" si="197">BSdelta(1,P84,Strike,AA84/AnnualVarConvtr,Dividend,RiskFreeRate,G84/250)</f>
        <v>0.94150049925111945</v>
      </c>
      <c r="AC84">
        <f t="shared" ca="1" si="167"/>
        <v>1.0056134481406565</v>
      </c>
      <c r="AD84">
        <f t="shared" ca="1" si="168"/>
        <v>-69.351641390917294</v>
      </c>
    </row>
    <row r="85" spans="7:30" x14ac:dyDescent="0.25">
      <c r="G85" s="19">
        <v>170</v>
      </c>
      <c r="H85" s="19">
        <f t="shared" ca="1" si="73"/>
        <v>0.2342604671224684</v>
      </c>
      <c r="I85" s="19">
        <f t="shared" ca="1" si="73"/>
        <v>0.82413762430348614</v>
      </c>
      <c r="J85" s="19">
        <f t="shared" ca="1" si="152"/>
        <v>0.76523357224955812</v>
      </c>
      <c r="K85" s="19">
        <f t="shared" ca="1" si="153"/>
        <v>-1.5221895185943277</v>
      </c>
      <c r="L85" s="19">
        <f t="array" aca="1" ref="L85:M85" ca="1">MMULT(J85:K85,TRANSPOSE($B$10:$C$11))</f>
        <v>0.76523357224955812</v>
      </c>
      <c r="M85" s="19">
        <f ca="1"/>
        <v>-1.6101496132566764</v>
      </c>
      <c r="N85" s="20">
        <f t="shared" ca="1" si="175"/>
        <v>6.0479041803786545E-3</v>
      </c>
      <c r="O85" s="20">
        <f t="shared" ca="1" si="154"/>
        <v>3.7637993392134251E-3</v>
      </c>
      <c r="P85" s="19">
        <f t="shared" ca="1" si="160"/>
        <v>106.5660796122262</v>
      </c>
      <c r="Q85" s="19">
        <f ca="1">HCTrans(P85,Strike,RiskFreeRate,Dividend,Variance_T0*AnnualVarConvtr,(Simulation!G85)/250,0.5,Variance_Avg*AnnualVarConvtr,Lambda,SQRT(Simulation!N85),Rho,1,"Call")</f>
        <v>28.37315094450237</v>
      </c>
      <c r="R85" s="19">
        <f t="shared" ca="1" si="155"/>
        <v>0.74624278599024951</v>
      </c>
      <c r="S85" s="19">
        <f t="shared" ca="1" si="156"/>
        <v>0.95088393039366881</v>
      </c>
      <c r="T85" s="19">
        <f t="shared" ca="1" si="161"/>
        <v>1.175193815921965</v>
      </c>
      <c r="U85" s="19">
        <f t="shared" ca="1" si="162"/>
        <v>-70.143485591691373</v>
      </c>
      <c r="V85" s="21">
        <f t="shared" ca="1" si="163"/>
        <v>9.4888588867035626E-7</v>
      </c>
      <c r="W85">
        <f t="shared" ca="1" si="164"/>
        <v>9.7410773976514334E-4</v>
      </c>
      <c r="X85" s="22">
        <f t="shared" ref="X85" ca="1" si="198">BSdelta(1,P85,Strike,W85*AnnualVarConvtr,Dividend,RiskFreeRate,G85/250)</f>
        <v>0.9999997327793283</v>
      </c>
      <c r="Y85" s="22">
        <f t="shared" ca="1" si="170"/>
        <v>23.562020750325274</v>
      </c>
      <c r="Z85" s="22">
        <f t="shared" ca="1" si="171"/>
        <v>-75.534003979043192</v>
      </c>
      <c r="AA85">
        <f t="shared" si="158"/>
        <v>0.73884103340948371</v>
      </c>
      <c r="AB85">
        <f t="shared" ref="AB85" ca="1" si="199">BSdelta(1,P85,Strike,AA85/AnnualVarConvtr,Dividend,RiskFreeRate,G85/250)</f>
        <v>0.95250687506431042</v>
      </c>
      <c r="AC85">
        <f t="shared" ca="1" si="167"/>
        <v>1.1729063211505901</v>
      </c>
      <c r="AD85">
        <f t="shared" ca="1" si="168"/>
        <v>-70.311880537167028</v>
      </c>
    </row>
    <row r="86" spans="7:30" x14ac:dyDescent="0.25">
      <c r="G86" s="19">
        <v>169</v>
      </c>
      <c r="H86" s="19">
        <f t="shared" ca="1" si="73"/>
        <v>0.17401570245211218</v>
      </c>
      <c r="I86" s="19">
        <f t="shared" ca="1" si="73"/>
        <v>0.34397604113417535</v>
      </c>
      <c r="J86" s="19">
        <f t="shared" ca="1" si="152"/>
        <v>-1.0411711311412351</v>
      </c>
      <c r="K86" s="19">
        <f t="shared" ca="1" si="153"/>
        <v>1.5534420347735769</v>
      </c>
      <c r="L86" s="19">
        <f t="array" aca="1" ref="L86:M86" ca="1">MMULT(J86:K86,TRANSPOSE($B$10:$C$11))</f>
        <v>-1.0411711311412351</v>
      </c>
      <c r="M86" s="19">
        <f ca="1"/>
        <v>1.8296602260610073</v>
      </c>
      <c r="N86" s="20">
        <f t="shared" ca="1" si="175"/>
        <v>1.0045366521016758E-2</v>
      </c>
      <c r="O86" s="20">
        <f t="shared" ca="1" si="154"/>
        <v>-6.5998643153555789E-3</v>
      </c>
      <c r="P86" s="19">
        <f t="shared" ca="1" si="160"/>
        <v>105.86507376245726</v>
      </c>
      <c r="Q86" s="19">
        <f ca="1">HCTrans(P86,Strike,RiskFreeRate,Dividend,Variance_T0*AnnualVarConvtr,(Simulation!G86)/250,0.5,Variance_Avg*AnnualVarConvtr,Lambda,SQRT(Simulation!N86),Rho,1,"Call")</f>
        <v>27.819194435851259</v>
      </c>
      <c r="R86" s="19">
        <f t="shared" ca="1" si="155"/>
        <v>0.7455449492076659</v>
      </c>
      <c r="S86" s="19">
        <f t="shared" ca="1" si="156"/>
        <v>0.93182640525202676</v>
      </c>
      <c r="T86" s="19">
        <f t="shared" ca="1" si="161"/>
        <v>-2.0175263048498193</v>
      </c>
      <c r="U86" s="19">
        <f t="shared" ca="1" si="162"/>
        <v>-68.679915795492661</v>
      </c>
      <c r="V86" s="21">
        <f t="shared" ca="1" si="163"/>
        <v>1.0740552434503456E-4</v>
      </c>
      <c r="W86">
        <f t="shared" ca="1" si="164"/>
        <v>1.0363663654569004E-2</v>
      </c>
      <c r="X86" s="22">
        <f t="shared" ref="X86" ca="1" si="200">BSdelta(1,P86,Strike,W86*AnnualVarConvtr,Dividend,RiskFreeRate,G86/250)</f>
        <v>0.68807599670249631</v>
      </c>
      <c r="Y86" s="22">
        <f t="shared" ca="1" si="170"/>
        <v>-33.021829328035068</v>
      </c>
      <c r="Z86" s="22">
        <f t="shared" ca="1" si="171"/>
        <v>-43.066131159659236</v>
      </c>
      <c r="AA86">
        <f t="shared" si="158"/>
        <v>0.73884103340948371</v>
      </c>
      <c r="AB86">
        <f t="shared" ref="AB86" ca="1" si="201">BSdelta(1,P86,Strike,AA86/AnnualVarConvtr,Dividend,RiskFreeRate,G86/250)</f>
        <v>0.93354149439099621</v>
      </c>
      <c r="AC86">
        <f t="shared" ca="1" si="167"/>
        <v>-2.0077714239134905</v>
      </c>
      <c r="AD86">
        <f t="shared" ca="1" si="168"/>
        <v>-68.858065621904643</v>
      </c>
    </row>
    <row r="87" spans="7:30" x14ac:dyDescent="0.25">
      <c r="G87" s="19">
        <v>168</v>
      </c>
      <c r="H87" s="19">
        <f t="shared" ca="1" si="73"/>
        <v>0.35315767751845095</v>
      </c>
      <c r="I87" s="19">
        <f t="shared" ca="1" si="73"/>
        <v>0.64522693292768141</v>
      </c>
      <c r="J87" s="19">
        <f t="shared" ca="1" si="152"/>
        <v>-0.88267786829703798</v>
      </c>
      <c r="K87" s="19">
        <f t="shared" ca="1" si="153"/>
        <v>-1.1412979748223235</v>
      </c>
      <c r="L87" s="19">
        <f t="array" aca="1" ref="L87:M87" ca="1">MMULT(J87:K87,TRANSPOSE($B$10:$C$11))</f>
        <v>-0.88267786829703798</v>
      </c>
      <c r="M87" s="19">
        <f ca="1"/>
        <v>-0.16371604197027245</v>
      </c>
      <c r="N87" s="20">
        <f t="shared" ca="1" si="175"/>
        <v>9.6311477776582968E-3</v>
      </c>
      <c r="O87" s="20">
        <f t="shared" ca="1" si="154"/>
        <v>-5.4786209825092354E-3</v>
      </c>
      <c r="P87" s="19">
        <f t="shared" ca="1" si="160"/>
        <v>105.2866650358783</v>
      </c>
      <c r="Q87" s="19">
        <f ca="1">HCTrans(P87,Strike,RiskFreeRate,Dividend,Variance_T0*AnnualVarConvtr,(Simulation!G87)/250,0.5,Variance_Avg*AnnualVarConvtr,Lambda,SQRT(Simulation!N87),Rho,1,"Call")</f>
        <v>27.369748687952679</v>
      </c>
      <c r="R87" s="19">
        <f t="shared" ca="1" si="155"/>
        <v>0.74552260331212705</v>
      </c>
      <c r="S87" s="19">
        <f t="shared" ca="1" si="156"/>
        <v>0.91183578485846606</v>
      </c>
      <c r="T87" s="19">
        <f t="shared" ca="1" si="161"/>
        <v>-2.104745753236223</v>
      </c>
      <c r="U87" s="19">
        <f t="shared" ca="1" si="162"/>
        <v>-67.024615790155025</v>
      </c>
      <c r="V87" s="21">
        <f t="shared" ca="1" si="163"/>
        <v>1.2571866114523762E-6</v>
      </c>
      <c r="W87">
        <f t="shared" ca="1" si="164"/>
        <v>1.1212433328463434E-3</v>
      </c>
      <c r="X87" s="22">
        <f t="shared" ref="X87" ca="1" si="202">BSdelta(1,P87,Strike,W87*AnnualVarConvtr,Dividend,RiskFreeRate,G87/250)</f>
        <v>0.99980889581060317</v>
      </c>
      <c r="Y87" s="22">
        <f t="shared" ca="1" si="170"/>
        <v>32.821317329058495</v>
      </c>
      <c r="Z87" s="22">
        <f t="shared" ca="1" si="171"/>
        <v>-76.336894236616303</v>
      </c>
      <c r="AA87">
        <f t="shared" si="158"/>
        <v>0.73884103340948371</v>
      </c>
      <c r="AB87">
        <f t="shared" ref="AB87" ca="1" si="203">BSdelta(1,P87,Strike,AA87/AnnualVarConvtr,Dividend,RiskFreeRate,G87/250)</f>
        <v>0.91372038413578049</v>
      </c>
      <c r="AC87">
        <f t="shared" ca="1" si="167"/>
        <v>-2.086898596080109</v>
      </c>
      <c r="AD87">
        <f t="shared" ca="1" si="168"/>
        <v>-67.220612773723118</v>
      </c>
    </row>
    <row r="88" spans="7:30" x14ac:dyDescent="0.25">
      <c r="G88" s="19">
        <v>167</v>
      </c>
      <c r="H88" s="19">
        <f t="shared" ca="1" si="73"/>
        <v>7.0268478403708645E-2</v>
      </c>
      <c r="I88" s="19">
        <f t="shared" ca="1" si="73"/>
        <v>0.65534516410121058</v>
      </c>
      <c r="J88" s="19">
        <f t="shared" ca="1" si="152"/>
        <v>-1.2912019531458483</v>
      </c>
      <c r="K88" s="19">
        <f t="shared" ca="1" si="153"/>
        <v>-1.908837722635224</v>
      </c>
      <c r="L88" s="19">
        <f t="array" aca="1" ref="L88:M88" ca="1">MMULT(J88:K88,TRANSPOSE($B$10:$C$11))</f>
        <v>-1.2912019531458483</v>
      </c>
      <c r="M88" s="19">
        <f ca="1"/>
        <v>-0.40643435533842676</v>
      </c>
      <c r="N88" s="20">
        <f t="shared" ca="1" si="175"/>
        <v>8.6642352024713879E-3</v>
      </c>
      <c r="O88" s="20">
        <f t="shared" ca="1" si="154"/>
        <v>-7.6013247397684579E-3</v>
      </c>
      <c r="P88" s="19">
        <f t="shared" ca="1" si="160"/>
        <v>104.48938095072225</v>
      </c>
      <c r="Q88" s="19">
        <f ca="1">HCTrans(P88,Strike,RiskFreeRate,Dividend,Variance_T0*AnnualVarConvtr,(Simulation!G88)/250,0.5,Variance_Avg*AnnualVarConvtr,Lambda,SQRT(Simulation!N88),Rho,1,"Call")</f>
        <v>26.782296156126364</v>
      </c>
      <c r="R88" s="19">
        <f t="shared" ca="1" si="155"/>
        <v>0.74555452033954828</v>
      </c>
      <c r="S88" s="19">
        <f t="shared" ca="1" si="156"/>
        <v>0.87672678071859034</v>
      </c>
      <c r="T88" s="19">
        <f t="shared" ca="1" si="161"/>
        <v>-3.6685181083719587</v>
      </c>
      <c r="U88" s="19">
        <f t="shared" ca="1" si="162"/>
        <v>-63.943550213609385</v>
      </c>
      <c r="V88" s="21">
        <f t="shared" ca="1" si="163"/>
        <v>4.5058712410824202E-6</v>
      </c>
      <c r="W88">
        <f t="shared" ca="1" si="164"/>
        <v>2.1227037572592224E-3</v>
      </c>
      <c r="X88" s="22">
        <f t="shared" ref="X88" ca="1" si="204">BSdelta(1,P88,Strike,W88*AnnualVarConvtr,Dividend,RiskFreeRate,G88/250)</f>
        <v>0.94680448678579221</v>
      </c>
      <c r="Y88" s="22">
        <f t="shared" ca="1" si="170"/>
        <v>-5.5383978866613726</v>
      </c>
      <c r="Z88" s="22">
        <f t="shared" ca="1" si="171"/>
        <v>-71.385948881781246</v>
      </c>
      <c r="AA88">
        <f t="shared" si="158"/>
        <v>0.73884103340948371</v>
      </c>
      <c r="AB88">
        <f t="shared" ref="AB88" ca="1" si="205">BSdelta(1,P88,Strike,AA88/AnnualVarConvtr,Dividend,RiskFreeRate,G88/250)</f>
        <v>0.87878997668504688</v>
      </c>
      <c r="AC88">
        <f t="shared" ca="1" si="167"/>
        <v>-3.6498566508836512</v>
      </c>
      <c r="AD88">
        <f t="shared" ca="1" si="168"/>
        <v>-64.158208654665785</v>
      </c>
    </row>
    <row r="89" spans="7:30" x14ac:dyDescent="0.25">
      <c r="G89" s="19">
        <v>166</v>
      </c>
      <c r="H89" s="19">
        <f t="shared" ca="1" si="73"/>
        <v>0.24250957003008655</v>
      </c>
      <c r="I89" s="19">
        <f t="shared" ca="1" si="73"/>
        <v>0.19076274359962053</v>
      </c>
      <c r="J89" s="19">
        <f t="shared" ca="1" si="152"/>
        <v>0.61214869375406167</v>
      </c>
      <c r="K89" s="19">
        <f t="shared" ca="1" si="153"/>
        <v>1.56802493201434</v>
      </c>
      <c r="L89" s="19">
        <f t="array" aca="1" ref="L89:M89" ca="1">MMULT(J89:K89,TRANSPOSE($B$10:$C$11))</f>
        <v>0.61214869375406167</v>
      </c>
      <c r="M89" s="19">
        <f ca="1"/>
        <v>0.65522941239297738</v>
      </c>
      <c r="N89" s="20">
        <f t="shared" ca="1" si="175"/>
        <v>1.0215680730951292E-2</v>
      </c>
      <c r="O89" s="20">
        <f t="shared" ca="1" si="154"/>
        <v>3.9130966843420895E-3</v>
      </c>
      <c r="P89" s="19">
        <f t="shared" ca="1" si="160"/>
        <v>104.89905903308212</v>
      </c>
      <c r="Q89" s="19">
        <f ca="1">HCTrans(P89,Strike,RiskFreeRate,Dividend,Variance_T0*AnnualVarConvtr,(Simulation!G89)/250,0.5,Variance_Avg*AnnualVarConvtr,Lambda,SQRT(Simulation!N89),Rho,1,"Call")</f>
        <v>26.971978148796381</v>
      </c>
      <c r="R89" s="19">
        <f t="shared" ca="1" si="155"/>
        <v>0.74540518734229388</v>
      </c>
      <c r="S89" s="19">
        <f t="shared" ca="1" si="156"/>
        <v>0.89692724605133012</v>
      </c>
      <c r="T89" s="19">
        <f t="shared" ca="1" si="161"/>
        <v>2.1190098054347994</v>
      </c>
      <c r="U89" s="19">
        <f t="shared" ca="1" si="162"/>
        <v>-65.872878026374167</v>
      </c>
      <c r="V89" s="21">
        <f t="shared" ca="1" si="163"/>
        <v>1.3258190073201596E-4</v>
      </c>
      <c r="W89">
        <f t="shared" ca="1" si="164"/>
        <v>1.1514421424110547E-2</v>
      </c>
      <c r="X89" s="22">
        <f t="shared" ref="X89" ca="1" si="206">BSdelta(1,P89,Strike,W89*AnnualVarConvtr,Dividend,RiskFreeRate,G89/250)</f>
        <v>0.65415853245645061</v>
      </c>
      <c r="Y89" s="22">
        <f t="shared" ca="1" si="170"/>
        <v>-30.698285238986259</v>
      </c>
      <c r="Z89" s="22">
        <f t="shared" ca="1" si="171"/>
        <v>-40.49798165012497</v>
      </c>
      <c r="AA89">
        <f t="shared" si="158"/>
        <v>0.73884103340948371</v>
      </c>
      <c r="AB89">
        <f t="shared" ref="AB89" ca="1" si="207">BSdelta(1,P89,Strike,AA89/AnnualVarConvtr,Dividend,RiskFreeRate,G89/250)</f>
        <v>0.89886797359824677</v>
      </c>
      <c r="AC89">
        <f t="shared" ca="1" si="167"/>
        <v>2.106162983463796</v>
      </c>
      <c r="AD89">
        <f t="shared" ca="1" si="168"/>
        <v>-66.074689645459557</v>
      </c>
    </row>
    <row r="90" spans="7:30" x14ac:dyDescent="0.25">
      <c r="G90" s="19">
        <v>165</v>
      </c>
      <c r="H90" s="19">
        <f t="shared" ca="1" si="73"/>
        <v>0.38583688957774875</v>
      </c>
      <c r="I90" s="19">
        <f t="shared" ca="1" si="73"/>
        <v>0.80480527751742204</v>
      </c>
      <c r="J90" s="19">
        <f t="shared" ca="1" si="152"/>
        <v>0.46590378321640363</v>
      </c>
      <c r="K90" s="19">
        <f t="shared" ca="1" si="153"/>
        <v>-1.299082289215348</v>
      </c>
      <c r="L90" s="19">
        <f t="array" aca="1" ref="L90:M90" ca="1">MMULT(J90:K90,TRANSPOSE($B$10:$C$11))</f>
        <v>0.46590378321640363</v>
      </c>
      <c r="M90" s="19">
        <f ca="1"/>
        <v>-1.2400430962156843</v>
      </c>
      <c r="N90" s="20">
        <f t="shared" ca="1" si="175"/>
        <v>7.3567729991946213E-3</v>
      </c>
      <c r="O90" s="20">
        <f t="shared" ca="1" si="154"/>
        <v>2.5273763106798889E-3</v>
      </c>
      <c r="P90" s="19">
        <f t="shared" ca="1" si="160"/>
        <v>105.16451374056236</v>
      </c>
      <c r="Q90" s="19">
        <f ca="1">HCTrans(P90,Strike,RiskFreeRate,Dividend,Variance_T0*AnnualVarConvtr,(Simulation!G90)/250,0.5,Variance_Avg*AnnualVarConvtr,Lambda,SQRT(Simulation!N90),Rho,1,"Call")</f>
        <v>27.088773854400841</v>
      </c>
      <c r="R90" s="19">
        <f t="shared" ca="1" si="155"/>
        <v>0.7459006529996125</v>
      </c>
      <c r="S90" s="19">
        <f t="shared" ca="1" si="156"/>
        <v>0.90874618554610753</v>
      </c>
      <c r="T90" s="19">
        <f t="shared" ca="1" si="161"/>
        <v>1.2429330248973944</v>
      </c>
      <c r="U90" s="19">
        <f t="shared" ca="1" si="162"/>
        <v>-66.999015345667104</v>
      </c>
      <c r="V90" s="21">
        <f t="shared" ca="1" si="163"/>
        <v>1.9202209539825086E-6</v>
      </c>
      <c r="W90">
        <f t="shared" ca="1" si="164"/>
        <v>1.3857203736622006E-3</v>
      </c>
      <c r="X90" s="22">
        <f t="shared" ref="X90" ca="1" si="208">BSdelta(1,P90,Strike,W90*AnnualVarConvtr,Dividend,RiskFreeRate,G90/250)</f>
        <v>0.99772935617064384</v>
      </c>
      <c r="Y90" s="22">
        <f t="shared" ca="1" si="170"/>
        <v>36.131458611347604</v>
      </c>
      <c r="Z90" s="22">
        <f t="shared" ca="1" si="171"/>
        <v>-76.512644555868121</v>
      </c>
      <c r="AA90">
        <f t="shared" si="158"/>
        <v>0.73884103340948371</v>
      </c>
      <c r="AB90">
        <f t="shared" ref="AB90" ca="1" si="209">BSdelta(1,P90,Strike,AA90/AnnualVarConvtr,Dividend,RiskFreeRate,G90/250)</f>
        <v>0.91075949098805242</v>
      </c>
      <c r="AC90">
        <f t="shared" ca="1" si="167"/>
        <v>1.2505656439363526</v>
      </c>
      <c r="AD90">
        <f t="shared" ca="1" si="168"/>
        <v>-67.208459583791452</v>
      </c>
    </row>
    <row r="91" spans="7:30" x14ac:dyDescent="0.25">
      <c r="G91" s="19">
        <v>164</v>
      </c>
      <c r="H91" s="19">
        <f t="shared" ca="1" si="73"/>
        <v>0.35524556019743514</v>
      </c>
      <c r="I91" s="19">
        <f t="shared" ca="1" si="73"/>
        <v>0.47665397062854431</v>
      </c>
      <c r="J91" s="19">
        <f t="shared" ca="1" si="152"/>
        <v>-1.4232611379156934</v>
      </c>
      <c r="K91" s="19">
        <f t="shared" ca="1" si="153"/>
        <v>0.21028493249587876</v>
      </c>
      <c r="L91" s="19">
        <f t="array" aca="1" ref="L91:M91" ca="1">MMULT(J91:K91,TRANSPOSE($B$10:$C$11))</f>
        <v>-1.4232611379156934</v>
      </c>
      <c r="M91" s="19">
        <f ca="1"/>
        <v>1.1664586597283895</v>
      </c>
      <c r="N91" s="20">
        <f t="shared" ca="1" si="175"/>
        <v>1.0012875042893755E-2</v>
      </c>
      <c r="O91" s="20">
        <f t="shared" ca="1" si="154"/>
        <v>-9.007286668988217E-3</v>
      </c>
      <c r="P91" s="19">
        <f t="shared" ca="1" si="160"/>
        <v>104.22152010042777</v>
      </c>
      <c r="Q91" s="19">
        <f ca="1">HCTrans(P91,Strike,RiskFreeRate,Dividend,Variance_T0*AnnualVarConvtr,(Simulation!G91)/250,0.5,Variance_Avg*AnnualVarConvtr,Lambda,SQRT(Simulation!N91),Rho,1,"Call")</f>
        <v>26.389477872785818</v>
      </c>
      <c r="R91" s="19">
        <f t="shared" ca="1" si="155"/>
        <v>0.74535059673440385</v>
      </c>
      <c r="S91" s="19">
        <f t="shared" ca="1" si="156"/>
        <v>0.86478241949391677</v>
      </c>
      <c r="T91" s="19">
        <f t="shared" ca="1" si="161"/>
        <v>-4.5819705272989042</v>
      </c>
      <c r="U91" s="19">
        <f t="shared" ca="1" si="162"/>
        <v>-63.11634079998322</v>
      </c>
      <c r="V91" s="21">
        <f t="shared" ca="1" si="163"/>
        <v>1.3304845005452593E-4</v>
      </c>
      <c r="W91">
        <f t="shared" ca="1" si="164"/>
        <v>1.1534662979668106E-2</v>
      </c>
      <c r="X91" s="22">
        <f t="shared" ref="X91" ca="1" si="210">BSdelta(1,P91,Strike,W91*AnnualVarConvtr,Dividend,RiskFreeRate,G91/250)</f>
        <v>0.63824695184241587</v>
      </c>
      <c r="Y91" s="22">
        <f t="shared" ca="1" si="170"/>
        <v>-37.465802628444514</v>
      </c>
      <c r="Z91" s="22">
        <f t="shared" ca="1" si="171"/>
        <v>-39.74613790903863</v>
      </c>
      <c r="AA91">
        <f t="shared" si="158"/>
        <v>0.73884103340948371</v>
      </c>
      <c r="AB91">
        <f t="shared" ref="AB91" ca="1" si="211">BSdelta(1,P91,Strike,AA91/AnnualVarConvtr,Dividend,RiskFreeRate,G91/250)</f>
        <v>0.86680958974368338</v>
      </c>
      <c r="AC91">
        <f t="shared" ca="1" si="167"/>
        <v>-4.5805255159518232</v>
      </c>
      <c r="AD91">
        <f t="shared" ca="1" si="168"/>
        <v>-63.327230049454656</v>
      </c>
    </row>
    <row r="92" spans="7:30" x14ac:dyDescent="0.25">
      <c r="G92" s="19">
        <v>163</v>
      </c>
      <c r="H92" s="19">
        <f t="shared" ca="1" si="73"/>
        <v>4.5478547116464374E-2</v>
      </c>
      <c r="I92" s="19">
        <f t="shared" ca="1" si="73"/>
        <v>7.0847754700284482E-2</v>
      </c>
      <c r="J92" s="19">
        <f t="shared" ca="1" si="152"/>
        <v>2.243881256289165</v>
      </c>
      <c r="K92" s="19">
        <f t="shared" ca="1" si="153"/>
        <v>1.0705260482542474</v>
      </c>
      <c r="L92" s="19">
        <f t="array" aca="1" ref="L92:M92" ca="1">MMULT(J92:K92,TRANSPOSE($B$10:$C$11))</f>
        <v>2.243881256289165</v>
      </c>
      <c r="M92" s="19">
        <f ca="1"/>
        <v>-0.86095576792902573</v>
      </c>
      <c r="N92" s="20">
        <f t="shared" ca="1" si="175"/>
        <v>7.9961154100140347E-3</v>
      </c>
      <c r="O92" s="20">
        <f t="shared" ca="1" si="154"/>
        <v>1.2690227076930497E-2</v>
      </c>
      <c r="P92" s="19">
        <f t="shared" ca="1" si="160"/>
        <v>105.55254248246223</v>
      </c>
      <c r="Q92" s="19">
        <f ca="1">HCTrans(P92,Strike,RiskFreeRate,Dividend,Variance_T0*AnnualVarConvtr,(Simulation!G92)/250,0.5,Variance_Avg*AnnualVarConvtr,Lambda,SQRT(Simulation!N92),Rho,1,"Call")</f>
        <v>27.197522813982104</v>
      </c>
      <c r="R92" s="19">
        <f t="shared" ca="1" si="155"/>
        <v>0.7458898590469567</v>
      </c>
      <c r="S92" s="19">
        <f t="shared" ca="1" si="156"/>
        <v>0.92474023912453296</v>
      </c>
      <c r="T92" s="19">
        <f t="shared" ca="1" si="161"/>
        <v>6.328700303716424</v>
      </c>
      <c r="U92" s="19">
        <f t="shared" ca="1" si="162"/>
        <v>-68.636996162503351</v>
      </c>
      <c r="V92" s="21">
        <f t="shared" ca="1" si="163"/>
        <v>4.7078210275433151E-4</v>
      </c>
      <c r="W92">
        <f t="shared" ca="1" si="164"/>
        <v>2.1697513745918714E-2</v>
      </c>
      <c r="X92" s="22">
        <f t="shared" ref="X92" ca="1" si="212">BSdelta(1,P92,Strike,W92*AnnualVarConvtr,Dividend,RiskFreeRate,G92/250)</f>
        <v>0.63065262895807339</v>
      </c>
      <c r="Y92" s="22">
        <f t="shared" ca="1" si="170"/>
        <v>-0.80160008887509415</v>
      </c>
      <c r="Z92" s="22">
        <f t="shared" ca="1" si="171"/>
        <v>-38.136492878967253</v>
      </c>
      <c r="AA92">
        <f t="shared" si="158"/>
        <v>0.73884103340948371</v>
      </c>
      <c r="AB92">
        <f t="shared" ref="AB92" ca="1" si="213">BSdelta(1,P92,Strike,AA92/AnnualVarConvtr,Dividend,RiskFreeRate,G92/250)</f>
        <v>0.92661749711351293</v>
      </c>
      <c r="AC92">
        <f t="shared" ca="1" si="167"/>
        <v>6.3128766834410994</v>
      </c>
      <c r="AD92">
        <f t="shared" ca="1" si="168"/>
        <v>-68.832061791699473</v>
      </c>
    </row>
    <row r="93" spans="7:30" x14ac:dyDescent="0.25">
      <c r="G93" s="19">
        <v>162</v>
      </c>
      <c r="H93" s="19">
        <f t="shared" ca="1" si="73"/>
        <v>0.27756469368443604</v>
      </c>
      <c r="I93" s="19">
        <f t="shared" ca="1" si="73"/>
        <v>0.96116035653884457</v>
      </c>
      <c r="J93" s="19">
        <f t="shared" ca="1" si="152"/>
        <v>1.5536242854498199</v>
      </c>
      <c r="K93" s="19">
        <f t="shared" ca="1" si="153"/>
        <v>-0.38685147641496642</v>
      </c>
      <c r="L93" s="19">
        <f t="array" aca="1" ref="L93:M93" ca="1">MMULT(J93:K93,TRANSPOSE($B$10:$C$11))</f>
        <v>1.5536242854498199</v>
      </c>
      <c r="M93" s="19">
        <f ca="1"/>
        <v>-1.3830343967365319</v>
      </c>
      <c r="N93" s="20">
        <f t="shared" ca="1" si="175"/>
        <v>5.2461081336511181E-3</v>
      </c>
      <c r="O93" s="20">
        <f t="shared" ca="1" si="154"/>
        <v>7.1169614922466443E-3</v>
      </c>
      <c r="P93" s="19">
        <f t="shared" ca="1" si="160"/>
        <v>106.30643539400369</v>
      </c>
      <c r="Q93" s="19">
        <f ca="1">HCTrans(P93,Strike,RiskFreeRate,Dividend,Variance_T0*AnnualVarConvtr,(Simulation!G93)/250,0.5,Variance_Avg*AnnualVarConvtr,Lambda,SQRT(Simulation!N93),Rho,1,"Call")</f>
        <v>27.636020842426959</v>
      </c>
      <c r="R93" s="19">
        <f t="shared" ca="1" si="155"/>
        <v>0.74645027333335656</v>
      </c>
      <c r="S93" s="19">
        <f t="shared" ca="1" si="156"/>
        <v>0.94826209721078025</v>
      </c>
      <c r="T93" s="19">
        <f t="shared" ca="1" si="161"/>
        <v>2.5005248869925709</v>
      </c>
      <c r="U93" s="19">
        <f t="shared" ca="1" si="162"/>
        <v>-70.699023021051062</v>
      </c>
      <c r="V93" s="21">
        <f t="shared" ca="1" si="163"/>
        <v>3.1061289277421447E-5</v>
      </c>
      <c r="W93">
        <f t="shared" ca="1" si="164"/>
        <v>5.5732655846838525E-3</v>
      </c>
      <c r="X93" s="22">
        <f t="shared" ref="X93" ca="1" si="214">BSdelta(1,P93,Strike,W93*AnnualVarConvtr,Dividend,RiskFreeRate,G93/250)</f>
        <v>0.81529820283709564</v>
      </c>
      <c r="Y93" s="22">
        <f t="shared" ca="1" si="170"/>
        <v>19.629012770359015</v>
      </c>
      <c r="Z93" s="22">
        <f t="shared" ca="1" si="171"/>
        <v>-57.327007620881417</v>
      </c>
      <c r="AA93">
        <f t="shared" si="158"/>
        <v>0.73884103340948371</v>
      </c>
      <c r="AB93">
        <f t="shared" ref="AB93" ca="1" si="215">BSdelta(1,P93,Strike,AA93/AnnualVarConvtr,Dividend,RiskFreeRate,G93/250)</f>
        <v>0.94997498063370212</v>
      </c>
      <c r="AC93">
        <f t="shared" ca="1" si="167"/>
        <v>2.4830508128054971</v>
      </c>
      <c r="AD93">
        <f t="shared" ca="1" si="168"/>
        <v>-70.87661457606012</v>
      </c>
    </row>
    <row r="94" spans="7:30" x14ac:dyDescent="0.25">
      <c r="G94" s="19">
        <v>161</v>
      </c>
      <c r="H94" s="19">
        <f t="shared" ca="1" si="73"/>
        <v>6.2282211539409937E-2</v>
      </c>
      <c r="I94" s="19">
        <f t="shared" ca="1" si="73"/>
        <v>0.46715653902933829</v>
      </c>
      <c r="J94" s="19">
        <f t="shared" ca="1" si="152"/>
        <v>-2.3063080723771536</v>
      </c>
      <c r="K94" s="19">
        <f t="shared" ca="1" si="153"/>
        <v>0.48280629794223495</v>
      </c>
      <c r="L94" s="19">
        <f t="array" aca="1" ref="L94:M94" ca="1">MMULT(J94:K94,TRANSPOSE($B$10:$C$11))</f>
        <v>-2.3063080723771536</v>
      </c>
      <c r="M94" s="19">
        <f ca="1"/>
        <v>1.9892691749189337</v>
      </c>
      <c r="N94" s="20">
        <f t="shared" ca="1" si="175"/>
        <v>9.3834131520787057E-3</v>
      </c>
      <c r="O94" s="20">
        <f t="shared" ca="1" si="154"/>
        <v>-1.4129530594325927E-2</v>
      </c>
      <c r="P94" s="19">
        <f t="shared" ca="1" si="160"/>
        <v>104.81493726090834</v>
      </c>
      <c r="Q94" s="19">
        <f ca="1">HCTrans(P94,Strike,RiskFreeRate,Dividend,Variance_T0*AnnualVarConvtr,(Simulation!G94)/250,0.5,Variance_Avg*AnnualVarConvtr,Lambda,SQRT(Simulation!N94),Rho,1,"Call")</f>
        <v>26.564737753055653</v>
      </c>
      <c r="R94" s="19">
        <f t="shared" ca="1" si="155"/>
        <v>0.74559703564718649</v>
      </c>
      <c r="S94" s="19">
        <f t="shared" ca="1" si="156"/>
        <v>0.89645517281960951</v>
      </c>
      <c r="T94" s="19">
        <f t="shared" ca="1" si="161"/>
        <v>-5.430139529741183</v>
      </c>
      <c r="U94" s="19">
        <f t="shared" ca="1" si="162"/>
        <v>-66.340166580681185</v>
      </c>
      <c r="V94" s="21">
        <f t="shared" ca="1" si="163"/>
        <v>4.5141342598479085E-4</v>
      </c>
      <c r="W94">
        <f t="shared" ca="1" si="164"/>
        <v>2.1246492086572571E-2</v>
      </c>
      <c r="X94" s="22">
        <f t="shared" ref="X94" ca="1" si="216">BSdelta(1,P94,Strike,W94*AnnualVarConvtr,Dividend,RiskFreeRate,G94/250)</f>
        <v>0.62142708492321608</v>
      </c>
      <c r="Y94" s="22">
        <f t="shared" ca="1" si="170"/>
        <v>-20.32058906084545</v>
      </c>
      <c r="Z94" s="22">
        <f t="shared" ca="1" si="171"/>
        <v>-38.077701649407274</v>
      </c>
      <c r="AA94">
        <f t="shared" si="158"/>
        <v>0.73884103340948371</v>
      </c>
      <c r="AB94">
        <f t="shared" ref="AB94" ca="1" si="217">BSdelta(1,P94,Strike,AA94/AnnualVarConvtr,Dividend,RiskFreeRate,G94/250)</f>
        <v>0.89845555490250539</v>
      </c>
      <c r="AC94">
        <f t="shared" ca="1" si="167"/>
        <v>-5.4000053757334108</v>
      </c>
      <c r="AD94">
        <f t="shared" ca="1" si="168"/>
        <v>-66.547892289698012</v>
      </c>
    </row>
    <row r="95" spans="7:30" x14ac:dyDescent="0.25">
      <c r="G95" s="19">
        <v>160</v>
      </c>
      <c r="H95" s="19">
        <f t="shared" ref="H95:I158" ca="1" si="218">RAND()</f>
        <v>0.20531283455964344</v>
      </c>
      <c r="I95" s="19">
        <f t="shared" ca="1" si="218"/>
        <v>0.42425554582491221</v>
      </c>
      <c r="J95" s="19">
        <f t="shared" ca="1" si="152"/>
        <v>-1.5817051040424821</v>
      </c>
      <c r="K95" s="19">
        <f t="shared" ca="1" si="153"/>
        <v>0.81526059970204623</v>
      </c>
      <c r="L95" s="19">
        <f t="array" aca="1" ref="L95:M95" ca="1">MMULT(J95:K95,TRANSPOSE($B$10:$C$11))</f>
        <v>-1.5817051040424821</v>
      </c>
      <c r="M95" s="19">
        <f ca="1"/>
        <v>1.7020069774742379</v>
      </c>
      <c r="N95" s="20">
        <f t="shared" ca="1" si="175"/>
        <v>1.3849110025291727E-2</v>
      </c>
      <c r="O95" s="20">
        <f t="shared" ca="1" si="154"/>
        <v>-1.1772438884103138E-2</v>
      </c>
      <c r="P95" s="19">
        <f t="shared" ca="1" si="160"/>
        <v>103.58824456752249</v>
      </c>
      <c r="Q95" s="19">
        <f ca="1">HCTrans(P95,Strike,RiskFreeRate,Dividend,Variance_T0*AnnualVarConvtr,(Simulation!G95)/250,0.5,Variance_Avg*AnnualVarConvtr,Lambda,SQRT(Simulation!N95),Rho,1,"Call")</f>
        <v>25.677431461722307</v>
      </c>
      <c r="R95" s="19">
        <f t="shared" ca="1" si="155"/>
        <v>0.74476730576075878</v>
      </c>
      <c r="S95" s="19">
        <f t="shared" ca="1" si="156"/>
        <v>0.83005540553029733</v>
      </c>
      <c r="T95" s="19">
        <f t="shared" ca="1" si="161"/>
        <v>-6.8782353331918502</v>
      </c>
      <c r="U95" s="19">
        <f t="shared" ca="1" si="162"/>
        <v>-60.349237538822678</v>
      </c>
      <c r="V95" s="21">
        <f t="shared" ca="1" si="163"/>
        <v>5.5558813304009925E-6</v>
      </c>
      <c r="W95">
        <f t="shared" ca="1" si="164"/>
        <v>2.357091710222789E-3</v>
      </c>
      <c r="X95" s="22">
        <f t="shared" ref="X95" ca="1" si="219">BSdelta(1,P95,Strike,W95*AnnualVarConvtr,Dividend,RiskFreeRate,G95/250)</f>
        <v>0.88440846237159865</v>
      </c>
      <c r="Y95" s="22">
        <f t="shared" ca="1" si="170"/>
        <v>27.241779243826997</v>
      </c>
      <c r="Z95" s="22">
        <f t="shared" ca="1" si="171"/>
        <v>-66.206787184567617</v>
      </c>
      <c r="AA95">
        <f t="shared" si="158"/>
        <v>0.73884103340948371</v>
      </c>
      <c r="AB95">
        <f t="shared" ref="AB95" ca="1" si="220">BSdelta(1,P95,Strike,AA95/AnnualVarConvtr,Dividend,RiskFreeRate,G95/250)</f>
        <v>0.83190946732010029</v>
      </c>
      <c r="AC95">
        <f t="shared" ca="1" si="167"/>
        <v>-6.8933923954979512</v>
      </c>
      <c r="AD95">
        <f t="shared" ca="1" si="168"/>
        <v>-60.541806185533403</v>
      </c>
    </row>
    <row r="96" spans="7:30" x14ac:dyDescent="0.25">
      <c r="G96" s="19">
        <v>159</v>
      </c>
      <c r="H96" s="19">
        <f t="shared" ca="1" si="218"/>
        <v>6.4193450594462464E-2</v>
      </c>
      <c r="I96" s="19">
        <f t="shared" ca="1" si="218"/>
        <v>0.59905005902941433</v>
      </c>
      <c r="J96" s="19">
        <f t="shared" ca="1" si="152"/>
        <v>-1.9040699325241839</v>
      </c>
      <c r="K96" s="19">
        <f t="shared" ca="1" si="153"/>
        <v>-1.3660987776741669</v>
      </c>
      <c r="L96" s="19">
        <f t="array" aca="1" ref="L96:M96" ca="1">MMULT(J96:K96,TRANSPOSE($B$10:$C$11))</f>
        <v>-1.9040699325241839</v>
      </c>
      <c r="M96" s="19">
        <f ca="1"/>
        <v>0.41129323385684036</v>
      </c>
      <c r="N96" s="20">
        <f t="shared" ca="1" si="175"/>
        <v>1.5025300686008932E-2</v>
      </c>
      <c r="O96" s="20">
        <f t="shared" ca="1" si="154"/>
        <v>-1.4761295581166844E-2</v>
      </c>
      <c r="P96" s="19">
        <f t="shared" ca="1" si="160"/>
        <v>102.07037826856971</v>
      </c>
      <c r="Q96" s="19">
        <f ca="1">HCTrans(P96,Strike,RiskFreeRate,Dividend,Variance_T0*AnnualVarConvtr,(Simulation!G96)/250,0.5,Variance_Avg*AnnualVarConvtr,Lambda,SQRT(Simulation!N96),Rho,1,"Call")</f>
        <v>24.627685852796162</v>
      </c>
      <c r="R96" s="19">
        <f t="shared" ca="1" si="155"/>
        <v>0.74430309171486997</v>
      </c>
      <c r="S96" s="19">
        <f t="shared" ca="1" si="156"/>
        <v>0.71383858784511833</v>
      </c>
      <c r="T96" s="19">
        <f t="shared" ca="1" si="161"/>
        <v>-11.862294542295622</v>
      </c>
      <c r="U96" s="19">
        <f t="shared" ca="1" si="162"/>
        <v>-49.5366886054532</v>
      </c>
      <c r="V96" s="21">
        <f t="shared" ca="1" si="163"/>
        <v>8.9332643555825707E-6</v>
      </c>
      <c r="W96">
        <f t="shared" ca="1" si="164"/>
        <v>2.9888566970637069E-3</v>
      </c>
      <c r="X96" s="22">
        <f t="shared" ref="X96" ca="1" si="221">BSdelta(1,P96,Strike,W96*AnnualVarConvtr,Dividend,RiskFreeRate,G96/250)</f>
        <v>0.71313976290601722</v>
      </c>
      <c r="Y96" s="22">
        <f t="shared" ca="1" si="170"/>
        <v>-17.481460940017879</v>
      </c>
      <c r="Z96" s="22">
        <f t="shared" ca="1" si="171"/>
        <v>-49.775071853475879</v>
      </c>
      <c r="AA96">
        <f t="shared" si="158"/>
        <v>0.73884103340948371</v>
      </c>
      <c r="AB96">
        <f t="shared" ref="AB96" ca="1" si="222">BSdelta(1,P96,Strike,AA96/AnnualVarConvtr,Dividend,RiskFreeRate,G96/250)</f>
        <v>0.71516295351247661</v>
      </c>
      <c r="AC96">
        <f t="shared" ca="1" si="167"/>
        <v>-11.916360825880947</v>
      </c>
      <c r="AD96">
        <f t="shared" ca="1" si="168"/>
        <v>-49.675190968578605</v>
      </c>
    </row>
    <row r="97" spans="7:30" x14ac:dyDescent="0.25">
      <c r="G97" s="19">
        <v>158</v>
      </c>
      <c r="H97" s="19">
        <f t="shared" ca="1" si="218"/>
        <v>0.30876856383414131</v>
      </c>
      <c r="I97" s="19">
        <f t="shared" ca="1" si="218"/>
        <v>0.49942469347270013</v>
      </c>
      <c r="J97" s="19">
        <f t="shared" ca="1" si="152"/>
        <v>-1.5330674557225985</v>
      </c>
      <c r="K97" s="19">
        <f t="shared" ca="1" si="153"/>
        <v>5.5416912502105186E-3</v>
      </c>
      <c r="L97" s="19">
        <f t="array" aca="1" ref="L97:M97" ca="1">MMULT(J97:K97,TRANSPOSE($B$10:$C$11))</f>
        <v>-1.5330674557225985</v>
      </c>
      <c r="M97" s="19">
        <f ca="1"/>
        <v>1.1023086443055639</v>
      </c>
      <c r="N97" s="20">
        <f t="shared" ca="1" si="175"/>
        <v>1.8478786811409867E-2</v>
      </c>
      <c r="O97" s="20">
        <f t="shared" ca="1" si="154"/>
        <v>-1.3180381704892892E-2</v>
      </c>
      <c r="P97" s="19">
        <f t="shared" ca="1" si="160"/>
        <v>100.73387885670022</v>
      </c>
      <c r="Q97" s="19">
        <f ca="1">HCTrans(P97,Strike,RiskFreeRate,Dividend,Variance_T0*AnnualVarConvtr,(Simulation!G97)/250,0.5,Variance_Avg*AnnualVarConvtr,Lambda,SQRT(Simulation!N97),Rho,1,"Call")</f>
        <v>23.696736689706626</v>
      </c>
      <c r="R97" s="19">
        <f t="shared" ca="1" si="155"/>
        <v>0.74354176447993181</v>
      </c>
      <c r="S97" s="19">
        <f t="shared" ca="1" si="156"/>
        <v>0.58483569569370097</v>
      </c>
      <c r="T97" s="19">
        <f t="shared" ca="1" si="161"/>
        <v>-12.994961710144839</v>
      </c>
      <c r="U97" s="19">
        <f t="shared" ca="1" si="162"/>
        <v>-37.472676058397894</v>
      </c>
      <c r="V97" s="21">
        <f t="shared" ca="1" si="163"/>
        <v>2.4992886841955337E-6</v>
      </c>
      <c r="W97">
        <f t="shared" ca="1" si="164"/>
        <v>1.5809138762739525E-3</v>
      </c>
      <c r="X97" s="22">
        <f t="shared" ref="X97" ca="1" si="223">BSdelta(1,P97,Strike,W97*AnnualVarConvtr,Dividend,RiskFreeRate,G97/250)</f>
        <v>0.64724548580763486</v>
      </c>
      <c r="Y97" s="22">
        <f t="shared" ca="1" si="170"/>
        <v>-6.637786126578284</v>
      </c>
      <c r="Z97" s="22">
        <f t="shared" ca="1" si="171"/>
        <v>-44.068234889987131</v>
      </c>
      <c r="AA97">
        <f t="shared" si="158"/>
        <v>0.73884103340948371</v>
      </c>
      <c r="AB97">
        <f t="shared" ref="AB97" ca="1" si="224">BSdelta(1,P97,Strike,AA97/AnnualVarConvtr,Dividend,RiskFreeRate,G97/250)</f>
        <v>0.58527473974733868</v>
      </c>
      <c r="AC97">
        <f t="shared" ca="1" si="167"/>
        <v>-13.084143590330585</v>
      </c>
      <c r="AD97">
        <f t="shared" ca="1" si="168"/>
        <v>-37.521996541337558</v>
      </c>
    </row>
    <row r="98" spans="7:30" x14ac:dyDescent="0.25">
      <c r="G98" s="19">
        <v>157</v>
      </c>
      <c r="H98" s="19">
        <f t="shared" ca="1" si="218"/>
        <v>0.72712391513435304</v>
      </c>
      <c r="I98" s="19">
        <f t="shared" ca="1" si="218"/>
        <v>0.48738329338701636</v>
      </c>
      <c r="J98" s="19">
        <f t="shared" ca="1" si="152"/>
        <v>-0.7958140976661896</v>
      </c>
      <c r="K98" s="19">
        <f t="shared" ca="1" si="153"/>
        <v>6.3219138297266664E-2</v>
      </c>
      <c r="L98" s="19">
        <f t="array" aca="1" ref="L98:M98" ca="1">MMULT(J98:K98,TRANSPOSE($B$10:$C$11))</f>
        <v>-0.7958140976661896</v>
      </c>
      <c r="M98" s="19">
        <f ca="1"/>
        <v>0.61430165577944595</v>
      </c>
      <c r="N98" s="20">
        <f t="shared" ca="1" si="175"/>
        <v>2.052249641180157E-2</v>
      </c>
      <c r="O98" s="20">
        <f t="shared" ca="1" si="154"/>
        <v>-7.2103561712817052E-3</v>
      </c>
      <c r="P98" s="19">
        <f t="shared" ca="1" si="160"/>
        <v>100.01016396813115</v>
      </c>
      <c r="Q98" s="19">
        <f ca="1">HCTrans(P98,Strike,RiskFreeRate,Dividend,Variance_T0*AnnualVarConvtr,(Simulation!G98)/250,0.5,Variance_Avg*AnnualVarConvtr,Lambda,SQRT(Simulation!N98),Rho,1,"Call")</f>
        <v>23.164309374882038</v>
      </c>
      <c r="R98" s="19">
        <f t="shared" ca="1" si="155"/>
        <v>0.74310681344986085</v>
      </c>
      <c r="S98" s="19">
        <f t="shared" ca="1" si="156"/>
        <v>0.5085171920500271</v>
      </c>
      <c r="T98" s="19">
        <f t="shared" ca="1" si="161"/>
        <v>-7.6326260632062386</v>
      </c>
      <c r="U98" s="19">
        <f t="shared" ca="1" si="162"/>
        <v>-30.372477310016244</v>
      </c>
      <c r="V98" s="21">
        <f t="shared" ca="1" si="163"/>
        <v>3.5641204871969534E-5</v>
      </c>
      <c r="W98">
        <f t="shared" ca="1" si="164"/>
        <v>5.9700255336111868E-3</v>
      </c>
      <c r="X98" s="22">
        <f t="shared" ref="X98" ca="1" si="225">BSdelta(1,P98,Strike,W98*AnnualVarConvtr,Dividend,RiskFreeRate,G98/250)</f>
        <v>0.51545944146905165</v>
      </c>
      <c r="Y98" s="22">
        <f t="shared" ca="1" si="170"/>
        <v>-13.179943903013109</v>
      </c>
      <c r="Z98" s="22">
        <f t="shared" ca="1" si="171"/>
        <v>-31.420718301798608</v>
      </c>
      <c r="AA98">
        <f t="shared" si="158"/>
        <v>0.73884103340948371</v>
      </c>
      <c r="AB98">
        <f t="shared" ref="AB98" ca="1" si="226">BSdelta(1,P98,Strike,AA98/AnnualVarConvtr,Dividend,RiskFreeRate,G98/250)</f>
        <v>0.50848083878447081</v>
      </c>
      <c r="AC98">
        <f t="shared" ca="1" si="167"/>
        <v>-7.6801706270488399</v>
      </c>
      <c r="AD98">
        <f t="shared" ca="1" si="168"/>
        <v>-30.374253229113307</v>
      </c>
    </row>
    <row r="99" spans="7:30" x14ac:dyDescent="0.25">
      <c r="G99" s="19">
        <v>156</v>
      </c>
      <c r="H99" s="19">
        <f t="shared" ca="1" si="218"/>
        <v>0.85900664500444346</v>
      </c>
      <c r="I99" s="19">
        <f t="shared" ca="1" si="218"/>
        <v>8.3028040727707975E-2</v>
      </c>
      <c r="J99" s="19">
        <f t="shared" ca="1" si="152"/>
        <v>0.47798777275456228</v>
      </c>
      <c r="K99" s="19">
        <f t="shared" ca="1" si="153"/>
        <v>0.27474521226752735</v>
      </c>
      <c r="L99" s="19">
        <f t="array" aca="1" ref="L99:M99" ca="1">MMULT(J99:K99,TRANSPOSE($B$10:$C$11))</f>
        <v>0.47798777275456228</v>
      </c>
      <c r="M99" s="19">
        <f ca="1"/>
        <v>-0.150819525694176</v>
      </c>
      <c r="N99" s="20">
        <f t="shared" ca="1" si="175"/>
        <v>1.9924689263275553E-2</v>
      </c>
      <c r="O99" s="20">
        <f t="shared" ca="1" si="154"/>
        <v>4.2671957067854805E-3</v>
      </c>
      <c r="P99" s="19">
        <f t="shared" ca="1" si="160"/>
        <v>100.43783874748287</v>
      </c>
      <c r="Q99" s="19">
        <f ca="1">HCTrans(P99,Strike,RiskFreeRate,Dividend,Variance_T0*AnnualVarConvtr,(Simulation!G99)/250,0.5,Variance_Avg*AnnualVarConvtr,Lambda,SQRT(Simulation!N99),Rho,1,"Call")</f>
        <v>23.36285776614028</v>
      </c>
      <c r="R99" s="19">
        <f t="shared" ca="1" si="155"/>
        <v>0.74332150961958643</v>
      </c>
      <c r="S99" s="19">
        <f t="shared" ca="1" si="156"/>
        <v>0.5541728348661028</v>
      </c>
      <c r="T99" s="19">
        <f t="shared" ca="1" si="161"/>
        <v>4.5855540910736865</v>
      </c>
      <c r="U99" s="19">
        <f t="shared" ca="1" si="162"/>
        <v>-34.75948300983169</v>
      </c>
      <c r="V99" s="21">
        <f t="shared" ca="1" si="163"/>
        <v>1.3173419711372359E-4</v>
      </c>
      <c r="W99">
        <f t="shared" ca="1" si="164"/>
        <v>1.1477551878067186E-2</v>
      </c>
      <c r="X99" s="22">
        <f t="shared" ref="X99" ca="1" si="227">BSdelta(1,P99,Strike,W99*AnnualVarConvtr,Dividend,RiskFreeRate,G99/250)</f>
        <v>0.54068237651503337</v>
      </c>
      <c r="Y99" s="22">
        <f t="shared" ca="1" si="170"/>
        <v>2.5333370828865465</v>
      </c>
      <c r="Z99" s="22">
        <f t="shared" ca="1" si="171"/>
        <v>-33.755506993426913</v>
      </c>
      <c r="AA99">
        <f t="shared" si="158"/>
        <v>0.73884103340948371</v>
      </c>
      <c r="AB99">
        <f t="shared" ref="AB99" ca="1" si="228">BSdelta(1,P99,Strike,AA99/AnnualVarConvtr,Dividend,RiskFreeRate,G99/250)</f>
        <v>0.55441056835924629</v>
      </c>
      <c r="AC99">
        <f t="shared" ca="1" si="167"/>
        <v>4.6130827727467949</v>
      </c>
      <c r="AD99">
        <f t="shared" ca="1" si="168"/>
        <v>-34.788787610601858</v>
      </c>
    </row>
    <row r="100" spans="7:30" x14ac:dyDescent="0.25">
      <c r="G100" s="19">
        <v>155</v>
      </c>
      <c r="H100" s="19">
        <f t="shared" ca="1" si="218"/>
        <v>0.33200215465717076</v>
      </c>
      <c r="I100" s="19">
        <f t="shared" ca="1" si="218"/>
        <v>0.32172320641947594</v>
      </c>
      <c r="J100" s="19">
        <f t="shared" ca="1" si="152"/>
        <v>-0.64679348842587436</v>
      </c>
      <c r="K100" s="19">
        <f t="shared" ca="1" si="153"/>
        <v>1.3367444870433651</v>
      </c>
      <c r="L100" s="19">
        <f t="array" aca="1" ref="L100:M100" ca="1">MMULT(J100:K100,TRANSPOSE($B$10:$C$11))</f>
        <v>-0.64679348842587436</v>
      </c>
      <c r="M100" s="19">
        <f ca="1"/>
        <v>1.3959232330344746</v>
      </c>
      <c r="N100" s="20">
        <f t="shared" ca="1" si="175"/>
        <v>2.4980825057379068E-2</v>
      </c>
      <c r="O100" s="20">
        <f t="shared" ca="1" si="154"/>
        <v>-6.4654539628466014E-3</v>
      </c>
      <c r="P100" s="19">
        <f t="shared" ca="1" si="160"/>
        <v>99.790557264057853</v>
      </c>
      <c r="Q100" s="19">
        <f ca="1">HCTrans(P100,Strike,RiskFreeRate,Dividend,Variance_T0*AnnualVarConvtr,(Simulation!G100)/250,0.5,Variance_Avg*AnnualVarConvtr,Lambda,SQRT(Simulation!N100),Rho,1,"Call")</f>
        <v>22.868249160633056</v>
      </c>
      <c r="R100" s="19">
        <f t="shared" ca="1" si="155"/>
        <v>0.74253030507115469</v>
      </c>
      <c r="S100" s="19">
        <f t="shared" ca="1" si="156"/>
        <v>0.48475980214924569</v>
      </c>
      <c r="T100" s="19">
        <f t="shared" ca="1" si="161"/>
        <v>-6.9267652162034512</v>
      </c>
      <c r="U100" s="19">
        <f t="shared" ca="1" si="162"/>
        <v>-28.327326399135465</v>
      </c>
      <c r="V100" s="21">
        <f t="shared" ca="1" si="163"/>
        <v>1.1518976893105366E-4</v>
      </c>
      <c r="W100">
        <f t="shared" ca="1" si="164"/>
        <v>1.0732649669632083E-2</v>
      </c>
      <c r="X100" s="22">
        <f t="shared" ref="X100" ca="1" si="229">BSdelta(1,P100,Strike,W100*AnnualVarConvtr,Dividend,RiskFreeRate,G100/250)</f>
        <v>0.52038477597059551</v>
      </c>
      <c r="Y100" s="22">
        <f t="shared" ca="1" si="170"/>
        <v>-2.0255088694526977</v>
      </c>
      <c r="Z100" s="22">
        <f t="shared" ca="1" si="171"/>
        <v>-32.224606729481437</v>
      </c>
      <c r="AA100">
        <f t="shared" si="158"/>
        <v>0.73884103340948371</v>
      </c>
      <c r="AB100">
        <f t="shared" ref="AB100" ca="1" si="230">BSdelta(1,P100,Strike,AA100/AnnualVarConvtr,Dividend,RiskFreeRate,G100/250)</f>
        <v>0.48461031628632345</v>
      </c>
      <c r="AC100">
        <f t="shared" ca="1" si="167"/>
        <v>-6.9654060515286798</v>
      </c>
      <c r="AD100">
        <f t="shared" ca="1" si="168"/>
        <v>-28.317990164580401</v>
      </c>
    </row>
    <row r="101" spans="7:30" x14ac:dyDescent="0.25">
      <c r="G101" s="19">
        <v>154</v>
      </c>
      <c r="H101" s="19">
        <f t="shared" ca="1" si="218"/>
        <v>0.53787968192447744</v>
      </c>
      <c r="I101" s="19">
        <f t="shared" ca="1" si="218"/>
        <v>0.18206995637525791</v>
      </c>
      <c r="J101" s="19">
        <f t="shared" ca="1" si="152"/>
        <v>0.46102836435270589</v>
      </c>
      <c r="K101" s="19">
        <f t="shared" ca="1" si="153"/>
        <v>1.0137522448883851</v>
      </c>
      <c r="L101" s="19">
        <f t="array" aca="1" ref="L101:M101" ca="1">MMULT(J101:K101,TRANSPOSE($B$10:$C$11))</f>
        <v>0.46102836435270589</v>
      </c>
      <c r="M101" s="19">
        <f ca="1"/>
        <v>0.3768536567893172</v>
      </c>
      <c r="N101" s="20">
        <f t="shared" ca="1" si="175"/>
        <v>2.6367596112808069E-2</v>
      </c>
      <c r="O101" s="20">
        <f t="shared" ca="1" si="154"/>
        <v>4.7347048390858869E-3</v>
      </c>
      <c r="P101" s="19">
        <f t="shared" ca="1" si="160"/>
        <v>100.26415638972783</v>
      </c>
      <c r="Q101" s="19">
        <f ca="1">HCTrans(P101,Strike,RiskFreeRate,Dividend,Variance_T0*AnnualVarConvtr,(Simulation!G101)/250,0.5,Variance_Avg*AnnualVarConvtr,Lambda,SQRT(Simulation!N101),Rho,1,"Call")</f>
        <v>23.087368293688385</v>
      </c>
      <c r="R101" s="19">
        <f t="shared" ca="1" si="155"/>
        <v>0.74253344222044892</v>
      </c>
      <c r="S101" s="19">
        <f t="shared" ca="1" si="156"/>
        <v>0.53585743193848945</v>
      </c>
      <c r="T101" s="19">
        <f t="shared" ca="1" si="161"/>
        <v>5.1232607443331517</v>
      </c>
      <c r="U101" s="19">
        <f t="shared" ca="1" si="162"/>
        <v>-33.231468010413288</v>
      </c>
      <c r="V101" s="21">
        <f t="shared" ca="1" si="163"/>
        <v>1.2544355718850577E-4</v>
      </c>
      <c r="W101">
        <f t="shared" ca="1" si="164"/>
        <v>1.1200158801932487E-2</v>
      </c>
      <c r="X101" s="22">
        <f t="shared" ref="X101" ca="1" si="231">BSdelta(1,P101,Strike,W101*AnnualVarConvtr,Dividend,RiskFreeRate,G101/250)</f>
        <v>0.53525061433719634</v>
      </c>
      <c r="Y101" s="22">
        <f t="shared" ca="1" si="170"/>
        <v>1.4905107428532813</v>
      </c>
      <c r="Z101" s="22">
        <f t="shared" ca="1" si="171"/>
        <v>-33.495998339279389</v>
      </c>
      <c r="AA101">
        <f t="shared" si="158"/>
        <v>0.73884103340948371</v>
      </c>
      <c r="AB101">
        <f t="shared" ref="AB101" ca="1" si="232">BSdelta(1,P101,Strike,AA101/AnnualVarConvtr,Dividend,RiskFreeRate,G101/250)</f>
        <v>0.53596314021192659</v>
      </c>
      <c r="AC101">
        <f t="shared" ca="1" si="167"/>
        <v>5.1488475691308304</v>
      </c>
      <c r="AD101">
        <f t="shared" ca="1" si="168"/>
        <v>-33.247718600655901</v>
      </c>
    </row>
    <row r="102" spans="7:30" x14ac:dyDescent="0.25">
      <c r="G102" s="19">
        <v>153</v>
      </c>
      <c r="H102" s="19">
        <f t="shared" ca="1" si="218"/>
        <v>0.14120957722861049</v>
      </c>
      <c r="I102" s="19">
        <f t="shared" ca="1" si="218"/>
        <v>0.1669283069230808</v>
      </c>
      <c r="J102" s="19">
        <f t="shared" ca="1" si="152"/>
        <v>0.98650220182088511</v>
      </c>
      <c r="K102" s="19">
        <f t="shared" ca="1" si="153"/>
        <v>1.7151774437219904</v>
      </c>
      <c r="L102" s="19">
        <f t="array" aca="1" ref="L102:M102" ca="1">MMULT(J102:K102,TRANSPOSE($B$10:$C$11))</f>
        <v>0.98650220182088511</v>
      </c>
      <c r="M102" s="19">
        <f ca="1"/>
        <v>0.48965681648817039</v>
      </c>
      <c r="N102" s="20">
        <f t="shared" ca="1" si="175"/>
        <v>2.8250839621499942E-2</v>
      </c>
      <c r="O102" s="20">
        <f t="shared" ca="1" si="154"/>
        <v>1.0486818086429464E-2</v>
      </c>
      <c r="P102" s="19">
        <f t="shared" ca="1" si="160"/>
        <v>101.32114087371851</v>
      </c>
      <c r="Q102" s="19">
        <f ca="1">HCTrans(P102,Strike,RiskFreeRate,Dividend,Variance_T0*AnnualVarConvtr,(Simulation!G102)/250,0.5,Variance_Avg*AnnualVarConvtr,Lambda,SQRT(Simulation!N102),Rho,1,"Call")</f>
        <v>23.67380568927851</v>
      </c>
      <c r="R102" s="19">
        <f t="shared" ca="1" si="155"/>
        <v>0.74267508314006103</v>
      </c>
      <c r="S102" s="19">
        <f t="shared" ca="1" si="156"/>
        <v>0.64637660414102005</v>
      </c>
      <c r="T102" s="19">
        <f t="shared" ca="1" si="161"/>
        <v>11.197928615979357</v>
      </c>
      <c r="U102" s="19">
        <f t="shared" ca="1" si="162"/>
        <v>-43.842959230802521</v>
      </c>
      <c r="V102" s="21">
        <f t="shared" ca="1" si="163"/>
        <v>3.3086806810265476E-5</v>
      </c>
      <c r="W102">
        <f t="shared" ca="1" si="164"/>
        <v>5.7521132473435776E-3</v>
      </c>
      <c r="X102" s="22">
        <f t="shared" ref="X102" ca="1" si="233">BSdelta(1,P102,Strike,W102*AnnualVarConvtr,Dividend,RiskFreeRate,G102/250)</f>
        <v>0.58708140744702764</v>
      </c>
      <c r="Y102" s="22">
        <f t="shared" ca="1" si="170"/>
        <v>5.2515550902777752</v>
      </c>
      <c r="Z102" s="22">
        <f t="shared" ca="1" si="171"/>
        <v>-38.161116033967041</v>
      </c>
      <c r="AA102">
        <f t="shared" si="158"/>
        <v>0.73884103340948371</v>
      </c>
      <c r="AB102">
        <f t="shared" ref="AB102" ca="1" si="234">BSdelta(1,P102,Strike,AA102/AnnualVarConvtr,Dividend,RiskFreeRate,G102/250)</f>
        <v>0.64703022351785999</v>
      </c>
      <c r="AC102">
        <f t="shared" ca="1" si="167"/>
        <v>11.253443594073508</v>
      </c>
      <c r="AD102">
        <f t="shared" ca="1" si="168"/>
        <v>-43.914724799139286</v>
      </c>
    </row>
    <row r="103" spans="7:30" x14ac:dyDescent="0.25">
      <c r="G103" s="19">
        <v>152</v>
      </c>
      <c r="H103" s="19">
        <f t="shared" ca="1" si="218"/>
        <v>0.43547815069277074</v>
      </c>
      <c r="I103" s="19">
        <f t="shared" ca="1" si="218"/>
        <v>0.96363199124612409</v>
      </c>
      <c r="J103" s="19">
        <f t="shared" ca="1" si="152"/>
        <v>1.2559089836497155</v>
      </c>
      <c r="K103" s="19">
        <f t="shared" ca="1" si="153"/>
        <v>-0.29208549079758345</v>
      </c>
      <c r="L103" s="19">
        <f t="array" aca="1" ref="L103:M103" ca="1">MMULT(J103:K103,TRANSPOSE($B$10:$C$11))</f>
        <v>1.2559089836497155</v>
      </c>
      <c r="M103" s="19">
        <f ca="1"/>
        <v>-1.103613854732244</v>
      </c>
      <c r="N103" s="20">
        <f t="shared" ca="1" si="175"/>
        <v>2.3773101449690966E-2</v>
      </c>
      <c r="O103" s="20">
        <f t="shared" ca="1" si="154"/>
        <v>1.2247038539706177E-2</v>
      </c>
      <c r="P103" s="19">
        <f t="shared" ca="1" si="160"/>
        <v>102.56965448269337</v>
      </c>
      <c r="Q103" s="19">
        <f ca="1">HCTrans(P103,Strike,RiskFreeRate,Dividend,Variance_T0*AnnualVarConvtr,(Simulation!G103)/250,0.5,Variance_Avg*AnnualVarConvtr,Lambda,SQRT(Simulation!N103),Rho,1,"Call")</f>
        <v>24.409180682638905</v>
      </c>
      <c r="R103" s="19">
        <f t="shared" ca="1" si="155"/>
        <v>0.74354619476792749</v>
      </c>
      <c r="S103" s="19">
        <f t="shared" ca="1" si="156"/>
        <v>0.7612306702126439</v>
      </c>
      <c r="T103" s="19">
        <f t="shared" ca="1" si="161"/>
        <v>11.780541872898894</v>
      </c>
      <c r="U103" s="19">
        <f t="shared" ca="1" si="162"/>
        <v>-54.88812611034102</v>
      </c>
      <c r="V103" s="21">
        <f t="shared" ca="1" si="163"/>
        <v>3.0983760441336764E-6</v>
      </c>
      <c r="W103">
        <f t="shared" ca="1" si="164"/>
        <v>1.7602204532767129E-3</v>
      </c>
      <c r="X103" s="22">
        <f t="shared" ref="X103" ca="1" si="235">BSdelta(1,P103,Strike,W103*AnnualVarConvtr,Dividend,RiskFreeRate,G103/250)</f>
        <v>0.88099711727634378</v>
      </c>
      <c r="Y103" s="22">
        <f t="shared" ca="1" si="170"/>
        <v>30.14683280422852</v>
      </c>
      <c r="Z103" s="22">
        <f t="shared" ca="1" si="171"/>
        <v>-67.572573844835162</v>
      </c>
      <c r="AA103">
        <f t="shared" si="158"/>
        <v>0.73884103340948371</v>
      </c>
      <c r="AB103">
        <f t="shared" ref="AB103" ca="1" si="236">BSdelta(1,P103,Strike,AA103/AnnualVarConvtr,Dividend,RiskFreeRate,G103/250)</f>
        <v>0.76255867755063478</v>
      </c>
      <c r="AC103">
        <f t="shared" ca="1" si="167"/>
        <v>11.849713613061432</v>
      </c>
      <c r="AD103">
        <f t="shared" ca="1" si="168"/>
        <v>-55.029063418840323</v>
      </c>
    </row>
    <row r="104" spans="7:30" x14ac:dyDescent="0.25">
      <c r="G104" s="19">
        <v>151</v>
      </c>
      <c r="H104" s="19">
        <f t="shared" ca="1" si="218"/>
        <v>0.88608810029995011</v>
      </c>
      <c r="I104" s="19">
        <f t="shared" ca="1" si="218"/>
        <v>0.4323140886230411</v>
      </c>
      <c r="J104" s="19">
        <f t="shared" ca="1" si="152"/>
        <v>-0.44800119387873</v>
      </c>
      <c r="K104" s="19">
        <f t="shared" ca="1" si="153"/>
        <v>0.2029106328295579</v>
      </c>
      <c r="L104" s="19">
        <f t="array" aca="1" ref="L104:M104" ca="1">MMULT(J104:K104,TRANSPOSE($B$10:$C$11))</f>
        <v>-0.44800119387873</v>
      </c>
      <c r="M104" s="19">
        <f ca="1"/>
        <v>0.462540693571029</v>
      </c>
      <c r="N104" s="20">
        <f t="shared" ca="1" si="175"/>
        <v>2.5465298368920693E-2</v>
      </c>
      <c r="O104" s="20">
        <f t="shared" ca="1" si="154"/>
        <v>-4.5215105814285176E-3</v>
      </c>
      <c r="P104" s="19">
        <f t="shared" ca="1" si="160"/>
        <v>102.10693159615779</v>
      </c>
      <c r="Q104" s="19">
        <f ca="1">HCTrans(P104,Strike,RiskFreeRate,Dividend,Variance_T0*AnnualVarConvtr,(Simulation!G104)/250,0.5,Variance_Avg*AnnualVarConvtr,Lambda,SQRT(Simulation!N104),Rho,1,"Call")</f>
        <v>24.03572611190431</v>
      </c>
      <c r="R104" s="19">
        <f t="shared" ca="1" si="155"/>
        <v>0.74326300834727821</v>
      </c>
      <c r="S104" s="19">
        <f t="shared" ca="1" si="156"/>
        <v>0.72206530294948035</v>
      </c>
      <c r="T104" s="19">
        <f t="shared" ca="1" si="161"/>
        <v>-3.9990554760782389</v>
      </c>
      <c r="U104" s="19">
        <f t="shared" ca="1" si="162"/>
        <v>-51.262525204997374</v>
      </c>
      <c r="V104" s="21">
        <f t="shared" ca="1" si="163"/>
        <v>2.8118423962790711E-4</v>
      </c>
      <c r="W104">
        <f t="shared" ca="1" si="164"/>
        <v>1.6768549121134693E-2</v>
      </c>
      <c r="X104" s="22">
        <f t="shared" ref="X104" ca="1" si="237">BSdelta(1,P104,Strike,W104*AnnualVarConvtr,Dividend,RiskFreeRate,G104/250)</f>
        <v>0.58090770537297853</v>
      </c>
      <c r="Y104" s="22">
        <f t="shared" ca="1" si="170"/>
        <v>-30.641209053948135</v>
      </c>
      <c r="Z104" s="22">
        <f t="shared" ca="1" si="171"/>
        <v>-37.304819361621625</v>
      </c>
      <c r="AA104">
        <f t="shared" si="158"/>
        <v>0.73884103340948371</v>
      </c>
      <c r="AB104">
        <f t="shared" ref="AB104" ca="1" si="238">BSdelta(1,P104,Strike,AA104/AnnualVarConvtr,Dividend,RiskFreeRate,G104/250)</f>
        <v>0.72317346603603649</v>
      </c>
      <c r="AC104">
        <f t="shared" ca="1" si="167"/>
        <v>-4.0215030980212934</v>
      </c>
      <c r="AD104">
        <f t="shared" ca="1" si="168"/>
        <v>-51.381014891553626</v>
      </c>
    </row>
    <row r="105" spans="7:30" x14ac:dyDescent="0.25">
      <c r="G105" s="19">
        <v>150</v>
      </c>
      <c r="H105" s="19">
        <f t="shared" ca="1" si="218"/>
        <v>0.45457612103061773</v>
      </c>
      <c r="I105" s="19">
        <f t="shared" ca="1" si="218"/>
        <v>0.15333469560110102</v>
      </c>
      <c r="J105" s="19">
        <f t="shared" ca="1" si="152"/>
        <v>0.71663558824987972</v>
      </c>
      <c r="K105" s="19">
        <f t="shared" ca="1" si="153"/>
        <v>1.031122313985622</v>
      </c>
      <c r="L105" s="19">
        <f t="array" aca="1" ref="L105:M105" ca="1">MMULT(J105:K105,TRANSPOSE($B$10:$C$11))</f>
        <v>0.71663558824987972</v>
      </c>
      <c r="M105" s="19">
        <f ca="1"/>
        <v>0.20582821684485619</v>
      </c>
      <c r="N105" s="20">
        <f t="shared" ca="1" si="175"/>
        <v>2.6179408780961397E-2</v>
      </c>
      <c r="O105" s="20">
        <f t="shared" ca="1" si="154"/>
        <v>7.3334491411922234E-3</v>
      </c>
      <c r="P105" s="19">
        <f t="shared" ca="1" si="160"/>
        <v>102.85847993860131</v>
      </c>
      <c r="Q105" s="19">
        <f ca="1">HCTrans(P105,Strike,RiskFreeRate,Dividend,Variance_T0*AnnualVarConvtr,(Simulation!G105)/250,0.5,Variance_Avg*AnnualVarConvtr,Lambda,SQRT(Simulation!N105),Rho,1,"Call")</f>
        <v>24.440041842534811</v>
      </c>
      <c r="R105" s="19">
        <f t="shared" ca="1" si="155"/>
        <v>0.74343877553487614</v>
      </c>
      <c r="S105" s="19">
        <f t="shared" ca="1" si="156"/>
        <v>0.78583370655827145</v>
      </c>
      <c r="T105" s="19">
        <f t="shared" ca="1" si="161"/>
        <v>6.5591210633114709</v>
      </c>
      <c r="U105" s="19">
        <f t="shared" ca="1" si="162"/>
        <v>-57.417330537678346</v>
      </c>
      <c r="V105" s="21">
        <f t="shared" ca="1" si="163"/>
        <v>1.4054007002496004E-4</v>
      </c>
      <c r="W105">
        <f t="shared" ca="1" si="164"/>
        <v>1.1854959722620741E-2</v>
      </c>
      <c r="X105" s="22">
        <f t="shared" ref="X105" ca="1" si="239">BSdelta(1,P105,Strike,W105*AnnualVarConvtr,Dividend,RiskFreeRate,G105/250)</f>
        <v>0.60515364981575637</v>
      </c>
      <c r="Y105" s="22">
        <f t="shared" ca="1" si="170"/>
        <v>2.4939009900599056</v>
      </c>
      <c r="Z105" s="22">
        <f t="shared" ca="1" si="171"/>
        <v>-39.394404621051031</v>
      </c>
      <c r="AA105">
        <f t="shared" si="158"/>
        <v>0.73884103340948371</v>
      </c>
      <c r="AB105">
        <f t="shared" ref="AB105" ca="1" si="240">BSdelta(1,P105,Strike,AA105/AnnualVarConvtr,Dividend,RiskFreeRate,G105/250)</f>
        <v>0.78720219327632501</v>
      </c>
      <c r="AC105">
        <f t="shared" ca="1" si="167"/>
        <v>6.5858975563393916</v>
      </c>
      <c r="AD105">
        <f t="shared" ca="1" si="168"/>
        <v>-57.562596717262515</v>
      </c>
    </row>
    <row r="106" spans="7:30" x14ac:dyDescent="0.25">
      <c r="G106" s="19">
        <v>149</v>
      </c>
      <c r="H106" s="19">
        <f t="shared" ca="1" si="218"/>
        <v>0.1369454944714853</v>
      </c>
      <c r="I106" s="19">
        <f t="shared" ca="1" si="218"/>
        <v>0.63137651903734759</v>
      </c>
      <c r="J106" s="19">
        <f t="shared" ca="1" si="152"/>
        <v>-1.3524167481177125</v>
      </c>
      <c r="K106" s="19">
        <f t="shared" ca="1" si="153"/>
        <v>-1.4653714563864033</v>
      </c>
      <c r="L106" s="19">
        <f t="array" aca="1" ref="L106:M106" ca="1">MMULT(J106:K106,TRANSPOSE($B$10:$C$11))</f>
        <v>-1.3524167481177125</v>
      </c>
      <c r="M106" s="19">
        <f ca="1"/>
        <v>-5.3217611962496747E-2</v>
      </c>
      <c r="N106" s="20">
        <f t="shared" ca="1" si="175"/>
        <v>2.5867267967900773E-2</v>
      </c>
      <c r="O106" s="20">
        <f t="shared" ca="1" si="154"/>
        <v>-1.3756749116833798E-2</v>
      </c>
      <c r="P106" s="19">
        <f t="shared" ca="1" si="160"/>
        <v>101.45317004598029</v>
      </c>
      <c r="Q106" s="19">
        <f ca="1">HCTrans(P106,Strike,RiskFreeRate,Dividend,Variance_T0*AnnualVarConvtr,(Simulation!G106)/250,0.5,Variance_Avg*AnnualVarConvtr,Lambda,SQRT(Simulation!N106),Rho,1,"Call")</f>
        <v>23.473715669081926</v>
      </c>
      <c r="R106" s="19">
        <f t="shared" ca="1" si="155"/>
        <v>0.74308475452413092</v>
      </c>
      <c r="S106" s="19">
        <f t="shared" ca="1" si="156"/>
        <v>0.66121430880324439</v>
      </c>
      <c r="T106" s="19">
        <f t="shared" ca="1" si="161"/>
        <v>-12.643032951468415</v>
      </c>
      <c r="U106" s="19">
        <f t="shared" ca="1" si="162"/>
        <v>-45.740623759662817</v>
      </c>
      <c r="V106" s="21">
        <f t="shared" ca="1" si="163"/>
        <v>4.4479646256284384E-4</v>
      </c>
      <c r="W106">
        <f t="shared" ca="1" si="164"/>
        <v>2.1090198258026022E-2</v>
      </c>
      <c r="X106" s="22">
        <f t="shared" ref="X106" ca="1" si="241">BSdelta(1,P106,Strike,W106*AnnualVarConvtr,Dividend,RiskFreeRate,G106/250)</f>
        <v>0.57329150091244474</v>
      </c>
      <c r="Y106" s="22">
        <f t="shared" ca="1" si="170"/>
        <v>-3.2325160107180189</v>
      </c>
      <c r="Z106" s="22">
        <f t="shared" ca="1" si="171"/>
        <v>-37.128214783785893</v>
      </c>
      <c r="AA106">
        <f t="shared" si="158"/>
        <v>0.73884103340948371</v>
      </c>
      <c r="AB106">
        <f t="shared" ref="AB106" ca="1" si="242">BSdelta(1,P106,Strike,AA106/AnnualVarConvtr,Dividend,RiskFreeRate,G106/250)</f>
        <v>0.66201174752199177</v>
      </c>
      <c r="AC106">
        <f t="shared" ca="1" si="167"/>
        <v>-12.700967581246442</v>
      </c>
      <c r="AD106">
        <f t="shared" ca="1" si="168"/>
        <v>-45.827955309468962</v>
      </c>
    </row>
    <row r="107" spans="7:30" x14ac:dyDescent="0.25">
      <c r="G107" s="19">
        <v>148</v>
      </c>
      <c r="H107" s="19">
        <f t="shared" ca="1" si="218"/>
        <v>0.99036372269736883</v>
      </c>
      <c r="I107" s="19">
        <f t="shared" ca="1" si="218"/>
        <v>0.47216021914961726</v>
      </c>
      <c r="J107" s="19">
        <f t="shared" ca="1" si="152"/>
        <v>-0.13703821883673112</v>
      </c>
      <c r="K107" s="19">
        <f t="shared" ca="1" si="153"/>
        <v>2.4218585926890787E-2</v>
      </c>
      <c r="L107" s="19">
        <f t="array" aca="1" ref="L107:M107" ca="1">MMULT(J107:K107,TRANSPOSE($B$10:$C$11))</f>
        <v>-0.13703821883673112</v>
      </c>
      <c r="M107" s="19">
        <f ca="1"/>
        <v>0.11508245670955253</v>
      </c>
      <c r="N107" s="20">
        <f t="shared" ca="1" si="175"/>
        <v>2.6223330081504407E-2</v>
      </c>
      <c r="O107" s="20">
        <f t="shared" ca="1" si="154"/>
        <v>-1.4035103566421895E-3</v>
      </c>
      <c r="P107" s="19">
        <f t="shared" ca="1" si="160"/>
        <v>101.31087934769843</v>
      </c>
      <c r="Q107" s="19">
        <f ca="1">HCTrans(P107,Strike,RiskFreeRate,Dividend,Variance_T0*AnnualVarConvtr,(Simulation!G107)/250,0.5,Variance_Avg*AnnualVarConvtr,Lambda,SQRT(Simulation!N107),Rho,1,"Call")</f>
        <v>23.309368117402059</v>
      </c>
      <c r="R107" s="19">
        <f t="shared" ca="1" si="155"/>
        <v>0.74303280742069799</v>
      </c>
      <c r="S107" s="19">
        <f t="shared" ca="1" si="156"/>
        <v>0.64738487291544222</v>
      </c>
      <c r="T107" s="19">
        <f t="shared" ca="1" si="161"/>
        <v>-1.401072310675856</v>
      </c>
      <c r="U107" s="19">
        <f t="shared" ca="1" si="162"/>
        <v>-44.503899000666827</v>
      </c>
      <c r="V107" s="21">
        <f t="shared" ca="1" si="163"/>
        <v>1.5260250786630031E-4</v>
      </c>
      <c r="W107">
        <f t="shared" ca="1" si="164"/>
        <v>1.2353238760191608E-2</v>
      </c>
      <c r="X107" s="22">
        <f t="shared" ref="X107" ca="1" si="243">BSdelta(1,P107,Strike,W107*AnnualVarConvtr,Dividend,RiskFreeRate,G107/250)</f>
        <v>0.56426913605512707</v>
      </c>
      <c r="Y107" s="22">
        <f t="shared" ca="1" si="170"/>
        <v>-0.91406371749062443</v>
      </c>
      <c r="Z107" s="22">
        <f t="shared" ca="1" si="171"/>
        <v>-36.378498617975133</v>
      </c>
      <c r="AA107">
        <f t="shared" si="158"/>
        <v>0.73884103340948371</v>
      </c>
      <c r="AB107">
        <f t="shared" ref="AB107" ca="1" si="244">BSdelta(1,P107,Strike,AA107/AnnualVarConvtr,Dividend,RiskFreeRate,G107/250)</f>
        <v>0.64810568819709302</v>
      </c>
      <c r="AC107">
        <f t="shared" ca="1" si="167"/>
        <v>-1.4088350984667535</v>
      </c>
      <c r="AD107">
        <f t="shared" ca="1" si="168"/>
        <v>-44.583467762682076</v>
      </c>
    </row>
    <row r="108" spans="7:30" x14ac:dyDescent="0.25">
      <c r="G108" s="19">
        <v>147</v>
      </c>
      <c r="H108" s="19">
        <f t="shared" ca="1" si="218"/>
        <v>0.37600327582964044</v>
      </c>
      <c r="I108" s="19">
        <f t="shared" ca="1" si="218"/>
        <v>0.64854791099859765</v>
      </c>
      <c r="J108" s="19">
        <f t="shared" ca="1" si="152"/>
        <v>-0.83241507929774261</v>
      </c>
      <c r="K108" s="19">
        <f t="shared" ca="1" si="153"/>
        <v>-1.1240106682733821</v>
      </c>
      <c r="L108" s="19">
        <f t="array" aca="1" ref="L108:M108" ca="1">MMULT(J108:K108,TRANSPOSE($B$10:$C$11))</f>
        <v>-0.83241507929774261</v>
      </c>
      <c r="M108" s="19">
        <f ca="1"/>
        <v>-0.1876699283957407</v>
      </c>
      <c r="N108" s="20">
        <f t="shared" ca="1" si="175"/>
        <v>2.5381774600745585E-2</v>
      </c>
      <c r="O108" s="20">
        <f t="shared" ca="1" si="154"/>
        <v>-8.387468963090939E-3</v>
      </c>
      <c r="P108" s="19">
        <f t="shared" ca="1" si="160"/>
        <v>100.46469114095351</v>
      </c>
      <c r="Q108" s="19">
        <f ca="1">HCTrans(P108,Strike,RiskFreeRate,Dividend,Variance_T0*AnnualVarConvtr,(Simulation!G108)/250,0.5,Variance_Avg*AnnualVarConvtr,Lambda,SQRT(Simulation!N108),Rho,1,"Call")</f>
        <v>22.707910537704478</v>
      </c>
      <c r="R108" s="19">
        <f t="shared" ca="1" si="155"/>
        <v>0.74290052574637988</v>
      </c>
      <c r="S108" s="19">
        <f t="shared" ca="1" si="156"/>
        <v>0.55831301035695191</v>
      </c>
      <c r="T108" s="19">
        <f t="shared" ca="1" si="161"/>
        <v>-8.9485771612881901</v>
      </c>
      <c r="U108" s="19">
        <f t="shared" ca="1" si="162"/>
        <v>-36.156779419076216</v>
      </c>
      <c r="V108" s="21">
        <f t="shared" ca="1" si="163"/>
        <v>4.8775677816589551E-5</v>
      </c>
      <c r="W108">
        <f t="shared" ca="1" si="164"/>
        <v>6.983958606448749E-3</v>
      </c>
      <c r="X108" s="22">
        <f t="shared" ref="X108" ca="1" si="245">BSdelta(1,P108,Strike,W108*AnnualVarConvtr,Dividend,RiskFreeRate,G108/250)</f>
        <v>0.53867238660647709</v>
      </c>
      <c r="Y108" s="22">
        <f t="shared" ca="1" si="170"/>
        <v>-2.571569527570992</v>
      </c>
      <c r="Z108" s="22">
        <f t="shared" ca="1" si="171"/>
        <v>-34.40838667010172</v>
      </c>
      <c r="AA108">
        <f t="shared" si="158"/>
        <v>0.73884103340948371</v>
      </c>
      <c r="AB108">
        <f t="shared" ref="AB108" ca="1" si="246">BSdelta(1,P108,Strike,AA108/AnnualVarConvtr,Dividend,RiskFreeRate,G108/250)</f>
        <v>0.55855318869820758</v>
      </c>
      <c r="AC108">
        <f t="shared" ca="1" si="167"/>
        <v>-8.9968642030559192</v>
      </c>
      <c r="AD108">
        <f t="shared" ca="1" si="168"/>
        <v>-36.188061139323736</v>
      </c>
    </row>
    <row r="109" spans="7:30" x14ac:dyDescent="0.25">
      <c r="G109" s="19">
        <v>146</v>
      </c>
      <c r="H109" s="19">
        <f t="shared" ca="1" si="218"/>
        <v>0.53360612476511904</v>
      </c>
      <c r="I109" s="19">
        <f t="shared" ca="1" si="218"/>
        <v>0.74280652345704457</v>
      </c>
      <c r="J109" s="19">
        <f t="shared" ca="1" si="152"/>
        <v>-5.064065176316055E-2</v>
      </c>
      <c r="K109" s="19">
        <f t="shared" ca="1" si="153"/>
        <v>-1.119656258362894</v>
      </c>
      <c r="L109" s="19">
        <f t="array" aca="1" ref="L109:M109" ca="1">MMULT(J109:K109,TRANSPOSE($B$10:$C$11))</f>
        <v>-5.064065176316055E-2</v>
      </c>
      <c r="M109" s="19">
        <f ca="1"/>
        <v>-0.74477372558032229</v>
      </c>
      <c r="N109" s="20">
        <f t="shared" ca="1" si="175"/>
        <v>2.2458496192477917E-2</v>
      </c>
      <c r="O109" s="20">
        <f t="shared" ca="1" si="154"/>
        <v>-4.7997610667738135E-4</v>
      </c>
      <c r="P109" s="19">
        <f t="shared" ca="1" si="160"/>
        <v>100.4164820601701</v>
      </c>
      <c r="Q109" s="19">
        <f ca="1">HCTrans(P109,Strike,RiskFreeRate,Dividend,Variance_T0*AnnualVarConvtr,(Simulation!G109)/250,0.5,Variance_Avg*AnnualVarConvtr,Lambda,SQRT(Simulation!N109),Rho,1,"Call")</f>
        <v>22.614013841469955</v>
      </c>
      <c r="R109" s="19">
        <f t="shared" ca="1" si="155"/>
        <v>0.74325060379619501</v>
      </c>
      <c r="S109" s="19">
        <f t="shared" ca="1" si="156"/>
        <v>0.55316364185696498</v>
      </c>
      <c r="T109" s="19">
        <f t="shared" ca="1" si="161"/>
        <v>-0.51708146960014234</v>
      </c>
      <c r="U109" s="19">
        <f t="shared" ca="1" si="162"/>
        <v>-35.733594645710596</v>
      </c>
      <c r="V109" s="21">
        <f t="shared" ca="1" si="163"/>
        <v>6.252844327423143E-5</v>
      </c>
      <c r="W109">
        <f t="shared" ca="1" si="164"/>
        <v>7.9074928564135567E-3</v>
      </c>
      <c r="X109" s="22">
        <f t="shared" ref="X109" ca="1" si="247">BSdelta(1,P109,Strike,W109*AnnualVarConvtr,Dividend,RiskFreeRate,G109/250)</f>
        <v>0.53636184545088517</v>
      </c>
      <c r="Y109" s="22">
        <f t="shared" ca="1" si="170"/>
        <v>-0.23201641449978147</v>
      </c>
      <c r="Z109" s="22">
        <f t="shared" ca="1" si="171"/>
        <v>-34.270266951836462</v>
      </c>
      <c r="AA109">
        <f t="shared" si="158"/>
        <v>0.73884103340948371</v>
      </c>
      <c r="AB109">
        <f t="shared" ref="AB109" ca="1" si="248">BSdelta(1,P109,Strike,AA109/AnnualVarConvtr,Dividend,RiskFreeRate,G109/250)</f>
        <v>0.55339452090917196</v>
      </c>
      <c r="AC109">
        <f t="shared" ca="1" si="167"/>
        <v>-0.51801527149207272</v>
      </c>
      <c r="AD109">
        <f t="shared" ca="1" si="168"/>
        <v>-35.763942564066184</v>
      </c>
    </row>
    <row r="110" spans="7:30" x14ac:dyDescent="0.25">
      <c r="G110" s="19">
        <v>145</v>
      </c>
      <c r="H110" s="19">
        <f t="shared" ca="1" si="218"/>
        <v>3.6320598071185484E-2</v>
      </c>
      <c r="I110" s="19">
        <f t="shared" ca="1" si="218"/>
        <v>0.21489602019135556</v>
      </c>
      <c r="J110" s="19">
        <f t="shared" ca="1" si="152"/>
        <v>0.56336542881602369</v>
      </c>
      <c r="K110" s="19">
        <f t="shared" ca="1" si="153"/>
        <v>2.5126400281275574</v>
      </c>
      <c r="L110" s="19">
        <f t="array" aca="1" ref="L110:M110" ca="1">MMULT(J110:K110,TRANSPOSE($B$10:$C$11))</f>
        <v>0.56336542881602369</v>
      </c>
      <c r="M110" s="19">
        <f ca="1"/>
        <v>1.3491339190517107</v>
      </c>
      <c r="N110" s="20">
        <f t="shared" ca="1" si="175"/>
        <v>2.7607978052702039E-2</v>
      </c>
      <c r="O110" s="20">
        <f t="shared" ca="1" si="154"/>
        <v>5.9202151364395744E-3</v>
      </c>
      <c r="P110" s="19">
        <f t="shared" ca="1" si="160"/>
        <v>101.01273246104019</v>
      </c>
      <c r="Q110" s="19">
        <f ca="1">HCTrans(P110,Strike,RiskFreeRate,Dividend,Variance_T0*AnnualVarConvtr,(Simulation!G110)/250,0.5,Variance_Avg*AnnualVarConvtr,Lambda,SQRT(Simulation!N110),Rho,1,"Call")</f>
        <v>22.895840176965805</v>
      </c>
      <c r="R110" s="19">
        <f t="shared" ca="1" si="155"/>
        <v>0.74288324137598027</v>
      </c>
      <c r="S110" s="19">
        <f t="shared" ca="1" si="156"/>
        <v>0.61771916711538966</v>
      </c>
      <c r="T110" s="19">
        <f t="shared" ca="1" si="161"/>
        <v>6.5209300018111733</v>
      </c>
      <c r="U110" s="19">
        <f t="shared" ca="1" si="162"/>
        <v>-41.972698312025919</v>
      </c>
      <c r="V110" s="21">
        <f t="shared" ca="1" si="163"/>
        <v>4.0962447948470965E-5</v>
      </c>
      <c r="W110">
        <f t="shared" ca="1" si="164"/>
        <v>6.4001912431169558E-3</v>
      </c>
      <c r="X110" s="22">
        <f t="shared" ref="X110" ca="1" si="249">BSdelta(1,P110,Strike,W110*AnnualVarConvtr,Dividend,RiskFreeRate,G110/250)</f>
        <v>0.56721183388431129</v>
      </c>
      <c r="Y110" s="22">
        <f t="shared" ca="1" si="170"/>
        <v>3.1162416280518572</v>
      </c>
      <c r="Z110" s="22">
        <f t="shared" ca="1" si="171"/>
        <v>-37.104682244392471</v>
      </c>
      <c r="AA110">
        <f t="shared" si="158"/>
        <v>0.73884103340948371</v>
      </c>
      <c r="AB110">
        <f t="shared" ref="AB110" ca="1" si="250">BSdelta(1,P110,Strike,AA110/AnnualVarConvtr,Dividend,RiskFreeRate,G110/250)</f>
        <v>0.6182695937705458</v>
      </c>
      <c r="AC110">
        <f t="shared" ca="1" si="167"/>
        <v>6.5532083783364445</v>
      </c>
      <c r="AD110">
        <f t="shared" ca="1" si="168"/>
        <v>-42.035324606906777</v>
      </c>
    </row>
    <row r="111" spans="7:30" x14ac:dyDescent="0.25">
      <c r="G111" s="19">
        <v>144</v>
      </c>
      <c r="H111" s="19">
        <f t="shared" ca="1" si="218"/>
        <v>0.88020946737080152</v>
      </c>
      <c r="I111" s="19">
        <f t="shared" ca="1" si="218"/>
        <v>0.43067170979304192</v>
      </c>
      <c r="J111" s="19">
        <f t="shared" ca="1" si="152"/>
        <v>-0.45798981840118086</v>
      </c>
      <c r="K111" s="19">
        <f t="shared" ca="1" si="153"/>
        <v>0.21315736840201605</v>
      </c>
      <c r="L111" s="19">
        <f t="array" aca="1" ref="L111:M111" ca="1">MMULT(J111:K111,TRANSPOSE($B$10:$C$11))</f>
        <v>-0.45798981840118086</v>
      </c>
      <c r="M111" s="19">
        <f ca="1"/>
        <v>0.47684553350505537</v>
      </c>
      <c r="N111" s="20">
        <f t="shared" ca="1" si="175"/>
        <v>2.9475919300454914E-2</v>
      </c>
      <c r="O111" s="20">
        <f t="shared" ca="1" si="154"/>
        <v>-4.9730118988869729E-3</v>
      </c>
      <c r="P111" s="19">
        <f t="shared" ca="1" si="160"/>
        <v>100.5116419378385</v>
      </c>
      <c r="Q111" s="19">
        <f ca="1">HCTrans(P111,Strike,RiskFreeRate,Dividend,Variance_T0*AnnualVarConvtr,(Simulation!G111)/250,0.5,Variance_Avg*AnnualVarConvtr,Lambda,SQRT(Simulation!N111),Rho,1,"Call")</f>
        <v>22.502396225621666</v>
      </c>
      <c r="R111" s="19">
        <f t="shared" ca="1" si="155"/>
        <v>0.74256044355843154</v>
      </c>
      <c r="S111" s="19">
        <f t="shared" ca="1" si="156"/>
        <v>0.56395414023666079</v>
      </c>
      <c r="T111" s="19">
        <f t="shared" ca="1" si="161"/>
        <v>-5.4040111304130578</v>
      </c>
      <c r="U111" s="19">
        <f t="shared" ca="1" si="162"/>
        <v>-36.962131132956998</v>
      </c>
      <c r="V111" s="21">
        <f t="shared" ca="1" si="163"/>
        <v>1.186623952431692E-4</v>
      </c>
      <c r="W111">
        <f t="shared" ca="1" si="164"/>
        <v>1.0893227035326547E-2</v>
      </c>
      <c r="X111" s="22">
        <f t="shared" ref="X111" ca="1" si="251">BSdelta(1,P111,Strike,W111*AnnualVarConvtr,Dividend,RiskFreeRate,G111/250)</f>
        <v>0.54157413763203532</v>
      </c>
      <c r="Y111" s="22">
        <f t="shared" ca="1" si="170"/>
        <v>-2.576886945819826</v>
      </c>
      <c r="Z111" s="22">
        <f t="shared" ca="1" si="171"/>
        <v>-34.921239249916781</v>
      </c>
      <c r="AA111">
        <f t="shared" si="158"/>
        <v>0.73884103340948371</v>
      </c>
      <c r="AB111">
        <f t="shared" ref="AB111" ca="1" si="252">BSdelta(1,P111,Strike,AA111/AnnualVarConvtr,Dividend,RiskFreeRate,G111/250)</f>
        <v>0.56420282413662104</v>
      </c>
      <c r="AC111">
        <f t="shared" ca="1" si="167"/>
        <v>-5.4343397901806449</v>
      </c>
      <c r="AD111">
        <f t="shared" ca="1" si="168"/>
        <v>-36.994428768070271</v>
      </c>
    </row>
    <row r="112" spans="7:30" x14ac:dyDescent="0.25">
      <c r="G112" s="19">
        <v>143</v>
      </c>
      <c r="H112" s="19">
        <f t="shared" ca="1" si="218"/>
        <v>0.20409411274859512</v>
      </c>
      <c r="I112" s="19">
        <f t="shared" ca="1" si="218"/>
        <v>0.18208348659330231</v>
      </c>
      <c r="J112" s="19">
        <f t="shared" ca="1" si="152"/>
        <v>0.73789434436576828</v>
      </c>
      <c r="K112" s="19">
        <f t="shared" ca="1" si="153"/>
        <v>1.6229171407035585</v>
      </c>
      <c r="L112" s="19">
        <f t="array" aca="1" ref="L112:M112" ca="1">MMULT(J112:K112,TRANSPOSE($B$10:$C$11))</f>
        <v>0.73789434436576828</v>
      </c>
      <c r="M112" s="19">
        <f ca="1"/>
        <v>0.6034247499262646</v>
      </c>
      <c r="N112" s="20">
        <f t="shared" ca="1" si="175"/>
        <v>3.1952030194511503E-2</v>
      </c>
      <c r="O112" s="20">
        <f t="shared" ca="1" si="154"/>
        <v>8.342061865943988E-3</v>
      </c>
      <c r="P112" s="19">
        <f t="shared" ca="1" si="160"/>
        <v>101.3536233207402</v>
      </c>
      <c r="Q112" s="19">
        <f ca="1">HCTrans(P112,Strike,RiskFreeRate,Dividend,Variance_T0*AnnualVarConvtr,(Simulation!G112)/250,0.5,Variance_Avg*AnnualVarConvtr,Lambda,SQRT(Simulation!N112),Rho,1,"Call")</f>
        <v>22.948229082295285</v>
      </c>
      <c r="R112" s="19">
        <f t="shared" ca="1" si="155"/>
        <v>0.74262141776169366</v>
      </c>
      <c r="S112" s="19">
        <f t="shared" ca="1" si="156"/>
        <v>0.65404807986807822</v>
      </c>
      <c r="T112" s="19">
        <f t="shared" ca="1" si="161"/>
        <v>9.131347220884189</v>
      </c>
      <c r="U112" s="19">
        <f t="shared" ca="1" si="162"/>
        <v>-45.647645497167566</v>
      </c>
      <c r="V112" s="21">
        <f t="shared" ca="1" si="163"/>
        <v>1.7729118936288973E-4</v>
      </c>
      <c r="W112">
        <f t="shared" ca="1" si="164"/>
        <v>1.3315073764830961E-2</v>
      </c>
      <c r="X112" s="22">
        <f t="shared" ref="X112" ca="1" si="253">BSdelta(1,P112,Strike,W112*AnnualVarConvtr,Dividend,RiskFreeRate,G112/250)</f>
        <v>0.56515627247077949</v>
      </c>
      <c r="Y112" s="22">
        <f t="shared" ca="1" si="170"/>
        <v>2.3901348115449803</v>
      </c>
      <c r="Z112" s="22">
        <f t="shared" ca="1" si="171"/>
        <v>-36.865541204788144</v>
      </c>
      <c r="AA112">
        <f t="shared" si="158"/>
        <v>0.73884103340948371</v>
      </c>
      <c r="AB112">
        <f t="shared" ref="AB112" ca="1" si="254">BSdelta(1,P112,Strike,AA112/AnnualVarConvtr,Dividend,RiskFreeRate,G112/250)</f>
        <v>0.65472877566206167</v>
      </c>
      <c r="AC112">
        <f t="shared" ca="1" si="167"/>
        <v>9.1751331916610965</v>
      </c>
      <c r="AD112">
        <f t="shared" ca="1" si="168"/>
        <v>-45.72372910305775</v>
      </c>
    </row>
    <row r="113" spans="7:30" x14ac:dyDescent="0.25">
      <c r="G113" s="19">
        <v>142</v>
      </c>
      <c r="H113" s="19">
        <f t="shared" ca="1" si="218"/>
        <v>0.58651661402332456</v>
      </c>
      <c r="I113" s="19">
        <f t="shared" ca="1" si="218"/>
        <v>6.0843072349641258E-2</v>
      </c>
      <c r="J113" s="19">
        <f t="shared" ca="1" si="152"/>
        <v>0.95844005899734097</v>
      </c>
      <c r="K113" s="19">
        <f t="shared" ca="1" si="153"/>
        <v>0.38535856170301758</v>
      </c>
      <c r="L113" s="19">
        <f t="array" aca="1" ref="L113:M113" ca="1">MMULT(J113:K113,TRANSPOSE($B$10:$C$11))</f>
        <v>0.95844005899734097</v>
      </c>
      <c r="M113" s="19">
        <f ca="1"/>
        <v>-0.41790114409138135</v>
      </c>
      <c r="N113" s="20">
        <f t="shared" ca="1" si="175"/>
        <v>3.0014572143138161E-2</v>
      </c>
      <c r="O113" s="20">
        <f t="shared" ca="1" si="154"/>
        <v>1.0501734424078441E-2</v>
      </c>
      <c r="P113" s="19">
        <f t="shared" ca="1" si="160"/>
        <v>102.4236207362878</v>
      </c>
      <c r="Q113" s="19">
        <f ca="1">HCTrans(P113,Strike,RiskFreeRate,Dividend,Variance_T0*AnnualVarConvtr,(Simulation!G113)/250,0.5,Variance_Avg*AnnualVarConvtr,Lambda,SQRT(Simulation!N113),Rho,1,"Call")</f>
        <v>23.555308089219949</v>
      </c>
      <c r="R113" s="19">
        <f t="shared" ca="1" si="155"/>
        <v>0.74318452233742605</v>
      </c>
      <c r="S113" s="19">
        <f t="shared" ca="1" si="156"/>
        <v>0.75607189462867574</v>
      </c>
      <c r="T113" s="19">
        <f t="shared" ca="1" si="161"/>
        <v>10.449648509108721</v>
      </c>
      <c r="U113" s="19">
        <f t="shared" ca="1" si="162"/>
        <v>-55.490214999351622</v>
      </c>
      <c r="V113" s="21">
        <f t="shared" ca="1" si="163"/>
        <v>4.6641855583590129E-6</v>
      </c>
      <c r="W113">
        <f t="shared" ca="1" si="164"/>
        <v>2.1596725581344532E-3</v>
      </c>
      <c r="X113" s="22">
        <f t="shared" ref="X113" ca="1" si="255">BSdelta(1,P113,Strike,W113*AnnualVarConvtr,Dividend,RiskFreeRate,G113/250)</f>
        <v>0.82725673500812169</v>
      </c>
      <c r="Y113" s="22">
        <f t="shared" ca="1" si="170"/>
        <v>26.845278369730348</v>
      </c>
      <c r="Z113" s="22">
        <f t="shared" ca="1" si="171"/>
        <v>-63.103740567593832</v>
      </c>
      <c r="AA113">
        <f t="shared" si="158"/>
        <v>0.73884103340948371</v>
      </c>
      <c r="AB113">
        <f t="shared" ref="AB113" ca="1" si="256">BSdelta(1,P113,Strike,AA113/AnnualVarConvtr,Dividend,RiskFreeRate,G113/250)</f>
        <v>0.75728417327047726</v>
      </c>
      <c r="AC113">
        <f t="shared" ca="1" si="167"/>
        <v>10.504095149103556</v>
      </c>
      <c r="AD113">
        <f t="shared" ca="1" si="168"/>
        <v>-55.620745245236641</v>
      </c>
    </row>
    <row r="114" spans="7:30" x14ac:dyDescent="0.25">
      <c r="G114" s="19">
        <v>141</v>
      </c>
      <c r="H114" s="19">
        <f t="shared" ca="1" si="218"/>
        <v>0.53274597570673199</v>
      </c>
      <c r="I114" s="19">
        <f t="shared" ca="1" si="218"/>
        <v>0.308176834671121</v>
      </c>
      <c r="J114" s="19">
        <f t="shared" ca="1" si="152"/>
        <v>-0.40114420025337161</v>
      </c>
      <c r="K114" s="19">
        <f t="shared" ca="1" si="153"/>
        <v>1.0480956322257444</v>
      </c>
      <c r="L114" s="19">
        <f t="array" aca="1" ref="L114:M114" ca="1">MMULT(J114:K114,TRANSPOSE($B$10:$C$11))</f>
        <v>-0.40114420025337161</v>
      </c>
      <c r="M114" s="19">
        <f ca="1"/>
        <v>1.0185578030088998</v>
      </c>
      <c r="N114" s="20">
        <f t="shared" ca="1" si="175"/>
        <v>3.4375658978812583E-2</v>
      </c>
      <c r="O114" s="20">
        <f t="shared" ca="1" si="154"/>
        <v>-4.7038777837842471E-3</v>
      </c>
      <c r="P114" s="19">
        <f t="shared" ca="1" si="160"/>
        <v>101.94296390393873</v>
      </c>
      <c r="Q114" s="19">
        <f ca="1">HCTrans(P114,Strike,RiskFreeRate,Dividend,Variance_T0*AnnualVarConvtr,(Simulation!G114)/250,0.5,Variance_Avg*AnnualVarConvtr,Lambda,SQRT(Simulation!N114),Rho,1,"Call")</f>
        <v>23.163309566397942</v>
      </c>
      <c r="R114" s="19">
        <f t="shared" ca="1" si="155"/>
        <v>0.74266497893562866</v>
      </c>
      <c r="S114" s="19">
        <f t="shared" ca="1" si="156"/>
        <v>0.71333878299868625</v>
      </c>
      <c r="T114" s="19">
        <f t="shared" ca="1" si="161"/>
        <v>-4.356340056399004</v>
      </c>
      <c r="U114" s="19">
        <f t="shared" ca="1" si="162"/>
        <v>-51.525873465774623</v>
      </c>
      <c r="V114" s="21">
        <f t="shared" ca="1" si="163"/>
        <v>2.3121064261590285E-4</v>
      </c>
      <c r="W114">
        <f t="shared" ca="1" si="164"/>
        <v>1.5205612207862689E-2</v>
      </c>
      <c r="X114" s="22">
        <f t="shared" ref="X114" ca="1" si="257">BSdelta(1,P114,Strike,W114*AnnualVarConvtr,Dividend,RiskFreeRate,G114/250)</f>
        <v>0.57802985556393538</v>
      </c>
      <c r="Y114" s="22">
        <f t="shared" ca="1" si="170"/>
        <v>-25.406926775069977</v>
      </c>
      <c r="Z114" s="22">
        <f t="shared" ca="1" si="171"/>
        <v>-38.088812315345862</v>
      </c>
      <c r="AA114">
        <f t="shared" si="158"/>
        <v>0.73884103340948371</v>
      </c>
      <c r="AB114">
        <f t="shared" ref="AB114" ca="1" si="258">BSdelta(1,P114,Strike,AA114/AnnualVarConvtr,Dividend,RiskFreeRate,G114/250)</f>
        <v>0.71426835989519077</v>
      </c>
      <c r="AC114">
        <f t="shared" ca="1" si="167"/>
        <v>-4.3851595102153951</v>
      </c>
      <c r="AD114">
        <f t="shared" ca="1" si="168"/>
        <v>-51.627584257843253</v>
      </c>
    </row>
    <row r="115" spans="7:30" x14ac:dyDescent="0.25">
      <c r="G115" s="19">
        <v>140</v>
      </c>
      <c r="H115" s="19">
        <f t="shared" ca="1" si="218"/>
        <v>0.66576642342839276</v>
      </c>
      <c r="I115" s="19">
        <f t="shared" ca="1" si="218"/>
        <v>0.15212931254668538</v>
      </c>
      <c r="J115" s="19">
        <f t="shared" ca="1" si="152"/>
        <v>0.52038133661779173</v>
      </c>
      <c r="K115" s="19">
        <f t="shared" ca="1" si="153"/>
        <v>0.73677407362062064</v>
      </c>
      <c r="L115" s="19">
        <f t="array" aca="1" ref="L115:M115" ca="1">MMULT(J115:K115,TRANSPOSE($B$10:$C$11))</f>
        <v>0.52038133661779173</v>
      </c>
      <c r="M115" s="19">
        <f ca="1"/>
        <v>0.14111085530286521</v>
      </c>
      <c r="N115" s="20">
        <f t="shared" ca="1" si="175"/>
        <v>3.4875293234716991E-2</v>
      </c>
      <c r="O115" s="20">
        <f t="shared" ca="1" si="154"/>
        <v>6.1462559522267746E-3</v>
      </c>
      <c r="P115" s="19">
        <f t="shared" ca="1" si="160"/>
        <v>102.57146092587037</v>
      </c>
      <c r="Q115" s="19">
        <f ca="1">HCTrans(P115,Strike,RiskFreeRate,Dividend,Variance_T0*AnnualVarConvtr,(Simulation!G115)/250,0.5,Variance_Avg*AnnualVarConvtr,Lambda,SQRT(Simulation!N115),Rho,1,"Call")</f>
        <v>23.48530377907683</v>
      </c>
      <c r="R115" s="19">
        <f t="shared" ca="1" si="155"/>
        <v>0.74287335557635004</v>
      </c>
      <c r="S115" s="19">
        <f t="shared" ca="1" si="156"/>
        <v>0.77026229811684421</v>
      </c>
      <c r="T115" s="19">
        <f t="shared" ca="1" si="161"/>
        <v>5.8387281067053305</v>
      </c>
      <c r="U115" s="19">
        <f t="shared" ca="1" si="162"/>
        <v>-57.042607359801067</v>
      </c>
      <c r="V115" s="21">
        <f t="shared" ca="1" si="163"/>
        <v>1.1772540208932447E-4</v>
      </c>
      <c r="W115">
        <f t="shared" ca="1" si="164"/>
        <v>1.0850133736011021E-2</v>
      </c>
      <c r="X115" s="22">
        <f t="shared" ref="X115" ca="1" si="259">BSdelta(1,P115,Strike,W115*AnnualVarConvtr,Dividend,RiskFreeRate,G115/250)</f>
        <v>0.60332316358139604</v>
      </c>
      <c r="Y115" s="22">
        <f t="shared" ca="1" si="170"/>
        <v>2.5943715549989697</v>
      </c>
      <c r="Z115" s="22">
        <f t="shared" ca="1" si="171"/>
        <v>-40.361189657665946</v>
      </c>
      <c r="AA115">
        <f t="shared" si="158"/>
        <v>0.73884103340948371</v>
      </c>
      <c r="AB115">
        <f t="shared" ref="AB115" ca="1" si="260">BSdelta(1,P115,Strike,AA115/AnnualVarConvtr,Dividend,RiskFreeRate,G115/250)</f>
        <v>0.77142763208868126</v>
      </c>
      <c r="AC115">
        <f t="shared" ca="1" si="167"/>
        <v>5.8629100543457984</v>
      </c>
      <c r="AD115">
        <f t="shared" ca="1" si="168"/>
        <v>-57.168500099510162</v>
      </c>
    </row>
    <row r="116" spans="7:30" x14ac:dyDescent="0.25">
      <c r="G116" s="19">
        <v>139</v>
      </c>
      <c r="H116" s="19">
        <f t="shared" ca="1" si="218"/>
        <v>5.1642493993925398E-2</v>
      </c>
      <c r="I116" s="19">
        <f t="shared" ca="1" si="218"/>
        <v>0.84029469933952594</v>
      </c>
      <c r="J116" s="19">
        <f t="shared" ca="1" si="152"/>
        <v>1.308277567759629</v>
      </c>
      <c r="K116" s="19">
        <f t="shared" ca="1" si="153"/>
        <v>-2.0531026867847366</v>
      </c>
      <c r="L116" s="19">
        <f t="array" aca="1" ref="L116:M116" ca="1">MMULT(J116:K116,TRANSPOSE($B$10:$C$11))</f>
        <v>1.308277567759629</v>
      </c>
      <c r="M116" s="19">
        <f ca="1"/>
        <v>-2.3695988087900948</v>
      </c>
      <c r="N116" s="20">
        <f t="shared" ca="1" si="175"/>
        <v>2.4721016288042356E-2</v>
      </c>
      <c r="O116" s="20">
        <f t="shared" ca="1" si="154"/>
        <v>1.3009573255386864E-2</v>
      </c>
      <c r="P116" s="19">
        <f t="shared" ca="1" si="160"/>
        <v>103.91458968313097</v>
      </c>
      <c r="Q116" s="19">
        <f ca="1">HCTrans(P116,Strike,RiskFreeRate,Dividend,Variance_T0*AnnualVarConvtr,(Simulation!G116)/250,0.5,Variance_Avg*AnnualVarConvtr,Lambda,SQRT(Simulation!N116),Rho,1,"Call")</f>
        <v>24.29444272317626</v>
      </c>
      <c r="R116" s="19">
        <f t="shared" ca="1" si="155"/>
        <v>0.74420765342648609</v>
      </c>
      <c r="S116" s="19">
        <f t="shared" ca="1" si="156"/>
        <v>0.86685676671538514</v>
      </c>
      <c r="T116" s="19">
        <f t="shared" ca="1" si="161"/>
        <v>10.03757457007746</v>
      </c>
      <c r="U116" s="19">
        <f t="shared" ca="1" si="162"/>
        <v>-66.271042985779104</v>
      </c>
      <c r="V116" s="21">
        <f t="shared" ca="1" si="163"/>
        <v>4.7105124403856686E-5</v>
      </c>
      <c r="W116">
        <f t="shared" ca="1" si="164"/>
        <v>6.8633173031600898E-3</v>
      </c>
      <c r="X116" s="22">
        <f t="shared" ref="X116" ca="1" si="261">BSdelta(1,P116,Strike,W116*AnnualVarConvtr,Dividend,RiskFreeRate,G116/250)</f>
        <v>0.69672569326614053</v>
      </c>
      <c r="Y116" s="22">
        <f t="shared" ca="1" si="170"/>
        <v>9.7058855475566848</v>
      </c>
      <c r="Z116" s="22">
        <f t="shared" ca="1" si="171"/>
        <v>-49.257936261123199</v>
      </c>
      <c r="AA116">
        <f t="shared" si="158"/>
        <v>0.73884103340948371</v>
      </c>
      <c r="AB116">
        <f t="shared" ref="AB116" ca="1" si="262">BSdelta(1,P116,Strike,AA116/AnnualVarConvtr,Dividend,RiskFreeRate,G116/250)</f>
        <v>0.86853137115862877</v>
      </c>
      <c r="AC116">
        <f t="shared" ca="1" si="167"/>
        <v>10.090495202151409</v>
      </c>
      <c r="AD116">
        <f t="shared" ca="1" si="168"/>
        <v>-66.44985635756214</v>
      </c>
    </row>
    <row r="117" spans="7:30" x14ac:dyDescent="0.25">
      <c r="G117" s="19">
        <v>138</v>
      </c>
      <c r="H117" s="19">
        <f t="shared" ca="1" si="218"/>
        <v>0.40302710590451252</v>
      </c>
      <c r="I117" s="19">
        <f t="shared" ca="1" si="218"/>
        <v>0.25623682904203193</v>
      </c>
      <c r="J117" s="19">
        <f t="shared" ca="1" si="152"/>
        <v>-5.2816559546843216E-2</v>
      </c>
      <c r="K117" s="19">
        <f t="shared" ca="1" si="153"/>
        <v>1.3471129607476728</v>
      </c>
      <c r="L117" s="19">
        <f t="array" aca="1" ref="L117:M117" ca="1">MMULT(J117:K117,TRANSPOSE($B$10:$C$11))</f>
        <v>-5.2816559546843216E-2</v>
      </c>
      <c r="M117" s="19">
        <f ca="1"/>
        <v>0.97757167690564106</v>
      </c>
      <c r="N117" s="20">
        <f t="shared" ca="1" si="175"/>
        <v>2.8539799711114641E-2</v>
      </c>
      <c r="O117" s="20">
        <f t="shared" ca="1" si="154"/>
        <v>-5.6432015828690701E-4</v>
      </c>
      <c r="P117" s="19">
        <f t="shared" ca="1" si="160"/>
        <v>103.85596512849743</v>
      </c>
      <c r="Q117" s="19">
        <f ca="1">HCTrans(P117,Strike,RiskFreeRate,Dividend,Variance_T0*AnnualVarConvtr,(Simulation!G117)/250,0.5,Variance_Avg*AnnualVarConvtr,Lambda,SQRT(Simulation!N117),Rho,1,"Call")</f>
        <v>24.170017922855948</v>
      </c>
      <c r="R117" s="19">
        <f t="shared" ca="1" si="155"/>
        <v>0.74389336977993348</v>
      </c>
      <c r="S117" s="19">
        <f t="shared" ca="1" si="156"/>
        <v>0.86430371003247042</v>
      </c>
      <c r="T117" s="19">
        <f t="shared" ca="1" si="161"/>
        <v>-0.26515016583186879</v>
      </c>
      <c r="U117" s="19">
        <f t="shared" ca="1" si="162"/>
        <v>-66.130317620267547</v>
      </c>
      <c r="V117" s="21">
        <f t="shared" ca="1" si="163"/>
        <v>1.8425058240577617E-4</v>
      </c>
      <c r="W117">
        <f t="shared" ca="1" si="164"/>
        <v>1.3573893413673771E-2</v>
      </c>
      <c r="X117" s="22">
        <f t="shared" ref="X117" ca="1" si="263">BSdelta(1,P117,Strike,W117*AnnualVarConvtr,Dividend,RiskFreeRate,G117/250)</f>
        <v>0.62437862350601125</v>
      </c>
      <c r="Y117" s="22">
        <f t="shared" ca="1" si="170"/>
        <v>-7.5136747541569573</v>
      </c>
      <c r="Z117" s="22">
        <f t="shared" ca="1" si="171"/>
        <v>-41.868686307286552</v>
      </c>
      <c r="AA117">
        <f t="shared" si="158"/>
        <v>0.73884103340948371</v>
      </c>
      <c r="AB117">
        <f t="shared" ref="AB117" ca="1" si="264">BSdelta(1,P117,Strike,AA117/AnnualVarConvtr,Dividend,RiskFreeRate,G117/250)</f>
        <v>0.86588418325392924</v>
      </c>
      <c r="AC117">
        <f t="shared" ca="1" si="167"/>
        <v>-0.27492625471905485</v>
      </c>
      <c r="AD117">
        <f t="shared" ca="1" si="168"/>
        <v>-66.299354903163405</v>
      </c>
    </row>
    <row r="118" spans="7:30" x14ac:dyDescent="0.25">
      <c r="G118" s="19">
        <v>137</v>
      </c>
      <c r="H118" s="19">
        <f t="shared" ca="1" si="218"/>
        <v>0.1303585752331804</v>
      </c>
      <c r="I118" s="19">
        <f t="shared" ca="1" si="218"/>
        <v>0.38323224539524359</v>
      </c>
      <c r="J118" s="19">
        <f t="shared" ca="1" si="152"/>
        <v>-1.4992882905166183</v>
      </c>
      <c r="K118" s="19">
        <f t="shared" ca="1" si="153"/>
        <v>1.3516905455842321</v>
      </c>
      <c r="L118" s="19">
        <f t="array" aca="1" ref="L118:M118" ca="1">MMULT(J118:K118,TRANSPOSE($B$10:$C$11))</f>
        <v>-1.4992882905166183</v>
      </c>
      <c r="M118" s="19">
        <f ca="1"/>
        <v>2.0171619362369686</v>
      </c>
      <c r="N118" s="20">
        <f t="shared" ca="1" si="175"/>
        <v>3.7393340352991015E-2</v>
      </c>
      <c r="O118" s="20">
        <f t="shared" ca="1" si="154"/>
        <v>-1.8336324075480272E-2</v>
      </c>
      <c r="P118" s="19">
        <f t="shared" ca="1" si="160"/>
        <v>101.9689815360296</v>
      </c>
      <c r="Q118" s="19">
        <f ca="1">HCTrans(P118,Strike,RiskFreeRate,Dividend,Variance_T0*AnnualVarConvtr,(Simulation!G118)/250,0.5,Variance_Avg*AnnualVarConvtr,Lambda,SQRT(Simulation!N118),Rho,1,"Call")</f>
        <v>22.867659458588363</v>
      </c>
      <c r="R118" s="19">
        <f t="shared" ca="1" si="155"/>
        <v>0.74255600537881483</v>
      </c>
      <c r="S118" s="19">
        <f t="shared" ca="1" si="156"/>
        <v>0.718448483766851</v>
      </c>
      <c r="T118" s="19">
        <f t="shared" ca="1" si="161"/>
        <v>-14.872708874012366</v>
      </c>
      <c r="U118" s="19">
        <f t="shared" ca="1" si="162"/>
        <v>-52.559967210522764</v>
      </c>
      <c r="V118" s="21">
        <f t="shared" ca="1" si="163"/>
        <v>3.1584412323273626E-4</v>
      </c>
      <c r="W118">
        <f t="shared" ca="1" si="164"/>
        <v>1.7772003917193364E-2</v>
      </c>
      <c r="X118" s="22">
        <f t="shared" ref="X118" ca="1" si="265">BSdelta(1,P118,Strike,W118*AnnualVarConvtr,Dividend,RiskFreeRate,G118/250)</f>
        <v>0.57837711269685965</v>
      </c>
      <c r="Y118" s="22">
        <f t="shared" ca="1" si="170"/>
        <v>-4.6907272063278462</v>
      </c>
      <c r="Z118" s="22">
        <f t="shared" ca="1" si="171"/>
        <v>-38.480317565226287</v>
      </c>
      <c r="AA118">
        <f t="shared" si="158"/>
        <v>0.73884103340948371</v>
      </c>
      <c r="AB118">
        <f t="shared" ref="AB118" ca="1" si="266">BSdelta(1,P118,Strike,AA118/AnnualVarConvtr,Dividend,RiskFreeRate,G118/250)</f>
        <v>0.71937023365016284</v>
      </c>
      <c r="AC118">
        <f t="shared" ca="1" si="167"/>
        <v>-14.939878221917228</v>
      </c>
      <c r="AD118">
        <f t="shared" ca="1" si="168"/>
        <v>-52.661835145513763</v>
      </c>
    </row>
    <row r="119" spans="7:30" x14ac:dyDescent="0.25">
      <c r="G119" s="19">
        <v>136</v>
      </c>
      <c r="H119" s="19">
        <f t="shared" ca="1" si="218"/>
        <v>0.45695735682213257</v>
      </c>
      <c r="I119" s="19">
        <f t="shared" ca="1" si="218"/>
        <v>0.43291670110844827</v>
      </c>
      <c r="J119" s="19">
        <f t="shared" ca="1" si="152"/>
        <v>-1.1419941868267847</v>
      </c>
      <c r="K119" s="19">
        <f t="shared" ca="1" si="153"/>
        <v>0.51203484682179146</v>
      </c>
      <c r="L119" s="19">
        <f t="array" aca="1" ref="L119:M119" ca="1">MMULT(J119:K119,TRANSPOSE($B$10:$C$11))</f>
        <v>-1.1419941868267847</v>
      </c>
      <c r="M119" s="19">
        <f ca="1"/>
        <v>1.1754277343189852</v>
      </c>
      <c r="N119" s="20">
        <f t="shared" ca="1" si="175"/>
        <v>4.3013519262801794E-2</v>
      </c>
      <c r="O119" s="20">
        <f t="shared" ca="1" si="154"/>
        <v>-1.4979467578580921E-2</v>
      </c>
      <c r="P119" s="19">
        <f t="shared" ca="1" si="160"/>
        <v>100.45292370089487</v>
      </c>
      <c r="Q119" s="19">
        <f ca="1">HCTrans(P119,Strike,RiskFreeRate,Dividend,Variance_T0*AnnualVarConvtr,(Simulation!G119)/250,0.5,Variance_Avg*AnnualVarConvtr,Lambda,SQRT(Simulation!N119),Rho,1,"Call")</f>
        <v>21.826661602783943</v>
      </c>
      <c r="R119" s="19">
        <f t="shared" ca="1" si="155"/>
        <v>0.74154512551952645</v>
      </c>
      <c r="S119" s="19">
        <f t="shared" ca="1" si="156"/>
        <v>0.55880324774494849</v>
      </c>
      <c r="T119" s="19">
        <f t="shared" ca="1" si="161"/>
        <v>-16.036830713319524</v>
      </c>
      <c r="U119" s="19">
        <f t="shared" ca="1" si="162"/>
        <v>-37.56413435300766</v>
      </c>
      <c r="V119" s="21">
        <f t="shared" ca="1" si="163"/>
        <v>1.1268485540775386E-5</v>
      </c>
      <c r="W119">
        <f t="shared" ca="1" si="164"/>
        <v>3.3568564968993516E-3</v>
      </c>
      <c r="X119" s="22">
        <f t="shared" ref="X119" ca="1" si="267">BSdelta(1,P119,Strike,W119*AnnualVarConvtr,Dividend,RiskFreeRate,G119/250)</f>
        <v>0.55369787329201503</v>
      </c>
      <c r="Y119" s="22">
        <f t="shared" ca="1" si="170"/>
        <v>-2.4791017529309749</v>
      </c>
      <c r="Z119" s="22">
        <f t="shared" ca="1" si="171"/>
        <v>-37.042213668099734</v>
      </c>
      <c r="AA119">
        <f t="shared" si="158"/>
        <v>0.73884103340948371</v>
      </c>
      <c r="AB119">
        <f t="shared" ref="AB119" ca="1" si="268">BSdelta(1,P119,Strike,AA119/AnnualVarConvtr,Dividend,RiskFreeRate,G119/250)</f>
        <v>0.55896702613312066</v>
      </c>
      <c r="AC119">
        <f t="shared" ca="1" si="167"/>
        <v>-16.112971166088244</v>
      </c>
      <c r="AD119">
        <f t="shared" ca="1" si="168"/>
        <v>-37.589861835229939</v>
      </c>
    </row>
    <row r="120" spans="7:30" x14ac:dyDescent="0.25">
      <c r="G120" s="19">
        <v>135</v>
      </c>
      <c r="H120" s="19">
        <f t="shared" ca="1" si="218"/>
        <v>0.70936708129118053</v>
      </c>
      <c r="I120" s="19">
        <f t="shared" ca="1" si="218"/>
        <v>0.14367461986763908</v>
      </c>
      <c r="J120" s="19">
        <f t="shared" ca="1" si="152"/>
        <v>0.51335902778036235</v>
      </c>
      <c r="K120" s="19">
        <f t="shared" ca="1" si="153"/>
        <v>0.65055882994609959</v>
      </c>
      <c r="L120" s="19">
        <f t="array" aca="1" ref="L120:M120" ca="1">MMULT(J120:K120,TRANSPOSE($B$10:$C$11))</f>
        <v>0.51335902778036235</v>
      </c>
      <c r="M120" s="19">
        <f ca="1"/>
        <v>8.5999698521064483E-2</v>
      </c>
      <c r="N120" s="20">
        <f t="shared" ca="1" si="175"/>
        <v>4.3261304934523105E-2</v>
      </c>
      <c r="O120" s="20">
        <f t="shared" ca="1" si="154"/>
        <v>6.7530662005611496E-3</v>
      </c>
      <c r="P120" s="19">
        <f t="shared" ca="1" si="160"/>
        <v>101.1335846321203</v>
      </c>
      <c r="Q120" s="19">
        <f ca="1">HCTrans(P120,Strike,RiskFreeRate,Dividend,Variance_T0*AnnualVarConvtr,(Simulation!G120)/250,0.5,Variance_Avg*AnnualVarConvtr,Lambda,SQRT(Simulation!N120),Rho,1,"Call")</f>
        <v>22.174392489323694</v>
      </c>
      <c r="R120" s="19">
        <f t="shared" ca="1" si="155"/>
        <v>0.74183160136586224</v>
      </c>
      <c r="S120" s="19">
        <f t="shared" ca="1" si="156"/>
        <v>0.63464505911883484</v>
      </c>
      <c r="T120" s="19">
        <f t="shared" ca="1" si="161"/>
        <v>7.6701542492342396</v>
      </c>
      <c r="U120" s="19">
        <f t="shared" ca="1" si="162"/>
        <v>-44.886557715702146</v>
      </c>
      <c r="V120" s="21">
        <f t="shared" ca="1" si="163"/>
        <v>4.7230302446155104E-4</v>
      </c>
      <c r="W120">
        <f t="shared" ca="1" si="164"/>
        <v>2.1732533779142069E-2</v>
      </c>
      <c r="X120" s="22">
        <f t="shared" ref="X120" ca="1" si="269">BSdelta(1,P120,Strike,W120*AnnualVarConvtr,Dividend,RiskFreeRate,G120/250)</f>
        <v>0.56784678506048003</v>
      </c>
      <c r="Y120" s="22">
        <f t="shared" ca="1" si="170"/>
        <v>1.4309301657884581</v>
      </c>
      <c r="Z120" s="22">
        <f t="shared" ca="1" si="171"/>
        <v>-38.125412947348444</v>
      </c>
      <c r="AA120">
        <f t="shared" si="158"/>
        <v>0.73884103340948371</v>
      </c>
      <c r="AB120">
        <f t="shared" ref="AB120" ca="1" si="270">BSdelta(1,P120,Strike,AA120/AnnualVarConvtr,Dividend,RiskFreeRate,G120/250)</f>
        <v>0.63511640526464397</v>
      </c>
      <c r="AC120">
        <f t="shared" ca="1" si="167"/>
        <v>7.7012596790813284</v>
      </c>
      <c r="AD120">
        <f t="shared" ca="1" si="168"/>
        <v>-44.943390627771521</v>
      </c>
    </row>
    <row r="121" spans="7:30" x14ac:dyDescent="0.25">
      <c r="G121" s="19">
        <v>134</v>
      </c>
      <c r="H121" s="19">
        <f t="shared" ca="1" si="218"/>
        <v>0.46547197152819275</v>
      </c>
      <c r="I121" s="19">
        <f t="shared" ca="1" si="218"/>
        <v>0.36849341481834652</v>
      </c>
      <c r="J121" s="19">
        <f t="shared" ca="1" si="152"/>
        <v>-0.83800221269929764</v>
      </c>
      <c r="K121" s="19">
        <f t="shared" ca="1" si="153"/>
        <v>0.9094828655595536</v>
      </c>
      <c r="L121" s="19">
        <f t="array" aca="1" ref="L121:M121" ca="1">MMULT(J121:K121,TRANSPOSE($B$10:$C$11))</f>
        <v>-0.83800221269929764</v>
      </c>
      <c r="M121" s="19">
        <f ca="1"/>
        <v>1.2348720922055652</v>
      </c>
      <c r="N121" s="20">
        <f t="shared" ca="1" si="175"/>
        <v>4.9596456734035815E-2</v>
      </c>
      <c r="O121" s="20">
        <f t="shared" ca="1" si="154"/>
        <v>-1.1803219576140479E-2</v>
      </c>
      <c r="P121" s="19">
        <f t="shared" ca="1" si="160"/>
        <v>99.946899853671013</v>
      </c>
      <c r="Q121" s="19">
        <f ca="1">HCTrans(P121,Strike,RiskFreeRate,Dividend,Variance_T0*AnnualVarConvtr,(Simulation!G121)/250,0.5,Variance_Avg*AnnualVarConvtr,Lambda,SQRT(Simulation!N121),Rho,1,"Call")</f>
        <v>21.34418193201482</v>
      </c>
      <c r="R121" s="19">
        <f t="shared" ca="1" si="155"/>
        <v>0.74086616076646883</v>
      </c>
      <c r="S121" s="19">
        <f t="shared" ca="1" si="156"/>
        <v>0.50066589687802832</v>
      </c>
      <c r="T121" s="19">
        <f t="shared" ca="1" si="161"/>
        <v>-13.390801910960631</v>
      </c>
      <c r="U121" s="19">
        <f t="shared" ca="1" si="162"/>
        <v>-32.325966362050387</v>
      </c>
      <c r="V121" s="21">
        <f t="shared" ca="1" si="163"/>
        <v>3.4433574182661915E-4</v>
      </c>
      <c r="W121">
        <f t="shared" ca="1" si="164"/>
        <v>1.8556285776701629E-2</v>
      </c>
      <c r="X121" s="22">
        <f t="shared" ref="X121" ca="1" si="271">BSdelta(1,P121,Strike,W121*AnnualVarConvtr,Dividend,RiskFreeRate,G121/250)</f>
        <v>0.54178416068614565</v>
      </c>
      <c r="Y121" s="22">
        <f t="shared" ca="1" si="170"/>
        <v>-2.6048785082654429</v>
      </c>
      <c r="Z121" s="22">
        <f t="shared" ca="1" si="171"/>
        <v>-36.350744996391875</v>
      </c>
      <c r="AA121">
        <f t="shared" si="158"/>
        <v>0.73884103340948371</v>
      </c>
      <c r="AB121">
        <f t="shared" ref="AB121" ca="1" si="272">BSdelta(1,P121,Strike,AA121/AnnualVarConvtr,Dividend,RiskFreeRate,G121/250)</f>
        <v>0.50063026196107507</v>
      </c>
      <c r="AC121">
        <f t="shared" ca="1" si="167"/>
        <v>-13.441473096468249</v>
      </c>
      <c r="AD121">
        <f t="shared" ca="1" si="168"/>
        <v>-32.332128088612144</v>
      </c>
    </row>
    <row r="122" spans="7:30" x14ac:dyDescent="0.25">
      <c r="G122" s="19">
        <v>133</v>
      </c>
      <c r="H122" s="19">
        <f t="shared" ca="1" si="218"/>
        <v>0.70521813226339058</v>
      </c>
      <c r="I122" s="19">
        <f t="shared" ca="1" si="218"/>
        <v>0.71459705536714468</v>
      </c>
      <c r="J122" s="19">
        <f t="shared" ca="1" si="152"/>
        <v>-0.18437999886326695</v>
      </c>
      <c r="K122" s="19">
        <f t="shared" ca="1" si="153"/>
        <v>-0.81516884701302927</v>
      </c>
      <c r="L122" s="19">
        <f t="array" aca="1" ref="L122:M122" ca="1">MMULT(J122:K122,TRANSPOSE($B$10:$C$11))</f>
        <v>-0.18437999886326695</v>
      </c>
      <c r="M122" s="19">
        <f ca="1"/>
        <v>-0.4365429957508149</v>
      </c>
      <c r="N122" s="20">
        <f t="shared" ca="1" si="175"/>
        <v>4.7015686249347051E-2</v>
      </c>
      <c r="O122" s="20">
        <f t="shared" ca="1" si="154"/>
        <v>-2.5285130148606969E-3</v>
      </c>
      <c r="P122" s="19">
        <f t="shared" ca="1" si="160"/>
        <v>99.694502046638888</v>
      </c>
      <c r="Q122" s="19">
        <f ca="1">HCTrans(P122,Strike,RiskFreeRate,Dividend,Variance_T0*AnnualVarConvtr,(Simulation!G122)/250,0.5,Variance_Avg*AnnualVarConvtr,Lambda,SQRT(Simulation!N122),Rho,1,"Call")</f>
        <v>21.117642691606918</v>
      </c>
      <c r="R122" s="19">
        <f t="shared" ca="1" si="155"/>
        <v>0.74101529020611157</v>
      </c>
      <c r="S122" s="19">
        <f t="shared" ca="1" si="156"/>
        <v>0.4711354598806986</v>
      </c>
      <c r="T122" s="19">
        <f t="shared" ca="1" si="161"/>
        <v>-2.9440222116684276</v>
      </c>
      <c r="U122" s="19">
        <f t="shared" ca="1" si="162"/>
        <v>-29.608483390789861</v>
      </c>
      <c r="V122" s="21">
        <f t="shared" ca="1" si="163"/>
        <v>8.6020181797846233E-5</v>
      </c>
      <c r="W122">
        <f t="shared" ca="1" si="164"/>
        <v>9.2747065612797819E-3</v>
      </c>
      <c r="X122" s="22">
        <f t="shared" ref="X122" ca="1" si="273">BSdelta(1,P122,Strike,W122*AnnualVarConvtr,Dividend,RiskFreeRate,G122/250)</f>
        <v>0.5099227717055137</v>
      </c>
      <c r="Y122" s="22">
        <f t="shared" ca="1" si="170"/>
        <v>-3.1764053089383704</v>
      </c>
      <c r="Z122" s="22">
        <f t="shared" ca="1" si="171"/>
        <v>-33.400878927861406</v>
      </c>
      <c r="AA122">
        <f t="shared" si="158"/>
        <v>0.73884103340948371</v>
      </c>
      <c r="AB122">
        <f t="shared" ref="AB122" ca="1" si="274">BSdelta(1,P122,Strike,AA122/AnnualVarConvtr,Dividend,RiskFreeRate,G122/250)</f>
        <v>0.47101069982918081</v>
      </c>
      <c r="AC122">
        <f t="shared" ca="1" si="167"/>
        <v>-2.9529074975786802</v>
      </c>
      <c r="AD122">
        <f t="shared" ca="1" si="168"/>
        <v>-29.605759831441368</v>
      </c>
    </row>
    <row r="123" spans="7:30" x14ac:dyDescent="0.25">
      <c r="G123" s="19">
        <v>132</v>
      </c>
      <c r="H123" s="19">
        <f t="shared" ca="1" si="218"/>
        <v>0.54640592896214801</v>
      </c>
      <c r="I123" s="19">
        <f t="shared" ca="1" si="218"/>
        <v>0.76678887052196654</v>
      </c>
      <c r="J123" s="19">
        <f t="shared" ca="1" si="152"/>
        <v>0.11576315598154767</v>
      </c>
      <c r="K123" s="19">
        <f t="shared" ca="1" si="153"/>
        <v>-1.0933366962536371</v>
      </c>
      <c r="L123" s="19">
        <f t="array" aca="1" ref="L123:M123" ca="1">MMULT(J123:K123,TRANSPOSE($B$10:$C$11))</f>
        <v>0.11576315598154767</v>
      </c>
      <c r="M123" s="19">
        <f ca="1"/>
        <v>-0.84564186705234601</v>
      </c>
      <c r="N123" s="20">
        <f t="shared" ca="1" si="175"/>
        <v>4.241521081777342E-2</v>
      </c>
      <c r="O123" s="20">
        <f t="shared" ca="1" si="154"/>
        <v>1.5078605147786273E-3</v>
      </c>
      <c r="P123" s="19">
        <f t="shared" ca="1" si="160"/>
        <v>99.844940841671317</v>
      </c>
      <c r="Q123" s="19">
        <f ca="1">HCTrans(P123,Strike,RiskFreeRate,Dividend,Variance_T0*AnnualVarConvtr,(Simulation!G123)/250,0.5,Variance_Avg*AnnualVarConvtr,Lambda,SQRT(Simulation!N123),Rho,1,"Call")</f>
        <v>21.144203340734933</v>
      </c>
      <c r="R123" s="19">
        <f t="shared" ca="1" si="155"/>
        <v>0.74150987905222332</v>
      </c>
      <c r="S123" s="19">
        <f t="shared" ca="1" si="156"/>
        <v>0.48863206974435552</v>
      </c>
      <c r="T123" s="19">
        <f t="shared" ca="1" si="161"/>
        <v>1.7469479767666281</v>
      </c>
      <c r="U123" s="19">
        <f t="shared" ca="1" si="162"/>
        <v>-31.328870718428472</v>
      </c>
      <c r="V123" s="21">
        <f t="shared" ca="1" si="163"/>
        <v>1.6292311270773014E-5</v>
      </c>
      <c r="W123">
        <f t="shared" ca="1" si="164"/>
        <v>4.0363735296393239E-3</v>
      </c>
      <c r="X123" s="22">
        <f t="shared" ref="X123" ca="1" si="275">BSdelta(1,P123,Strike,W123*AnnualVarConvtr,Dividend,RiskFreeRate,G123/250)</f>
        <v>0.49590089307083107</v>
      </c>
      <c r="Y123" s="22">
        <f t="shared" ca="1" si="170"/>
        <v>-1.400013642768982</v>
      </c>
      <c r="Z123" s="22">
        <f t="shared" ca="1" si="171"/>
        <v>-31.974304635964408</v>
      </c>
      <c r="AA123">
        <f t="shared" si="158"/>
        <v>0.73884103340948371</v>
      </c>
      <c r="AB123">
        <f t="shared" ref="AB123" ca="1" si="276">BSdelta(1,P123,Strike,AA123/AnnualVarConvtr,Dividend,RiskFreeRate,G123/250)</f>
        <v>0.48854201878640552</v>
      </c>
      <c r="AC123">
        <f t="shared" ca="1" si="167"/>
        <v>1.7504135041605717</v>
      </c>
      <c r="AD123">
        <f t="shared" ca="1" si="168"/>
        <v>-31.329612686473926</v>
      </c>
    </row>
    <row r="124" spans="7:30" x14ac:dyDescent="0.25">
      <c r="G124" s="19">
        <v>131</v>
      </c>
      <c r="H124" s="19">
        <f t="shared" ca="1" si="218"/>
        <v>0.39214894748797302</v>
      </c>
      <c r="I124" s="19">
        <f t="shared" ca="1" si="218"/>
        <v>0.20268709047299083</v>
      </c>
      <c r="J124" s="19">
        <f t="shared" ca="1" si="152"/>
        <v>0.40079582971141064</v>
      </c>
      <c r="K124" s="19">
        <f t="shared" ca="1" si="153"/>
        <v>1.3082774130303345</v>
      </c>
      <c r="L124" s="19">
        <f t="array" aca="1" ref="L124:M124" ca="1">MMULT(J124:K124,TRANSPOSE($B$10:$C$11))</f>
        <v>0.40079582971141064</v>
      </c>
      <c r="M124" s="19">
        <f ca="1"/>
        <v>0.62546722322948534</v>
      </c>
      <c r="N124" s="20">
        <f t="shared" ca="1" si="175"/>
        <v>4.5445088469848398E-2</v>
      </c>
      <c r="O124" s="20">
        <f t="shared" ca="1" si="154"/>
        <v>5.4037676407875622E-3</v>
      </c>
      <c r="P124" s="19">
        <f t="shared" ca="1" si="160"/>
        <v>100.38594010277563</v>
      </c>
      <c r="Q124" s="19">
        <f ca="1">HCTrans(P124,Strike,RiskFreeRate,Dividend,Variance_T0*AnnualVarConvtr,(Simulation!G124)/250,0.5,Variance_Avg*AnnualVarConvtr,Lambda,SQRT(Simulation!N124),Rho,1,"Call")</f>
        <v>21.393837502093362</v>
      </c>
      <c r="R124" s="19">
        <f t="shared" ca="1" si="155"/>
        <v>0.74151239960398285</v>
      </c>
      <c r="S124" s="19">
        <f t="shared" ca="1" si="156"/>
        <v>0.55189118775380819</v>
      </c>
      <c r="T124" s="19">
        <f t="shared" ca="1" si="161"/>
        <v>6.3503260314513303</v>
      </c>
      <c r="U124" s="19">
        <f t="shared" ca="1" si="162"/>
        <v>-37.429562588521371</v>
      </c>
      <c r="V124" s="21">
        <f t="shared" ca="1" si="163"/>
        <v>1.5178092334487198E-5</v>
      </c>
      <c r="W124">
        <f t="shared" ca="1" si="164"/>
        <v>3.8959071260089347E-3</v>
      </c>
      <c r="X124" s="22">
        <f t="shared" ref="X124" ca="1" si="277">BSdelta(1,P124,Strike,W124*AnnualVarConvtr,Dividend,RiskFreeRate,G124/250)</f>
        <v>0.54327203348478448</v>
      </c>
      <c r="Y124" s="22">
        <f t="shared" ca="1" si="170"/>
        <v>4.755396464195301</v>
      </c>
      <c r="Z124" s="22">
        <f t="shared" ca="1" si="171"/>
        <v>-36.480066938801279</v>
      </c>
      <c r="AA124">
        <f t="shared" si="158"/>
        <v>0.73884103340948371</v>
      </c>
      <c r="AB124">
        <f t="shared" ref="AB124" ca="1" si="278">BSdelta(1,P124,Strike,AA124/AnnualVarConvtr,Dividend,RiskFreeRate,G124/250)</f>
        <v>0.55202927651227229</v>
      </c>
      <c r="AC124">
        <f t="shared" ca="1" si="167"/>
        <v>6.3732280513583417</v>
      </c>
      <c r="AD124">
        <f t="shared" ca="1" si="168"/>
        <v>-37.453206576473839</v>
      </c>
    </row>
    <row r="125" spans="7:30" x14ac:dyDescent="0.25">
      <c r="G125" s="19">
        <v>130</v>
      </c>
      <c r="H125" s="19">
        <f t="shared" ca="1" si="218"/>
        <v>0.21025549536263599</v>
      </c>
      <c r="I125" s="19">
        <f t="shared" ca="1" si="218"/>
        <v>0.26931523869780405</v>
      </c>
      <c r="J125" s="19">
        <f t="shared" ca="1" si="152"/>
        <v>-0.21380188660977426</v>
      </c>
      <c r="K125" s="19">
        <f t="shared" ca="1" si="153"/>
        <v>1.7530409121489463</v>
      </c>
      <c r="L125" s="19">
        <f t="array" aca="1" ref="L125:M125" ca="1">MMULT(J125:K125,TRANSPOSE($B$10:$C$11))</f>
        <v>-0.21380188660977426</v>
      </c>
      <c r="M125" s="19">
        <f ca="1"/>
        <v>1.3760877626566277</v>
      </c>
      <c r="N125" s="20">
        <f t="shared" ca="1" si="175"/>
        <v>5.2719246789846096E-2</v>
      </c>
      <c r="O125" s="20">
        <f t="shared" ca="1" si="154"/>
        <v>-3.1047463643862744E-3</v>
      </c>
      <c r="P125" s="19">
        <f t="shared" ca="1" si="160"/>
        <v>100.07475055249311</v>
      </c>
      <c r="Q125" s="19">
        <f ca="1">HCTrans(P125,Strike,RiskFreeRate,Dividend,Variance_T0*AnnualVarConvtr,(Simulation!G125)/250,0.5,Variance_Avg*AnnualVarConvtr,Lambda,SQRT(Simulation!N125),Rho,1,"Call")</f>
        <v>21.107183908208825</v>
      </c>
      <c r="R125" s="19">
        <f t="shared" ca="1" si="155"/>
        <v>0.74084293764074016</v>
      </c>
      <c r="S125" s="19">
        <f t="shared" ca="1" si="156"/>
        <v>0.5155584708397033</v>
      </c>
      <c r="T125" s="19">
        <f t="shared" ca="1" si="161"/>
        <v>-3.6359875820733945</v>
      </c>
      <c r="U125" s="19">
        <f t="shared" ca="1" si="162"/>
        <v>-34.080228600332511</v>
      </c>
      <c r="V125" s="21">
        <f t="shared" ca="1" si="163"/>
        <v>7.2394810576239334E-5</v>
      </c>
      <c r="W125">
        <f t="shared" ca="1" si="164"/>
        <v>8.5085140051738371E-3</v>
      </c>
      <c r="X125" s="22">
        <f t="shared" ref="X125" ca="1" si="279">BSdelta(1,P125,Strike,W125*AnnualVarConvtr,Dividend,RiskFreeRate,G125/250)</f>
        <v>0.52241210717668629</v>
      </c>
      <c r="Y125" s="22">
        <f t="shared" ca="1" si="170"/>
        <v>-2.0875519218263148</v>
      </c>
      <c r="Z125" s="22">
        <f t="shared" ca="1" si="171"/>
        <v>-34.679168610859499</v>
      </c>
      <c r="AA125">
        <f t="shared" si="158"/>
        <v>0.73884103340948371</v>
      </c>
      <c r="AB125">
        <f t="shared" ref="AB125" ca="1" si="280">BSdelta(1,P125,Strike,AA125/AnnualVarConvtr,Dividend,RiskFreeRate,G125/250)</f>
        <v>0.51556416005381878</v>
      </c>
      <c r="AC125">
        <f t="shared" ca="1" si="167"/>
        <v>-3.6492374334473467</v>
      </c>
      <c r="AD125">
        <f t="shared" ca="1" si="168"/>
        <v>-34.09062273691103</v>
      </c>
    </row>
    <row r="126" spans="7:30" x14ac:dyDescent="0.25">
      <c r="G126" s="19">
        <v>129</v>
      </c>
      <c r="H126" s="19">
        <f t="shared" ca="1" si="218"/>
        <v>0.57631548768255003</v>
      </c>
      <c r="I126" s="19">
        <f t="shared" ca="1" si="218"/>
        <v>0.25857596950488837</v>
      </c>
      <c r="J126" s="19">
        <f t="shared" ca="1" si="152"/>
        <v>-5.6543558044300717E-2</v>
      </c>
      <c r="K126" s="19">
        <f t="shared" ca="1" si="153"/>
        <v>1.0483334007669149</v>
      </c>
      <c r="L126" s="19">
        <f t="array" aca="1" ref="L126:M126" ca="1">MMULT(J126:K126,TRANSPOSE($B$10:$C$11))</f>
        <v>-5.6543558044300717E-2</v>
      </c>
      <c r="M126" s="19">
        <f ca="1"/>
        <v>0.77181730713114716</v>
      </c>
      <c r="N126" s="20">
        <f t="shared" ca="1" si="175"/>
        <v>5.6912014890450287E-2</v>
      </c>
      <c r="O126" s="20">
        <f t="shared" ca="1" si="154"/>
        <v>-8.5312979506949429E-4</v>
      </c>
      <c r="P126" s="19">
        <f t="shared" ca="1" si="160"/>
        <v>99.989410209433444</v>
      </c>
      <c r="Q126" s="19">
        <f ca="1">HCTrans(P126,Strike,RiskFreeRate,Dividend,Variance_T0*AnnualVarConvtr,(Simulation!G126)/250,0.5,Variance_Avg*AnnualVarConvtr,Lambda,SQRT(Simulation!N126),Rho,1,"Call")</f>
        <v>20.967539593847647</v>
      </c>
      <c r="R126" s="19">
        <f t="shared" ca="1" si="155"/>
        <v>0.74052807725594083</v>
      </c>
      <c r="S126" s="19">
        <f t="shared" ca="1" si="156"/>
        <v>0.50545485289538239</v>
      </c>
      <c r="T126" s="19">
        <f t="shared" ca="1" si="161"/>
        <v>-1.010254799234096</v>
      </c>
      <c r="U126" s="19">
        <f t="shared" ca="1" si="162"/>
        <v>-33.209618115459591</v>
      </c>
      <c r="V126" s="21">
        <f t="shared" ca="1" si="163"/>
        <v>5.0697771752218659E-6</v>
      </c>
      <c r="W126">
        <f t="shared" ca="1" si="164"/>
        <v>2.25161656931678E-3</v>
      </c>
      <c r="X126" s="22">
        <f t="shared" ref="X126" ca="1" si="281">BSdelta(1,P126,Strike,W126*AnnualVarConvtr,Dividend,RiskFreeRate,G126/250)</f>
        <v>0.5034490416536832</v>
      </c>
      <c r="Y126" s="22">
        <f t="shared" ca="1" si="170"/>
        <v>-1.8961057374079202</v>
      </c>
      <c r="Z126" s="22">
        <f t="shared" ca="1" si="171"/>
        <v>-32.922707187812755</v>
      </c>
      <c r="AA126">
        <f t="shared" si="158"/>
        <v>0.73884103340948371</v>
      </c>
      <c r="AB126">
        <f t="shared" ref="AB126" ca="1" si="282">BSdelta(1,P126,Strike,AA126/AnnualVarConvtr,Dividend,RiskFreeRate,G126/250)</f>
        <v>0.50543669873982378</v>
      </c>
      <c r="AC126">
        <f t="shared" ca="1" si="167"/>
        <v>-1.012638883705214</v>
      </c>
      <c r="AD126">
        <f t="shared" ca="1" si="168"/>
        <v>-33.217628167566993</v>
      </c>
    </row>
    <row r="127" spans="7:30" x14ac:dyDescent="0.25">
      <c r="G127" s="19">
        <v>128</v>
      </c>
      <c r="H127" s="19">
        <f t="shared" ca="1" si="218"/>
        <v>0.88590300168524416</v>
      </c>
      <c r="I127" s="19">
        <f t="shared" ca="1" si="218"/>
        <v>0.59032074891677933</v>
      </c>
      <c r="J127" s="19">
        <f t="shared" ca="1" si="152"/>
        <v>-0.41507564918921125</v>
      </c>
      <c r="K127" s="19">
        <f t="shared" ca="1" si="153"/>
        <v>-0.26458993180371204</v>
      </c>
      <c r="L127" s="19">
        <f t="array" aca="1" ref="L127:M127" ca="1">MMULT(J127:K127,TRANSPOSE($B$10:$C$11))</f>
        <v>-0.41507564918921125</v>
      </c>
      <c r="M127" s="19">
        <f ca="1"/>
        <v>0.11282718172006623</v>
      </c>
      <c r="N127" s="20">
        <f t="shared" ca="1" si="175"/>
        <v>5.7309573891152543E-2</v>
      </c>
      <c r="O127" s="20">
        <f t="shared" ca="1" si="154"/>
        <v>-6.2845016006993146E-3</v>
      </c>
      <c r="P127" s="19">
        <f t="shared" ca="1" si="160"/>
        <v>99.362997009975643</v>
      </c>
      <c r="Q127" s="19">
        <f ca="1">HCTrans(P127,Strike,RiskFreeRate,Dividend,Variance_T0*AnnualVarConvtr,(Simulation!G127)/250,0.5,Variance_Avg*AnnualVarConvtr,Lambda,SQRT(Simulation!N127),Rho,1,"Call")</f>
        <v>20.503245646865835</v>
      </c>
      <c r="R127" s="19">
        <f t="shared" ca="1" si="155"/>
        <v>0.74025262172461115</v>
      </c>
      <c r="S127" s="19">
        <f t="shared" ca="1" si="156"/>
        <v>0.4309294685854107</v>
      </c>
      <c r="T127" s="19">
        <f t="shared" ca="1" si="161"/>
        <v>-7.4050655383590023</v>
      </c>
      <c r="U127" s="19">
        <f t="shared" ca="1" si="162"/>
        <v>-26.268846524082399</v>
      </c>
      <c r="V127" s="21">
        <f t="shared" ca="1" si="163"/>
        <v>2.9499799690990538E-5</v>
      </c>
      <c r="W127">
        <f t="shared" ca="1" si="164"/>
        <v>5.4313718056298206E-3</v>
      </c>
      <c r="X127" s="22">
        <f t="shared" ref="X127" ca="1" si="283">BSdelta(1,P127,Strike,W127*AnnualVarConvtr,Dividend,RiskFreeRate,G127/250)</f>
        <v>0.47079528996957898</v>
      </c>
      <c r="Y127" s="22">
        <f t="shared" ca="1" si="170"/>
        <v>-3.2445746309521355</v>
      </c>
      <c r="Z127" s="22">
        <f t="shared" ca="1" si="171"/>
        <v>-30.142426503842429</v>
      </c>
      <c r="AA127">
        <f t="shared" si="158"/>
        <v>0.73884103340948371</v>
      </c>
      <c r="AB127">
        <f t="shared" ref="AB127" ca="1" si="284">BSdelta(1,P127,Strike,AA127/AnnualVarConvtr,Dividend,RiskFreeRate,G127/250)</f>
        <v>0.43077371222465977</v>
      </c>
      <c r="AC127">
        <f t="shared" ca="1" si="167"/>
        <v>-7.4187381058620936</v>
      </c>
      <c r="AD127">
        <f t="shared" ca="1" si="168"/>
        <v>-26.263184008686711</v>
      </c>
    </row>
    <row r="128" spans="7:30" x14ac:dyDescent="0.25">
      <c r="G128" s="19">
        <v>127</v>
      </c>
      <c r="H128" s="19">
        <f t="shared" ca="1" si="218"/>
        <v>0.91410626248750371</v>
      </c>
      <c r="I128" s="19">
        <f t="shared" ca="1" si="218"/>
        <v>2.8370204023544177E-2</v>
      </c>
      <c r="J128" s="19">
        <f t="shared" ca="1" si="152"/>
        <v>0.41709685412725622</v>
      </c>
      <c r="K128" s="19">
        <f t="shared" ca="1" si="153"/>
        <v>7.5147328589792187E-2</v>
      </c>
      <c r="L128" s="19">
        <f t="array" aca="1" ref="L128:M128" ca="1">MMULT(J128:K128,TRANSPOSE($B$10:$C$11))</f>
        <v>0.41709685412725622</v>
      </c>
      <c r="M128" s="19">
        <f ca="1"/>
        <v>-0.24642808960948104</v>
      </c>
      <c r="N128" s="20">
        <f t="shared" ca="1" si="175"/>
        <v>5.5605706325734153E-2</v>
      </c>
      <c r="O128" s="20">
        <f t="shared" ca="1" si="154"/>
        <v>6.2205185682403996E-3</v>
      </c>
      <c r="P128" s="19">
        <f t="shared" ca="1" si="160"/>
        <v>99.983012788419842</v>
      </c>
      <c r="Q128" s="19">
        <f ca="1">HCTrans(P128,Strike,RiskFreeRate,Dividend,Variance_T0*AnnualVarConvtr,(Simulation!G128)/250,0.5,Variance_Avg*AnnualVarConvtr,Lambda,SQRT(Simulation!N128),Rho,1,"Call")</f>
        <v>20.809353141703227</v>
      </c>
      <c r="R128" s="19">
        <f t="shared" ca="1" si="155"/>
        <v>0.7407146808973174</v>
      </c>
      <c r="S128" s="19">
        <f t="shared" ca="1" si="156"/>
        <v>0.50463036794891791</v>
      </c>
      <c r="T128" s="19">
        <f t="shared" ca="1" si="161"/>
        <v>7.3688379635795851</v>
      </c>
      <c r="U128" s="19">
        <f t="shared" ca="1" si="162"/>
        <v>-33.331576992824594</v>
      </c>
      <c r="V128" s="21">
        <f t="shared" ca="1" si="163"/>
        <v>1.5637552942558905E-4</v>
      </c>
      <c r="W128">
        <f t="shared" ca="1" si="164"/>
        <v>1.2505020168939715E-2</v>
      </c>
      <c r="X128" s="22">
        <f t="shared" ref="X128" ca="1" si="285">BSdelta(1,P128,Strike,W128*AnnualVarConvtr,Dividend,RiskFreeRate,G128/250)</f>
        <v>0.52760735228153832</v>
      </c>
      <c r="Y128" s="22">
        <f t="shared" ca="1" si="170"/>
        <v>5.680241152673136</v>
      </c>
      <c r="Z128" s="22">
        <f t="shared" ca="1" si="171"/>
        <v>-35.516560161678171</v>
      </c>
      <c r="AA128">
        <f t="shared" si="158"/>
        <v>0.73884103340948371</v>
      </c>
      <c r="AB128">
        <f t="shared" ref="AB128" ca="1" si="286">BSdelta(1,P128,Strike,AA128/AnnualVarConvtr,Dividend,RiskFreeRate,G128/250)</f>
        <v>0.50460837468116937</v>
      </c>
      <c r="AC128">
        <f t="shared" ca="1" si="167"/>
        <v>7.3822120006178622</v>
      </c>
      <c r="AD128">
        <f t="shared" ca="1" si="168"/>
        <v>-33.339288514467185</v>
      </c>
    </row>
    <row r="129" spans="7:30" x14ac:dyDescent="0.25">
      <c r="G129" s="19">
        <v>126</v>
      </c>
      <c r="H129" s="19">
        <f t="shared" ca="1" si="218"/>
        <v>0.91643691664353089</v>
      </c>
      <c r="I129" s="19">
        <f t="shared" ca="1" si="218"/>
        <v>0.16386148262761047</v>
      </c>
      <c r="J129" s="19">
        <f t="shared" ca="1" si="152"/>
        <v>0.21522437997318189</v>
      </c>
      <c r="K129" s="19">
        <f t="shared" ca="1" si="153"/>
        <v>0.35805384490501924</v>
      </c>
      <c r="L129" s="19">
        <f t="array" aca="1" ref="L129:M129" ca="1">MMULT(J129:K129,TRANSPOSE($B$10:$C$11))</f>
        <v>0.21522437997318189</v>
      </c>
      <c r="M129" s="19">
        <f ca="1"/>
        <v>9.5565471958532738E-2</v>
      </c>
      <c r="N129" s="20">
        <f t="shared" ca="1" si="175"/>
        <v>5.5902222263804528E-2</v>
      </c>
      <c r="O129" s="20">
        <f t="shared" ca="1" si="154"/>
        <v>3.2183701927810467E-3</v>
      </c>
      <c r="P129" s="19">
        <f t="shared" ca="1" si="160"/>
        <v>100.30531349986727</v>
      </c>
      <c r="Q129" s="19">
        <f ca="1">HCTrans(P129,Strike,RiskFreeRate,Dividend,Variance_T0*AnnualVarConvtr,(Simulation!G129)/250,0.5,Variance_Avg*AnnualVarConvtr,Lambda,SQRT(Simulation!N129),Rho,1,"Call")</f>
        <v>20.928715171775863</v>
      </c>
      <c r="R129" s="19">
        <f t="shared" ca="1" si="155"/>
        <v>0.74088596624428082</v>
      </c>
      <c r="S129" s="19">
        <f t="shared" ca="1" si="156"/>
        <v>0.54311055070349767</v>
      </c>
      <c r="T129" s="19">
        <f t="shared" ca="1" si="161"/>
        <v>3.8597667947303091</v>
      </c>
      <c r="U129" s="19">
        <f t="shared" ca="1" si="162"/>
        <v>-37.07198175748227</v>
      </c>
      <c r="V129" s="21">
        <f t="shared" ca="1" si="163"/>
        <v>9.0128948682732318E-6</v>
      </c>
      <c r="W129">
        <f t="shared" ca="1" si="164"/>
        <v>3.0021483754593529E-3</v>
      </c>
      <c r="X129" s="22">
        <f t="shared" ref="X129" ca="1" si="287">BSdelta(1,P129,Strike,W129*AnnualVarConvtr,Dividend,RiskFreeRate,G129/250)</f>
        <v>0.54272909698416982</v>
      </c>
      <c r="Y129" s="22">
        <f t="shared" ca="1" si="170"/>
        <v>1.5167913430624098</v>
      </c>
      <c r="Z129" s="22">
        <f t="shared" ca="1" si="171"/>
        <v>-36.913989474667943</v>
      </c>
      <c r="AA129">
        <f t="shared" si="158"/>
        <v>0.73884103340948371</v>
      </c>
      <c r="AB129">
        <f t="shared" ref="AB129" ca="1" si="288">BSdelta(1,P129,Strike,AA129/AnnualVarConvtr,Dividend,RiskFreeRate,G129/250)</f>
        <v>0.54319293768965737</v>
      </c>
      <c r="AC129">
        <f t="shared" ca="1" si="167"/>
        <v>3.870236688821771</v>
      </c>
      <c r="AD129">
        <f t="shared" ca="1" si="168"/>
        <v>-37.090163173216318</v>
      </c>
    </row>
    <row r="130" spans="7:30" x14ac:dyDescent="0.25">
      <c r="G130" s="19">
        <v>125</v>
      </c>
      <c r="H130" s="19">
        <f t="shared" ca="1" si="218"/>
        <v>0.7570882099565317</v>
      </c>
      <c r="I130" s="19">
        <f t="shared" ca="1" si="218"/>
        <v>0.70605845521140198</v>
      </c>
      <c r="J130" s="19">
        <f t="shared" ca="1" si="152"/>
        <v>-0.20336493688583318</v>
      </c>
      <c r="K130" s="19">
        <f t="shared" ca="1" si="153"/>
        <v>-0.71776996015970973</v>
      </c>
      <c r="L130" s="19">
        <f t="array" aca="1" ref="L130:M130" ca="1">MMULT(J130:K130,TRANSPOSE($B$10:$C$11))</f>
        <v>-0.20336493688583318</v>
      </c>
      <c r="M130" s="19">
        <f ca="1"/>
        <v>-0.35499608147817857</v>
      </c>
      <c r="N130" s="20">
        <f t="shared" ca="1" si="175"/>
        <v>5.360407938380557E-2</v>
      </c>
      <c r="O130" s="20">
        <f t="shared" ca="1" si="154"/>
        <v>-2.9778649138033886E-3</v>
      </c>
      <c r="P130" s="19">
        <f t="shared" ca="1" si="160"/>
        <v>100.00706212268354</v>
      </c>
      <c r="Q130" s="19">
        <f ca="1">HCTrans(P130,Strike,RiskFreeRate,Dividend,Variance_T0*AnnualVarConvtr,(Simulation!G130)/250,0.5,Variance_Avg*AnnualVarConvtr,Lambda,SQRT(Simulation!N130),Rho,1,"Call")</f>
        <v>20.669900165884485</v>
      </c>
      <c r="R130" s="19">
        <f t="shared" ca="1" si="155"/>
        <v>0.74096658771494783</v>
      </c>
      <c r="S130" s="19">
        <f t="shared" ca="1" si="156"/>
        <v>0.50745963777841152</v>
      </c>
      <c r="T130" s="19">
        <f t="shared" ca="1" si="161"/>
        <v>-3.5653430636294723</v>
      </c>
      <c r="U130" s="19">
        <f t="shared" ca="1" si="162"/>
        <v>-33.765453699744178</v>
      </c>
      <c r="V130" s="21">
        <f t="shared" ca="1" si="163"/>
        <v>3.839332949606943E-5</v>
      </c>
      <c r="W130">
        <f t="shared" ca="1" si="164"/>
        <v>6.1962351065844353E-3</v>
      </c>
      <c r="X130" s="22">
        <f t="shared" ref="X130" ca="1" si="289">BSdelta(1,P130,Strike,W130*AnnualVarConvtr,Dividend,RiskFreeRate,G130/250)</f>
        <v>0.51422222637629722</v>
      </c>
      <c r="Y130" s="22">
        <f t="shared" ca="1" si="170"/>
        <v>-2.8508883798048168</v>
      </c>
      <c r="Z130" s="22">
        <f t="shared" ca="1" si="171"/>
        <v>-34.321916100754507</v>
      </c>
      <c r="AA130">
        <f t="shared" si="158"/>
        <v>0.73884103340948371</v>
      </c>
      <c r="AB130">
        <f t="shared" ref="AB130" ca="1" si="290">BSdelta(1,P130,Strike,AA130/AnnualVarConvtr,Dividend,RiskFreeRate,G130/250)</f>
        <v>0.50744312528942559</v>
      </c>
      <c r="AC130">
        <f t="shared" ca="1" si="167"/>
        <v>-3.5752337095842623</v>
      </c>
      <c r="AD130">
        <f t="shared" ca="1" si="168"/>
        <v>-33.773744469523436</v>
      </c>
    </row>
    <row r="131" spans="7:30" x14ac:dyDescent="0.25">
      <c r="G131" s="19">
        <v>124</v>
      </c>
      <c r="H131" s="19">
        <f t="shared" ca="1" si="218"/>
        <v>0.99669351730818512</v>
      </c>
      <c r="I131" s="19">
        <f t="shared" ca="1" si="218"/>
        <v>0.76455354556213984</v>
      </c>
      <c r="J131" s="19">
        <f t="shared" ca="1" si="152"/>
        <v>7.4319175438075742E-3</v>
      </c>
      <c r="K131" s="19">
        <f t="shared" ca="1" si="153"/>
        <v>-8.1047448895295526E-2</v>
      </c>
      <c r="L131" s="19">
        <f t="array" aca="1" ref="L131:M131" ca="1">MMULT(J131:K131,TRANSPOSE($B$10:$C$11))</f>
        <v>7.4319175438075742E-3</v>
      </c>
      <c r="M131" s="19">
        <f ca="1"/>
        <v>-6.1862623055290548E-2</v>
      </c>
      <c r="N131" s="20">
        <f t="shared" ca="1" si="175"/>
        <v>5.3006641046956446E-2</v>
      </c>
      <c r="O131" s="20">
        <f t="shared" ca="1" si="154"/>
        <v>1.082171321302463E-4</v>
      </c>
      <c r="P131" s="19">
        <f t="shared" ca="1" si="160"/>
        <v>100.01788518574908</v>
      </c>
      <c r="Q131" s="19">
        <f ca="1">HCTrans(P131,Strike,RiskFreeRate,Dividend,Variance_T0*AnnualVarConvtr,(Simulation!G131)/250,0.5,Variance_Avg*AnnualVarConvtr,Lambda,SQRT(Simulation!N131),Rho,1,"Call")</f>
        <v>20.598032197359899</v>
      </c>
      <c r="R131" s="19">
        <f t="shared" ca="1" si="155"/>
        <v>0.74106123794120871</v>
      </c>
      <c r="S131" s="19">
        <f t="shared" ca="1" si="156"/>
        <v>0.50874495261524433</v>
      </c>
      <c r="T131" s="19">
        <f t="shared" ca="1" si="161"/>
        <v>0.12855447177788351</v>
      </c>
      <c r="U131" s="19">
        <f t="shared" ca="1" si="162"/>
        <v>-33.965876140046646</v>
      </c>
      <c r="V131" s="21">
        <f t="shared" ca="1" si="163"/>
        <v>9.5239023942339306E-6</v>
      </c>
      <c r="W131">
        <f t="shared" ca="1" si="164"/>
        <v>3.0860820459336349E-3</v>
      </c>
      <c r="X131" s="22">
        <f t="shared" ref="X131" ca="1" si="291">BSdelta(1,P131,Strike,W131*AnnualVarConvtr,Dividend,RiskFreeRate,G131/250)</f>
        <v>0.50893020174467396</v>
      </c>
      <c r="Y131" s="22">
        <f t="shared" ca="1" si="170"/>
        <v>-0.52929711200585128</v>
      </c>
      <c r="Z131" s="22">
        <f t="shared" ca="1" si="171"/>
        <v>-33.864486957273243</v>
      </c>
      <c r="AA131">
        <f t="shared" si="158"/>
        <v>0.73884103340948371</v>
      </c>
      <c r="AB131">
        <f t="shared" ref="AB131" ca="1" si="292">BSdelta(1,P131,Strike,AA131/AnnualVarConvtr,Dividend,RiskFreeRate,G131/250)</f>
        <v>0.50873172460716198</v>
      </c>
      <c r="AC131">
        <f t="shared" ca="1" si="167"/>
        <v>0.12888297861179326</v>
      </c>
      <c r="AD131">
        <f t="shared" ca="1" si="168"/>
        <v>-33.974495416659813</v>
      </c>
    </row>
    <row r="132" spans="7:30" x14ac:dyDescent="0.25">
      <c r="G132" s="19">
        <v>123</v>
      </c>
      <c r="H132" s="19">
        <f t="shared" ca="1" si="218"/>
        <v>0.75194074925092602</v>
      </c>
      <c r="I132" s="19">
        <f t="shared" ca="1" si="218"/>
        <v>0.34432623131699869</v>
      </c>
      <c r="J132" s="19">
        <f t="shared" ca="1" si="152"/>
        <v>-0.42178868367657757</v>
      </c>
      <c r="K132" s="19">
        <f t="shared" ca="1" si="153"/>
        <v>0.62633042747000311</v>
      </c>
      <c r="L132" s="19">
        <f t="array" aca="1" ref="L132:M132" ca="1">MMULT(J132:K132,TRANSPOSE($B$10:$C$11))</f>
        <v>-0.42178868367657757</v>
      </c>
      <c r="M132" s="19">
        <f ca="1"/>
        <v>0.73913161296891994</v>
      </c>
      <c r="N132" s="20">
        <f t="shared" ca="1" si="175"/>
        <v>5.701776811505916E-2</v>
      </c>
      <c r="O132" s="20">
        <f t="shared" ca="1" si="154"/>
        <v>-6.3698620356988219E-3</v>
      </c>
      <c r="P132" s="19">
        <f t="shared" ca="1" si="160"/>
        <v>99.382809874425675</v>
      </c>
      <c r="Q132" s="19">
        <f ca="1">HCTrans(P132,Strike,RiskFreeRate,Dividend,Variance_T0*AnnualVarConvtr,(Simulation!G132)/250,0.5,Variance_Avg*AnnualVarConvtr,Lambda,SQRT(Simulation!N132),Rho,1,"Call")</f>
        <v>20.120710036083679</v>
      </c>
      <c r="R132" s="19">
        <f t="shared" ca="1" si="155"/>
        <v>0.74051399852493616</v>
      </c>
      <c r="S132" s="19">
        <f t="shared" ca="1" si="156"/>
        <v>0.43170556558388412</v>
      </c>
      <c r="T132" s="19">
        <f t="shared" ca="1" si="161"/>
        <v>-7.6563907541799665</v>
      </c>
      <c r="U132" s="19">
        <f t="shared" ca="1" si="162"/>
        <v>-26.786807547142899</v>
      </c>
      <c r="V132" s="21">
        <f t="shared" ca="1" si="163"/>
        <v>4.1965509704660961E-5</v>
      </c>
      <c r="W132">
        <f t="shared" ca="1" si="164"/>
        <v>6.4780791678290687E-3</v>
      </c>
      <c r="X132" s="22">
        <f t="shared" ref="X132" ca="1" si="293">BSdelta(1,P132,Strike,W132*AnnualVarConvtr,Dividend,RiskFreeRate,G132/250)</f>
        <v>0.47996204241548401</v>
      </c>
      <c r="Y132" s="22">
        <f t="shared" ca="1" si="170"/>
        <v>-2.8789370710249549</v>
      </c>
      <c r="Z132" s="22">
        <f t="shared" ca="1" si="171"/>
        <v>-31.46287204752451</v>
      </c>
      <c r="AA132">
        <f t="shared" si="158"/>
        <v>0.73884103340948371</v>
      </c>
      <c r="AB132">
        <f t="shared" ref="AB132" ca="1" si="294">BSdelta(1,P132,Strike,AA132/AnnualVarConvtr,Dividend,RiskFreeRate,G132/250)</f>
        <v>0.43152324648417867</v>
      </c>
      <c r="AC132">
        <f t="shared" ca="1" si="167"/>
        <v>-7.6731955019902047</v>
      </c>
      <c r="AD132">
        <f t="shared" ca="1" si="168"/>
        <v>-26.77862207594583</v>
      </c>
    </row>
    <row r="133" spans="7:30" x14ac:dyDescent="0.25">
      <c r="G133" s="19">
        <v>122</v>
      </c>
      <c r="H133" s="19">
        <f t="shared" ca="1" si="218"/>
        <v>7.349833072123646E-2</v>
      </c>
      <c r="I133" s="19">
        <f t="shared" ca="1" si="218"/>
        <v>0.16909854813477376</v>
      </c>
      <c r="J133" s="19">
        <f t="shared" ca="1" si="152"/>
        <v>1.1121052343640732</v>
      </c>
      <c r="K133" s="19">
        <f t="shared" ca="1" si="153"/>
        <v>1.996047874248992</v>
      </c>
      <c r="L133" s="19">
        <f t="array" aca="1" ref="L133:M133" ca="1">MMULT(J133:K133,TRANSPOSE($B$10:$C$11))</f>
        <v>1.1121052343640732</v>
      </c>
      <c r="M133" s="19">
        <f ca="1"/>
        <v>0.5955938303448749</v>
      </c>
      <c r="N133" s="20">
        <f t="shared" ca="1" si="175"/>
        <v>6.0293410965918406E-2</v>
      </c>
      <c r="O133" s="20">
        <f t="shared" ca="1" si="154"/>
        <v>1.7270734481306838E-2</v>
      </c>
      <c r="P133" s="19">
        <f t="shared" ca="1" si="160"/>
        <v>101.11413155991657</v>
      </c>
      <c r="Q133" s="19">
        <f ca="1">HCTrans(P133,Strike,RiskFreeRate,Dividend,Variance_T0*AnnualVarConvtr,(Simulation!G133)/250,0.5,Variance_Avg*AnnualVarConvtr,Lambda,SQRT(Simulation!N133),Rho,1,"Call")</f>
        <v>21.102040534364761</v>
      </c>
      <c r="R133" s="19">
        <f t="shared" ca="1" si="155"/>
        <v>0.74114788035538637</v>
      </c>
      <c r="S133" s="19">
        <f t="shared" ca="1" si="156"/>
        <v>0.63860631963262937</v>
      </c>
      <c r="T133" s="19">
        <f t="shared" ca="1" si="161"/>
        <v>20.920590064730767</v>
      </c>
      <c r="U133" s="19">
        <f t="shared" ca="1" si="162"/>
        <v>-46.726067113592585</v>
      </c>
      <c r="V133" s="21">
        <f t="shared" ca="1" si="163"/>
        <v>5.5887780367986013E-4</v>
      </c>
      <c r="W133">
        <f t="shared" ca="1" si="164"/>
        <v>2.364059651700566E-2</v>
      </c>
      <c r="X133" s="22">
        <f t="shared" ref="X133" ca="1" si="295">BSdelta(1,P133,Strike,W133*AnnualVarConvtr,Dividend,RiskFreeRate,G133/250)</f>
        <v>0.56867079523291575</v>
      </c>
      <c r="Y133" s="22">
        <f t="shared" ca="1" si="170"/>
        <v>8.9697085028979124</v>
      </c>
      <c r="Z133" s="22">
        <f t="shared" ca="1" si="171"/>
        <v>-39.45125005214134</v>
      </c>
      <c r="AA133">
        <f t="shared" si="158"/>
        <v>0.73884103340948371</v>
      </c>
      <c r="AB133">
        <f t="shared" ref="AB133" ca="1" si="296">BSdelta(1,P133,Strike,AA133/AnnualVarConvtr,Dividend,RiskFreeRate,G133/250)</f>
        <v>0.638982925891178</v>
      </c>
      <c r="AC133">
        <f t="shared" ca="1" si="167"/>
        <v>20.977105316937447</v>
      </c>
      <c r="AD133">
        <f t="shared" ca="1" si="168"/>
        <v>-46.774396894602191</v>
      </c>
    </row>
    <row r="134" spans="7:30" x14ac:dyDescent="0.25">
      <c r="G134" s="19">
        <v>121</v>
      </c>
      <c r="H134" s="19">
        <f t="shared" ca="1" si="218"/>
        <v>0.82488876515777021</v>
      </c>
      <c r="I134" s="19">
        <f t="shared" ca="1" si="218"/>
        <v>7.2401763495205995E-2</v>
      </c>
      <c r="J134" s="19">
        <f t="shared" ref="J134:J197" ca="1" si="297">SQRT(-2*LN(H134))*COS(2*PI()*I134)</f>
        <v>0.55738958737619759</v>
      </c>
      <c r="K134" s="19">
        <f t="shared" ref="K134:K197" ca="1" si="298">SQRT(-2*LN(H134))*SIN(2*PI()*I134)</f>
        <v>0.27263585894721376</v>
      </c>
      <c r="L134" s="19">
        <f t="array" aca="1" ref="L134:M134" ca="1">MMULT(J134:K134,TRANSPOSE($B$10:$C$11))</f>
        <v>0.55738958737619759</v>
      </c>
      <c r="M134" s="19">
        <f ca="1"/>
        <v>-0.20918238351789728</v>
      </c>
      <c r="N134" s="20">
        <f t="shared" ca="1" si="175"/>
        <v>5.8758247727109962E-2</v>
      </c>
      <c r="O134" s="20">
        <f t="shared" ref="O134:O197" ca="1" si="299">GetStockReturns(0,RiskFreeRate,N134,L134,"Daily")</f>
        <v>8.5452203287303304E-3</v>
      </c>
      <c r="P134" s="19">
        <f t="shared" ca="1" si="160"/>
        <v>101.98187634736544</v>
      </c>
      <c r="Q134" s="19">
        <f ca="1">HCTrans(P134,Strike,RiskFreeRate,Dividend,Variance_T0*AnnualVarConvtr,(Simulation!G134)/250,0.5,Variance_Avg*AnnualVarConvtr,Lambda,SQRT(Simulation!N134),Rho,1,"Call")</f>
        <v>21.566710924514183</v>
      </c>
      <c r="R134" s="19">
        <f t="shared" ref="R134:R197" ca="1" si="300">BSvol(1,P134,Strike,Q134,Dividend,RiskFreeRate,G134/250)</f>
        <v>0.74170427203137079</v>
      </c>
      <c r="S134" s="19">
        <f t="shared" ref="S134:S197" ca="1" si="301">BSdelta(1,P134,Strike,R134/AnnualVarConvtr,Dividend,RiskFreeRate,G134/250)</f>
        <v>0.73160150212937758</v>
      </c>
      <c r="T134" s="19">
        <f t="shared" ca="1" si="161"/>
        <v>9.483823202284059</v>
      </c>
      <c r="U134" s="19">
        <f t="shared" ca="1" si="162"/>
        <v>-55.74521992572722</v>
      </c>
      <c r="V134" s="21">
        <f t="shared" ca="1" si="163"/>
        <v>7.6134597226812926E-5</v>
      </c>
      <c r="W134">
        <f t="shared" ca="1" si="164"/>
        <v>8.7255141525765072E-3</v>
      </c>
      <c r="X134" s="22">
        <f t="shared" ref="X134" ca="1" si="302">BSdelta(1,P134,Strike,W134*AnnualVarConvtr,Dividend,RiskFreeRate,G134/250)</f>
        <v>0.59965641227136113</v>
      </c>
      <c r="Y134" s="22">
        <f t="shared" ca="1" si="170"/>
        <v>3.1599713653615566</v>
      </c>
      <c r="Z134" s="22">
        <f t="shared" ca="1" si="171"/>
        <v>-42.146551027353475</v>
      </c>
      <c r="AA134">
        <f t="shared" ref="AA134:AA197" si="303">$R$5</f>
        <v>0.73884103340948371</v>
      </c>
      <c r="AB134">
        <f t="shared" ref="AB134" ca="1" si="304">BSdelta(1,P134,Strike,AA134/AnnualVarConvtr,Dividend,RiskFreeRate,G134/250)</f>
        <v>0.73234845400153614</v>
      </c>
      <c r="AC134">
        <f t="shared" ca="1" si="167"/>
        <v>9.5215917428570158</v>
      </c>
      <c r="AD134">
        <f t="shared" ca="1" si="168"/>
        <v>-55.831318247309781</v>
      </c>
    </row>
    <row r="135" spans="7:30" x14ac:dyDescent="0.25">
      <c r="G135" s="19">
        <v>120</v>
      </c>
      <c r="H135" s="19">
        <f t="shared" ca="1" si="218"/>
        <v>0.99141037696267398</v>
      </c>
      <c r="I135" s="19">
        <f t="shared" ca="1" si="218"/>
        <v>0.90163656774366407</v>
      </c>
      <c r="J135" s="19">
        <f t="shared" ca="1" si="297"/>
        <v>0.10705460031425178</v>
      </c>
      <c r="K135" s="19">
        <f t="shared" ca="1" si="298"/>
        <v>-7.6110219386481326E-2</v>
      </c>
      <c r="L135" s="19">
        <f t="array" aca="1" ref="L135:M135" ca="1">MMULT(J135:K135,TRANSPOSE($B$10:$C$11))</f>
        <v>0.10705460031425178</v>
      </c>
      <c r="M135" s="19">
        <f ca="1"/>
        <v>-0.12979812768799698</v>
      </c>
      <c r="N135" s="20">
        <f t="shared" ca="1" si="175"/>
        <v>5.7715155018233863E-2</v>
      </c>
      <c r="O135" s="20">
        <f t="shared" ca="1" si="299"/>
        <v>1.6265981098015378E-3</v>
      </c>
      <c r="P135" s="19">
        <f t="shared" ref="P135:P198" ca="1" si="305">P134*EXP(O135)</f>
        <v>102.14789486076153</v>
      </c>
      <c r="Q135" s="19">
        <f ca="1">HCTrans(P135,Strike,RiskFreeRate,Dividend,Variance_T0*AnnualVarConvtr,(Simulation!G135)/250,0.5,Variance_Avg*AnnualVarConvtr,Lambda,SQRT(Simulation!N135),Rho,1,"Call")</f>
        <v>21.591044383451347</v>
      </c>
      <c r="R135" s="19">
        <f t="shared" ca="1" si="300"/>
        <v>0.74189579328678801</v>
      </c>
      <c r="S135" s="19">
        <f t="shared" ca="1" si="301"/>
        <v>0.74856517940159051</v>
      </c>
      <c r="T135" s="19">
        <f t="shared" ref="T135:T198" ca="1" si="306">(S135-S134)*P135</f>
        <v>1.7328039224538963</v>
      </c>
      <c r="U135" s="19">
        <f t="shared" ref="U135:U198" ca="1" si="307">(Q135-Q134)+U134-T135</f>
        <v>-57.453690389243953</v>
      </c>
      <c r="V135" s="21">
        <f t="shared" ref="V135:V198" ca="1" si="308">(O135-O134)^2</f>
        <v>4.7867333408255175E-5</v>
      </c>
      <c r="W135">
        <f t="shared" ref="W135:W198" ca="1" si="309">SQRT(V135)</f>
        <v>6.9186222189287928E-3</v>
      </c>
      <c r="X135" s="22">
        <f t="shared" ref="X135" ca="1" si="310">BSdelta(1,P135,Strike,W135*AnnualVarConvtr,Dividend,RiskFreeRate,G135/250)</f>
        <v>0.62486981841357037</v>
      </c>
      <c r="Y135" s="22">
        <f t="shared" ca="1" si="170"/>
        <v>2.5754963596960683</v>
      </c>
      <c r="Z135" s="22">
        <f t="shared" ca="1" si="171"/>
        <v>-44.697713928112378</v>
      </c>
      <c r="AA135">
        <f t="shared" si="303"/>
        <v>0.73884103340948371</v>
      </c>
      <c r="AB135">
        <f t="shared" ref="AB135" ca="1" si="311">BSdelta(1,P135,Strike,AA135/AnnualVarConvtr,Dividend,RiskFreeRate,G135/250)</f>
        <v>0.74940461564479122</v>
      </c>
      <c r="AC135">
        <f t="shared" ref="AC135:AC198" ca="1" si="312">(AB135-AB134)*P135</f>
        <v>1.7422510062633729</v>
      </c>
      <c r="AD135">
        <f t="shared" ref="AD135:AD198" ca="1" si="313">(Q135-Q134)+AD134-AC135</f>
        <v>-57.54923579463599</v>
      </c>
    </row>
    <row r="136" spans="7:30" x14ac:dyDescent="0.25">
      <c r="G136" s="19">
        <v>119</v>
      </c>
      <c r="H136" s="19">
        <f t="shared" ca="1" si="218"/>
        <v>0.49444813407283872</v>
      </c>
      <c r="I136" s="19">
        <f t="shared" ca="1" si="218"/>
        <v>0.67244412133417031</v>
      </c>
      <c r="J136" s="19">
        <f t="shared" ca="1" si="297"/>
        <v>-0.55573331664171266</v>
      </c>
      <c r="K136" s="19">
        <f t="shared" ca="1" si="298"/>
        <v>-1.0487070700661145</v>
      </c>
      <c r="L136" s="19">
        <f t="array" aca="1" ref="L136:M136" ca="1">MMULT(J136:K136,TRANSPOSE($B$10:$C$11))</f>
        <v>-0.55573331664171266</v>
      </c>
      <c r="M136" s="19">
        <f ca="1"/>
        <v>-0.33338159329816913</v>
      </c>
      <c r="N136" s="20">
        <f t="shared" ca="1" si="175"/>
        <v>5.5499384474562166E-2</v>
      </c>
      <c r="O136" s="20">
        <f t="shared" ca="1" si="299"/>
        <v>-8.2801940118430572E-3</v>
      </c>
      <c r="P136" s="19">
        <f t="shared" ca="1" si="305"/>
        <v>101.30558254064641</v>
      </c>
      <c r="Q136" s="19">
        <f ca="1">HCTrans(P136,Strike,RiskFreeRate,Dividend,Variance_T0*AnnualVarConvtr,(Simulation!G136)/250,0.5,Variance_Avg*AnnualVarConvtr,Lambda,SQRT(Simulation!N136),Rho,1,"Call")</f>
        <v>20.985077281307568</v>
      </c>
      <c r="R136" s="19">
        <f t="shared" ca="1" si="300"/>
        <v>0.74169983220149804</v>
      </c>
      <c r="S136" s="19">
        <f t="shared" ca="1" si="301"/>
        <v>0.66165259725778069</v>
      </c>
      <c r="T136" s="19">
        <f t="shared" ca="1" si="306"/>
        <v>-8.8047297641904372</v>
      </c>
      <c r="U136" s="19">
        <f t="shared" ca="1" si="307"/>
        <v>-49.254927727197298</v>
      </c>
      <c r="V136" s="21">
        <f t="shared" ca="1" si="308"/>
        <v>9.8144530141479409E-5</v>
      </c>
      <c r="W136">
        <f t="shared" ca="1" si="309"/>
        <v>9.9067921216445948E-3</v>
      </c>
      <c r="X136" s="22">
        <f t="shared" ref="X136" ca="1" si="314">BSdelta(1,P136,Strike,W136*AnnualVarConvtr,Dividend,RiskFreeRate,G136/250)</f>
        <v>0.569091603193147</v>
      </c>
      <c r="Y136" s="22">
        <f t="shared" ref="Y136:Y199" ca="1" si="315">(X136-X135)*P136</f>
        <v>-5.6506445859825396</v>
      </c>
      <c r="Z136" s="22">
        <f t="shared" ref="Z136:Z199" ca="1" si="316">(Q136-Q135)+Z135-Y136</f>
        <v>-39.653036444273617</v>
      </c>
      <c r="AA136">
        <f t="shared" si="303"/>
        <v>0.73884103340948371</v>
      </c>
      <c r="AB136">
        <f t="shared" ref="AB136" ca="1" si="317">BSdelta(1,P136,Strike,AA136/AnnualVarConvtr,Dividend,RiskFreeRate,G136/250)</f>
        <v>0.66219678324223541</v>
      </c>
      <c r="AC136">
        <f t="shared" ca="1" si="312"/>
        <v>-8.8346402636479766</v>
      </c>
      <c r="AD136">
        <f t="shared" ca="1" si="313"/>
        <v>-49.320562633131793</v>
      </c>
    </row>
    <row r="137" spans="7:30" x14ac:dyDescent="0.25">
      <c r="G137" s="19">
        <v>118</v>
      </c>
      <c r="H137" s="19">
        <f t="shared" ca="1" si="218"/>
        <v>0.70255972591925775</v>
      </c>
      <c r="I137" s="19">
        <f t="shared" ca="1" si="218"/>
        <v>0.39565836175841274</v>
      </c>
      <c r="J137" s="19">
        <f t="shared" ca="1" si="297"/>
        <v>-0.66606638751969482</v>
      </c>
      <c r="K137" s="19">
        <f t="shared" ca="1" si="298"/>
        <v>0.51225510440451616</v>
      </c>
      <c r="L137" s="19">
        <f t="array" aca="1" ref="L137:M137" ca="1">MMULT(J137:K137,TRANSPOSE($B$10:$C$11))</f>
        <v>-0.66606638751969482</v>
      </c>
      <c r="M137" s="19">
        <f ca="1"/>
        <v>0.83457911496193316</v>
      </c>
      <c r="N137" s="20">
        <f t="shared" ca="1" si="175"/>
        <v>6.0168220389124651E-2</v>
      </c>
      <c r="O137" s="20">
        <f t="shared" ca="1" si="299"/>
        <v>-1.033311105022962E-2</v>
      </c>
      <c r="P137" s="19">
        <f t="shared" ca="1" si="305"/>
        <v>100.26417048567582</v>
      </c>
      <c r="Q137" s="19">
        <f ca="1">HCTrans(P137,Strike,RiskFreeRate,Dividend,Variance_T0*AnnualVarConvtr,(Simulation!G137)/250,0.5,Variance_Avg*AnnualVarConvtr,Lambda,SQRT(Simulation!N137),Rho,1,"Call")</f>
        <v>20.249786771023722</v>
      </c>
      <c r="R137" s="19">
        <f t="shared" ca="1" si="300"/>
        <v>0.74094712603307455</v>
      </c>
      <c r="S137" s="19">
        <f t="shared" ca="1" si="301"/>
        <v>0.5390507698941378</v>
      </c>
      <c r="T137" s="19">
        <f t="shared" ca="1" si="306"/>
        <v>-12.292570520643686</v>
      </c>
      <c r="U137" s="19">
        <f t="shared" ca="1" si="307"/>
        <v>-37.697647716837459</v>
      </c>
      <c r="V137" s="21">
        <f t="shared" ca="1" si="308"/>
        <v>4.2144683664978553E-6</v>
      </c>
      <c r="W137">
        <f t="shared" ca="1" si="309"/>
        <v>2.0529170383865626E-3</v>
      </c>
      <c r="X137" s="22">
        <f t="shared" ref="X137" ca="1" si="318">BSdelta(1,P137,Strike,W137*AnnualVarConvtr,Dividend,RiskFreeRate,G137/250)</f>
        <v>0.55150080714225747</v>
      </c>
      <c r="Y137" s="22">
        <f t="shared" ca="1" si="315"/>
        <v>-1.7637265742251411</v>
      </c>
      <c r="Z137" s="22">
        <f t="shared" ca="1" si="316"/>
        <v>-38.624600380332325</v>
      </c>
      <c r="AA137">
        <f t="shared" si="303"/>
        <v>0.73884103340948371</v>
      </c>
      <c r="AB137">
        <f t="shared" ref="AB137" ca="1" si="319">BSdelta(1,P137,Strike,AA137/AnnualVarConvtr,Dividend,RiskFreeRate,G137/250)</f>
        <v>0.53912534382107058</v>
      </c>
      <c r="AC137">
        <f t="shared" ca="1" si="312"/>
        <v>-12.339655784041195</v>
      </c>
      <c r="AD137">
        <f t="shared" ca="1" si="313"/>
        <v>-37.716197359374448</v>
      </c>
    </row>
    <row r="138" spans="7:30" x14ac:dyDescent="0.25">
      <c r="G138" s="19">
        <v>117</v>
      </c>
      <c r="H138" s="19">
        <f t="shared" ca="1" si="218"/>
        <v>0.21385875412835975</v>
      </c>
      <c r="I138" s="19">
        <f t="shared" ca="1" si="218"/>
        <v>0.69566185320919061</v>
      </c>
      <c r="J138" s="19">
        <f t="shared" ca="1" si="297"/>
        <v>-0.5880759947242693</v>
      </c>
      <c r="K138" s="19">
        <f t="shared" ca="1" si="298"/>
        <v>-1.6550062365600851</v>
      </c>
      <c r="L138" s="19">
        <f t="array" aca="1" ref="L138:M138" ca="1">MMULT(J138:K138,TRANSPOSE($B$10:$C$11))</f>
        <v>-0.5880759947242693</v>
      </c>
      <c r="M138" s="19">
        <f ca="1"/>
        <v>-0.73315453648658657</v>
      </c>
      <c r="N138" s="20">
        <f t="shared" ref="N138:N201" ca="1" si="320">GetVariance(N137,Variance_Avg,Lambda,Eta,M138,"Daily")</f>
        <v>5.5557744490108696E-2</v>
      </c>
      <c r="O138" s="20">
        <f t="shared" ca="1" si="299"/>
        <v>-8.7666920365944232E-3</v>
      </c>
      <c r="P138" s="19">
        <f t="shared" ca="1" si="305"/>
        <v>99.389027042165708</v>
      </c>
      <c r="Q138" s="19">
        <f ca="1">HCTrans(P138,Strike,RiskFreeRate,Dividend,Variance_T0*AnnualVarConvtr,(Simulation!G138)/250,0.5,Variance_Avg*AnnualVarConvtr,Lambda,SQRT(Simulation!N138),Rho,1,"Call")</f>
        <v>19.641099674740261</v>
      </c>
      <c r="R138" s="19">
        <f t="shared" ca="1" si="300"/>
        <v>0.7409044755879276</v>
      </c>
      <c r="S138" s="19">
        <f t="shared" ca="1" si="301"/>
        <v>0.43048113673606203</v>
      </c>
      <c r="T138" s="19">
        <f t="shared" ca="1" si="306"/>
        <v>-10.790630205906004</v>
      </c>
      <c r="U138" s="19">
        <f t="shared" ca="1" si="307"/>
        <v>-27.515704607214914</v>
      </c>
      <c r="V138" s="21">
        <f t="shared" ca="1" si="308"/>
        <v>2.4536685262778623E-6</v>
      </c>
      <c r="W138">
        <f t="shared" ca="1" si="309"/>
        <v>1.5664190136351966E-3</v>
      </c>
      <c r="X138" s="22">
        <f t="shared" ref="X138" ca="1" si="321">BSdelta(1,P138,Strike,W138*AnnualVarConvtr,Dividend,RiskFreeRate,G138/250)</f>
        <v>0.36195780498604102</v>
      </c>
      <c r="Y138" s="22">
        <f t="shared" ca="1" si="315"/>
        <v>-18.838494566957468</v>
      </c>
      <c r="Z138" s="22">
        <f t="shared" ca="1" si="316"/>
        <v>-20.394792909658317</v>
      </c>
      <c r="AA138">
        <f t="shared" si="303"/>
        <v>0.73884103340948371</v>
      </c>
      <c r="AB138">
        <f t="shared" ref="AB138" ca="1" si="322">BSdelta(1,P138,Strike,AA138/AnnualVarConvtr,Dividend,RiskFreeRate,G138/250)</f>
        <v>0.43025384891911622</v>
      </c>
      <c r="AC138">
        <f t="shared" ca="1" si="312"/>
        <v>-10.820631950931348</v>
      </c>
      <c r="AD138">
        <f t="shared" ca="1" si="313"/>
        <v>-27.504252504726558</v>
      </c>
    </row>
    <row r="139" spans="7:30" x14ac:dyDescent="0.25">
      <c r="G139" s="19">
        <v>116</v>
      </c>
      <c r="H139" s="19">
        <f t="shared" ca="1" si="218"/>
        <v>0.13654857201433934</v>
      </c>
      <c r="I139" s="19">
        <f t="shared" ca="1" si="218"/>
        <v>0.55765825261555513</v>
      </c>
      <c r="J139" s="19">
        <f t="shared" ca="1" si="297"/>
        <v>-1.8660066288848371</v>
      </c>
      <c r="K139" s="19">
        <f t="shared" ca="1" si="298"/>
        <v>-0.70722629928307246</v>
      </c>
      <c r="L139" s="19">
        <f t="array" aca="1" ref="L139:M139" ca="1">MMULT(J139:K139,TRANSPOSE($B$10:$C$11))</f>
        <v>-1.8660066288848371</v>
      </c>
      <c r="M139" s="19">
        <f ca="1"/>
        <v>0.84364181256208481</v>
      </c>
      <c r="N139" s="20">
        <f t="shared" ca="1" si="320"/>
        <v>6.0283470028736755E-2</v>
      </c>
      <c r="O139" s="20">
        <f t="shared" ca="1" si="299"/>
        <v>-2.8976257972532365E-2</v>
      </c>
      <c r="P139" s="19">
        <f t="shared" ca="1" si="305"/>
        <v>96.550429531814601</v>
      </c>
      <c r="Q139" s="19">
        <f ca="1">HCTrans(P139,Strike,RiskFreeRate,Dividend,Variance_T0*AnnualVarConvtr,(Simulation!G139)/250,0.5,Variance_Avg*AnnualVarConvtr,Lambda,SQRT(Simulation!N139),Rho,1,"Call")</f>
        <v>17.856540069019431</v>
      </c>
      <c r="R139" s="19">
        <f t="shared" ca="1" si="300"/>
        <v>0.73920708332503959</v>
      </c>
      <c r="S139" s="19">
        <f t="shared" ca="1" si="301"/>
        <v>0.13865011124096246</v>
      </c>
      <c r="T139" s="19">
        <f t="shared" ca="1" si="306"/>
        <v>-28.176410862261797</v>
      </c>
      <c r="U139" s="19">
        <f t="shared" ca="1" si="307"/>
        <v>-1.1238533506739472</v>
      </c>
      <c r="V139" s="21">
        <f t="shared" ca="1" si="308"/>
        <v>4.0842655531902333E-4</v>
      </c>
      <c r="W139">
        <f t="shared" ca="1" si="309"/>
        <v>2.0209565935937944E-2</v>
      </c>
      <c r="X139" s="22">
        <f t="shared" ref="X139" ca="1" si="323">BSdelta(1,P139,Strike,W139*AnnualVarConvtr,Dividend,RiskFreeRate,G139/250)</f>
        <v>0.4790859316934673</v>
      </c>
      <c r="Y139" s="22">
        <f t="shared" ca="1" si="315"/>
        <v>11.308770943858812</v>
      </c>
      <c r="Z139" s="22">
        <f t="shared" ca="1" si="316"/>
        <v>-33.488123459237961</v>
      </c>
      <c r="AA139">
        <f t="shared" si="303"/>
        <v>0.73884103340948371</v>
      </c>
      <c r="AB139">
        <f t="shared" ref="AB139" ca="1" si="324">BSdelta(1,P139,Strike,AA139/AnnualVarConvtr,Dividend,RiskFreeRate,G139/250)</f>
        <v>0.13852764642731277</v>
      </c>
      <c r="AC139">
        <f t="shared" ca="1" si="312"/>
        <v>-28.166290156268747</v>
      </c>
      <c r="AD139">
        <f t="shared" ca="1" si="313"/>
        <v>-1.1225219541786409</v>
      </c>
    </row>
    <row r="140" spans="7:30" x14ac:dyDescent="0.25">
      <c r="G140" s="19">
        <v>115</v>
      </c>
      <c r="H140" s="19">
        <f t="shared" ca="1" si="218"/>
        <v>8.1945690012539485E-2</v>
      </c>
      <c r="I140" s="19">
        <f t="shared" ca="1" si="218"/>
        <v>0.28023213719102902</v>
      </c>
      <c r="J140" s="19">
        <f t="shared" ca="1" si="297"/>
        <v>-0.42234398565774328</v>
      </c>
      <c r="K140" s="19">
        <f t="shared" ca="1" si="298"/>
        <v>2.1965934293611298</v>
      </c>
      <c r="L140" s="19">
        <f t="array" aca="1" ref="L140:M140" ca="1">MMULT(J140:K140,TRANSPOSE($B$10:$C$11))</f>
        <v>-0.42234398565774328</v>
      </c>
      <c r="M140" s="19">
        <f ca="1"/>
        <v>1.8349246869617442</v>
      </c>
      <c r="N140" s="20">
        <f t="shared" ca="1" si="320"/>
        <v>7.1554306553440944E-2</v>
      </c>
      <c r="O140" s="20">
        <f t="shared" ca="1" si="299"/>
        <v>-7.1451968538311528E-3</v>
      </c>
      <c r="P140" s="19">
        <f t="shared" ca="1" si="305"/>
        <v>95.863016481855809</v>
      </c>
      <c r="Q140" s="19">
        <f ca="1">HCTrans(P140,Strike,RiskFreeRate,Dividend,Variance_T0*AnnualVarConvtr,(Simulation!G140)/250,0.5,Variance_Avg*AnnualVarConvtr,Lambda,SQRT(Simulation!N140),Rho,1,"Call")</f>
        <v>17.35183511053954</v>
      </c>
      <c r="R140" s="19">
        <f t="shared" ca="1" si="300"/>
        <v>0.73798627012750218</v>
      </c>
      <c r="S140" s="19">
        <f t="shared" ca="1" si="301"/>
        <v>9.3613622115745004E-2</v>
      </c>
      <c r="T140" s="19">
        <f t="shared" ca="1" si="306"/>
        <v>-4.3173336992956415</v>
      </c>
      <c r="U140" s="19">
        <f t="shared" ca="1" si="307"/>
        <v>2.688775390141803</v>
      </c>
      <c r="V140" s="21">
        <f t="shared" ca="1" si="308"/>
        <v>4.7659522956846793E-4</v>
      </c>
      <c r="W140">
        <f t="shared" ca="1" si="309"/>
        <v>2.1831061118701214E-2</v>
      </c>
      <c r="X140" s="22">
        <f t="shared" ref="X140" ca="1" si="325">BSdelta(1,P140,Strike,W140*AnnualVarConvtr,Dividend,RiskFreeRate,G140/250)</f>
        <v>0.4747188992120141</v>
      </c>
      <c r="Y140" s="22">
        <f t="shared" ca="1" si="315"/>
        <v>-0.41863690674634813</v>
      </c>
      <c r="Z140" s="22">
        <f t="shared" ca="1" si="316"/>
        <v>-33.574191510971502</v>
      </c>
      <c r="AA140">
        <f t="shared" si="303"/>
        <v>0.73884103340948371</v>
      </c>
      <c r="AB140">
        <f t="shared" ref="AB140" ca="1" si="326">BSdelta(1,P140,Strike,AA140/AnnualVarConvtr,Dividend,RiskFreeRate,G140/250)</f>
        <v>9.3875116464187572E-2</v>
      </c>
      <c r="AC140">
        <f t="shared" ca="1" si="312"/>
        <v>-4.2805262158116317</v>
      </c>
      <c r="AD140">
        <f t="shared" ca="1" si="313"/>
        <v>2.6532993031530996</v>
      </c>
    </row>
    <row r="141" spans="7:30" x14ac:dyDescent="0.25">
      <c r="G141" s="19">
        <v>114</v>
      </c>
      <c r="H141" s="19">
        <f t="shared" ca="1" si="218"/>
        <v>0.83397951612783061</v>
      </c>
      <c r="I141" s="19">
        <f t="shared" ca="1" si="218"/>
        <v>0.58585113102330577</v>
      </c>
      <c r="J141" s="19">
        <f t="shared" ca="1" si="297"/>
        <v>-0.5170111798180369</v>
      </c>
      <c r="K141" s="19">
        <f t="shared" ca="1" si="298"/>
        <v>-0.30950333728217633</v>
      </c>
      <c r="L141" s="19">
        <f t="array" aca="1" ref="L141:M141" ca="1">MMULT(J141:K141,TRANSPOSE($B$10:$C$11))</f>
        <v>-0.5170111798180369</v>
      </c>
      <c r="M141" s="19">
        <f ca="1"/>
        <v>0.15453297752585915</v>
      </c>
      <c r="N141" s="20">
        <f t="shared" ca="1" si="320"/>
        <v>7.2229519483236665E-2</v>
      </c>
      <c r="O141" s="20">
        <f t="shared" ca="1" si="299"/>
        <v>-8.7879442443623834E-3</v>
      </c>
      <c r="P141" s="19">
        <f t="shared" ca="1" si="305"/>
        <v>95.024268471186431</v>
      </c>
      <c r="Q141" s="19">
        <f ca="1">HCTrans(P141,Strike,RiskFreeRate,Dividend,Variance_T0*AnnualVarConvtr,(Simulation!G141)/250,0.5,Variance_Avg*AnnualVarConvtr,Lambda,SQRT(Simulation!N141),Rho,1,"Call")</f>
        <v>16.786407968873306</v>
      </c>
      <c r="R141" s="19">
        <f t="shared" ca="1" si="300"/>
        <v>0.73751548901125374</v>
      </c>
      <c r="S141" s="19">
        <f t="shared" ca="1" si="301"/>
        <v>5.4290765290711994E-2</v>
      </c>
      <c r="T141" s="19">
        <f t="shared" ca="1" si="306"/>
        <v>-3.7366257039959625</v>
      </c>
      <c r="U141" s="19">
        <f t="shared" ca="1" si="307"/>
        <v>5.8599739524715311</v>
      </c>
      <c r="V141" s="21">
        <f t="shared" ca="1" si="308"/>
        <v>2.6986189890971674E-6</v>
      </c>
      <c r="W141">
        <f t="shared" ca="1" si="309"/>
        <v>1.6427473905312306E-3</v>
      </c>
      <c r="X141" s="22">
        <f t="shared" ref="X141" ca="1" si="327">BSdelta(1,P141,Strike,W141*AnnualVarConvtr,Dividend,RiskFreeRate,G141/250)</f>
        <v>1.8594446442187292E-3</v>
      </c>
      <c r="Y141" s="22">
        <f t="shared" ca="1" si="315"/>
        <v>-44.933123759988973</v>
      </c>
      <c r="Z141" s="22">
        <f t="shared" ca="1" si="316"/>
        <v>10.793505107351237</v>
      </c>
      <c r="AA141">
        <f t="shared" si="303"/>
        <v>0.73884103340948371</v>
      </c>
      <c r="AB141">
        <f t="shared" ref="AB141" ca="1" si="328">BSdelta(1,P141,Strike,AA141/AnnualVarConvtr,Dividend,RiskFreeRate,G141/250)</f>
        <v>5.4614727345836299E-2</v>
      </c>
      <c r="AC141">
        <f t="shared" ca="1" si="312"/>
        <v>-3.7306897558654577</v>
      </c>
      <c r="AD141">
        <f t="shared" ca="1" si="313"/>
        <v>5.8185619173523229</v>
      </c>
    </row>
    <row r="142" spans="7:30" x14ac:dyDescent="0.25">
      <c r="G142" s="19">
        <v>113</v>
      </c>
      <c r="H142" s="19">
        <f t="shared" ca="1" si="218"/>
        <v>0.72806255140864806</v>
      </c>
      <c r="I142" s="19">
        <f t="shared" ca="1" si="218"/>
        <v>1.5497555784136807E-2</v>
      </c>
      <c r="J142" s="19">
        <f t="shared" ca="1" si="297"/>
        <v>0.7929295305526064</v>
      </c>
      <c r="K142" s="19">
        <f t="shared" ca="1" si="298"/>
        <v>7.7455690568770816E-2</v>
      </c>
      <c r="L142" s="19">
        <f t="array" aca="1" ref="L142:M142" ca="1">MMULT(J142:K142,TRANSPOSE($B$10:$C$11))</f>
        <v>0.7929295305526064</v>
      </c>
      <c r="M142" s="19">
        <f ca="1"/>
        <v>-0.51410191874957589</v>
      </c>
      <c r="N142" s="20">
        <f t="shared" ca="1" si="320"/>
        <v>6.8535780883522801E-2</v>
      </c>
      <c r="O142" s="20">
        <f t="shared" ca="1" si="299"/>
        <v>1.3128746740325036E-2</v>
      </c>
      <c r="P142" s="19">
        <f t="shared" ca="1" si="305"/>
        <v>96.280043363914828</v>
      </c>
      <c r="Q142" s="19">
        <f ca="1">HCTrans(P142,Strike,RiskFreeRate,Dividend,Variance_T0*AnnualVarConvtr,(Simulation!G142)/250,0.5,Variance_Avg*AnnualVarConvtr,Lambda,SQRT(Simulation!N142),Rho,1,"Call")</f>
        <v>17.437528224036555</v>
      </c>
      <c r="R142" s="19">
        <f t="shared" ca="1" si="300"/>
        <v>0.73855274780764402</v>
      </c>
      <c r="S142" s="19">
        <f t="shared" ca="1" si="301"/>
        <v>0.11673788765915509</v>
      </c>
      <c r="T142" s="19">
        <f t="shared" ca="1" si="306"/>
        <v>6.0124116495853972</v>
      </c>
      <c r="U142" s="19">
        <f t="shared" ca="1" si="307"/>
        <v>0.49868255804938322</v>
      </c>
      <c r="V142" s="21">
        <f t="shared" ca="1" si="308"/>
        <v>4.8034134371827873E-4</v>
      </c>
      <c r="W142">
        <f t="shared" ca="1" si="309"/>
        <v>2.1916690984687417E-2</v>
      </c>
      <c r="X142" s="22">
        <f t="shared" ref="X142" ca="1" si="329">BSdelta(1,P142,Strike,W142*AnnualVarConvtr,Dividend,RiskFreeRate,G142/250)</f>
        <v>0.48156469502762933</v>
      </c>
      <c r="Y142" s="22">
        <f t="shared" ca="1" si="315"/>
        <v>46.186042308812397</v>
      </c>
      <c r="Z142" s="22">
        <f t="shared" ca="1" si="316"/>
        <v>-34.74141694629791</v>
      </c>
      <c r="AA142">
        <f t="shared" si="303"/>
        <v>0.73884103340948371</v>
      </c>
      <c r="AB142">
        <f t="shared" ref="AB142" ca="1" si="330">BSdelta(1,P142,Strike,AA142/AnnualVarConvtr,Dividend,RiskFreeRate,G142/250)</f>
        <v>0.11683152079933701</v>
      </c>
      <c r="AC142">
        <f t="shared" ca="1" si="312"/>
        <v>5.9902355716667808</v>
      </c>
      <c r="AD142">
        <f t="shared" ca="1" si="313"/>
        <v>0.47944660084879143</v>
      </c>
    </row>
    <row r="143" spans="7:30" x14ac:dyDescent="0.25">
      <c r="G143" s="19">
        <v>112</v>
      </c>
      <c r="H143" s="19">
        <f t="shared" ca="1" si="218"/>
        <v>0.86873313764675864</v>
      </c>
      <c r="I143" s="19">
        <f t="shared" ca="1" si="218"/>
        <v>0.59124165681930629</v>
      </c>
      <c r="J143" s="19">
        <f t="shared" ca="1" si="297"/>
        <v>-0.44569131418302321</v>
      </c>
      <c r="K143" s="19">
        <f t="shared" ca="1" si="298"/>
        <v>-0.28774613264273852</v>
      </c>
      <c r="L143" s="19">
        <f t="array" aca="1" ref="L143:M143" ca="1">MMULT(J143:K143,TRANSPOSE($B$10:$C$11))</f>
        <v>-0.44569131418302321</v>
      </c>
      <c r="M143" s="19">
        <f ca="1"/>
        <v>0.11860983889842092</v>
      </c>
      <c r="N143" s="20">
        <f t="shared" ca="1" si="320"/>
        <v>6.8973311356063424E-2</v>
      </c>
      <c r="O143" s="20">
        <f t="shared" ca="1" si="299"/>
        <v>-7.4029480959825165E-3</v>
      </c>
      <c r="P143" s="19">
        <f t="shared" ca="1" si="305"/>
        <v>95.569918950414191</v>
      </c>
      <c r="Q143" s="19">
        <f ca="1">HCTrans(P143,Strike,RiskFreeRate,Dividend,Variance_T0*AnnualVarConvtr,(Simulation!G143)/250,0.5,Variance_Avg*AnnualVarConvtr,Lambda,SQRT(Simulation!N143),Rho,1,"Call")</f>
        <v>16.943808490596695</v>
      </c>
      <c r="R143" s="19">
        <f t="shared" ca="1" si="300"/>
        <v>0.73818242509449339</v>
      </c>
      <c r="S143" s="19">
        <f t="shared" ca="1" si="301"/>
        <v>7.5726263380077985E-2</v>
      </c>
      <c r="T143" s="19">
        <f t="shared" ca="1" si="306"/>
        <v>-3.9194776083762379</v>
      </c>
      <c r="U143" s="19">
        <f t="shared" ca="1" si="307"/>
        <v>3.9244404329857607</v>
      </c>
      <c r="V143" s="21">
        <f t="shared" ca="1" si="308"/>
        <v>4.2155049285125826E-4</v>
      </c>
      <c r="W143">
        <f t="shared" ca="1" si="309"/>
        <v>2.0531694836307554E-2</v>
      </c>
      <c r="X143" s="22">
        <f t="shared" ref="X143" ca="1" si="331">BSdelta(1,P143,Strike,W143*AnnualVarConvtr,Dividend,RiskFreeRate,G143/250)</f>
        <v>0.46021502147451621</v>
      </c>
      <c r="Y143" s="22">
        <f t="shared" ca="1" si="315"/>
        <v>-2.0403865710888227</v>
      </c>
      <c r="Z143" s="22">
        <f t="shared" ca="1" si="316"/>
        <v>-33.194750108648947</v>
      </c>
      <c r="AA143">
        <f t="shared" si="303"/>
        <v>0.73884103340948371</v>
      </c>
      <c r="AB143">
        <f t="shared" ref="AB143" ca="1" si="332">BSdelta(1,P143,Strike,AA143/AnnualVarConvtr,Dividend,RiskFreeRate,G143/250)</f>
        <v>7.5912746523644728E-2</v>
      </c>
      <c r="AC143">
        <f t="shared" ca="1" si="312"/>
        <v>-3.9106039410782043</v>
      </c>
      <c r="AD143">
        <f t="shared" ca="1" si="313"/>
        <v>3.8963308084871353</v>
      </c>
    </row>
    <row r="144" spans="7:30" x14ac:dyDescent="0.25">
      <c r="G144" s="19">
        <v>111</v>
      </c>
      <c r="H144" s="19">
        <f t="shared" ca="1" si="218"/>
        <v>0.40992743669503762</v>
      </c>
      <c r="I144" s="19">
        <f t="shared" ca="1" si="218"/>
        <v>5.2125141413594478E-2</v>
      </c>
      <c r="J144" s="19">
        <f t="shared" ca="1" si="297"/>
        <v>1.2645088275683676</v>
      </c>
      <c r="K144" s="19">
        <f t="shared" ca="1" si="298"/>
        <v>0.42961338693927537</v>
      </c>
      <c r="L144" s="19">
        <f t="array" aca="1" ref="L144:M144" ca="1">MMULT(J144:K144,TRANSPOSE($B$10:$C$11))</f>
        <v>1.2645088275683676</v>
      </c>
      <c r="M144" s="19">
        <f ca="1"/>
        <v>-0.60632782195833412</v>
      </c>
      <c r="N144" s="20">
        <f t="shared" ca="1" si="320"/>
        <v>6.4795705121273528E-2</v>
      </c>
      <c r="O144" s="20">
        <f t="shared" ca="1" si="299"/>
        <v>2.0357524743803826E-2</v>
      </c>
      <c r="P144" s="19">
        <f t="shared" ca="1" si="305"/>
        <v>97.535424474169517</v>
      </c>
      <c r="Q144" s="19">
        <f ca="1">HCTrans(P144,Strike,RiskFreeRate,Dividend,Variance_T0*AnnualVarConvtr,(Simulation!G144)/250,0.5,Variance_Avg*AnnualVarConvtr,Lambda,SQRT(Simulation!N144),Rho,1,"Call")</f>
        <v>18.0156060092947</v>
      </c>
      <c r="R144" s="19">
        <f t="shared" ca="1" si="300"/>
        <v>0.73960314600291521</v>
      </c>
      <c r="S144" s="19">
        <f t="shared" ca="1" si="301"/>
        <v>0.21621472393584143</v>
      </c>
      <c r="T144" s="19">
        <f t="shared" ca="1" si="306"/>
        <v>13.702601634029008</v>
      </c>
      <c r="U144" s="19">
        <f t="shared" ca="1" si="307"/>
        <v>-8.7063636823452413</v>
      </c>
      <c r="V144" s="21">
        <f t="shared" ca="1" si="308"/>
        <v>7.7064385228851515E-4</v>
      </c>
      <c r="W144">
        <f t="shared" ca="1" si="309"/>
        <v>2.7760472839786342E-2</v>
      </c>
      <c r="X144" s="22">
        <f t="shared" ref="X144" ca="1" si="333">BSdelta(1,P144,Strike,W144*AnnualVarConvtr,Dividend,RiskFreeRate,G144/250)</f>
        <v>0.52428667031247478</v>
      </c>
      <c r="Y144" s="22">
        <f t="shared" ca="1" si="315"/>
        <v>6.2492554661702195</v>
      </c>
      <c r="Z144" s="22">
        <f t="shared" ca="1" si="316"/>
        <v>-38.37220805612116</v>
      </c>
      <c r="AA144">
        <f t="shared" si="303"/>
        <v>0.73884103340948371</v>
      </c>
      <c r="AB144">
        <f t="shared" ref="AB144" ca="1" si="334">BSdelta(1,P144,Strike,AA144/AnnualVarConvtr,Dividend,RiskFreeRate,G144/250)</f>
        <v>0.21596800505241151</v>
      </c>
      <c r="AC144">
        <f t="shared" ca="1" si="312"/>
        <v>13.660349090442818</v>
      </c>
      <c r="AD144">
        <f t="shared" ca="1" si="313"/>
        <v>-8.6922207632576765</v>
      </c>
    </row>
    <row r="145" spans="7:30" x14ac:dyDescent="0.25">
      <c r="G145" s="19">
        <v>110</v>
      </c>
      <c r="H145" s="19">
        <f t="shared" ca="1" si="218"/>
        <v>0.36478429182210281</v>
      </c>
      <c r="I145" s="19">
        <f t="shared" ca="1" si="218"/>
        <v>0.86957950974224074</v>
      </c>
      <c r="J145" s="19">
        <f t="shared" ca="1" si="297"/>
        <v>0.96943838466971122</v>
      </c>
      <c r="K145" s="19">
        <f t="shared" ca="1" si="298"/>
        <v>-1.0378282040605082</v>
      </c>
      <c r="L145" s="19">
        <f t="array" aca="1" ref="L145:M145" ca="1">MMULT(J145:K145,TRANSPOSE($B$10:$C$11))</f>
        <v>0.96943838466971122</v>
      </c>
      <c r="M145" s="19">
        <f ca="1"/>
        <v>-1.4185781607939085</v>
      </c>
      <c r="N145" s="20">
        <f t="shared" ca="1" si="320"/>
        <v>5.593778426946968E-2</v>
      </c>
      <c r="O145" s="20">
        <f t="shared" ca="1" si="299"/>
        <v>1.450116309255711E-2</v>
      </c>
      <c r="P145" s="19">
        <f t="shared" ca="1" si="305"/>
        <v>98.960106378565186</v>
      </c>
      <c r="Q145" s="19">
        <f ca="1">HCTrans(P145,Strike,RiskFreeRate,Dividend,Variance_T0*AnnualVarConvtr,(Simulation!G145)/250,0.5,Variance_Avg*AnnualVarConvtr,Lambda,SQRT(Simulation!N145),Rho,1,"Call")</f>
        <v>18.796880133201569</v>
      </c>
      <c r="R145" s="19">
        <f t="shared" ca="1" si="300"/>
        <v>0.74100553723170792</v>
      </c>
      <c r="S145" s="19">
        <f t="shared" ca="1" si="301"/>
        <v>0.3742114733198848</v>
      </c>
      <c r="T145" s="19">
        <f t="shared" ca="1" si="306"/>
        <v>15.635375126512436</v>
      </c>
      <c r="U145" s="19">
        <f t="shared" ca="1" si="307"/>
        <v>-23.560464684950809</v>
      </c>
      <c r="V145" s="21">
        <f t="shared" ca="1" si="308"/>
        <v>3.4296971790193155E-5</v>
      </c>
      <c r="W145">
        <f t="shared" ca="1" si="309"/>
        <v>5.8563616512467154E-3</v>
      </c>
      <c r="X145" s="22">
        <f t="shared" ref="X145" ca="1" si="335">BSdelta(1,P145,Strike,W145*AnnualVarConvtr,Dividend,RiskFreeRate,G145/250)</f>
        <v>0.44453605049649764</v>
      </c>
      <c r="Y145" s="22">
        <f t="shared" ca="1" si="315"/>
        <v>-7.8921298207456063</v>
      </c>
      <c r="Z145" s="22">
        <f t="shared" ca="1" si="316"/>
        <v>-29.698804111468686</v>
      </c>
      <c r="AA145">
        <f t="shared" si="303"/>
        <v>0.73884103340948371</v>
      </c>
      <c r="AB145">
        <f t="shared" ref="AB145" ca="1" si="336">BSdelta(1,P145,Strike,AA145/AnnualVarConvtr,Dividend,RiskFreeRate,G145/250)</f>
        <v>0.37382103059211191</v>
      </c>
      <c r="AC145">
        <f t="shared" ca="1" si="312"/>
        <v>15.621152199587119</v>
      </c>
      <c r="AD145">
        <f t="shared" ca="1" si="313"/>
        <v>-23.532098838937927</v>
      </c>
    </row>
    <row r="146" spans="7:30" x14ac:dyDescent="0.25">
      <c r="G146" s="19">
        <v>109</v>
      </c>
      <c r="H146" s="19">
        <f t="shared" ca="1" si="218"/>
        <v>0.98420682622839717</v>
      </c>
      <c r="I146" s="19">
        <f t="shared" ca="1" si="218"/>
        <v>0.36877636345676557</v>
      </c>
      <c r="J146" s="19">
        <f t="shared" ca="1" si="297"/>
        <v>-0.1211423348788099</v>
      </c>
      <c r="K146" s="19">
        <f t="shared" ca="1" si="298"/>
        <v>0.13100749680918633</v>
      </c>
      <c r="L146" s="19">
        <f t="array" aca="1" ref="L146:M146" ca="1">MMULT(J146:K146,TRANSPOSE($B$10:$C$11))</f>
        <v>-0.1211423348788099</v>
      </c>
      <c r="M146" s="19">
        <f ca="1"/>
        <v>0.1781876215831274</v>
      </c>
      <c r="N146" s="20">
        <f t="shared" ca="1" si="320"/>
        <v>5.6716740842984323E-2</v>
      </c>
      <c r="O146" s="20">
        <f t="shared" ca="1" si="299"/>
        <v>-1.8246583923179204E-3</v>
      </c>
      <c r="P146" s="19">
        <f t="shared" ca="1" si="305"/>
        <v>98.779702627618647</v>
      </c>
      <c r="Q146" s="19">
        <f ca="1">HCTrans(P146,Strike,RiskFreeRate,Dividend,Variance_T0*AnnualVarConvtr,(Simulation!G146)/250,0.5,Variance_Avg*AnnualVarConvtr,Lambda,SQRT(Simulation!N146),Rho,1,"Call")</f>
        <v>18.602264468210024</v>
      </c>
      <c r="R146" s="19">
        <f t="shared" ca="1" si="300"/>
        <v>0.74091148636612647</v>
      </c>
      <c r="S146" s="19">
        <f t="shared" ca="1" si="301"/>
        <v>0.35147339888187673</v>
      </c>
      <c r="T146" s="19">
        <f t="shared" ca="1" si="306"/>
        <v>-2.2460602313110942</v>
      </c>
      <c r="U146" s="19">
        <f t="shared" ca="1" si="307"/>
        <v>-21.509020118631259</v>
      </c>
      <c r="V146" s="21">
        <f t="shared" ca="1" si="308"/>
        <v>2.6653244715600714E-4</v>
      </c>
      <c r="W146">
        <f t="shared" ca="1" si="309"/>
        <v>1.632582148487503E-2</v>
      </c>
      <c r="X146" s="22">
        <f t="shared" ref="X146" ca="1" si="337">BSdelta(1,P146,Strike,W146*AnnualVarConvtr,Dividend,RiskFreeRate,G146/250)</f>
        <v>0.50526139677317361</v>
      </c>
      <c r="Y146" s="22">
        <f t="shared" ca="1" si="315"/>
        <v>5.9984316471692223</v>
      </c>
      <c r="Z146" s="22">
        <f t="shared" ca="1" si="316"/>
        <v>-35.891851423629454</v>
      </c>
      <c r="AA146">
        <f t="shared" si="303"/>
        <v>0.73884103340948371</v>
      </c>
      <c r="AB146">
        <f t="shared" ref="AB146" ca="1" si="338">BSdelta(1,P146,Strike,AA146/AnnualVarConvtr,Dividend,RiskFreeRate,G146/250)</f>
        <v>0.3510449448378738</v>
      </c>
      <c r="AC146">
        <f t="shared" ca="1" si="312"/>
        <v>-2.2498149778247827</v>
      </c>
      <c r="AD146">
        <f t="shared" ca="1" si="313"/>
        <v>-21.476899526104688</v>
      </c>
    </row>
    <row r="147" spans="7:30" x14ac:dyDescent="0.25">
      <c r="G147" s="19">
        <v>108</v>
      </c>
      <c r="H147" s="19">
        <f t="shared" ca="1" si="218"/>
        <v>0.84011499910162246</v>
      </c>
      <c r="I147" s="19">
        <f t="shared" ca="1" si="218"/>
        <v>0.78863329910482527</v>
      </c>
      <c r="J147" s="19">
        <f t="shared" ca="1" si="297"/>
        <v>0.14188219991028836</v>
      </c>
      <c r="K147" s="19">
        <f t="shared" ca="1" si="298"/>
        <v>-0.57297681191673677</v>
      </c>
      <c r="L147" s="19">
        <f t="array" aca="1" ref="L147:M147" ca="1">MMULT(J147:K147,TRANSPOSE($B$10:$C$11))</f>
        <v>0.14188219991028836</v>
      </c>
      <c r="M147" s="19">
        <f ca="1"/>
        <v>-0.5013598238642587</v>
      </c>
      <c r="N147" s="20">
        <f t="shared" ca="1" si="320"/>
        <v>5.3563478173542664E-2</v>
      </c>
      <c r="O147" s="20">
        <f t="shared" ca="1" si="299"/>
        <v>2.0767886160556405E-3</v>
      </c>
      <c r="P147" s="19">
        <f t="shared" ca="1" si="305"/>
        <v>98.985060358021542</v>
      </c>
      <c r="Q147" s="19">
        <f ca="1">HCTrans(P147,Strike,RiskFreeRate,Dividend,Variance_T0*AnnualVarConvtr,(Simulation!G147)/250,0.5,Variance_Avg*AnnualVarConvtr,Lambda,SQRT(Simulation!N147),Rho,1,"Call")</f>
        <v>18.645700215331146</v>
      </c>
      <c r="R147" s="19">
        <f t="shared" ca="1" si="300"/>
        <v>0.74128220789794674</v>
      </c>
      <c r="S147" s="19">
        <f t="shared" ca="1" si="301"/>
        <v>0.3761355541027811</v>
      </c>
      <c r="T147" s="19">
        <f t="shared" ca="1" si="306"/>
        <v>2.4411849231001153</v>
      </c>
      <c r="U147" s="19">
        <f t="shared" ca="1" si="307"/>
        <v>-23.90676929461025</v>
      </c>
      <c r="V147" s="21">
        <f t="shared" ca="1" si="308"/>
        <v>1.5221288759147009E-5</v>
      </c>
      <c r="W147">
        <f t="shared" ca="1" si="309"/>
        <v>3.9014470083735611E-3</v>
      </c>
      <c r="X147" s="22">
        <f t="shared" ref="X147" ca="1" si="339">BSdelta(1,P147,Strike,W147*AnnualVarConvtr,Dividend,RiskFreeRate,G147/250)</f>
        <v>0.40852900923491126</v>
      </c>
      <c r="Y147" s="22">
        <f t="shared" ca="1" si="315"/>
        <v>-9.5750612190504292</v>
      </c>
      <c r="Z147" s="22">
        <f t="shared" ca="1" si="316"/>
        <v>-26.273354457457902</v>
      </c>
      <c r="AA147">
        <f t="shared" si="303"/>
        <v>0.73884103340948371</v>
      </c>
      <c r="AB147">
        <f t="shared" ref="AB147" ca="1" si="340">BSdelta(1,P147,Strike,AA147/AnnualVarConvtr,Dividend,RiskFreeRate,G147/250)</f>
        <v>0.37570120917888716</v>
      </c>
      <c r="AC147">
        <f t="shared" ca="1" si="312"/>
        <v>2.4406018139985424</v>
      </c>
      <c r="AD147">
        <f t="shared" ca="1" si="313"/>
        <v>-23.874065592982106</v>
      </c>
    </row>
    <row r="148" spans="7:30" x14ac:dyDescent="0.25">
      <c r="G148" s="19">
        <v>107</v>
      </c>
      <c r="H148" s="19">
        <f t="shared" ca="1" si="218"/>
        <v>0.39137126752658702</v>
      </c>
      <c r="I148" s="19">
        <f t="shared" ca="1" si="218"/>
        <v>0.92019113652917695</v>
      </c>
      <c r="J148" s="19">
        <f t="shared" ca="1" si="297"/>
        <v>1.2011069976880739</v>
      </c>
      <c r="K148" s="19">
        <f t="shared" ca="1" si="298"/>
        <v>-0.65843697686969893</v>
      </c>
      <c r="L148" s="19">
        <f t="array" aca="1" ref="L148:M148" ca="1">MMULT(J148:K148,TRANSPOSE($B$10:$C$11))</f>
        <v>1.2011069976880739</v>
      </c>
      <c r="M148" s="19">
        <f ca="1"/>
        <v>-1.3199102993667582</v>
      </c>
      <c r="N148" s="20">
        <f t="shared" ca="1" si="320"/>
        <v>4.6088352535852833E-2</v>
      </c>
      <c r="O148" s="20">
        <f t="shared" ca="1" si="299"/>
        <v>1.6308247166339867E-2</v>
      </c>
      <c r="P148" s="19">
        <f t="shared" ca="1" si="305"/>
        <v>100.61256801600183</v>
      </c>
      <c r="Q148" s="19">
        <f ca="1">HCTrans(P148,Strike,RiskFreeRate,Dividend,Variance_T0*AnnualVarConvtr,(Simulation!G148)/250,0.5,Variance_Avg*AnnualVarConvtr,Lambda,SQRT(Simulation!N148),Rho,1,"Call")</f>
        <v>19.55856126372457</v>
      </c>
      <c r="R148" s="19">
        <f t="shared" ca="1" si="300"/>
        <v>0.74257842806030072</v>
      </c>
      <c r="S148" s="19">
        <f t="shared" ca="1" si="301"/>
        <v>0.5847750392186658</v>
      </c>
      <c r="T148" s="19">
        <f t="shared" ca="1" si="306"/>
        <v>20.99175438704555</v>
      </c>
      <c r="U148" s="19">
        <f t="shared" ca="1" si="307"/>
        <v>-43.985662633262379</v>
      </c>
      <c r="V148" s="21">
        <f t="shared" ca="1" si="308"/>
        <v>2.0253441246845803E-4</v>
      </c>
      <c r="W148">
        <f t="shared" ca="1" si="309"/>
        <v>1.4231458550284227E-2</v>
      </c>
      <c r="X148" s="22">
        <f t="shared" ref="X148" ca="1" si="341">BSdelta(1,P148,Strike,W148*AnnualVarConvtr,Dividend,RiskFreeRate,G148/250)</f>
        <v>0.54581319048518107</v>
      </c>
      <c r="Y148" s="22">
        <f t="shared" ca="1" si="315"/>
        <v>13.812514023563894</v>
      </c>
      <c r="Z148" s="22">
        <f t="shared" ca="1" si="316"/>
        <v>-39.173007432628374</v>
      </c>
      <c r="AA148">
        <f t="shared" si="303"/>
        <v>0.73884103340948371</v>
      </c>
      <c r="AB148">
        <f t="shared" ref="AB148" ca="1" si="342">BSdelta(1,P148,Strike,AA148/AnnualVarConvtr,Dividend,RiskFreeRate,G148/250)</f>
        <v>0.5851368735013257</v>
      </c>
      <c r="AC148">
        <f t="shared" ca="1" si="312"/>
        <v>21.071860021617876</v>
      </c>
      <c r="AD148">
        <f t="shared" ca="1" si="313"/>
        <v>-44.033064566206562</v>
      </c>
    </row>
    <row r="149" spans="7:30" x14ac:dyDescent="0.25">
      <c r="G149" s="19">
        <v>106</v>
      </c>
      <c r="H149" s="19">
        <f t="shared" ca="1" si="218"/>
        <v>0.20119433483699656</v>
      </c>
      <c r="I149" s="19">
        <f t="shared" ca="1" si="218"/>
        <v>0.70510112831951333</v>
      </c>
      <c r="J149" s="19">
        <f t="shared" ca="1" si="297"/>
        <v>-0.49852472552736277</v>
      </c>
      <c r="K149" s="19">
        <f t="shared" ca="1" si="298"/>
        <v>-1.7200119459153029</v>
      </c>
      <c r="L149" s="19">
        <f t="array" aca="1" ref="L149:M149" ca="1">MMULT(J149:K149,TRANSPOSE($B$10:$C$11))</f>
        <v>-0.49852472552736277</v>
      </c>
      <c r="M149" s="19">
        <f ca="1"/>
        <v>-0.84266516457557428</v>
      </c>
      <c r="N149" s="20">
        <f t="shared" ca="1" si="320"/>
        <v>4.1552268194637643E-2</v>
      </c>
      <c r="O149" s="20">
        <f t="shared" ca="1" si="299"/>
        <v>-6.4270853375112237E-3</v>
      </c>
      <c r="P149" s="19">
        <f t="shared" ca="1" si="305"/>
        <v>99.967996033704296</v>
      </c>
      <c r="Q149" s="19">
        <f ca="1">HCTrans(P149,Strike,RiskFreeRate,Dividend,Variance_T0*AnnualVarConvtr,(Simulation!G149)/250,0.5,Variance_Avg*AnnualVarConvtr,Lambda,SQRT(Simulation!N149),Rho,1,"Call")</f>
        <v>19.08716475437744</v>
      </c>
      <c r="R149" s="19">
        <f t="shared" ca="1" si="300"/>
        <v>0.74267224875424764</v>
      </c>
      <c r="S149" s="19">
        <f t="shared" ca="1" si="301"/>
        <v>0.50192567904589702</v>
      </c>
      <c r="T149" s="19">
        <f t="shared" ca="1" si="306"/>
        <v>-8.2822845091462884</v>
      </c>
      <c r="U149" s="19">
        <f t="shared" ca="1" si="307"/>
        <v>-36.174774633463223</v>
      </c>
      <c r="V149" s="21">
        <f t="shared" ca="1" si="308"/>
        <v>5.1689534406066783E-4</v>
      </c>
      <c r="W149">
        <f t="shared" ca="1" si="309"/>
        <v>2.273533250385109E-2</v>
      </c>
      <c r="X149" s="22">
        <f t="shared" ref="X149" ca="1" si="343">BSdelta(1,P149,Strike,W149*AnnualVarConvtr,Dividend,RiskFreeRate,G149/250)</f>
        <v>0.54604288444990301</v>
      </c>
      <c r="Y149" s="22">
        <f t="shared" ca="1" si="315"/>
        <v>2.2962045354289137E-2</v>
      </c>
      <c r="Z149" s="22">
        <f t="shared" ca="1" si="316"/>
        <v>-39.667365987329795</v>
      </c>
      <c r="AA149">
        <f t="shared" si="303"/>
        <v>0.73884103340948371</v>
      </c>
      <c r="AB149">
        <f t="shared" ref="AB149" ca="1" si="344">BSdelta(1,P149,Strike,AA149/AnnualVarConvtr,Dividend,RiskFreeRate,G149/250)</f>
        <v>0.50187255722452073</v>
      </c>
      <c r="AC149">
        <f t="shared" ca="1" si="312"/>
        <v>-8.323766839308739</v>
      </c>
      <c r="AD149">
        <f t="shared" ca="1" si="313"/>
        <v>-36.180694236244953</v>
      </c>
    </row>
    <row r="150" spans="7:30" x14ac:dyDescent="0.25">
      <c r="G150" s="19">
        <v>105</v>
      </c>
      <c r="H150" s="19">
        <f t="shared" ca="1" si="218"/>
        <v>0.67773417452983986</v>
      </c>
      <c r="I150" s="19">
        <f t="shared" ca="1" si="218"/>
        <v>0.72749445624917564</v>
      </c>
      <c r="J150" s="19">
        <f t="shared" ca="1" si="297"/>
        <v>-0.12431139661087412</v>
      </c>
      <c r="K150" s="19">
        <f t="shared" ca="1" si="298"/>
        <v>-0.87323934774334022</v>
      </c>
      <c r="L150" s="19">
        <f t="array" aca="1" ref="L150:M150" ca="1">MMULT(J150:K150,TRANSPOSE($B$10:$C$11))</f>
        <v>-0.12431139661087412</v>
      </c>
      <c r="M150" s="19">
        <f ca="1"/>
        <v>-0.52009138096159446</v>
      </c>
      <c r="N150" s="20">
        <f t="shared" ca="1" si="320"/>
        <v>3.8810423150554406E-2</v>
      </c>
      <c r="O150" s="20">
        <f t="shared" ca="1" si="299"/>
        <v>-1.5488705787335927E-3</v>
      </c>
      <c r="P150" s="19">
        <f t="shared" ca="1" si="305"/>
        <v>99.813278395562236</v>
      </c>
      <c r="Q150" s="19">
        <f ca="1">HCTrans(P150,Strike,RiskFreeRate,Dividend,Variance_T0*AnnualVarConvtr,(Simulation!G150)/250,0.5,Variance_Avg*AnnualVarConvtr,Lambda,SQRT(Simulation!N150),Rho,1,"Call")</f>
        <v>18.911234656428164</v>
      </c>
      <c r="R150" s="19">
        <f t="shared" ca="1" si="300"/>
        <v>0.74285527310642996</v>
      </c>
      <c r="S150" s="19">
        <f t="shared" ca="1" si="301"/>
        <v>0.48159213412467028</v>
      </c>
      <c r="T150" s="19">
        <f t="shared" ca="1" si="306"/>
        <v>-2.0295577799910753</v>
      </c>
      <c r="U150" s="19">
        <f t="shared" ca="1" si="307"/>
        <v>-34.321146951421426</v>
      </c>
      <c r="V150" s="21">
        <f t="shared" ca="1" si="308"/>
        <v>2.3796979232755904E-5</v>
      </c>
      <c r="W150">
        <f t="shared" ca="1" si="309"/>
        <v>4.8782147587776315E-3</v>
      </c>
      <c r="X150" s="22">
        <f t="shared" ref="X150" ca="1" si="345">BSdelta(1,P150,Strike,W150*AnnualVarConvtr,Dividend,RiskFreeRate,G150/250)</f>
        <v>0.49505497097294926</v>
      </c>
      <c r="Y150" s="22">
        <f t="shared" ca="1" si="315"/>
        <v>-5.0892708026840241</v>
      </c>
      <c r="Z150" s="22">
        <f t="shared" ca="1" si="316"/>
        <v>-34.754025282595045</v>
      </c>
      <c r="AA150">
        <f t="shared" si="303"/>
        <v>0.73884103340948371</v>
      </c>
      <c r="AB150">
        <f t="shared" ref="AB150" ca="1" si="346">BSdelta(1,P150,Strike,AA150/AnnualVarConvtr,Dividend,RiskFreeRate,G150/250)</f>
        <v>0.4814264457397518</v>
      </c>
      <c r="AC150">
        <f t="shared" ca="1" si="312"/>
        <v>-2.0407934177359444</v>
      </c>
      <c r="AD150">
        <f t="shared" ca="1" si="313"/>
        <v>-34.315830916458282</v>
      </c>
    </row>
    <row r="151" spans="7:30" x14ac:dyDescent="0.25">
      <c r="G151" s="19">
        <v>104</v>
      </c>
      <c r="H151" s="19">
        <f t="shared" ca="1" si="218"/>
        <v>0.91965309320462418</v>
      </c>
      <c r="I151" s="19">
        <f t="shared" ca="1" si="218"/>
        <v>0.29916328273636383</v>
      </c>
      <c r="J151" s="19">
        <f t="shared" ca="1" si="297"/>
        <v>-0.12442910449812987</v>
      </c>
      <c r="K151" s="19">
        <f t="shared" ca="1" si="298"/>
        <v>0.38991653370783758</v>
      </c>
      <c r="L151" s="19">
        <f t="array" aca="1" ref="L151:M151" ca="1">MMULT(J151:K151,TRANSPOSE($B$10:$C$11))</f>
        <v>-0.12442910449812987</v>
      </c>
      <c r="M151" s="19">
        <f ca="1"/>
        <v>0.36115419398636128</v>
      </c>
      <c r="N151" s="20">
        <f t="shared" ca="1" si="320"/>
        <v>4.0406225045605378E-2</v>
      </c>
      <c r="O151" s="20">
        <f t="shared" ca="1" si="299"/>
        <v>-1.5818893799132367E-3</v>
      </c>
      <c r="P151" s="19">
        <f t="shared" ca="1" si="305"/>
        <v>99.655509649745412</v>
      </c>
      <c r="Q151" s="19">
        <f ca="1">HCTrans(P151,Strike,RiskFreeRate,Dividend,Variance_T0*AnnualVarConvtr,(Simulation!G151)/250,0.5,Variance_Avg*AnnualVarConvtr,Lambda,SQRT(Simulation!N151),Rho,1,"Call")</f>
        <v>18.725217068380445</v>
      </c>
      <c r="R151" s="19">
        <f t="shared" ca="1" si="300"/>
        <v>0.74271301279853241</v>
      </c>
      <c r="S151" s="19">
        <f t="shared" ca="1" si="301"/>
        <v>0.46066726534914687</v>
      </c>
      <c r="T151" s="19">
        <f t="shared" ca="1" si="306"/>
        <v>-2.0852784621788296</v>
      </c>
      <c r="U151" s="19">
        <f t="shared" ca="1" si="307"/>
        <v>-32.421886077290317</v>
      </c>
      <c r="V151" s="21">
        <f t="shared" ca="1" si="308"/>
        <v>1.0902412313408602E-9</v>
      </c>
      <c r="W151">
        <f t="shared" ca="1" si="309"/>
        <v>3.3018801179644005E-5</v>
      </c>
      <c r="X151" s="22">
        <f t="shared" ref="X151" ca="1" si="347">BSdelta(1,P151,Strike,W151*AnnualVarConvtr,Dividend,RiskFreeRate,G151/250)</f>
        <v>6.0379781639292724E-25</v>
      </c>
      <c r="Y151" s="22">
        <f t="shared" ca="1" si="315"/>
        <v>-49.33495543694918</v>
      </c>
      <c r="Z151" s="22">
        <f t="shared" ca="1" si="316"/>
        <v>14.394912566306417</v>
      </c>
      <c r="AA151">
        <f t="shared" si="303"/>
        <v>0.73884103340948371</v>
      </c>
      <c r="AB151">
        <f t="shared" ref="AB151" ca="1" si="348">BSdelta(1,P151,Strike,AA151/AnnualVarConvtr,Dividend,RiskFreeRate,G151/250)</f>
        <v>0.46039894660324487</v>
      </c>
      <c r="AC151">
        <f t="shared" ca="1" si="312"/>
        <v>-2.095506143108179</v>
      </c>
      <c r="AD151">
        <f t="shared" ca="1" si="313"/>
        <v>-32.406342361397819</v>
      </c>
    </row>
    <row r="152" spans="7:30" x14ac:dyDescent="0.25">
      <c r="G152" s="19">
        <v>103</v>
      </c>
      <c r="H152" s="19">
        <f t="shared" ca="1" si="218"/>
        <v>0.47203505488438313</v>
      </c>
      <c r="I152" s="19">
        <f t="shared" ca="1" si="218"/>
        <v>0.70278174471474752</v>
      </c>
      <c r="J152" s="19">
        <f t="shared" ca="1" si="297"/>
        <v>-0.35821908835159766</v>
      </c>
      <c r="K152" s="19">
        <f t="shared" ca="1" si="298"/>
        <v>-1.1717863027888693</v>
      </c>
      <c r="L152" s="19">
        <f t="array" aca="1" ref="L152:M152" ca="1">MMULT(J152:K152,TRANSPOSE($B$10:$C$11))</f>
        <v>-0.35821908835159766</v>
      </c>
      <c r="M152" s="19">
        <f ca="1"/>
        <v>-0.56075902182709125</v>
      </c>
      <c r="N152" s="20">
        <f t="shared" ca="1" si="320"/>
        <v>3.751271555337387E-2</v>
      </c>
      <c r="O152" s="20">
        <f t="shared" ca="1" si="299"/>
        <v>-4.388013670751873E-3</v>
      </c>
      <c r="P152" s="19">
        <f t="shared" ca="1" si="305"/>
        <v>99.219177925939277</v>
      </c>
      <c r="Q152" s="19">
        <f ca="1">HCTrans(P152,Strike,RiskFreeRate,Dividend,Variance_T0*AnnualVarConvtr,(Simulation!G152)/250,0.5,Variance_Avg*AnnualVarConvtr,Lambda,SQRT(Simulation!N152),Rho,1,"Call")</f>
        <v>18.380775709904441</v>
      </c>
      <c r="R152" s="19">
        <f t="shared" ca="1" si="300"/>
        <v>0.74280068460722992</v>
      </c>
      <c r="S152" s="19">
        <f t="shared" ca="1" si="301"/>
        <v>0.40327458205073335</v>
      </c>
      <c r="T152" s="19">
        <f t="shared" ca="1" si="306"/>
        <v>-5.6944548558323742</v>
      </c>
      <c r="U152" s="19">
        <f t="shared" ca="1" si="307"/>
        <v>-27.071872579933945</v>
      </c>
      <c r="V152" s="21">
        <f t="shared" ca="1" si="308"/>
        <v>7.8743335356346389E-6</v>
      </c>
      <c r="W152">
        <f t="shared" ca="1" si="309"/>
        <v>2.8061242908386363E-3</v>
      </c>
      <c r="X152" s="22">
        <f t="shared" ref="X152" ca="1" si="349">BSdelta(1,P152,Strike,W152*AnnualVarConvtr,Dividend,RiskFreeRate,G152/250)</f>
        <v>0.3970421378616581</v>
      </c>
      <c r="Y152" s="22">
        <f t="shared" ca="1" si="315"/>
        <v>39.394194520591164</v>
      </c>
      <c r="Z152" s="22">
        <f t="shared" ca="1" si="316"/>
        <v>-25.343723312760751</v>
      </c>
      <c r="AA152">
        <f t="shared" si="303"/>
        <v>0.73884103340948371</v>
      </c>
      <c r="AB152">
        <f t="shared" ref="AB152" ca="1" si="350">BSdelta(1,P152,Strike,AA152/AnnualVarConvtr,Dividend,RiskFreeRate,G152/250)</f>
        <v>0.40270418609280201</v>
      </c>
      <c r="AC152">
        <f t="shared" ca="1" si="312"/>
        <v>-5.7244267084800864</v>
      </c>
      <c r="AD152">
        <f t="shared" ca="1" si="313"/>
        <v>-27.026357011393735</v>
      </c>
    </row>
    <row r="153" spans="7:30" x14ac:dyDescent="0.25">
      <c r="G153" s="19">
        <v>102</v>
      </c>
      <c r="H153" s="19">
        <f t="shared" ca="1" si="218"/>
        <v>9.4052446123354505E-2</v>
      </c>
      <c r="I153" s="19">
        <f t="shared" ca="1" si="218"/>
        <v>0.8937152510332339</v>
      </c>
      <c r="J153" s="19">
        <f t="shared" ca="1" si="297"/>
        <v>1.7072612778754284</v>
      </c>
      <c r="K153" s="19">
        <f t="shared" ca="1" si="298"/>
        <v>-1.3465007830316809</v>
      </c>
      <c r="L153" s="19">
        <f t="array" aca="1" ref="L153:M153" ca="1">MMULT(J153:K153,TRANSPOSE($B$10:$C$11))</f>
        <v>1.7072612778754284</v>
      </c>
      <c r="M153" s="19">
        <f ca="1"/>
        <v>-2.1625542703157921</v>
      </c>
      <c r="N153" s="20">
        <f t="shared" ca="1" si="320"/>
        <v>2.7783881481306588E-2</v>
      </c>
      <c r="O153" s="20">
        <f t="shared" ca="1" si="299"/>
        <v>1.7998091061387004E-2</v>
      </c>
      <c r="P153" s="19">
        <f t="shared" ca="1" si="305"/>
        <v>101.02110066875899</v>
      </c>
      <c r="Q153" s="19">
        <f ca="1">HCTrans(P153,Strike,RiskFreeRate,Dividend,Variance_T0*AnnualVarConvtr,(Simulation!G153)/250,0.5,Variance_Avg*AnnualVarConvtr,Lambda,SQRT(Simulation!N153),Rho,1,"Call")</f>
        <v>19.398921254303573</v>
      </c>
      <c r="R153" s="19">
        <f t="shared" ca="1" si="300"/>
        <v>0.74425120862398975</v>
      </c>
      <c r="S153" s="19">
        <f t="shared" ca="1" si="301"/>
        <v>0.63792862448459364</v>
      </c>
      <c r="T153" s="19">
        <f t="shared" ca="1" si="306"/>
        <v>23.705009643042246</v>
      </c>
      <c r="U153" s="19">
        <f t="shared" ca="1" si="307"/>
        <v>-49.758736678577058</v>
      </c>
      <c r="V153" s="21">
        <f t="shared" ca="1" si="308"/>
        <v>5.0113768507829067E-4</v>
      </c>
      <c r="W153">
        <f t="shared" ca="1" si="309"/>
        <v>2.2386104732138878E-2</v>
      </c>
      <c r="X153" s="22">
        <f t="shared" ref="X153" ca="1" si="351">BSdelta(1,P153,Strike,W153*AnnualVarConvtr,Dividend,RiskFreeRate,G153/250)</f>
        <v>0.56276332928598594</v>
      </c>
      <c r="Y153" s="22">
        <f t="shared" ca="1" si="315"/>
        <v>16.741337161823701</v>
      </c>
      <c r="Z153" s="22">
        <f t="shared" ca="1" si="316"/>
        <v>-41.06691493018532</v>
      </c>
      <c r="AA153">
        <f t="shared" si="303"/>
        <v>0.73884103340948371</v>
      </c>
      <c r="AB153">
        <f t="shared" ref="AB153" ca="1" si="352">BSdelta(1,P153,Strike,AA153/AnnualVarConvtr,Dividend,RiskFreeRate,G153/250)</f>
        <v>0.63881476847566243</v>
      </c>
      <c r="AC153">
        <f t="shared" ca="1" si="312"/>
        <v>23.852150911858256</v>
      </c>
      <c r="AD153">
        <f t="shared" ca="1" si="313"/>
        <v>-49.860362378852855</v>
      </c>
    </row>
    <row r="154" spans="7:30" x14ac:dyDescent="0.25">
      <c r="G154" s="19">
        <v>101</v>
      </c>
      <c r="H154" s="19">
        <f t="shared" ca="1" si="218"/>
        <v>5.1511974668957294E-2</v>
      </c>
      <c r="I154" s="19">
        <f t="shared" ca="1" si="218"/>
        <v>0.53106103522352299</v>
      </c>
      <c r="J154" s="19">
        <f t="shared" ca="1" si="297"/>
        <v>-2.3893096556667817</v>
      </c>
      <c r="K154" s="19">
        <f t="shared" ca="1" si="298"/>
        <v>-0.4723148635506676</v>
      </c>
      <c r="L154" s="19">
        <f t="array" aca="1" ref="L154:M154" ca="1">MMULT(J154:K154,TRANSPOSE($B$10:$C$11))</f>
        <v>-2.3893096556667817</v>
      </c>
      <c r="M154" s="19">
        <f ca="1"/>
        <v>1.3824596164257124</v>
      </c>
      <c r="N154" s="20">
        <f t="shared" ca="1" si="320"/>
        <v>3.3611560545657553E-2</v>
      </c>
      <c r="O154" s="20">
        <f t="shared" ca="1" si="299"/>
        <v>-2.7704273897043476E-2</v>
      </c>
      <c r="P154" s="19">
        <f t="shared" ca="1" si="305"/>
        <v>98.2607970781294</v>
      </c>
      <c r="Q154" s="19">
        <f ca="1">HCTrans(P154,Strike,RiskFreeRate,Dividend,Variance_T0*AnnualVarConvtr,(Simulation!G154)/250,0.5,Variance_Avg*AnnualVarConvtr,Lambda,SQRT(Simulation!N154),Rho,1,"Call")</f>
        <v>17.643183830672655</v>
      </c>
      <c r="R154" s="19">
        <f t="shared" ca="1" si="300"/>
        <v>0.74282924274461604</v>
      </c>
      <c r="S154" s="19">
        <f t="shared" ca="1" si="301"/>
        <v>0.28345121874141216</v>
      </c>
      <c r="T154" s="19">
        <f t="shared" ca="1" si="306"/>
        <v>-34.831232434512494</v>
      </c>
      <c r="U154" s="19">
        <f t="shared" ca="1" si="307"/>
        <v>-16.683241667695484</v>
      </c>
      <c r="V154" s="21">
        <f t="shared" ca="1" si="308"/>
        <v>2.0887061627935747E-3</v>
      </c>
      <c r="W154">
        <f t="shared" ca="1" si="309"/>
        <v>4.5702364958430483E-2</v>
      </c>
      <c r="X154" s="22">
        <f t="shared" ref="X154" ca="1" si="353">BSdelta(1,P154,Strike,W154*AnnualVarConvtr,Dividend,RiskFreeRate,G154/250)</f>
        <v>0.57591436062535806</v>
      </c>
      <c r="Y154" s="22">
        <f t="shared" ca="1" si="315"/>
        <v>1.2922308218061642</v>
      </c>
      <c r="Z154" s="22">
        <f t="shared" ca="1" si="316"/>
        <v>-44.114883175622403</v>
      </c>
      <c r="AA154">
        <f t="shared" si="303"/>
        <v>0.73884103340948371</v>
      </c>
      <c r="AB154">
        <f t="shared" ref="AB154" ca="1" si="354">BSdelta(1,P154,Strike,AA154/AnnualVarConvtr,Dividend,RiskFreeRate,G154/250)</f>
        <v>0.2823511589087182</v>
      </c>
      <c r="AC154">
        <f t="shared" ca="1" si="312"/>
        <v>-35.026398405395049</v>
      </c>
      <c r="AD154">
        <f t="shared" ca="1" si="313"/>
        <v>-16.589701397088724</v>
      </c>
    </row>
    <row r="155" spans="7:30" x14ac:dyDescent="0.25">
      <c r="G155" s="19">
        <v>100</v>
      </c>
      <c r="H155" s="19">
        <f t="shared" ca="1" si="218"/>
        <v>8.6233497496008837E-3</v>
      </c>
      <c r="I155" s="19">
        <f t="shared" ca="1" si="218"/>
        <v>0.56014054069998842</v>
      </c>
      <c r="J155" s="19">
        <f t="shared" ca="1" si="297"/>
        <v>-2.8657499730250975</v>
      </c>
      <c r="K155" s="19">
        <f t="shared" ca="1" si="298"/>
        <v>-1.1375589776395905</v>
      </c>
      <c r="L155" s="19">
        <f t="array" aca="1" ref="L155:M155" ca="1">MMULT(J155:K155,TRANSPOSE($B$10:$C$11))</f>
        <v>-2.8657499730250975</v>
      </c>
      <c r="M155" s="19">
        <f ca="1"/>
        <v>1.259763397236602</v>
      </c>
      <c r="N155" s="20">
        <f t="shared" ca="1" si="320"/>
        <v>3.9372438488612077E-2</v>
      </c>
      <c r="O155" s="20">
        <f t="shared" ca="1" si="299"/>
        <v>-3.5963706873866519E-2</v>
      </c>
      <c r="P155" s="19">
        <f t="shared" ca="1" si="305"/>
        <v>94.789764285776371</v>
      </c>
      <c r="Q155" s="19">
        <f ca="1">HCTrans(P155,Strike,RiskFreeRate,Dividend,Variance_T0*AnnualVarConvtr,(Simulation!G155)/250,0.5,Variance_Avg*AnnualVarConvtr,Lambda,SQRT(Simulation!N155),Rho,1,"Call")</f>
        <v>15.552881944587881</v>
      </c>
      <c r="R155" s="19">
        <f t="shared" ca="1" si="300"/>
        <v>0.74094149731847758</v>
      </c>
      <c r="S155" s="19">
        <f t="shared" ca="1" si="301"/>
        <v>3.6677764740139646E-2</v>
      </c>
      <c r="T155" s="19">
        <f t="shared" ca="1" si="306"/>
        <v>-23.391597536767499</v>
      </c>
      <c r="U155" s="19">
        <f t="shared" ca="1" si="307"/>
        <v>4.6180539829872416</v>
      </c>
      <c r="V155" s="21">
        <f t="shared" ca="1" si="308"/>
        <v>6.8218233098631952E-5</v>
      </c>
      <c r="W155">
        <f t="shared" ca="1" si="309"/>
        <v>8.2594329768230432E-3</v>
      </c>
      <c r="X155" s="22">
        <f t="shared" ref="X155" ca="1" si="355">BSdelta(1,P155,Strike,W155*AnnualVarConvtr,Dividend,RiskFreeRate,G155/250)</f>
        <v>0.27207378332680104</v>
      </c>
      <c r="Y155" s="22">
        <f t="shared" ca="1" si="315"/>
        <v>-28.800976702584435</v>
      </c>
      <c r="Z155" s="22">
        <f t="shared" ca="1" si="316"/>
        <v>-17.404208359122741</v>
      </c>
      <c r="AA155">
        <f t="shared" si="303"/>
        <v>0.73884103340948371</v>
      </c>
      <c r="AB155">
        <f t="shared" ref="AB155" ca="1" si="356">BSdelta(1,P155,Strike,AA155/AnnualVarConvtr,Dividend,RiskFreeRate,G155/250)</f>
        <v>3.6264198299349786E-2</v>
      </c>
      <c r="AC155">
        <f t="shared" ca="1" si="312"/>
        <v>-23.326524989965165</v>
      </c>
      <c r="AD155">
        <f t="shared" ca="1" si="313"/>
        <v>4.6465217067916669</v>
      </c>
    </row>
    <row r="156" spans="7:30" x14ac:dyDescent="0.25">
      <c r="G156" s="19">
        <v>99</v>
      </c>
      <c r="H156" s="19">
        <f t="shared" ca="1" si="218"/>
        <v>0.51384377104088275</v>
      </c>
      <c r="I156" s="19">
        <f t="shared" ca="1" si="218"/>
        <v>5.5501625012014166E-2</v>
      </c>
      <c r="J156" s="19">
        <f t="shared" ca="1" si="297"/>
        <v>1.084521054489745</v>
      </c>
      <c r="K156" s="19">
        <f t="shared" ca="1" si="298"/>
        <v>0.39431725375348964</v>
      </c>
      <c r="L156" s="19">
        <f t="array" aca="1" ref="L156:M156" ca="1">MMULT(J156:K156,TRANSPOSE($B$10:$C$11))</f>
        <v>1.084521054489745</v>
      </c>
      <c r="M156" s="19">
        <f ca="1"/>
        <v>-0.50198870943201634</v>
      </c>
      <c r="N156" s="20">
        <f t="shared" ca="1" si="320"/>
        <v>3.6796550848548992E-2</v>
      </c>
      <c r="O156" s="20">
        <f t="shared" ca="1" si="299"/>
        <v>1.3157444269382489E-2</v>
      </c>
      <c r="P156" s="19">
        <f t="shared" ca="1" si="305"/>
        <v>96.045196353935765</v>
      </c>
      <c r="Q156" s="19">
        <f ca="1">HCTrans(P156,Strike,RiskFreeRate,Dividend,Variance_T0*AnnualVarConvtr,(Simulation!G156)/250,0.5,Variance_Avg*AnnualVarConvtr,Lambda,SQRT(Simulation!N156),Rho,1,"Call")</f>
        <v>16.177838133111621</v>
      </c>
      <c r="R156" s="19">
        <f t="shared" ca="1" si="300"/>
        <v>0.74174917453121048</v>
      </c>
      <c r="S156" s="19">
        <f t="shared" ca="1" si="301"/>
        <v>8.8172295017422311E-2</v>
      </c>
      <c r="T156" s="19">
        <f t="shared" ca="1" si="306"/>
        <v>4.9458022716353041</v>
      </c>
      <c r="U156" s="19">
        <f t="shared" ca="1" si="307"/>
        <v>0.29720789987567731</v>
      </c>
      <c r="V156" s="21">
        <f t="shared" ca="1" si="308"/>
        <v>2.4128874896379138E-3</v>
      </c>
      <c r="W156">
        <f t="shared" ca="1" si="309"/>
        <v>4.9121151143249012E-2</v>
      </c>
      <c r="X156" s="22">
        <f t="shared" ref="X156" ca="1" si="357">BSdelta(1,P156,Strike,W156*AnnualVarConvtr,Dividend,RiskFreeRate,G156/250)</f>
        <v>0.56427395230822519</v>
      </c>
      <c r="Y156" s="22">
        <f t="shared" ca="1" si="315"/>
        <v>28.064422604474093</v>
      </c>
      <c r="Z156" s="22">
        <f t="shared" ca="1" si="316"/>
        <v>-44.843674775073097</v>
      </c>
      <c r="AA156">
        <f t="shared" si="303"/>
        <v>0.73884103340948371</v>
      </c>
      <c r="AB156">
        <f t="shared" ref="AB156" ca="1" si="358">BSdelta(1,P156,Strike,AA156/AnnualVarConvtr,Dividend,RiskFreeRate,G156/250)</f>
        <v>8.7305800861620431E-2</v>
      </c>
      <c r="AC156">
        <f t="shared" ca="1" si="312"/>
        <v>4.9023007403128354</v>
      </c>
      <c r="AD156">
        <f t="shared" ca="1" si="313"/>
        <v>0.36917715500257131</v>
      </c>
    </row>
    <row r="157" spans="7:30" x14ac:dyDescent="0.25">
      <c r="G157" s="19">
        <v>98</v>
      </c>
      <c r="H157" s="19">
        <f t="shared" ca="1" si="218"/>
        <v>0.1374611065317306</v>
      </c>
      <c r="I157" s="19">
        <f t="shared" ca="1" si="218"/>
        <v>0.14974656548174758</v>
      </c>
      <c r="J157" s="19">
        <f t="shared" ca="1" si="297"/>
        <v>1.1735459867310634</v>
      </c>
      <c r="K157" s="19">
        <f t="shared" ca="1" si="298"/>
        <v>1.6098504104354023</v>
      </c>
      <c r="L157" s="19">
        <f t="array" aca="1" ref="L157:M157" ca="1">MMULT(J157:K157,TRANSPOSE($B$10:$C$11))</f>
        <v>1.1735459867310634</v>
      </c>
      <c r="M157" s="19">
        <f ca="1"/>
        <v>0.28216516581048234</v>
      </c>
      <c r="N157" s="20">
        <f t="shared" ca="1" si="320"/>
        <v>3.7977992453083004E-2</v>
      </c>
      <c r="O157" s="20">
        <f t="shared" ca="1" si="299"/>
        <v>1.4464256349393412E-2</v>
      </c>
      <c r="P157" s="19">
        <f t="shared" ca="1" si="305"/>
        <v>97.444514345793721</v>
      </c>
      <c r="Q157" s="19">
        <f ca="1">HCTrans(P157,Strike,RiskFreeRate,Dividend,Variance_T0*AnnualVarConvtr,(Simulation!G157)/250,0.5,Variance_Avg*AnnualVarConvtr,Lambda,SQRT(Simulation!N157),Rho,1,"Call")</f>
        <v>16.889360688044434</v>
      </c>
      <c r="R157" s="19">
        <f t="shared" ca="1" si="300"/>
        <v>0.74225046773628889</v>
      </c>
      <c r="S157" s="19">
        <f t="shared" ca="1" si="301"/>
        <v>0.19322662930205553</v>
      </c>
      <c r="T157" s="19">
        <f t="shared" ca="1" si="306"/>
        <v>10.236968584286751</v>
      </c>
      <c r="U157" s="19">
        <f t="shared" ca="1" si="307"/>
        <v>-9.2282381294782603</v>
      </c>
      <c r="V157" s="21">
        <f t="shared" ca="1" si="308"/>
        <v>1.7077578124624735E-6</v>
      </c>
      <c r="W157">
        <f t="shared" ca="1" si="309"/>
        <v>1.3068120800109224E-3</v>
      </c>
      <c r="X157" s="22">
        <f t="shared" ref="X157" ca="1" si="359">BSdelta(1,P157,Strike,W157*AnnualVarConvtr,Dividend,RiskFreeRate,G157/250)</f>
        <v>2.3044641580290019E-2</v>
      </c>
      <c r="Y157" s="22">
        <f t="shared" ca="1" si="315"/>
        <v>-52.739827333592324</v>
      </c>
      <c r="Z157" s="22">
        <f t="shared" ca="1" si="316"/>
        <v>8.6076751134520393</v>
      </c>
      <c r="AA157">
        <f t="shared" si="303"/>
        <v>0.73884103340948371</v>
      </c>
      <c r="AB157">
        <f t="shared" ref="AB157" ca="1" si="360">BSdelta(1,P157,Strike,AA157/AnnualVarConvtr,Dividend,RiskFreeRate,G157/250)</f>
        <v>0.19209579214464867</v>
      </c>
      <c r="AC157">
        <f t="shared" ca="1" si="312"/>
        <v>10.211209808874644</v>
      </c>
      <c r="AD157">
        <f t="shared" ca="1" si="313"/>
        <v>-9.1305100989392596</v>
      </c>
    </row>
    <row r="158" spans="7:30" x14ac:dyDescent="0.25">
      <c r="G158" s="19">
        <v>97</v>
      </c>
      <c r="H158" s="19">
        <f t="shared" ca="1" si="218"/>
        <v>0.26825226054214979</v>
      </c>
      <c r="I158" s="19">
        <f t="shared" ca="1" si="218"/>
        <v>0.22238740352156416</v>
      </c>
      <c r="J158" s="19">
        <f t="shared" ca="1" si="297"/>
        <v>0.28004037288957456</v>
      </c>
      <c r="K158" s="19">
        <f t="shared" ca="1" si="298"/>
        <v>1.5978837037062539</v>
      </c>
      <c r="L158" s="19">
        <f t="array" aca="1" ref="L158:M158" ca="1">MMULT(J158:K158,TRANSPOSE($B$10:$C$11))</f>
        <v>0.28004037288957456</v>
      </c>
      <c r="M158" s="19">
        <f ca="1"/>
        <v>0.91401411798783982</v>
      </c>
      <c r="N158" s="20">
        <f t="shared" ca="1" si="320"/>
        <v>4.2307206596305991E-2</v>
      </c>
      <c r="O158" s="20">
        <f t="shared" ca="1" si="299"/>
        <v>3.6429886533179013E-3</v>
      </c>
      <c r="P158" s="19">
        <f t="shared" ca="1" si="305"/>
        <v>97.800151002721194</v>
      </c>
      <c r="Q158" s="19">
        <f ca="1">HCTrans(P158,Strike,RiskFreeRate,Dividend,Variance_T0*AnnualVarConvtr,(Simulation!G158)/250,0.5,Variance_Avg*AnnualVarConvtr,Lambda,SQRT(Simulation!N158),Rho,1,"Call")</f>
        <v>16.997544498987992</v>
      </c>
      <c r="R158" s="19">
        <f t="shared" ca="1" si="300"/>
        <v>0.74208632148116593</v>
      </c>
      <c r="S158" s="19">
        <f t="shared" ca="1" si="301"/>
        <v>0.22775561761678964</v>
      </c>
      <c r="T158" s="19">
        <f t="shared" ca="1" si="306"/>
        <v>3.3769402711521916</v>
      </c>
      <c r="U158" s="19">
        <f t="shared" ca="1" si="307"/>
        <v>-12.496994589686894</v>
      </c>
      <c r="V158" s="21">
        <f t="shared" ca="1" si="308"/>
        <v>1.1709983455012738E-4</v>
      </c>
      <c r="W158">
        <f t="shared" ca="1" si="309"/>
        <v>1.082126769607551E-2</v>
      </c>
      <c r="X158" s="22">
        <f t="shared" ref="X158" ca="1" si="361">BSdelta(1,P158,Strike,W158*AnnualVarConvtr,Dividend,RiskFreeRate,G158/250)</f>
        <v>0.43824323792000347</v>
      </c>
      <c r="Y158" s="22">
        <f t="shared" ca="1" si="315"/>
        <v>40.606485418141858</v>
      </c>
      <c r="Z158" s="22">
        <f t="shared" ca="1" si="316"/>
        <v>-31.890626493746261</v>
      </c>
      <c r="AA158">
        <f t="shared" si="303"/>
        <v>0.73884103340948371</v>
      </c>
      <c r="AB158">
        <f t="shared" ref="AB158" ca="1" si="362">BSdelta(1,P158,Strike,AA158/AnnualVarConvtr,Dividend,RiskFreeRate,G158/250)</f>
        <v>0.22672837684782066</v>
      </c>
      <c r="AC158">
        <f t="shared" ca="1" si="312"/>
        <v>3.3870720135847523</v>
      </c>
      <c r="AD158">
        <f t="shared" ca="1" si="313"/>
        <v>-12.409398301580454</v>
      </c>
    </row>
    <row r="159" spans="7:30" x14ac:dyDescent="0.25">
      <c r="G159" s="19">
        <v>96</v>
      </c>
      <c r="H159" s="19">
        <f t="shared" ref="H159:I222" ca="1" si="363">RAND()</f>
        <v>0.42317508274028737</v>
      </c>
      <c r="I159" s="19">
        <f t="shared" ca="1" si="363"/>
        <v>0.34145242175189738</v>
      </c>
      <c r="J159" s="19">
        <f t="shared" ca="1" si="297"/>
        <v>-0.71279339124668784</v>
      </c>
      <c r="K159" s="19">
        <f t="shared" ca="1" si="298"/>
        <v>1.1008470094267342</v>
      </c>
      <c r="L159" s="19">
        <f t="array" aca="1" ref="L159:M159" ca="1">MMULT(J159:K159,TRANSPOSE($B$10:$C$11))</f>
        <v>-0.71279339124668784</v>
      </c>
      <c r="M159" s="19">
        <f ca="1"/>
        <v>1.2786531281412696</v>
      </c>
      <c r="N159" s="20">
        <f t="shared" ca="1" si="320"/>
        <v>4.8814931956743114E-2</v>
      </c>
      <c r="O159" s="20">
        <f t="shared" ca="1" si="299"/>
        <v>-9.9602446100811471E-3</v>
      </c>
      <c r="P159" s="19">
        <f t="shared" ca="1" si="305"/>
        <v>96.830872713469404</v>
      </c>
      <c r="Q159" s="19">
        <f ca="1">HCTrans(P159,Strike,RiskFreeRate,Dividend,Variance_T0*AnnualVarConvtr,(Simulation!G159)/250,0.5,Variance_Avg*AnnualVarConvtr,Lambda,SQRT(Simulation!N159),Rho,1,"Call")</f>
        <v>16.334250573844727</v>
      </c>
      <c r="R159" s="19">
        <f t="shared" ca="1" si="300"/>
        <v>0.74118591689892011</v>
      </c>
      <c r="S159" s="19">
        <f t="shared" ca="1" si="301"/>
        <v>0.1369517191411424</v>
      </c>
      <c r="T159" s="19">
        <f t="shared" ca="1" si="306"/>
        <v>-8.7926207351821954</v>
      </c>
      <c r="U159" s="19">
        <f t="shared" ca="1" si="307"/>
        <v>-4.367667779647963</v>
      </c>
      <c r="V159" s="21">
        <f t="shared" ca="1" si="308"/>
        <v>1.8504795521844631E-4</v>
      </c>
      <c r="W159">
        <f t="shared" ca="1" si="309"/>
        <v>1.3603233263399048E-2</v>
      </c>
      <c r="X159" s="22">
        <f t="shared" ref="X159" ca="1" si="364">BSdelta(1,P159,Strike,W159*AnnualVarConvtr,Dividend,RiskFreeRate,G159/250)</f>
        <v>0.43054771228936684</v>
      </c>
      <c r="Y159" s="22">
        <f t="shared" ca="1" si="315"/>
        <v>-0.7451644628034173</v>
      </c>
      <c r="Z159" s="22">
        <f t="shared" ca="1" si="316"/>
        <v>-31.80875595608611</v>
      </c>
      <c r="AA159">
        <f t="shared" si="303"/>
        <v>0.73884103340948371</v>
      </c>
      <c r="AB159">
        <f t="shared" ref="AB159" ca="1" si="365">BSdelta(1,P159,Strike,AA159/AnnualVarConvtr,Dividend,RiskFreeRate,G159/250)</f>
        <v>0.13617168518772169</v>
      </c>
      <c r="AC159">
        <f t="shared" ca="1" si="312"/>
        <v>-8.7686834834919392</v>
      </c>
      <c r="AD159">
        <f t="shared" ca="1" si="313"/>
        <v>-4.3040087432317797</v>
      </c>
    </row>
    <row r="160" spans="7:30" x14ac:dyDescent="0.25">
      <c r="G160" s="19">
        <v>95</v>
      </c>
      <c r="H160" s="19">
        <f t="shared" ca="1" si="363"/>
        <v>0.69140325734616481</v>
      </c>
      <c r="I160" s="19">
        <f t="shared" ca="1" si="363"/>
        <v>0.21433397999534132</v>
      </c>
      <c r="J160" s="19">
        <f t="shared" ca="1" si="297"/>
        <v>0.19091518263152879</v>
      </c>
      <c r="K160" s="19">
        <f t="shared" ca="1" si="298"/>
        <v>0.83762490029078651</v>
      </c>
      <c r="L160" s="19">
        <f t="array" aca="1" ref="L160:M160" ca="1">MMULT(J160:K160,TRANSPOSE($B$10:$C$11))</f>
        <v>0.19091518263152879</v>
      </c>
      <c r="M160" s="19">
        <f ca="1"/>
        <v>0.44752558946979443</v>
      </c>
      <c r="N160" s="20">
        <f t="shared" ca="1" si="320"/>
        <v>5.1048097508743798E-2</v>
      </c>
      <c r="O160" s="20">
        <f t="shared" ca="1" si="299"/>
        <v>2.7280997357960728E-3</v>
      </c>
      <c r="P160" s="19">
        <f t="shared" ca="1" si="305"/>
        <v>97.095397652883406</v>
      </c>
      <c r="Q160" s="19">
        <f ca="1">HCTrans(P160,Strike,RiskFreeRate,Dividend,Variance_T0*AnnualVarConvtr,(Simulation!G160)/250,0.5,Variance_Avg*AnnualVarConvtr,Lambda,SQRT(Simulation!N160),Rho,1,"Call")</f>
        <v>16.391914305606392</v>
      </c>
      <c r="R160" s="19">
        <f t="shared" ca="1" si="300"/>
        <v>0.7411850758324835</v>
      </c>
      <c r="S160" s="19">
        <f t="shared" ca="1" si="301"/>
        <v>0.15730264498836086</v>
      </c>
      <c r="T160" s="19">
        <f t="shared" ca="1" si="306"/>
        <v>1.975981237740019</v>
      </c>
      <c r="U160" s="19">
        <f t="shared" ca="1" si="307"/>
        <v>-6.2859852856263174</v>
      </c>
      <c r="V160" s="21">
        <f t="shared" ca="1" si="308"/>
        <v>1.6099408223955441E-4</v>
      </c>
      <c r="W160">
        <f t="shared" ca="1" si="309"/>
        <v>1.268834434587722E-2</v>
      </c>
      <c r="X160" s="22">
        <f t="shared" ref="X160" ca="1" si="366">BSdelta(1,P160,Strike,W160*AnnualVarConvtr,Dividend,RiskFreeRate,G160/250)</f>
        <v>0.42994703188987848</v>
      </c>
      <c r="Y160" s="22">
        <f t="shared" ca="1" si="315"/>
        <v>-5.8323302250614342E-2</v>
      </c>
      <c r="Z160" s="22">
        <f t="shared" ca="1" si="316"/>
        <v>-31.692768922073832</v>
      </c>
      <c r="AA160">
        <f t="shared" si="303"/>
        <v>0.73884103340948371</v>
      </c>
      <c r="AB160">
        <f t="shared" ref="AB160" ca="1" si="367">BSdelta(1,P160,Strike,AA160/AnnualVarConvtr,Dividend,RiskFreeRate,G160/250)</f>
        <v>0.15651427328514084</v>
      </c>
      <c r="AC160">
        <f t="shared" ca="1" si="312"/>
        <v>1.9751716806077253</v>
      </c>
      <c r="AD160">
        <f t="shared" ca="1" si="313"/>
        <v>-6.2215166920778406</v>
      </c>
    </row>
    <row r="161" spans="7:30" x14ac:dyDescent="0.25">
      <c r="G161" s="19">
        <v>94</v>
      </c>
      <c r="H161" s="19">
        <f t="shared" ca="1" si="363"/>
        <v>0.86216243575667151</v>
      </c>
      <c r="I161" s="19">
        <f t="shared" ca="1" si="363"/>
        <v>0.10589664750665972</v>
      </c>
      <c r="J161" s="19">
        <f t="shared" ca="1" si="297"/>
        <v>0.42845566253454409</v>
      </c>
      <c r="K161" s="19">
        <f t="shared" ca="1" si="298"/>
        <v>0.336227476983051</v>
      </c>
      <c r="L161" s="19">
        <f t="array" aca="1" ref="L161:M161" ca="1">MMULT(J161:K161,TRANSPOSE($B$10:$C$11))</f>
        <v>0.42845566253454409</v>
      </c>
      <c r="M161" s="19">
        <f ca="1"/>
        <v>-7.2440534509820048E-2</v>
      </c>
      <c r="N161" s="20">
        <f t="shared" ca="1" si="320"/>
        <v>5.0414295369988267E-2</v>
      </c>
      <c r="O161" s="20">
        <f t="shared" ca="1" si="299"/>
        <v>6.0843296102992342E-3</v>
      </c>
      <c r="P161" s="19">
        <f t="shared" ca="1" si="305"/>
        <v>97.687958896803536</v>
      </c>
      <c r="Q161" s="19">
        <f ca="1">HCTrans(P161,Strike,RiskFreeRate,Dividend,Variance_T0*AnnualVarConvtr,(Simulation!G161)/250,0.5,Variance_Avg*AnnualVarConvtr,Lambda,SQRT(Simulation!N161),Rho,1,"Call")</f>
        <v>16.644618448857955</v>
      </c>
      <c r="R161" s="19">
        <f t="shared" ca="1" si="300"/>
        <v>0.74155910657187796</v>
      </c>
      <c r="S161" s="19">
        <f t="shared" ca="1" si="301"/>
        <v>0.21214396223987436</v>
      </c>
      <c r="T161" s="19">
        <f t="shared" ca="1" si="306"/>
        <v>5.3573363455124143</v>
      </c>
      <c r="U161" s="19">
        <f t="shared" ca="1" si="307"/>
        <v>-11.39061748788717</v>
      </c>
      <c r="V161" s="21">
        <f t="shared" ca="1" si="308"/>
        <v>1.1264278970507506E-5</v>
      </c>
      <c r="W161">
        <f t="shared" ca="1" si="309"/>
        <v>3.3562298745031614E-3</v>
      </c>
      <c r="X161" s="22">
        <f t="shared" ref="X161" ca="1" si="368">BSdelta(1,P161,Strike,W161*AnnualVarConvtr,Dividend,RiskFreeRate,G161/250)</f>
        <v>0.24115294948258903</v>
      </c>
      <c r="Y161" s="22">
        <f t="shared" ca="1" si="315"/>
        <v>-18.442908562163034</v>
      </c>
      <c r="Z161" s="22">
        <f t="shared" ca="1" si="316"/>
        <v>-12.997156216659235</v>
      </c>
      <c r="AA161">
        <f t="shared" si="303"/>
        <v>0.73884103340948371</v>
      </c>
      <c r="AB161">
        <f t="shared" ref="AB161" ca="1" si="369">BSdelta(1,P161,Strike,AA161/AnnualVarConvtr,Dividend,RiskFreeRate,G161/250)</f>
        <v>0.21126222093388153</v>
      </c>
      <c r="AC161">
        <f t="shared" ca="1" si="312"/>
        <v>5.3482152595945323</v>
      </c>
      <c r="AD161">
        <f t="shared" ca="1" si="313"/>
        <v>-11.317027808420811</v>
      </c>
    </row>
    <row r="162" spans="7:30" x14ac:dyDescent="0.25">
      <c r="G162" s="19">
        <v>93</v>
      </c>
      <c r="H162" s="19">
        <f t="shared" ca="1" si="363"/>
        <v>0.68767885677044194</v>
      </c>
      <c r="I162" s="19">
        <f t="shared" ca="1" si="363"/>
        <v>0.55112468368404288</v>
      </c>
      <c r="J162" s="19">
        <f t="shared" ca="1" si="297"/>
        <v>-0.82110631494939879</v>
      </c>
      <c r="K162" s="19">
        <f t="shared" ca="1" si="298"/>
        <v>-0.27322349001717178</v>
      </c>
      <c r="L162" s="19">
        <f t="array" aca="1" ref="L162:M162" ca="1">MMULT(J162:K162,TRANSPOSE($B$10:$C$11))</f>
        <v>-0.82110631494939879</v>
      </c>
      <c r="M162" s="19">
        <f ca="1"/>
        <v>0.39772549497522464</v>
      </c>
      <c r="N162" s="20">
        <f t="shared" ca="1" si="320"/>
        <v>5.2397874735953448E-2</v>
      </c>
      <c r="O162" s="20">
        <f t="shared" ca="1" si="299"/>
        <v>-1.1887382138963277E-2</v>
      </c>
      <c r="P162" s="19">
        <f t="shared" ca="1" si="305"/>
        <v>96.533579666276552</v>
      </c>
      <c r="Q162" s="19">
        <f ca="1">HCTrans(P162,Strike,RiskFreeRate,Dividend,Variance_T0*AnnualVarConvtr,(Simulation!G162)/250,0.5,Variance_Avg*AnnualVarConvtr,Lambda,SQRT(Simulation!N162),Rho,1,"Call")</f>
        <v>15.88523370499658</v>
      </c>
      <c r="R162" s="19">
        <f t="shared" ca="1" si="300"/>
        <v>0.74090678872104387</v>
      </c>
      <c r="S162" s="19">
        <f t="shared" ca="1" si="301"/>
        <v>0.11121239136589495</v>
      </c>
      <c r="T162" s="19">
        <f t="shared" ca="1" si="306"/>
        <v>-9.7432858378057308</v>
      </c>
      <c r="U162" s="19">
        <f t="shared" ca="1" si="307"/>
        <v>-2.4067163939428138</v>
      </c>
      <c r="V162" s="21">
        <f t="shared" ca="1" si="308"/>
        <v>3.2298242319858016E-4</v>
      </c>
      <c r="W162">
        <f t="shared" ca="1" si="309"/>
        <v>1.7971711749262511E-2</v>
      </c>
      <c r="X162" s="22">
        <f t="shared" ref="X162" ca="1" si="370">BSdelta(1,P162,Strike,W162*AnnualVarConvtr,Dividend,RiskFreeRate,G162/250)</f>
        <v>0.45346896253199881</v>
      </c>
      <c r="Y162" s="22">
        <f t="shared" ca="1" si="315"/>
        <v>20.49562476013141</v>
      </c>
      <c r="Z162" s="22">
        <f t="shared" ca="1" si="316"/>
        <v>-34.252165720652016</v>
      </c>
      <c r="AA162">
        <f t="shared" si="303"/>
        <v>0.73884103340948371</v>
      </c>
      <c r="AB162">
        <f t="shared" ref="AB162" ca="1" si="371">BSdelta(1,P162,Strike,AA162/AnnualVarConvtr,Dividend,RiskFreeRate,G162/250)</f>
        <v>0.11055216356870419</v>
      </c>
      <c r="AC162">
        <f t="shared" ca="1" si="312"/>
        <v>-9.7219023458566287</v>
      </c>
      <c r="AD162">
        <f t="shared" ca="1" si="313"/>
        <v>-2.354510206425557</v>
      </c>
    </row>
    <row r="163" spans="7:30" x14ac:dyDescent="0.25">
      <c r="G163" s="19">
        <v>92</v>
      </c>
      <c r="H163" s="19">
        <f t="shared" ca="1" si="363"/>
        <v>0.57323581573565185</v>
      </c>
      <c r="I163" s="19">
        <f t="shared" ca="1" si="363"/>
        <v>0.60003765003303466</v>
      </c>
      <c r="J163" s="19">
        <f t="shared" ca="1" si="297"/>
        <v>-0.85332450071660648</v>
      </c>
      <c r="K163" s="19">
        <f t="shared" ca="1" si="298"/>
        <v>-0.62028501413630244</v>
      </c>
      <c r="L163" s="19">
        <f t="array" aca="1" ref="L163:M163" ca="1">MMULT(J163:K163,TRANSPOSE($B$10:$C$11))</f>
        <v>-0.85332450071660648</v>
      </c>
      <c r="M163" s="19">
        <f ca="1"/>
        <v>0.17870418595218257</v>
      </c>
      <c r="N163" s="20">
        <f t="shared" ca="1" si="320"/>
        <v>5.3165292466263711E-2</v>
      </c>
      <c r="O163" s="20">
        <f t="shared" ca="1" si="299"/>
        <v>-1.2443951638581472E-2</v>
      </c>
      <c r="P163" s="19">
        <f t="shared" ca="1" si="305"/>
        <v>95.33976376841126</v>
      </c>
      <c r="Q163" s="19">
        <f ca="1">HCTrans(P163,Strike,RiskFreeRate,Dividend,Variance_T0*AnnualVarConvtr,(Simulation!G163)/250,0.5,Variance_Avg*AnnualVarConvtr,Lambda,SQRT(Simulation!N163),Rho,1,"Call")</f>
        <v>15.118883182436548</v>
      </c>
      <c r="R163" s="19">
        <f t="shared" ca="1" si="300"/>
        <v>0.74030653097266508</v>
      </c>
      <c r="S163" s="19">
        <f t="shared" ca="1" si="301"/>
        <v>4.7855620853398458E-2</v>
      </c>
      <c r="T163" s="19">
        <f t="shared" ca="1" si="306"/>
        <v>-6.0404195337908604</v>
      </c>
      <c r="U163" s="19">
        <f t="shared" ca="1" si="307"/>
        <v>2.8673526172880148</v>
      </c>
      <c r="V163" s="21">
        <f t="shared" ca="1" si="308"/>
        <v>3.0976960790524863E-7</v>
      </c>
      <c r="W163">
        <f t="shared" ca="1" si="309"/>
        <v>5.5656949961819559E-4</v>
      </c>
      <c r="X163" s="22">
        <f t="shared" ref="X163" ca="1" si="372">BSdelta(1,P163,Strike,W163*AnnualVarConvtr,Dividend,RiskFreeRate,G163/250)</f>
        <v>2.0012847100054304E-19</v>
      </c>
      <c r="Y163" s="22">
        <f t="shared" ca="1" si="315"/>
        <v>-43.2336237641073</v>
      </c>
      <c r="Z163" s="22">
        <f t="shared" ca="1" si="316"/>
        <v>8.215107520895252</v>
      </c>
      <c r="AA163">
        <f t="shared" si="303"/>
        <v>0.73884103340948371</v>
      </c>
      <c r="AB163">
        <f t="shared" ref="AB163" ca="1" si="373">BSdelta(1,P163,Strike,AA163/AnnualVarConvtr,Dividend,RiskFreeRate,G163/250)</f>
        <v>4.7521865556304443E-2</v>
      </c>
      <c r="AC163">
        <f t="shared" ca="1" si="312"/>
        <v>-6.0092937227547534</v>
      </c>
      <c r="AD163">
        <f t="shared" ca="1" si="313"/>
        <v>2.8884329937691646</v>
      </c>
    </row>
    <row r="164" spans="7:30" x14ac:dyDescent="0.25">
      <c r="G164" s="19">
        <v>91</v>
      </c>
      <c r="H164" s="19">
        <f t="shared" ca="1" si="363"/>
        <v>0.57928048312511948</v>
      </c>
      <c r="I164" s="19">
        <f t="shared" ca="1" si="363"/>
        <v>0.98608340654641857</v>
      </c>
      <c r="J164" s="19">
        <f t="shared" ca="1" si="297"/>
        <v>1.0409656365893869</v>
      </c>
      <c r="K164" s="19">
        <f t="shared" ca="1" si="298"/>
        <v>-9.1255286008862319E-2</v>
      </c>
      <c r="L164" s="19">
        <f t="array" aca="1" ref="L164:M164" ca="1">MMULT(J164:K164,TRANSPOSE($B$10:$C$11))</f>
        <v>1.0409656365893869</v>
      </c>
      <c r="M164" s="19">
        <f ca="1"/>
        <v>-0.809510388152343</v>
      </c>
      <c r="N164" s="20">
        <f t="shared" ca="1" si="320"/>
        <v>4.8442499729314879E-2</v>
      </c>
      <c r="O164" s="20">
        <f t="shared" ca="1" si="299"/>
        <v>1.449037622784009E-2</v>
      </c>
      <c r="P164" s="19">
        <f t="shared" ca="1" si="305"/>
        <v>96.731330629599071</v>
      </c>
      <c r="Q164" s="19">
        <f ca="1">HCTrans(P164,Strike,RiskFreeRate,Dividend,Variance_T0*AnnualVarConvtr,(Simulation!G164)/250,0.5,Variance_Avg*AnnualVarConvtr,Lambda,SQRT(Simulation!N164),Rho,1,"Call")</f>
        <v>15.820769079290955</v>
      </c>
      <c r="R164" s="19">
        <f t="shared" ca="1" si="300"/>
        <v>0.74139581278919298</v>
      </c>
      <c r="S164" s="19">
        <f t="shared" ca="1" si="301"/>
        <v>0.12290613727992186</v>
      </c>
      <c r="T164" s="19">
        <f t="shared" ca="1" si="306"/>
        <v>7.2597363183761923</v>
      </c>
      <c r="U164" s="19">
        <f t="shared" ca="1" si="307"/>
        <v>-3.6904978042337708</v>
      </c>
      <c r="V164" s="21">
        <f t="shared" ca="1" si="308"/>
        <v>7.2545801761589302E-4</v>
      </c>
      <c r="W164">
        <f t="shared" ca="1" si="309"/>
        <v>2.693432786642156E-2</v>
      </c>
      <c r="X164" s="22">
        <f t="shared" ref="X164" ca="1" si="374">BSdelta(1,P164,Strike,W164*AnnualVarConvtr,Dividend,RiskFreeRate,G164/250)</f>
        <v>0.49965142552516195</v>
      </c>
      <c r="Y164" s="22">
        <f t="shared" ca="1" si="315"/>
        <v>48.331947242024938</v>
      </c>
      <c r="Z164" s="22">
        <f t="shared" ca="1" si="316"/>
        <v>-39.41495382427528</v>
      </c>
      <c r="AA164">
        <f t="shared" si="303"/>
        <v>0.73884103340948371</v>
      </c>
      <c r="AB164">
        <f t="shared" ref="AB164" ca="1" si="375">BSdelta(1,P164,Strike,AA164/AnnualVarConvtr,Dividend,RiskFreeRate,G164/250)</f>
        <v>0.12207186764912602</v>
      </c>
      <c r="AC164">
        <f t="shared" ca="1" si="312"/>
        <v>7.2113209008780261</v>
      </c>
      <c r="AD164">
        <f t="shared" ca="1" si="313"/>
        <v>-3.6210020102544549</v>
      </c>
    </row>
    <row r="165" spans="7:30" x14ac:dyDescent="0.25">
      <c r="G165" s="19">
        <v>90</v>
      </c>
      <c r="H165" s="19">
        <f t="shared" ca="1" si="363"/>
        <v>2.2969670727103209E-3</v>
      </c>
      <c r="I165" s="19">
        <f t="shared" ca="1" si="363"/>
        <v>0.41856028468932605</v>
      </c>
      <c r="J165" s="19">
        <f t="shared" ca="1" si="297"/>
        <v>-3.0395054490942397</v>
      </c>
      <c r="K165" s="19">
        <f t="shared" ca="1" si="298"/>
        <v>1.7069674881214036</v>
      </c>
      <c r="L165" s="19">
        <f t="array" aca="1" ref="L165:M165" ca="1">MMULT(J165:K165,TRANSPOSE($B$10:$C$11))</f>
        <v>-3.0395054490942397</v>
      </c>
      <c r="M165" s="19">
        <f ca="1"/>
        <v>3.3685641393214381</v>
      </c>
      <c r="N165" s="20">
        <f t="shared" ca="1" si="320"/>
        <v>6.8108245348134006E-2</v>
      </c>
      <c r="O165" s="20">
        <f t="shared" ca="1" si="299"/>
        <v>-5.0168690804570794E-2</v>
      </c>
      <c r="P165" s="19">
        <f t="shared" ca="1" si="305"/>
        <v>91.998167412051473</v>
      </c>
      <c r="Q165" s="19">
        <f ca="1">HCTrans(P165,Strike,RiskFreeRate,Dividend,Variance_T0*AnnualVarConvtr,(Simulation!G165)/250,0.5,Variance_Avg*AnnualVarConvtr,Lambda,SQRT(Simulation!N165),Rho,1,"Call")</f>
        <v>13.098051281071108</v>
      </c>
      <c r="R165" s="19">
        <f t="shared" ca="1" si="300"/>
        <v>0.73734827563328753</v>
      </c>
      <c r="S165" s="19">
        <f t="shared" ca="1" si="301"/>
        <v>1.5049631957334841E-3</v>
      </c>
      <c r="T165" s="19">
        <f t="shared" ca="1" si="306"/>
        <v>-11.168685537416767</v>
      </c>
      <c r="U165" s="19">
        <f t="shared" ca="1" si="307"/>
        <v>4.7554699349631493</v>
      </c>
      <c r="V165" s="21">
        <f t="shared" ca="1" si="308"/>
        <v>4.1807949495018034E-3</v>
      </c>
      <c r="W165">
        <f t="shared" ca="1" si="309"/>
        <v>6.465906703241088E-2</v>
      </c>
      <c r="X165" s="22">
        <f t="shared" ref="X165" ca="1" si="376">BSdelta(1,P165,Strike,W165*AnnualVarConvtr,Dividend,RiskFreeRate,G165/250)</f>
        <v>0.5677863185082801</v>
      </c>
      <c r="Y165" s="22">
        <f t="shared" ca="1" si="315"/>
        <v>6.2682852912631146</v>
      </c>
      <c r="Z165" s="22">
        <f t="shared" ca="1" si="316"/>
        <v>-48.405956913758239</v>
      </c>
      <c r="AA165">
        <f t="shared" si="303"/>
        <v>0.73884103340948371</v>
      </c>
      <c r="AB165">
        <f t="shared" ref="AB165" ca="1" si="377">BSdelta(1,P165,Strike,AA165/AnnualVarConvtr,Dividend,RiskFreeRate,G165/250)</f>
        <v>1.5348444302458284E-3</v>
      </c>
      <c r="AC165">
        <f t="shared" ca="1" si="312"/>
        <v>-11.089185241440875</v>
      </c>
      <c r="AD165">
        <f t="shared" ca="1" si="313"/>
        <v>4.7454654329665731</v>
      </c>
    </row>
    <row r="166" spans="7:30" x14ac:dyDescent="0.25">
      <c r="G166" s="19">
        <v>89</v>
      </c>
      <c r="H166" s="19">
        <f t="shared" ca="1" si="363"/>
        <v>0.11903837345222112</v>
      </c>
      <c r="I166" s="19">
        <f t="shared" ca="1" si="363"/>
        <v>0.31188329962734418</v>
      </c>
      <c r="J166" s="19">
        <f t="shared" ca="1" si="297"/>
        <v>-0.78214440077722469</v>
      </c>
      <c r="K166" s="19">
        <f t="shared" ca="1" si="298"/>
        <v>1.9091539697116919</v>
      </c>
      <c r="L166" s="19">
        <f t="array" aca="1" ref="L166:M166" ca="1">MMULT(J166:K166,TRANSPOSE($B$10:$C$11))</f>
        <v>-0.78214440077722469</v>
      </c>
      <c r="M166" s="19">
        <f ca="1"/>
        <v>1.8922076278025257</v>
      </c>
      <c r="N166" s="20">
        <f t="shared" ca="1" si="320"/>
        <v>8.0431337025397037E-2</v>
      </c>
      <c r="O166" s="20">
        <f t="shared" ca="1" si="299"/>
        <v>-1.4029092552243619E-2</v>
      </c>
      <c r="P166" s="19">
        <f t="shared" ca="1" si="305"/>
        <v>90.716527747994192</v>
      </c>
      <c r="Q166" s="19">
        <f ca="1">HCTrans(P166,Strike,RiskFreeRate,Dividend,Variance_T0*AnnualVarConvtr,(Simulation!G166)/250,0.5,Variance_Avg*AnnualVarConvtr,Lambda,SQRT(Simulation!N166),Rho,1,"Call")</f>
        <v>12.320694042093919</v>
      </c>
      <c r="R166" s="19">
        <f t="shared" ca="1" si="300"/>
        <v>0.7355554109664848</v>
      </c>
      <c r="S166" s="19">
        <f t="shared" ca="1" si="301"/>
        <v>2.3590837466871389E-4</v>
      </c>
      <c r="T166" s="19">
        <f t="shared" ca="1" si="306"/>
        <v>-0.11512424688884802</v>
      </c>
      <c r="U166" s="19">
        <f t="shared" ca="1" si="307"/>
        <v>4.0932369428748085</v>
      </c>
      <c r="V166" s="21">
        <f t="shared" ca="1" si="308"/>
        <v>1.3060705618396094E-3</v>
      </c>
      <c r="W166">
        <f t="shared" ca="1" si="309"/>
        <v>3.6139598252327175E-2</v>
      </c>
      <c r="X166" s="22">
        <f t="shared" ref="X166" ca="1" si="378">BSdelta(1,P166,Strike,W166*AnnualVarConvtr,Dividend,RiskFreeRate,G166/250)</f>
        <v>0.45410359256757277</v>
      </c>
      <c r="Y166" s="22">
        <f t="shared" ca="1" si="315"/>
        <v>-10.312902162267795</v>
      </c>
      <c r="Z166" s="22">
        <f t="shared" ca="1" si="316"/>
        <v>-38.87041199046763</v>
      </c>
      <c r="AA166">
        <f t="shared" si="303"/>
        <v>0.73884103340948371</v>
      </c>
      <c r="AB166">
        <f t="shared" ref="AB166" ca="1" si="379">BSdelta(1,P166,Strike,AA166/AnnualVarConvtr,Dividend,RiskFreeRate,G166/250)</f>
        <v>2.5015051674466473E-4</v>
      </c>
      <c r="AC166">
        <f t="shared" ca="1" si="312"/>
        <v>-0.11654297105180755</v>
      </c>
      <c r="AD166">
        <f t="shared" ca="1" si="313"/>
        <v>4.0846511650411923</v>
      </c>
    </row>
    <row r="167" spans="7:30" x14ac:dyDescent="0.25">
      <c r="G167" s="19">
        <v>88</v>
      </c>
      <c r="H167" s="19">
        <f t="shared" ca="1" si="363"/>
        <v>6.9833970374313381E-3</v>
      </c>
      <c r="I167" s="19">
        <f t="shared" ca="1" si="363"/>
        <v>0.58810638953162997</v>
      </c>
      <c r="J167" s="19">
        <f t="shared" ca="1" si="297"/>
        <v>-2.6803280376720737</v>
      </c>
      <c r="K167" s="19">
        <f t="shared" ca="1" si="298"/>
        <v>-1.6565872172952385</v>
      </c>
      <c r="L167" s="19">
        <f t="array" aca="1" ref="L167:M167" ca="1">MMULT(J167:K167,TRANSPOSE($B$10:$C$11))</f>
        <v>-2.6803280376720737</v>
      </c>
      <c r="M167" s="19">
        <f ca="1"/>
        <v>0.76484118053301975</v>
      </c>
      <c r="N167" s="20">
        <f t="shared" ca="1" si="320"/>
        <v>8.5448986564054336E-2</v>
      </c>
      <c r="O167" s="20">
        <f t="shared" ca="1" si="299"/>
        <v>-4.9553165537675803E-2</v>
      </c>
      <c r="P167" s="19">
        <f t="shared" ca="1" si="305"/>
        <v>86.33079744071928</v>
      </c>
      <c r="Q167" s="19">
        <f ca="1">HCTrans(P167,Strike,RiskFreeRate,Dividend,Variance_T0*AnnualVarConvtr,(Simulation!G167)/250,0.5,Variance_Avg*AnnualVarConvtr,Lambda,SQRT(Simulation!N167),Rho,1,"Call")</f>
        <v>10.077051161531656</v>
      </c>
      <c r="R167" s="19">
        <f t="shared" ca="1" si="300"/>
        <v>0.73217719276236992</v>
      </c>
      <c r="S167" s="19">
        <f t="shared" ca="1" si="301"/>
        <v>4.7446877218686422E-8</v>
      </c>
      <c r="T167" s="19">
        <f t="shared" ca="1" si="306"/>
        <v>-2.0362061981347688E-2</v>
      </c>
      <c r="U167" s="19">
        <f t="shared" ca="1" si="307"/>
        <v>1.8699561242938936</v>
      </c>
      <c r="V167" s="21">
        <f t="shared" ca="1" si="308"/>
        <v>1.2619597614743126E-3</v>
      </c>
      <c r="W167">
        <f t="shared" ca="1" si="309"/>
        <v>3.5524072985432184E-2</v>
      </c>
      <c r="X167" s="22">
        <f t="shared" ref="X167" ca="1" si="380">BSdelta(1,P167,Strike,W167*AnnualVarConvtr,Dividend,RiskFreeRate,G167/250)</f>
        <v>0.39187128773118485</v>
      </c>
      <c r="Y167" s="22">
        <f t="shared" ca="1" si="315"/>
        <v>-5.3725645030993006</v>
      </c>
      <c r="Z167" s="22">
        <f t="shared" ca="1" si="316"/>
        <v>-35.741490367930595</v>
      </c>
      <c r="AA167">
        <f t="shared" si="303"/>
        <v>0.73884103340948371</v>
      </c>
      <c r="AB167">
        <f t="shared" ref="AB167" ca="1" si="381">BSdelta(1,P167,Strike,AA167/AnnualVarConvtr,Dividend,RiskFreeRate,G167/250)</f>
        <v>6.1877177568671635E-8</v>
      </c>
      <c r="AC167">
        <f t="shared" ca="1" si="312"/>
        <v>-2.1590351684692023E-2</v>
      </c>
      <c r="AD167">
        <f t="shared" ca="1" si="313"/>
        <v>1.8625986361636218</v>
      </c>
    </row>
    <row r="168" spans="7:30" x14ac:dyDescent="0.25">
      <c r="G168" s="19">
        <v>87</v>
      </c>
      <c r="H168" s="19">
        <f t="shared" ca="1" si="363"/>
        <v>0.35262695526818666</v>
      </c>
      <c r="I168" s="19">
        <f t="shared" ca="1" si="363"/>
        <v>0.42150918623362643</v>
      </c>
      <c r="J168" s="19">
        <f t="shared" ca="1" si="297"/>
        <v>-1.2717900758439518</v>
      </c>
      <c r="K168" s="19">
        <f t="shared" ca="1" si="298"/>
        <v>0.68354892476535689</v>
      </c>
      <c r="L168" s="19">
        <f t="array" aca="1" ref="L168:M168" ca="1">MMULT(J168:K168,TRANSPOSE($B$10:$C$11))</f>
        <v>-1.2717900758439518</v>
      </c>
      <c r="M168" s="19">
        <f ca="1"/>
        <v>1.3880724955557828</v>
      </c>
      <c r="N168" s="20">
        <f t="shared" ca="1" si="320"/>
        <v>9.5272241432217963E-2</v>
      </c>
      <c r="O168" s="20">
        <f t="shared" ca="1" si="299"/>
        <v>-2.4827250078908777E-2</v>
      </c>
      <c r="P168" s="19">
        <f t="shared" ca="1" si="305"/>
        <v>84.21382913307653</v>
      </c>
      <c r="Q168" s="19">
        <f ca="1">HCTrans(P168,Strike,RiskFreeRate,Dividend,Variance_T0*AnnualVarConvtr,(Simulation!G168)/250,0.5,Variance_Avg*AnnualVarConvtr,Lambda,SQRT(Simulation!N168),Rho,1,"Call")</f>
        <v>9.0137317429979902</v>
      </c>
      <c r="R168" s="19">
        <f t="shared" ca="1" si="300"/>
        <v>0.72966878741979502</v>
      </c>
      <c r="S168" s="19">
        <f t="shared" ca="1" si="301"/>
        <v>1.5124503803880688E-10</v>
      </c>
      <c r="T168" s="19">
        <f t="shared" ca="1" si="306"/>
        <v>-3.982946287201894E-6</v>
      </c>
      <c r="U168" s="19">
        <f t="shared" ca="1" si="307"/>
        <v>0.80664068870651451</v>
      </c>
      <c r="V168" s="21">
        <f t="shared" ca="1" si="308"/>
        <v>6.1137089527409419E-4</v>
      </c>
      <c r="W168">
        <f t="shared" ca="1" si="309"/>
        <v>2.4725915458767025E-2</v>
      </c>
      <c r="X168" s="22">
        <f t="shared" ref="X168" ca="1" si="382">BSdelta(1,P168,Strike,W168*AnnualVarConvtr,Dividend,RiskFreeRate,G168/250)</f>
        <v>0.26445968526078673</v>
      </c>
      <c r="Y168" s="22">
        <f t="shared" ca="1" si="315"/>
        <v>-10.729818920013578</v>
      </c>
      <c r="Z168" s="22">
        <f t="shared" ca="1" si="316"/>
        <v>-26.074990866450683</v>
      </c>
      <c r="AA168">
        <f t="shared" si="303"/>
        <v>0.73884103340948371</v>
      </c>
      <c r="AB168">
        <f t="shared" ref="AB168" ca="1" si="383">BSdelta(1,P168,Strike,AA168/AnnualVarConvtr,Dividend,RiskFreeRate,G168/250)</f>
        <v>2.5020248723142913E-10</v>
      </c>
      <c r="AC168">
        <f t="shared" ca="1" si="312"/>
        <v>-5.1898435494967706E-6</v>
      </c>
      <c r="AD168">
        <f t="shared" ca="1" si="313"/>
        <v>0.79928440747350493</v>
      </c>
    </row>
    <row r="169" spans="7:30" x14ac:dyDescent="0.25">
      <c r="G169" s="19">
        <v>86</v>
      </c>
      <c r="H169" s="19">
        <f t="shared" ca="1" si="363"/>
        <v>0.92457205733410353</v>
      </c>
      <c r="I169" s="19">
        <f t="shared" ca="1" si="363"/>
        <v>0.75097582241271632</v>
      </c>
      <c r="J169" s="19">
        <f t="shared" ca="1" si="297"/>
        <v>2.4282211057525542E-3</v>
      </c>
      <c r="K169" s="19">
        <f t="shared" ca="1" si="298"/>
        <v>-0.39603368824373353</v>
      </c>
      <c r="L169" s="19">
        <f t="array" aca="1" ref="L169:M169" ca="1">MMULT(J169:K169,TRANSPOSE($B$10:$C$11))</f>
        <v>2.4282211057525542E-3</v>
      </c>
      <c r="M169" s="19">
        <f ca="1"/>
        <v>-0.27800780907567746</v>
      </c>
      <c r="N169" s="20">
        <f t="shared" ca="1" si="320"/>
        <v>9.271205463093117E-2</v>
      </c>
      <c r="O169" s="20">
        <f t="shared" ca="1" si="299"/>
        <v>4.6761273274479836E-5</v>
      </c>
      <c r="P169" s="19">
        <f t="shared" ca="1" si="305"/>
        <v>84.217767171027234</v>
      </c>
      <c r="Q169" s="19">
        <f ca="1">HCTrans(P169,Strike,RiskFreeRate,Dividend,Variance_T0*AnnualVarConvtr,(Simulation!G169)/250,0.5,Variance_Avg*AnnualVarConvtr,Lambda,SQRT(Simulation!N169),Rho,1,"Call")</f>
        <v>8.9397489899777156</v>
      </c>
      <c r="R169" s="19">
        <f t="shared" ca="1" si="300"/>
        <v>0.72999246379080607</v>
      </c>
      <c r="S169" s="19">
        <f t="shared" ca="1" si="301"/>
        <v>1.2288718715258844E-10</v>
      </c>
      <c r="T169" s="19">
        <f t="shared" ca="1" si="306"/>
        <v>-2.3882348834062528E-9</v>
      </c>
      <c r="U169" s="19">
        <f t="shared" ca="1" si="307"/>
        <v>0.73265793807447477</v>
      </c>
      <c r="V169" s="21">
        <f t="shared" ca="1" si="308"/>
        <v>6.1871644074854145E-4</v>
      </c>
      <c r="W169">
        <f t="shared" ca="1" si="309"/>
        <v>2.4874011352183256E-2</v>
      </c>
      <c r="X169" s="22">
        <f t="shared" ref="X169" ca="1" si="384">BSdelta(1,P169,Strike,W169*AnnualVarConvtr,Dividend,RiskFreeRate,G169/250)</f>
        <v>0.2645798526282363</v>
      </c>
      <c r="Y169" s="22">
        <f t="shared" ca="1" si="315"/>
        <v>1.0120227373423595E-2</v>
      </c>
      <c r="Z169" s="22">
        <f t="shared" ca="1" si="316"/>
        <v>-26.159093846844382</v>
      </c>
      <c r="AA169">
        <f t="shared" si="303"/>
        <v>0.73884103340948371</v>
      </c>
      <c r="AB169">
        <f t="shared" ref="AB169" ca="1" si="385">BSdelta(1,P169,Strike,AA169/AnnualVarConvtr,Dividend,RiskFreeRate,G169/250)</f>
        <v>2.0069910361233815E-10</v>
      </c>
      <c r="AC169">
        <f t="shared" ca="1" si="312"/>
        <v>-4.1690644358106478E-9</v>
      </c>
      <c r="AD169">
        <f t="shared" ca="1" si="313"/>
        <v>0.72530165862229479</v>
      </c>
    </row>
    <row r="170" spans="7:30" x14ac:dyDescent="0.25">
      <c r="G170" s="19">
        <v>85</v>
      </c>
      <c r="H170" s="19">
        <f t="shared" ca="1" si="363"/>
        <v>3.207645557498584E-2</v>
      </c>
      <c r="I170" s="19">
        <f t="shared" ca="1" si="363"/>
        <v>0.19878886050556388</v>
      </c>
      <c r="J170" s="19">
        <f t="shared" ca="1" si="297"/>
        <v>0.82945949997251611</v>
      </c>
      <c r="K170" s="19">
        <f t="shared" ca="1" si="298"/>
        <v>2.4882248524217716</v>
      </c>
      <c r="L170" s="19">
        <f t="array" aca="1" ref="L170:M170" ca="1">MMULT(J170:K170,TRANSPOSE($B$10:$C$11))</f>
        <v>0.82945949997251611</v>
      </c>
      <c r="M170" s="19">
        <f ca="1"/>
        <v>1.1414458056630032</v>
      </c>
      <c r="N170" s="20">
        <f t="shared" ca="1" si="320"/>
        <v>0.1009759114691607</v>
      </c>
      <c r="O170" s="20">
        <f t="shared" ca="1" si="299"/>
        <v>1.6669941366253393E-2</v>
      </c>
      <c r="P170" s="19">
        <f t="shared" ca="1" si="305"/>
        <v>85.633439213825582</v>
      </c>
      <c r="Q170" s="19">
        <f ca="1">HCTrans(P170,Strike,RiskFreeRate,Dividend,Variance_T0*AnnualVarConvtr,(Simulation!G170)/250,0.5,Variance_Avg*AnnualVarConvtr,Lambda,SQRT(Simulation!N170),Rho,1,"Call")</f>
        <v>9.4752675891117519</v>
      </c>
      <c r="R170" s="19">
        <f t="shared" ca="1" si="300"/>
        <v>0.730308091217023</v>
      </c>
      <c r="S170" s="19">
        <f t="shared" ca="1" si="301"/>
        <v>4.5911743419024417E-9</v>
      </c>
      <c r="T170" s="19">
        <f t="shared" ca="1" si="306"/>
        <v>3.8263479645618925E-7</v>
      </c>
      <c r="U170" s="19">
        <f t="shared" ca="1" si="307"/>
        <v>1.2681761545737145</v>
      </c>
      <c r="V170" s="21">
        <f t="shared" ca="1" si="308"/>
        <v>2.7633011640361047E-4</v>
      </c>
      <c r="W170">
        <f t="shared" ca="1" si="309"/>
        <v>1.6623180092978914E-2</v>
      </c>
      <c r="X170" s="22">
        <f t="shared" ref="X170" ca="1" si="386">BSdelta(1,P170,Strike,W170*AnnualVarConvtr,Dividend,RiskFreeRate,G170/250)</f>
        <v>0.17480348104485244</v>
      </c>
      <c r="Y170" s="22">
        <f t="shared" ca="1" si="315"/>
        <v>-7.6878594588235201</v>
      </c>
      <c r="Z170" s="22">
        <f t="shared" ca="1" si="316"/>
        <v>-17.935715788886824</v>
      </c>
      <c r="AA170">
        <f t="shared" si="303"/>
        <v>0.73884103340948371</v>
      </c>
      <c r="AB170">
        <f t="shared" ref="AB170" ca="1" si="387">BSdelta(1,P170,Strike,AA170/AnnualVarConvtr,Dividend,RiskFreeRate,G170/250)</f>
        <v>6.7934517246919998E-9</v>
      </c>
      <c r="AC170">
        <f t="shared" ca="1" si="312"/>
        <v>5.6456008082901454E-7</v>
      </c>
      <c r="AD170">
        <f t="shared" ca="1" si="313"/>
        <v>1.2608196931962503</v>
      </c>
    </row>
    <row r="171" spans="7:30" x14ac:dyDescent="0.25">
      <c r="G171" s="19">
        <v>84</v>
      </c>
      <c r="H171" s="19">
        <f t="shared" ca="1" si="363"/>
        <v>0.93867797340913284</v>
      </c>
      <c r="I171" s="19">
        <f t="shared" ca="1" si="363"/>
        <v>0.80125646304989151</v>
      </c>
      <c r="J171" s="19">
        <f t="shared" ca="1" si="297"/>
        <v>0.11260374234833677</v>
      </c>
      <c r="K171" s="19">
        <f t="shared" ca="1" si="298"/>
        <v>-0.33747000907973301</v>
      </c>
      <c r="L171" s="19">
        <f t="array" aca="1" ref="L171:M171" ca="1">MMULT(J171:K171,TRANSPOSE($B$10:$C$11))</f>
        <v>0.11260374234833677</v>
      </c>
      <c r="M171" s="19">
        <f ca="1"/>
        <v>-0.31609530343998138</v>
      </c>
      <c r="N171" s="20">
        <f t="shared" ca="1" si="320"/>
        <v>9.8030053941621204E-2</v>
      </c>
      <c r="O171" s="20">
        <f t="shared" ca="1" si="299"/>
        <v>2.2297821826765198E-3</v>
      </c>
      <c r="P171" s="19">
        <f t="shared" ca="1" si="305"/>
        <v>85.824596170812725</v>
      </c>
      <c r="Q171" s="19">
        <f ca="1">HCTrans(P171,Strike,RiskFreeRate,Dividend,Variance_T0*AnnualVarConvtr,(Simulation!G171)/250,0.5,Variance_Avg*AnnualVarConvtr,Lambda,SQRT(Simulation!N171),Rho,1,"Call")</f>
        <v>9.4839963051224032</v>
      </c>
      <c r="R171" s="19">
        <f t="shared" ca="1" si="300"/>
        <v>0.73079379386024712</v>
      </c>
      <c r="S171" s="19">
        <f t="shared" ca="1" si="301"/>
        <v>6.2651847404667496E-9</v>
      </c>
      <c r="T171" s="19">
        <f t="shared" ca="1" si="306"/>
        <v>1.4367126644252299E-7</v>
      </c>
      <c r="U171" s="19">
        <f t="shared" ca="1" si="307"/>
        <v>1.2769047269130993</v>
      </c>
      <c r="V171" s="21">
        <f t="shared" ca="1" si="308"/>
        <v>2.0851819724703951E-4</v>
      </c>
      <c r="W171">
        <f t="shared" ca="1" si="309"/>
        <v>1.4440159183576873E-2</v>
      </c>
      <c r="X171" s="22">
        <f t="shared" ref="X171" ca="1" si="388">BSdelta(1,P171,Strike,W171*AnnualVarConvtr,Dividend,RiskFreeRate,G171/250)</f>
        <v>0.1381073885340573</v>
      </c>
      <c r="Y171" s="22">
        <f t="shared" ca="1" si="315"/>
        <v>-3.1494273207857781</v>
      </c>
      <c r="Z171" s="22">
        <f t="shared" ca="1" si="316"/>
        <v>-14.777559752090395</v>
      </c>
      <c r="AA171">
        <f t="shared" si="303"/>
        <v>0.73884103340948371</v>
      </c>
      <c r="AB171">
        <f t="shared" ref="AB171" ca="1" si="389">BSdelta(1,P171,Strike,AA171/AnnualVarConvtr,Dividend,RiskFreeRate,G171/250)</f>
        <v>9.0075665321614219E-9</v>
      </c>
      <c r="AC171">
        <f t="shared" ca="1" si="312"/>
        <v>1.9002550922687992E-7</v>
      </c>
      <c r="AD171">
        <f t="shared" ca="1" si="313"/>
        <v>1.2695482191813923</v>
      </c>
    </row>
    <row r="172" spans="7:30" x14ac:dyDescent="0.25">
      <c r="G172" s="19">
        <v>83</v>
      </c>
      <c r="H172" s="19">
        <f t="shared" ca="1" si="363"/>
        <v>0.97786265656353932</v>
      </c>
      <c r="I172" s="19">
        <f t="shared" ca="1" si="363"/>
        <v>0.36765448666388978</v>
      </c>
      <c r="J172" s="19">
        <f t="shared" ca="1" si="297"/>
        <v>-0.1425573853947269</v>
      </c>
      <c r="K172" s="19">
        <f t="shared" ca="1" si="298"/>
        <v>0.1563633442036671</v>
      </c>
      <c r="L172" s="19">
        <f t="array" aca="1" ref="L172:M172" ca="1">MMULT(J172:K172,TRANSPOSE($B$10:$C$11))</f>
        <v>-0.1425573853947269</v>
      </c>
      <c r="M172" s="19">
        <f ca="1"/>
        <v>0.2112194171100823</v>
      </c>
      <c r="N172" s="20">
        <f t="shared" ca="1" si="320"/>
        <v>9.917601742201905E-2</v>
      </c>
      <c r="O172" s="20">
        <f t="shared" ca="1" si="299"/>
        <v>-2.8393769302572963E-3</v>
      </c>
      <c r="P172" s="19">
        <f t="shared" ca="1" si="305"/>
        <v>85.581253426770445</v>
      </c>
      <c r="Q172" s="19">
        <f ca="1">HCTrans(P172,Strike,RiskFreeRate,Dividend,Variance_T0*AnnualVarConvtr,(Simulation!G172)/250,0.5,Variance_Avg*AnnualVarConvtr,Lambda,SQRT(Simulation!N172),Rho,1,"Call")</f>
        <v>9.287134643679849</v>
      </c>
      <c r="R172" s="19">
        <f t="shared" ca="1" si="300"/>
        <v>0.73055454280499987</v>
      </c>
      <c r="S172" s="19">
        <f t="shared" ca="1" si="301"/>
        <v>2.6857504969821683E-9</v>
      </c>
      <c r="T172" s="19">
        <f t="shared" ca="1" si="306"/>
        <v>-3.0633246911611427E-7</v>
      </c>
      <c r="U172" s="19">
        <f t="shared" ca="1" si="307"/>
        <v>1.0800433718030142</v>
      </c>
      <c r="V172" s="21">
        <f t="shared" ca="1" si="308"/>
        <v>2.5696374112239952E-5</v>
      </c>
      <c r="W172">
        <f t="shared" ca="1" si="309"/>
        <v>5.0691591129338161E-3</v>
      </c>
      <c r="X172" s="22">
        <f t="shared" ref="X172" ca="1" si="390">BSdelta(1,P172,Strike,W172*AnnualVarConvtr,Dividend,RiskFreeRate,G172/250)</f>
        <v>4.0636864354934397E-4</v>
      </c>
      <c r="Y172" s="22">
        <f t="shared" ca="1" si="315"/>
        <v>-11.784625880374319</v>
      </c>
      <c r="Z172" s="22">
        <f t="shared" ca="1" si="316"/>
        <v>-3.1897955331586303</v>
      </c>
      <c r="AA172">
        <f t="shared" si="303"/>
        <v>0.73884103340948371</v>
      </c>
      <c r="AB172">
        <f t="shared" ref="AB172" ca="1" si="391">BSdelta(1,P172,Strike,AA172/AnnualVarConvtr,Dividend,RiskFreeRate,G172/250)</f>
        <v>3.9756166132281678E-9</v>
      </c>
      <c r="AC172">
        <f t="shared" ca="1" si="312"/>
        <v>-4.3064058124304381E-7</v>
      </c>
      <c r="AD172">
        <f t="shared" ca="1" si="313"/>
        <v>1.0726869883794192</v>
      </c>
    </row>
    <row r="173" spans="7:30" x14ac:dyDescent="0.25">
      <c r="G173" s="19">
        <v>82</v>
      </c>
      <c r="H173" s="19">
        <f t="shared" ca="1" si="363"/>
        <v>0.52537032772722059</v>
      </c>
      <c r="I173" s="19">
        <f t="shared" ca="1" si="363"/>
        <v>0.4545429950344877</v>
      </c>
      <c r="J173" s="19">
        <f t="shared" ca="1" si="297"/>
        <v>-1.0886301210696039</v>
      </c>
      <c r="K173" s="19">
        <f t="shared" ca="1" si="298"/>
        <v>0.31966891829295346</v>
      </c>
      <c r="L173" s="19">
        <f t="array" aca="1" ref="L173:M173" ca="1">MMULT(J173:K173,TRANSPOSE($B$10:$C$11))</f>
        <v>-1.0886301210696039</v>
      </c>
      <c r="M173" s="19">
        <f ca="1"/>
        <v>1.0030003926491942</v>
      </c>
      <c r="N173" s="20">
        <f t="shared" ca="1" si="320"/>
        <v>0.10658398844973911</v>
      </c>
      <c r="O173" s="20">
        <f t="shared" ca="1" si="299"/>
        <v>-2.2477930605841856E-2</v>
      </c>
      <c r="P173" s="19">
        <f t="shared" ca="1" si="305"/>
        <v>83.679023143547653</v>
      </c>
      <c r="Q173" s="19">
        <f ca="1">HCTrans(P173,Strike,RiskFreeRate,Dividend,Variance_T0*AnnualVarConvtr,(Simulation!G173)/250,0.5,Variance_Avg*AnnualVarConvtr,Lambda,SQRT(Simulation!N173),Rho,1,"Call")</f>
        <v>8.3526170096481991</v>
      </c>
      <c r="R173" s="19">
        <f t="shared" ca="1" si="300"/>
        <v>0.72837091093284234</v>
      </c>
      <c r="S173" s="19">
        <f t="shared" ca="1" si="301"/>
        <v>7.8897884076330437E-12</v>
      </c>
      <c r="T173" s="19">
        <f t="shared" ca="1" si="306"/>
        <v>-2.2408076820800544E-7</v>
      </c>
      <c r="U173" s="19">
        <f t="shared" ca="1" si="307"/>
        <v>0.14552596185213257</v>
      </c>
      <c r="V173" s="21">
        <f t="shared" ca="1" si="308"/>
        <v>3.8567279046881583E-4</v>
      </c>
      <c r="W173">
        <f t="shared" ca="1" si="309"/>
        <v>1.963855367558456E-2</v>
      </c>
      <c r="X173" s="22">
        <f t="shared" ref="X173" ca="1" si="392">BSdelta(1,P173,Strike,W173*AnnualVarConvtr,Dividend,RiskFreeRate,G173/250)</f>
        <v>0.18061206736338131</v>
      </c>
      <c r="Y173" s="22">
        <f t="shared" ca="1" si="315"/>
        <v>15.079436833775995</v>
      </c>
      <c r="Z173" s="22">
        <f t="shared" ca="1" si="316"/>
        <v>-19.203750000966274</v>
      </c>
      <c r="AA173">
        <f t="shared" si="303"/>
        <v>0.73884103340948371</v>
      </c>
      <c r="AB173">
        <f t="shared" ref="AB173" ca="1" si="393">BSdelta(1,P173,Strike,AA173/AnnualVarConvtr,Dividend,RiskFreeRate,G173/250)</f>
        <v>1.5197316477229241E-11</v>
      </c>
      <c r="AC173">
        <f t="shared" ca="1" si="312"/>
        <v>-3.3140401799097453E-7</v>
      </c>
      <c r="AD173">
        <f t="shared" ca="1" si="313"/>
        <v>0.13816968575178731</v>
      </c>
    </row>
    <row r="174" spans="7:30" x14ac:dyDescent="0.25">
      <c r="G174" s="19">
        <v>81</v>
      </c>
      <c r="H174" s="19">
        <f t="shared" ca="1" si="363"/>
        <v>0.2444592381570998</v>
      </c>
      <c r="I174" s="19">
        <f t="shared" ca="1" si="363"/>
        <v>0.82386885106073393</v>
      </c>
      <c r="J174" s="19">
        <f t="shared" ca="1" si="297"/>
        <v>0.75138148583860542</v>
      </c>
      <c r="K174" s="19">
        <f t="shared" ca="1" si="298"/>
        <v>-1.5009461219105029</v>
      </c>
      <c r="L174" s="19">
        <f t="array" aca="1" ref="L174:M174" ca="1">MMULT(J174:K174,TRANSPOSE($B$10:$C$11))</f>
        <v>0.75138148583860542</v>
      </c>
      <c r="M174" s="19">
        <f ca="1"/>
        <v>-1.5854054740404413</v>
      </c>
      <c r="N174" s="20">
        <f t="shared" ca="1" si="320"/>
        <v>9.374264957571532E-2</v>
      </c>
      <c r="O174" s="20">
        <f t="shared" ca="1" si="299"/>
        <v>1.4549869485156569E-2</v>
      </c>
      <c r="P174" s="19">
        <f t="shared" ca="1" si="305"/>
        <v>84.905442493799399</v>
      </c>
      <c r="Q174" s="19">
        <f ca="1">HCTrans(P174,Strike,RiskFreeRate,Dividend,Variance_T0*AnnualVarConvtr,(Simulation!G174)/250,0.5,Variance_Avg*AnnualVarConvtr,Lambda,SQRT(Simulation!N174),Rho,1,"Call")</f>
        <v>8.8268979057908155</v>
      </c>
      <c r="R174" s="19">
        <f t="shared" ca="1" si="300"/>
        <v>0.7306793130458783</v>
      </c>
      <c r="S174" s="19">
        <f t="shared" ca="1" si="301"/>
        <v>2.6909753980080372E-10</v>
      </c>
      <c r="T174" s="19">
        <f t="shared" ca="1" si="306"/>
        <v>2.2177959714847505E-8</v>
      </c>
      <c r="U174" s="19">
        <f t="shared" ca="1" si="307"/>
        <v>0.61980683581678919</v>
      </c>
      <c r="V174" s="21">
        <f t="shared" ca="1" si="308"/>
        <v>1.3710579795789429E-3</v>
      </c>
      <c r="W174">
        <f t="shared" ca="1" si="309"/>
        <v>3.7027800090998424E-2</v>
      </c>
      <c r="X174" s="22">
        <f t="shared" ref="X174" ca="1" si="394">BSdelta(1,P174,Strike,W174*AnnualVarConvtr,Dividend,RiskFreeRate,G174/250)</f>
        <v>0.37282013507405926</v>
      </c>
      <c r="Y174" s="22">
        <f t="shared" ca="1" si="315"/>
        <v>16.319511039853268</v>
      </c>
      <c r="Z174" s="22">
        <f t="shared" ca="1" si="316"/>
        <v>-35.048980144676925</v>
      </c>
      <c r="AA174">
        <f t="shared" si="303"/>
        <v>0.73884103340948371</v>
      </c>
      <c r="AB174">
        <f t="shared" ref="AB174" ca="1" si="395">BSdelta(1,P174,Strike,AA174/AnnualVarConvtr,Dividend,RiskFreeRate,G174/250)</f>
        <v>4.160555219772988E-10</v>
      </c>
      <c r="AC174">
        <f t="shared" ca="1" si="312"/>
        <v>3.4035043315253782E-8</v>
      </c>
      <c r="AD174">
        <f t="shared" ca="1" si="313"/>
        <v>0.61245054785936037</v>
      </c>
    </row>
    <row r="175" spans="7:30" x14ac:dyDescent="0.25">
      <c r="G175" s="19">
        <v>80</v>
      </c>
      <c r="H175" s="19">
        <f t="shared" ca="1" si="363"/>
        <v>0.89173372966240882</v>
      </c>
      <c r="I175" s="19">
        <f t="shared" ca="1" si="363"/>
        <v>0.74883683775491039</v>
      </c>
      <c r="J175" s="19">
        <f t="shared" ca="1" si="297"/>
        <v>-3.4986483924467193E-3</v>
      </c>
      <c r="K175" s="19">
        <f t="shared" ca="1" si="298"/>
        <v>-0.4787098913573849</v>
      </c>
      <c r="L175" s="19">
        <f t="array" aca="1" ref="L175:M175" ca="1">MMULT(J175:K175,TRANSPOSE($B$10:$C$11))</f>
        <v>-3.4986483924467193E-3</v>
      </c>
      <c r="M175" s="19">
        <f ca="1"/>
        <v>-0.33143505913305582</v>
      </c>
      <c r="N175" s="20">
        <f t="shared" ca="1" si="320"/>
        <v>9.0811320439827398E-2</v>
      </c>
      <c r="O175" s="20">
        <f t="shared" ca="1" si="299"/>
        <v>-6.6680721424396708E-5</v>
      </c>
      <c r="P175" s="19">
        <f t="shared" ca="1" si="305"/>
        <v>84.899781126395183</v>
      </c>
      <c r="Q175" s="19">
        <f ca="1">HCTrans(P175,Strike,RiskFreeRate,Dividend,Variance_T0*AnnualVarConvtr,(Simulation!G175)/250,0.5,Variance_Avg*AnnualVarConvtr,Lambda,SQRT(Simulation!N175),Rho,1,"Call")</f>
        <v>8.7452692360272124</v>
      </c>
      <c r="R175" s="19">
        <f t="shared" ca="1" si="300"/>
        <v>0.73102425004478389</v>
      </c>
      <c r="S175" s="19">
        <f t="shared" ca="1" si="301"/>
        <v>2.1058562701590734E-10</v>
      </c>
      <c r="T175" s="19">
        <f t="shared" ca="1" si="306"/>
        <v>-4.9676485887244271E-9</v>
      </c>
      <c r="U175" s="19">
        <f t="shared" ca="1" si="307"/>
        <v>0.53817817102083476</v>
      </c>
      <c r="V175" s="21">
        <f t="shared" ca="1" si="308"/>
        <v>2.1364353994150209E-4</v>
      </c>
      <c r="W175">
        <f t="shared" ca="1" si="309"/>
        <v>1.4616550206580967E-2</v>
      </c>
      <c r="X175" s="22">
        <f t="shared" ref="X175" ca="1" si="396">BSdelta(1,P175,Strike,W175*AnnualVarConvtr,Dividend,RiskFreeRate,G175/250)</f>
        <v>0.11765726742912144</v>
      </c>
      <c r="Y175" s="22">
        <f t="shared" ca="1" si="315"/>
        <v>-21.66327161463856</v>
      </c>
      <c r="Z175" s="22">
        <f t="shared" ca="1" si="316"/>
        <v>-13.467337199801968</v>
      </c>
      <c r="AA175">
        <f t="shared" si="303"/>
        <v>0.73884103340948371</v>
      </c>
      <c r="AB175">
        <f t="shared" ref="AB175" ca="1" si="397">BSdelta(1,P175,Strike,AA175/AnnualVarConvtr,Dividend,RiskFreeRate,G175/250)</f>
        <v>3.2129412980293459E-10</v>
      </c>
      <c r="AC175">
        <f t="shared" ca="1" si="312"/>
        <v>-8.0452214548360193E-9</v>
      </c>
      <c r="AD175">
        <f t="shared" ca="1" si="313"/>
        <v>0.5308218861409788</v>
      </c>
    </row>
    <row r="176" spans="7:30" x14ac:dyDescent="0.25">
      <c r="G176" s="19">
        <v>79</v>
      </c>
      <c r="H176" s="19">
        <f t="shared" ca="1" si="363"/>
        <v>0.94223140830087415</v>
      </c>
      <c r="I176" s="19">
        <f t="shared" ca="1" si="363"/>
        <v>0.15270825411331979</v>
      </c>
      <c r="J176" s="19">
        <f t="shared" ca="1" si="297"/>
        <v>0.19799379139318427</v>
      </c>
      <c r="K176" s="19">
        <f t="shared" ca="1" si="298"/>
        <v>0.28250170792007934</v>
      </c>
      <c r="L176" s="19">
        <f t="array" aca="1" ref="L176:M176" ca="1">MMULT(J176:K176,TRANSPOSE($B$10:$C$11))</f>
        <v>0.19799379139318427</v>
      </c>
      <c r="M176" s="19">
        <f ca="1"/>
        <v>5.5206993192483095E-2</v>
      </c>
      <c r="N176" s="20">
        <f t="shared" ca="1" si="320"/>
        <v>9.0775654761881736E-2</v>
      </c>
      <c r="O176" s="20">
        <f t="shared" ca="1" si="299"/>
        <v>3.7728215388516725E-3</v>
      </c>
      <c r="P176" s="19">
        <f t="shared" ca="1" si="305"/>
        <v>85.220697849369444</v>
      </c>
      <c r="Q176" s="19">
        <f ca="1">HCTrans(P176,Strike,RiskFreeRate,Dividend,Variance_T0*AnnualVarConvtr,(Simulation!G176)/250,0.5,Variance_Avg*AnnualVarConvtr,Lambda,SQRT(Simulation!N176),Rho,1,"Call")</f>
        <v>8.801150983012505</v>
      </c>
      <c r="R176" s="19">
        <f t="shared" ca="1" si="300"/>
        <v>0.73132308325966233</v>
      </c>
      <c r="S176" s="19">
        <f t="shared" ca="1" si="301"/>
        <v>4.182031782178171E-10</v>
      </c>
      <c r="T176" s="19">
        <f t="shared" ca="1" si="306"/>
        <v>1.7693312599203943E-8</v>
      </c>
      <c r="U176" s="19">
        <f t="shared" ca="1" si="307"/>
        <v>0.59405990031281475</v>
      </c>
      <c r="V176" s="21">
        <f t="shared" ca="1" si="308"/>
        <v>1.4741777606665045E-5</v>
      </c>
      <c r="W176">
        <f t="shared" ca="1" si="309"/>
        <v>3.8395022602760692E-3</v>
      </c>
      <c r="X176" s="22">
        <f t="shared" ref="X176" ca="1" si="398">BSdelta(1,P176,Strike,W176*AnnualVarConvtr,Dividend,RiskFreeRate,G176/250)</f>
        <v>1.5115948202681364E-6</v>
      </c>
      <c r="Y176" s="22">
        <f t="shared" ca="1" si="315"/>
        <v>-10.026705618194166</v>
      </c>
      <c r="Z176" s="22">
        <f t="shared" ca="1" si="316"/>
        <v>-3.3847498346225091</v>
      </c>
      <c r="AA176">
        <f t="shared" si="303"/>
        <v>0.73884103340948371</v>
      </c>
      <c r="AB176">
        <f t="shared" ref="AB176" ca="1" si="399">BSdelta(1,P176,Strike,AA176/AnnualVarConvtr,Dividend,RiskFreeRate,G176/250)</f>
        <v>6.1940137700679091E-10</v>
      </c>
      <c r="AC176">
        <f t="shared" ca="1" si="312"/>
        <v>2.5404907640667122E-8</v>
      </c>
      <c r="AD176">
        <f t="shared" ca="1" si="313"/>
        <v>0.58670360772136376</v>
      </c>
    </row>
    <row r="177" spans="7:30" x14ac:dyDescent="0.25">
      <c r="G177" s="19">
        <v>78</v>
      </c>
      <c r="H177" s="19">
        <f t="shared" ca="1" si="363"/>
        <v>0.19540632663859292</v>
      </c>
      <c r="I177" s="19">
        <f t="shared" ca="1" si="363"/>
        <v>0.58144912931560655</v>
      </c>
      <c r="J177" s="19">
        <f t="shared" ca="1" si="297"/>
        <v>-1.5755183098874397</v>
      </c>
      <c r="K177" s="19">
        <f t="shared" ca="1" si="298"/>
        <v>-0.88492393980275608</v>
      </c>
      <c r="L177" s="19">
        <f t="array" aca="1" ref="L177:M177" ca="1">MMULT(J177:K177,TRANSPOSE($B$10:$C$11))</f>
        <v>-1.5755183098874397</v>
      </c>
      <c r="M177" s="19">
        <f ca="1"/>
        <v>0.51154735181287769</v>
      </c>
      <c r="N177" s="20">
        <f t="shared" ca="1" si="320"/>
        <v>9.4150288778743527E-2</v>
      </c>
      <c r="O177" s="20">
        <f t="shared" ca="1" si="299"/>
        <v>-3.057484602253055E-2</v>
      </c>
      <c r="P177" s="19">
        <f t="shared" ca="1" si="305"/>
        <v>82.654518313585555</v>
      </c>
      <c r="Q177" s="19">
        <f ca="1">HCTrans(P177,Strike,RiskFreeRate,Dividend,Variance_T0*AnnualVarConvtr,(Simulation!G177)/250,0.5,Variance_Avg*AnnualVarConvtr,Lambda,SQRT(Simulation!N177),Rho,1,"Call")</f>
        <v>7.6183595218180784</v>
      </c>
      <c r="R177" s="19">
        <f t="shared" ca="1" si="300"/>
        <v>0.72905676497809302</v>
      </c>
      <c r="S177" s="19">
        <f t="shared" ca="1" si="301"/>
        <v>7.700360016332115E-14</v>
      </c>
      <c r="T177" s="19">
        <f t="shared" ca="1" si="306"/>
        <v>-3.4560017557324335E-8</v>
      </c>
      <c r="U177" s="19">
        <f t="shared" ca="1" si="307"/>
        <v>-0.58873152632159431</v>
      </c>
      <c r="V177" s="21">
        <f t="shared" ca="1" si="308"/>
        <v>1.1797622669072287E-3</v>
      </c>
      <c r="W177">
        <f t="shared" ca="1" si="309"/>
        <v>3.4347667561382224E-2</v>
      </c>
      <c r="X177" s="22">
        <f t="shared" ref="X177" ca="1" si="400">BSdelta(1,P177,Strike,W177*AnnualVarConvtr,Dividend,RiskFreeRate,G177/250)</f>
        <v>0.31692542756824771</v>
      </c>
      <c r="Y177" s="22">
        <f t="shared" ca="1" si="315"/>
        <v>26.19519361683891</v>
      </c>
      <c r="Z177" s="22">
        <f t="shared" ca="1" si="316"/>
        <v>-30.762734912655844</v>
      </c>
      <c r="AA177">
        <f t="shared" si="303"/>
        <v>0.73884103340948371</v>
      </c>
      <c r="AB177">
        <f t="shared" ref="AB177" ca="1" si="401">BSdelta(1,P177,Strike,AA177/AnnualVarConvtr,Dividend,RiskFreeRate,G177/250)</f>
        <v>1.6020686597300213E-13</v>
      </c>
      <c r="AC177">
        <f t="shared" ca="1" si="312"/>
        <v>-5.1183080637930385E-8</v>
      </c>
      <c r="AD177">
        <f t="shared" ca="1" si="313"/>
        <v>-0.59608780228998215</v>
      </c>
    </row>
    <row r="178" spans="7:30" x14ac:dyDescent="0.25">
      <c r="G178" s="19">
        <v>77</v>
      </c>
      <c r="H178" s="19">
        <f t="shared" ca="1" si="363"/>
        <v>0.75667026753616495</v>
      </c>
      <c r="I178" s="19">
        <f t="shared" ca="1" si="363"/>
        <v>0.30029538309958104</v>
      </c>
      <c r="J178" s="19">
        <f t="shared" ca="1" si="297"/>
        <v>-0.23208026568672524</v>
      </c>
      <c r="K178" s="19">
        <f t="shared" ca="1" si="298"/>
        <v>0.70978457783632276</v>
      </c>
      <c r="L178" s="19">
        <f t="array" aca="1" ref="L178:M178" ca="1">MMULT(J178:K178,TRANSPOSE($B$10:$C$11))</f>
        <v>-0.23208026568672524</v>
      </c>
      <c r="M178" s="19">
        <f ca="1"/>
        <v>0.66142206949323135</v>
      </c>
      <c r="N178" s="20">
        <f t="shared" ca="1" si="320"/>
        <v>9.8730688803535194E-2</v>
      </c>
      <c r="O178" s="20">
        <f t="shared" ca="1" si="299"/>
        <v>-4.6120530286610393E-3</v>
      </c>
      <c r="P178" s="19">
        <f t="shared" ca="1" si="305"/>
        <v>82.2741890156762</v>
      </c>
      <c r="Q178" s="19">
        <f ca="1">HCTrans(P178,Strike,RiskFreeRate,Dividend,Variance_T0*AnnualVarConvtr,(Simulation!G178)/250,0.5,Variance_Avg*AnnualVarConvtr,Lambda,SQRT(Simulation!N178),Rho,1,"Call")</f>
        <v>7.3729246118219436</v>
      </c>
      <c r="R178" s="19">
        <f t="shared" ca="1" si="300"/>
        <v>0.72831366530123887</v>
      </c>
      <c r="S178" s="19">
        <f t="shared" ca="1" si="301"/>
        <v>1.2720131427124192E-14</v>
      </c>
      <c r="T178" s="19">
        <f t="shared" ca="1" si="306"/>
        <v>-5.28887025738518E-12</v>
      </c>
      <c r="U178" s="19">
        <f t="shared" ca="1" si="307"/>
        <v>-0.83416643631244025</v>
      </c>
      <c r="V178" s="21">
        <f t="shared" ca="1" si="308"/>
        <v>6.7406662004251968E-4</v>
      </c>
      <c r="W178">
        <f t="shared" ca="1" si="309"/>
        <v>2.5962792993869509E-2</v>
      </c>
      <c r="X178" s="22">
        <f t="shared" ref="X178" ca="1" si="402">BSdelta(1,P178,Strike,W178*AnnualVarConvtr,Dividend,RiskFreeRate,G178/250)</f>
        <v>0.22888835152891474</v>
      </c>
      <c r="Y178" s="22">
        <f t="shared" ca="1" si="315"/>
        <v>-7.2431790344475395</v>
      </c>
      <c r="Z178" s="22">
        <f t="shared" ca="1" si="316"/>
        <v>-23.76499078820444</v>
      </c>
      <c r="AA178">
        <f t="shared" si="303"/>
        <v>0.73884103340948371</v>
      </c>
      <c r="AB178">
        <f t="shared" ref="AB178" ca="1" si="403">BSdelta(1,P178,Strike,AA178/AnnualVarConvtr,Dividend,RiskFreeRate,G178/250)</f>
        <v>2.9407016797612375E-14</v>
      </c>
      <c r="AC178">
        <f t="shared" ca="1" si="312"/>
        <v>-1.0761451514277956E-11</v>
      </c>
      <c r="AD178">
        <f t="shared" ca="1" si="313"/>
        <v>-0.84152271227535547</v>
      </c>
    </row>
    <row r="179" spans="7:30" x14ac:dyDescent="0.25">
      <c r="G179" s="19">
        <v>76</v>
      </c>
      <c r="H179" s="19">
        <f t="shared" ca="1" si="363"/>
        <v>0.38893642737568568</v>
      </c>
      <c r="I179" s="19">
        <f t="shared" ca="1" si="363"/>
        <v>0.76831900934190656</v>
      </c>
      <c r="J179" s="19">
        <f t="shared" ca="1" si="297"/>
        <v>0.15783434915479633</v>
      </c>
      <c r="K179" s="19">
        <f t="shared" ca="1" si="298"/>
        <v>-1.365198544975802</v>
      </c>
      <c r="L179" s="19">
        <f t="array" aca="1" ref="L179:M179" ca="1">MMULT(J179:K179,TRANSPOSE($B$10:$C$11))</f>
        <v>0.15783434915479633</v>
      </c>
      <c r="M179" s="19">
        <f ca="1"/>
        <v>-1.0654331932565702</v>
      </c>
      <c r="N179" s="20">
        <f t="shared" ca="1" si="320"/>
        <v>9.0206504113131622E-2</v>
      </c>
      <c r="O179" s="20">
        <f t="shared" ca="1" si="299"/>
        <v>2.9981299000088764E-3</v>
      </c>
      <c r="P179" s="19">
        <f t="shared" ca="1" si="305"/>
        <v>82.521227863993701</v>
      </c>
      <c r="Q179" s="19">
        <f ca="1">HCTrans(P179,Strike,RiskFreeRate,Dividend,Variance_T0*AnnualVarConvtr,(Simulation!G179)/250,0.5,Variance_Avg*AnnualVarConvtr,Lambda,SQRT(Simulation!N179),Rho,1,"Call")</f>
        <v>7.4065494188173489</v>
      </c>
      <c r="R179" s="19">
        <f t="shared" ca="1" si="300"/>
        <v>0.72948803792959116</v>
      </c>
      <c r="S179" s="19">
        <f t="shared" ca="1" si="301"/>
        <v>2.3586099321726386E-14</v>
      </c>
      <c r="T179" s="19">
        <f t="shared" ca="1" si="306"/>
        <v>8.9667301259330761E-13</v>
      </c>
      <c r="U179" s="19">
        <f t="shared" ca="1" si="307"/>
        <v>-0.80054162931793171</v>
      </c>
      <c r="V179" s="21">
        <f t="shared" ca="1" si="308"/>
        <v>5.7914884207819011E-5</v>
      </c>
      <c r="W179">
        <f t="shared" ca="1" si="309"/>
        <v>7.6101829286699153E-3</v>
      </c>
      <c r="X179" s="22">
        <f t="shared" ref="X179" ca="1" si="404">BSdelta(1,P179,Strike,W179*AnnualVarConvtr,Dividend,RiskFreeRate,G179/250)</f>
        <v>2.1011617245210884E-3</v>
      </c>
      <c r="Y179" s="22">
        <f t="shared" ca="1" si="315"/>
        <v>-18.714757366483155</v>
      </c>
      <c r="Z179" s="22">
        <f t="shared" ca="1" si="316"/>
        <v>-5.0166086147258788</v>
      </c>
      <c r="AA179">
        <f t="shared" si="303"/>
        <v>0.73884103340948371</v>
      </c>
      <c r="AB179">
        <f t="shared" ref="AB179" ca="1" si="405">BSdelta(1,P179,Strike,AA179/AnnualVarConvtr,Dividend,RiskFreeRate,G179/250)</f>
        <v>4.8933952946523568E-14</v>
      </c>
      <c r="AC179">
        <f t="shared" ca="1" si="312"/>
        <v>1.6113867474299561E-12</v>
      </c>
      <c r="AD179">
        <f t="shared" ca="1" si="313"/>
        <v>-0.80789790528156158</v>
      </c>
    </row>
    <row r="180" spans="7:30" x14ac:dyDescent="0.25">
      <c r="G180" s="19">
        <v>75</v>
      </c>
      <c r="H180" s="19">
        <f t="shared" ca="1" si="363"/>
        <v>2.6316640321957241E-2</v>
      </c>
      <c r="I180" s="19">
        <f t="shared" ca="1" si="363"/>
        <v>0.74808597958310341</v>
      </c>
      <c r="J180" s="19">
        <f t="shared" ca="1" si="297"/>
        <v>-3.2436626349744944E-2</v>
      </c>
      <c r="K180" s="19">
        <f t="shared" ca="1" si="298"/>
        <v>-2.6970457024864114</v>
      </c>
      <c r="L180" s="19">
        <f t="array" aca="1" ref="L180:M180" ca="1">MMULT(J180:K180,TRANSPOSE($B$10:$C$11))</f>
        <v>-3.2436626349744944E-2</v>
      </c>
      <c r="M180" s="19">
        <f ca="1"/>
        <v>-1.8581834240208284</v>
      </c>
      <c r="N180" s="20">
        <f t="shared" ca="1" si="320"/>
        <v>7.660001654947321E-2</v>
      </c>
      <c r="O180" s="20">
        <f t="shared" ca="1" si="299"/>
        <v>-5.6778001955008197E-4</v>
      </c>
      <c r="P180" s="19">
        <f t="shared" ca="1" si="305"/>
        <v>82.474387258462102</v>
      </c>
      <c r="Q180" s="19">
        <f ca="1">HCTrans(P180,Strike,RiskFreeRate,Dividend,Variance_T0*AnnualVarConvtr,(Simulation!G180)/250,0.5,Variance_Avg*AnnualVarConvtr,Lambda,SQRT(Simulation!N180),Rho,1,"Call")</f>
        <v>7.3313464854788464</v>
      </c>
      <c r="R180" s="19">
        <f t="shared" ca="1" si="300"/>
        <v>0.73105222753609644</v>
      </c>
      <c r="S180" s="19">
        <f t="shared" ca="1" si="301"/>
        <v>1.5282155977294872E-14</v>
      </c>
      <c r="T180" s="19">
        <f t="shared" ca="1" si="306"/>
        <v>-6.848626391609737E-13</v>
      </c>
      <c r="U180" s="19">
        <f t="shared" ca="1" si="307"/>
        <v>-0.87574456265574929</v>
      </c>
      <c r="V180" s="21">
        <f t="shared" ca="1" si="308"/>
        <v>1.2715713554408978E-5</v>
      </c>
      <c r="W180">
        <f t="shared" ca="1" si="309"/>
        <v>3.5659099195589584E-3</v>
      </c>
      <c r="X180" s="22">
        <f t="shared" ref="X180" ca="1" si="406">BSdelta(1,P180,Strike,W180*AnnualVarConvtr,Dividend,RiskFreeRate,G180/250)</f>
        <v>2.4242130421112684E-10</v>
      </c>
      <c r="Y180" s="22">
        <f t="shared" ca="1" si="315"/>
        <v>-0.17329200576726178</v>
      </c>
      <c r="Z180" s="22">
        <f t="shared" ca="1" si="316"/>
        <v>-4.9185195422971191</v>
      </c>
      <c r="AA180">
        <f t="shared" si="303"/>
        <v>0.73884103340948371</v>
      </c>
      <c r="AB180">
        <f t="shared" ref="AB180" ca="1" si="407">BSdelta(1,P180,Strike,AA180/AnnualVarConvtr,Dividend,RiskFreeRate,G180/250)</f>
        <v>2.8333161798599052E-14</v>
      </c>
      <c r="AC180">
        <f t="shared" ca="1" si="312"/>
        <v>-1.6990376269646245E-12</v>
      </c>
      <c r="AD180">
        <f t="shared" ca="1" si="313"/>
        <v>-0.88310083861836497</v>
      </c>
    </row>
    <row r="181" spans="7:30" x14ac:dyDescent="0.25">
      <c r="G181" s="19">
        <v>74</v>
      </c>
      <c r="H181" s="19">
        <f t="shared" ca="1" si="363"/>
        <v>0.67345506472059147</v>
      </c>
      <c r="I181" s="19">
        <f t="shared" ca="1" si="363"/>
        <v>0.69040996267314247</v>
      </c>
      <c r="J181" s="19">
        <f t="shared" ca="1" si="297"/>
        <v>-0.32520387324058553</v>
      </c>
      <c r="K181" s="19">
        <f t="shared" ca="1" si="298"/>
        <v>-0.82759316674445271</v>
      </c>
      <c r="L181" s="19">
        <f t="array" aca="1" ref="L181:M181" ca="1">MMULT(J181:K181,TRANSPOSE($B$10:$C$11))</f>
        <v>-0.32520387324058553</v>
      </c>
      <c r="M181" s="19">
        <f ca="1"/>
        <v>-0.34430973482275051</v>
      </c>
      <c r="N181" s="20">
        <f t="shared" ca="1" si="320"/>
        <v>7.3912487263007517E-2</v>
      </c>
      <c r="O181" s="20">
        <f t="shared" ca="1" si="299"/>
        <v>-5.5917096652703859E-3</v>
      </c>
      <c r="P181" s="19">
        <f t="shared" ca="1" si="305"/>
        <v>82.014501402463281</v>
      </c>
      <c r="Q181" s="19">
        <f ca="1">HCTrans(P181,Strike,RiskFreeRate,Dividend,Variance_T0*AnnualVarConvtr,(Simulation!G181)/250,0.5,Variance_Avg*AnnualVarConvtr,Lambda,SQRT(Simulation!N181),Rho,1,"Call")</f>
        <v>7.0703864605643219</v>
      </c>
      <c r="R181" s="19">
        <f t="shared" ca="1" si="300"/>
        <v>0.73109425675508122</v>
      </c>
      <c r="S181" s="19">
        <f t="shared" ca="1" si="301"/>
        <v>1.7865050686637836E-15</v>
      </c>
      <c r="T181" s="19">
        <f t="shared" ca="1" si="306"/>
        <v>-1.1068390803730791E-12</v>
      </c>
      <c r="U181" s="19">
        <f t="shared" ca="1" si="307"/>
        <v>-1.1367045875691668</v>
      </c>
      <c r="V181" s="21">
        <f t="shared" ca="1" si="308"/>
        <v>2.5239869085147334E-5</v>
      </c>
      <c r="W181">
        <f t="shared" ca="1" si="309"/>
        <v>5.0239296457203035E-3</v>
      </c>
      <c r="X181" s="22">
        <f t="shared" ref="X181" ca="1" si="408">BSdelta(1,P181,Strike,W181*AnnualVarConvtr,Dividend,RiskFreeRate,G181/250)</f>
        <v>2.4830632061756888E-6</v>
      </c>
      <c r="Y181" s="22">
        <f t="shared" ca="1" si="315"/>
        <v>2.0362730874290679E-4</v>
      </c>
      <c r="Z181" s="22">
        <f t="shared" ca="1" si="316"/>
        <v>-5.1796831945203863</v>
      </c>
      <c r="AA181">
        <f t="shared" si="303"/>
        <v>0.73884103340948371</v>
      </c>
      <c r="AB181">
        <f t="shared" ref="AB181" ca="1" si="409">BSdelta(1,P181,Strike,AA181/AnnualVarConvtr,Dividend,RiskFreeRate,G181/250)</f>
        <v>3.4502033412842247E-15</v>
      </c>
      <c r="AC181">
        <f t="shared" ca="1" si="312"/>
        <v>-2.0407634312948827E-12</v>
      </c>
      <c r="AD181">
        <f t="shared" ca="1" si="313"/>
        <v>-1.1440608635308487</v>
      </c>
    </row>
    <row r="182" spans="7:30" x14ac:dyDescent="0.25">
      <c r="G182" s="19">
        <v>73</v>
      </c>
      <c r="H182" s="19">
        <f t="shared" ca="1" si="363"/>
        <v>0.63881111929009449</v>
      </c>
      <c r="I182" s="19">
        <f t="shared" ca="1" si="363"/>
        <v>0.82638951879982181</v>
      </c>
      <c r="J182" s="19">
        <f t="shared" ca="1" si="297"/>
        <v>0.4371534224699094</v>
      </c>
      <c r="K182" s="19">
        <f t="shared" ca="1" si="298"/>
        <v>-0.83975579649822152</v>
      </c>
      <c r="L182" s="19">
        <f t="array" aca="1" ref="L182:M182" ca="1">MMULT(J182:K182,TRANSPOSE($B$10:$C$11))</f>
        <v>0.4371534224699094</v>
      </c>
      <c r="M182" s="19">
        <f ca="1"/>
        <v>-0.89902323071226053</v>
      </c>
      <c r="N182" s="20">
        <f t="shared" ca="1" si="320"/>
        <v>6.7686345079829333E-2</v>
      </c>
      <c r="O182" s="20">
        <f t="shared" ca="1" si="299"/>
        <v>7.1930720481965848E-3</v>
      </c>
      <c r="P182" s="19">
        <f t="shared" ca="1" si="305"/>
        <v>82.606564443312706</v>
      </c>
      <c r="Q182" s="19">
        <f ca="1">HCTrans(P182,Strike,RiskFreeRate,Dividend,Variance_T0*AnnualVarConvtr,(Simulation!G182)/250,0.5,Variance_Avg*AnnualVarConvtr,Lambda,SQRT(Simulation!N182),Rho,1,"Call")</f>
        <v>7.2341928233889519</v>
      </c>
      <c r="R182" s="19">
        <f t="shared" ca="1" si="300"/>
        <v>0.73231143771631857</v>
      </c>
      <c r="S182" s="19">
        <f t="shared" ca="1" si="301"/>
        <v>1.2456524443701562E-14</v>
      </c>
      <c r="T182" s="19">
        <f t="shared" ca="1" si="306"/>
        <v>8.8141364311545337E-13</v>
      </c>
      <c r="U182" s="19">
        <f t="shared" ca="1" si="307"/>
        <v>-0.97289822474541821</v>
      </c>
      <c r="V182" s="21">
        <f t="shared" ca="1" si="308"/>
        <v>1.6345064346099948E-4</v>
      </c>
      <c r="W182">
        <f t="shared" ca="1" si="309"/>
        <v>1.2784781713466972E-2</v>
      </c>
      <c r="X182" s="22">
        <f t="shared" ref="X182" ca="1" si="410">BSdelta(1,P182,Strike,W182*AnnualVarConvtr,Dividend,RiskFreeRate,G182/250)</f>
        <v>4.5068305980986642E-2</v>
      </c>
      <c r="Y182" s="22">
        <f t="shared" ca="1" si="315"/>
        <v>3.7227328050485511</v>
      </c>
      <c r="Z182" s="22">
        <f t="shared" ca="1" si="316"/>
        <v>-8.7386096367443074</v>
      </c>
      <c r="AA182">
        <f t="shared" si="303"/>
        <v>0.73884103340948371</v>
      </c>
      <c r="AB182">
        <f t="shared" ref="AB182" ca="1" si="411">BSdelta(1,P182,Strike,AA182/AnnualVarConvtr,Dividend,RiskFreeRate,G182/250)</f>
        <v>2.0983582321056999E-14</v>
      </c>
      <c r="AC182">
        <f t="shared" ca="1" si="312"/>
        <v>1.4483722006016239E-12</v>
      </c>
      <c r="AD182">
        <f t="shared" ca="1" si="313"/>
        <v>-0.98025450070766706</v>
      </c>
    </row>
    <row r="183" spans="7:30" x14ac:dyDescent="0.25">
      <c r="G183" s="19">
        <v>72</v>
      </c>
      <c r="H183" s="19">
        <f t="shared" ca="1" si="363"/>
        <v>0.89237381570327123</v>
      </c>
      <c r="I183" s="19">
        <f t="shared" ca="1" si="363"/>
        <v>0.82091795358854514</v>
      </c>
      <c r="J183" s="19">
        <f t="shared" ca="1" si="297"/>
        <v>0.20567811691995919</v>
      </c>
      <c r="K183" s="19">
        <f t="shared" ca="1" si="298"/>
        <v>-0.43062376710885047</v>
      </c>
      <c r="L183" s="19">
        <f t="array" aca="1" ref="L183:M183" ca="1">MMULT(J183:K183,TRANSPOSE($B$10:$C$11))</f>
        <v>0.20567811691995919</v>
      </c>
      <c r="M183" s="19">
        <f ca="1"/>
        <v>-0.44776595193119051</v>
      </c>
      <c r="N183" s="20">
        <f t="shared" ca="1" si="320"/>
        <v>6.4538558924270864E-2</v>
      </c>
      <c r="O183" s="20">
        <f t="shared" ca="1" si="299"/>
        <v>3.3046670868787662E-3</v>
      </c>
      <c r="P183" s="19">
        <f t="shared" ca="1" si="305"/>
        <v>82.880003201172329</v>
      </c>
      <c r="Q183" s="19">
        <f ca="1">HCTrans(P183,Strike,RiskFreeRate,Dividend,Variance_T0*AnnualVarConvtr,(Simulation!G183)/250,0.5,Variance_Avg*AnnualVarConvtr,Lambda,SQRT(Simulation!N183),Rho,1,"Call")</f>
        <v>7.2646808640887031</v>
      </c>
      <c r="R183" s="19">
        <f t="shared" ca="1" si="300"/>
        <v>0.73292701274156613</v>
      </c>
      <c r="S183" s="19">
        <f t="shared" ca="1" si="301"/>
        <v>2.4240447598694149E-14</v>
      </c>
      <c r="T183" s="19">
        <f t="shared" ca="1" si="306"/>
        <v>9.7665158880815442E-13</v>
      </c>
      <c r="U183" s="19">
        <f t="shared" ca="1" si="307"/>
        <v>-0.94241018404664367</v>
      </c>
      <c r="V183" s="21">
        <f t="shared" ca="1" si="308"/>
        <v>1.5119693143201026E-5</v>
      </c>
      <c r="W183">
        <f t="shared" ca="1" si="309"/>
        <v>3.8884049613178186E-3</v>
      </c>
      <c r="X183" s="22">
        <f t="shared" ref="X183" ca="1" si="412">BSdelta(1,P183,Strike,W183*AnnualVarConvtr,Dividend,RiskFreeRate,G183/250)</f>
        <v>6.946822861307496E-9</v>
      </c>
      <c r="Y183" s="22">
        <f t="shared" ca="1" si="315"/>
        <v>-3.735260768222886</v>
      </c>
      <c r="Z183" s="22">
        <f t="shared" ca="1" si="316"/>
        <v>-4.9728608278216697</v>
      </c>
      <c r="AA183">
        <f t="shared" si="303"/>
        <v>0.73884103340948371</v>
      </c>
      <c r="AB183">
        <f t="shared" ref="AB183" ca="1" si="413">BSdelta(1,P183,Strike,AA183/AnnualVarConvtr,Dividend,RiskFreeRate,G183/250)</f>
        <v>3.8477528551365299E-14</v>
      </c>
      <c r="AC183">
        <f t="shared" ca="1" si="312"/>
        <v>1.4498983195690885E-12</v>
      </c>
      <c r="AD183">
        <f t="shared" ca="1" si="313"/>
        <v>-0.94976646000936582</v>
      </c>
    </row>
    <row r="184" spans="7:30" x14ac:dyDescent="0.25">
      <c r="G184" s="19">
        <v>71</v>
      </c>
      <c r="H184" s="19">
        <f t="shared" ca="1" si="363"/>
        <v>0.4544232127987774</v>
      </c>
      <c r="I184" s="19">
        <f t="shared" ca="1" si="363"/>
        <v>0.18520604396985085</v>
      </c>
      <c r="J184" s="19">
        <f t="shared" ca="1" si="297"/>
        <v>0.4973118961885663</v>
      </c>
      <c r="K184" s="19">
        <f t="shared" ca="1" si="298"/>
        <v>1.1533141526316921</v>
      </c>
      <c r="L184" s="19">
        <f t="array" aca="1" ref="L184:M184" ca="1">MMULT(J184:K184,TRANSPOSE($B$10:$C$11))</f>
        <v>0.4973118961885663</v>
      </c>
      <c r="M184" s="19">
        <f ca="1"/>
        <v>0.44821309151301786</v>
      </c>
      <c r="N184" s="20">
        <f t="shared" ca="1" si="320"/>
        <v>6.705600435277892E-2</v>
      </c>
      <c r="O184" s="20">
        <f t="shared" ca="1" si="299"/>
        <v>8.1447485234198008E-3</v>
      </c>
      <c r="P184" s="19">
        <f t="shared" ca="1" si="305"/>
        <v>83.557796465822349</v>
      </c>
      <c r="Q184" s="19">
        <f ca="1">HCTrans(P184,Strike,RiskFreeRate,Dividend,Variance_T0*AnnualVarConvtr,(Simulation!G184)/250,0.5,Variance_Avg*AnnualVarConvtr,Lambda,SQRT(Simulation!N184),Rho,1,"Call")</f>
        <v>7.4462815900450323</v>
      </c>
      <c r="R184" s="19">
        <f t="shared" ca="1" si="300"/>
        <v>0.73311415709882355</v>
      </c>
      <c r="S184" s="19">
        <f t="shared" ca="1" si="301"/>
        <v>1.9724557407867053E-13</v>
      </c>
      <c r="T184" s="19">
        <f t="shared" ca="1" si="306"/>
        <v>1.4455927145957719E-11</v>
      </c>
      <c r="U184" s="19">
        <f t="shared" ca="1" si="307"/>
        <v>-0.7608094581047703</v>
      </c>
      <c r="V184" s="21">
        <f t="shared" ca="1" si="308"/>
        <v>2.3426388312349126E-5</v>
      </c>
      <c r="W184">
        <f t="shared" ca="1" si="309"/>
        <v>4.8400814365410346E-3</v>
      </c>
      <c r="X184" s="22">
        <f t="shared" ref="X184" ca="1" si="414">BSdelta(1,P184,Strike,W184*AnnualVarConvtr,Dividend,RiskFreeRate,G184/250)</f>
        <v>5.8219150734891404E-6</v>
      </c>
      <c r="Y184" s="22">
        <f t="shared" ca="1" si="315"/>
        <v>4.858859335411795E-4</v>
      </c>
      <c r="Z184" s="22">
        <f t="shared" ca="1" si="316"/>
        <v>-4.7917459877988815</v>
      </c>
      <c r="AA184">
        <f t="shared" si="303"/>
        <v>0.73884103340948371</v>
      </c>
      <c r="AB184">
        <f t="shared" ref="AB184" ca="1" si="415">BSdelta(1,P184,Strike,AA184/AnnualVarConvtr,Dividend,RiskFreeRate,G184/250)</f>
        <v>2.9888027742987803E-13</v>
      </c>
      <c r="AC184">
        <f t="shared" ca="1" si="312"/>
        <v>2.1758679889931417E-11</v>
      </c>
      <c r="AD184">
        <f t="shared" ca="1" si="313"/>
        <v>-0.76816573407479527</v>
      </c>
    </row>
    <row r="185" spans="7:30" x14ac:dyDescent="0.25">
      <c r="G185" s="19">
        <v>70</v>
      </c>
      <c r="H185" s="19">
        <f t="shared" ca="1" si="363"/>
        <v>0.79235847726064346</v>
      </c>
      <c r="I185" s="19">
        <f t="shared" ca="1" si="363"/>
        <v>0.80976067588518608</v>
      </c>
      <c r="J185" s="19">
        <f t="shared" ca="1" si="297"/>
        <v>0.25020357340353988</v>
      </c>
      <c r="K185" s="19">
        <f t="shared" ca="1" si="298"/>
        <v>-0.63472900153486089</v>
      </c>
      <c r="L185" s="19">
        <f t="array" aca="1" ref="L185:M185" ca="1">MMULT(J185:K185,TRANSPOSE($B$10:$C$11))</f>
        <v>0.25020357340353988</v>
      </c>
      <c r="M185" s="19">
        <f ca="1"/>
        <v>-0.62204961831157091</v>
      </c>
      <c r="N185" s="20">
        <f t="shared" ca="1" si="320"/>
        <v>6.2846290084833542E-2</v>
      </c>
      <c r="O185" s="20">
        <f t="shared" ca="1" si="299"/>
        <v>3.9670102855286233E-3</v>
      </c>
      <c r="P185" s="19">
        <f t="shared" ca="1" si="305"/>
        <v>83.889929455762655</v>
      </c>
      <c r="Q185" s="19">
        <f ca="1">HCTrans(P185,Strike,RiskFreeRate,Dividend,Variance_T0*AnnualVarConvtr,(Simulation!G185)/250,0.5,Variance_Avg*AnnualVarConvtr,Lambda,SQRT(Simulation!N185),Rho,1,"Call")</f>
        <v>7.5020149570844126</v>
      </c>
      <c r="R185" s="19">
        <f t="shared" ca="1" si="300"/>
        <v>0.73387695233598949</v>
      </c>
      <c r="S185" s="19">
        <f t="shared" ca="1" si="301"/>
        <v>4.6623538694297525E-13</v>
      </c>
      <c r="T185" s="19">
        <f t="shared" ca="1" si="306"/>
        <v>2.2565536425505324E-11</v>
      </c>
      <c r="U185" s="19">
        <f t="shared" ca="1" si="307"/>
        <v>-0.70507609108795555</v>
      </c>
      <c r="V185" s="21">
        <f t="shared" ca="1" si="308"/>
        <v>1.745349678433808E-5</v>
      </c>
      <c r="W185">
        <f t="shared" ca="1" si="309"/>
        <v>4.1777382378911775E-3</v>
      </c>
      <c r="X185" s="22">
        <f t="shared" ref="X185" ca="1" si="416">BSdelta(1,P185,Strike,W185*AnnualVarConvtr,Dividend,RiskFreeRate,G185/250)</f>
        <v>2.7471571478806636E-7</v>
      </c>
      <c r="Y185" s="22">
        <f t="shared" ca="1" si="315"/>
        <v>-4.6535416287848497E-4</v>
      </c>
      <c r="Z185" s="22">
        <f t="shared" ca="1" si="316"/>
        <v>-4.7355472665966225</v>
      </c>
      <c r="AA185">
        <f t="shared" si="303"/>
        <v>0.73884103340948371</v>
      </c>
      <c r="AB185">
        <f t="shared" ref="AB185" ca="1" si="417">BSdelta(1,P185,Strike,AA185/AnnualVarConvtr,Dividend,RiskFreeRate,G185/250)</f>
        <v>6.6100766309602825E-13</v>
      </c>
      <c r="AC185">
        <f t="shared" ca="1" si="312"/>
        <v>3.03788408375331E-11</v>
      </c>
      <c r="AD185">
        <f t="shared" ca="1" si="313"/>
        <v>-0.71243236706579383</v>
      </c>
    </row>
    <row r="186" spans="7:30" x14ac:dyDescent="0.25">
      <c r="G186" s="19">
        <v>69</v>
      </c>
      <c r="H186" s="19">
        <f t="shared" ca="1" si="363"/>
        <v>0.9127051768769695</v>
      </c>
      <c r="I186" s="19">
        <f t="shared" ca="1" si="363"/>
        <v>0.97471335557508754</v>
      </c>
      <c r="J186" s="19">
        <f t="shared" ca="1" si="297"/>
        <v>0.42203303694813665</v>
      </c>
      <c r="K186" s="19">
        <f t="shared" ca="1" si="298"/>
        <v>-6.7622855469382709E-2</v>
      </c>
      <c r="L186" s="19">
        <f t="array" aca="1" ref="L186:M186" ca="1">MMULT(J186:K186,TRANSPOSE($B$10:$C$11))</f>
        <v>0.42203303694813665</v>
      </c>
      <c r="M186" s="19">
        <f ca="1"/>
        <v>-0.34955950202812819</v>
      </c>
      <c r="N186" s="20">
        <f t="shared" ca="1" si="320"/>
        <v>6.0420093170714881E-2</v>
      </c>
      <c r="O186" s="20">
        <f t="shared" ca="1" si="299"/>
        <v>6.560956223828171E-3</v>
      </c>
      <c r="P186" s="19">
        <f t="shared" ca="1" si="305"/>
        <v>84.442137134880213</v>
      </c>
      <c r="Q186" s="19">
        <f ca="1">HCTrans(P186,Strike,RiskFreeRate,Dividend,Variance_T0*AnnualVarConvtr,(Simulation!G186)/250,0.5,Variance_Avg*AnnualVarConvtr,Lambda,SQRT(Simulation!N186),Rho,1,"Call")</f>
        <v>7.6443622431443572</v>
      </c>
      <c r="R186" s="19">
        <f t="shared" ca="1" si="300"/>
        <v>0.73456004127707297</v>
      </c>
      <c r="S186" s="19">
        <f t="shared" ca="1" si="301"/>
        <v>2.3175122524187799E-12</v>
      </c>
      <c r="T186" s="19">
        <f t="shared" ca="1" si="306"/>
        <v>1.5632577494913906E-10</v>
      </c>
      <c r="U186" s="19">
        <f t="shared" ca="1" si="307"/>
        <v>-0.56272880518433666</v>
      </c>
      <c r="V186" s="21">
        <f t="shared" ca="1" si="308"/>
        <v>6.7285555308207212E-6</v>
      </c>
      <c r="W186">
        <f t="shared" ca="1" si="309"/>
        <v>2.5939459382995477E-3</v>
      </c>
      <c r="X186" s="22">
        <f t="shared" ref="X186" ca="1" si="418">BSdelta(1,P186,Strike,W186*AnnualVarConvtr,Dividend,RiskFreeRate,G186/250)</f>
        <v>2.3002083664519102E-15</v>
      </c>
      <c r="Y186" s="22">
        <f t="shared" ca="1" si="315"/>
        <v>-2.3197581867006026E-5</v>
      </c>
      <c r="Z186" s="22">
        <f t="shared" ca="1" si="316"/>
        <v>-4.5931767829548109</v>
      </c>
      <c r="AA186">
        <f t="shared" si="303"/>
        <v>0.73884103340948371</v>
      </c>
      <c r="AB186">
        <f t="shared" ref="AB186" ca="1" si="419">BSdelta(1,P186,Strike,AA186/AnnualVarConvtr,Dividend,RiskFreeRate,G186/250)</f>
        <v>3.0754287766470818E-12</v>
      </c>
      <c r="AC186">
        <f t="shared" ca="1" si="312"/>
        <v>2.0387887877182825E-10</v>
      </c>
      <c r="AD186">
        <f t="shared" ca="1" si="313"/>
        <v>-0.57008508120972812</v>
      </c>
    </row>
    <row r="187" spans="7:30" x14ac:dyDescent="0.25">
      <c r="G187" s="19">
        <v>68</v>
      </c>
      <c r="H187" s="19">
        <f t="shared" ca="1" si="363"/>
        <v>0.70334226125956101</v>
      </c>
      <c r="I187" s="19">
        <f t="shared" ca="1" si="363"/>
        <v>0.97083096239746203</v>
      </c>
      <c r="J187" s="19">
        <f t="shared" ca="1" si="297"/>
        <v>0.82489133582830554</v>
      </c>
      <c r="K187" s="19">
        <f t="shared" ca="1" si="298"/>
        <v>-0.15289728293480651</v>
      </c>
      <c r="L187" s="19">
        <f t="array" aca="1" ref="L187:M187" ca="1">MMULT(J187:K187,TRANSPOSE($B$10:$C$11))</f>
        <v>0.82489133582830554</v>
      </c>
      <c r="M187" s="19">
        <f ca="1"/>
        <v>-0.69769381299680111</v>
      </c>
      <c r="N187" s="20">
        <f t="shared" ca="1" si="320"/>
        <v>5.6005164631107975E-2</v>
      </c>
      <c r="O187" s="20">
        <f t="shared" ca="1" si="299"/>
        <v>1.2346412327942025E-2</v>
      </c>
      <c r="P187" s="19">
        <f t="shared" ca="1" si="305"/>
        <v>85.491157068638728</v>
      </c>
      <c r="Q187" s="19">
        <f ca="1">HCTrans(P187,Strike,RiskFreeRate,Dividend,Variance_T0*AnnualVarConvtr,(Simulation!G187)/250,0.5,Variance_Avg*AnnualVarConvtr,Lambda,SQRT(Simulation!N187),Rho,1,"Call")</f>
        <v>8.0011502831002304</v>
      </c>
      <c r="R187" s="19">
        <f t="shared" ca="1" si="300"/>
        <v>0.73576272131217069</v>
      </c>
      <c r="S187" s="19">
        <f t="shared" ca="1" si="301"/>
        <v>5.7036983723406456E-11</v>
      </c>
      <c r="T187" s="19">
        <f t="shared" ca="1" si="306"/>
        <v>4.6780309302391032E-9</v>
      </c>
      <c r="U187" s="19">
        <f t="shared" ca="1" si="307"/>
        <v>-0.20594076990649443</v>
      </c>
      <c r="V187" s="21">
        <f t="shared" ca="1" si="308"/>
        <v>3.3471502332628258E-5</v>
      </c>
      <c r="W187">
        <f t="shared" ca="1" si="309"/>
        <v>5.7854561041138543E-3</v>
      </c>
      <c r="X187" s="22">
        <f t="shared" ref="X187" ca="1" si="420">BSdelta(1,P187,Strike,W187*AnnualVarConvtr,Dividend,RiskFreeRate,G187/250)</f>
        <v>5.5333346827441104E-4</v>
      </c>
      <c r="Y187" s="22">
        <f t="shared" ca="1" si="315"/>
        <v>4.730511844738565E-2</v>
      </c>
      <c r="Z187" s="22">
        <f t="shared" ca="1" si="316"/>
        <v>-4.2836938614463236</v>
      </c>
      <c r="AA187">
        <f t="shared" si="303"/>
        <v>0.73884103340948371</v>
      </c>
      <c r="AB187">
        <f t="shared" ref="AB187" ca="1" si="421">BSdelta(1,P187,Strike,AA187/AnnualVarConvtr,Dividend,RiskFreeRate,G187/250)</f>
        <v>6.8113232450791051E-11</v>
      </c>
      <c r="AC187">
        <f t="shared" ca="1" si="312"/>
        <v>5.560157089305531E-9</v>
      </c>
      <c r="AD187">
        <f t="shared" ca="1" si="313"/>
        <v>-0.21329704681401204</v>
      </c>
    </row>
    <row r="188" spans="7:30" x14ac:dyDescent="0.25">
      <c r="G188" s="19">
        <v>67</v>
      </c>
      <c r="H188" s="19">
        <f t="shared" ca="1" si="363"/>
        <v>0.31732401350843342</v>
      </c>
      <c r="I188" s="19">
        <f t="shared" ca="1" si="363"/>
        <v>0.70850220212898107</v>
      </c>
      <c r="J188" s="19">
        <f t="shared" ca="1" si="297"/>
        <v>-0.39059527155849627</v>
      </c>
      <c r="K188" s="19">
        <f t="shared" ca="1" si="298"/>
        <v>-1.4639327644426503</v>
      </c>
      <c r="L188" s="19">
        <f t="array" aca="1" ref="L188:M188" ca="1">MMULT(J188:K188,TRANSPOSE($B$10:$C$11))</f>
        <v>-0.39059527155849627</v>
      </c>
      <c r="M188" s="19">
        <f ca="1"/>
        <v>-0.74135908698880271</v>
      </c>
      <c r="N188" s="20">
        <f t="shared" ca="1" si="320"/>
        <v>5.1526253692618283E-2</v>
      </c>
      <c r="O188" s="20">
        <f t="shared" ca="1" si="299"/>
        <v>-5.6075255481498904E-3</v>
      </c>
      <c r="P188" s="19">
        <f t="shared" ca="1" si="305"/>
        <v>85.013104819006273</v>
      </c>
      <c r="Q188" s="19">
        <f ca="1">HCTrans(P188,Strike,RiskFreeRate,Dividend,Variance_T0*AnnualVarConvtr,(Simulation!G188)/250,0.5,Variance_Avg*AnnualVarConvtr,Lambda,SQRT(Simulation!N188),Rho,1,"Call")</f>
        <v>7.7161269232477565</v>
      </c>
      <c r="R188" s="19">
        <f t="shared" ca="1" si="300"/>
        <v>0.73606197970313336</v>
      </c>
      <c r="S188" s="19">
        <f t="shared" ca="1" si="301"/>
        <v>8.7700355256482797E-12</v>
      </c>
      <c r="T188" s="19">
        <f t="shared" ca="1" si="306"/>
        <v>-4.1033231264295621E-9</v>
      </c>
      <c r="U188" s="19">
        <f t="shared" ca="1" si="307"/>
        <v>-0.49096412565564518</v>
      </c>
      <c r="V188" s="21">
        <f t="shared" ca="1" si="308"/>
        <v>3.2234388525856795E-4</v>
      </c>
      <c r="W188">
        <f t="shared" ca="1" si="309"/>
        <v>1.7953937876091917E-2</v>
      </c>
      <c r="X188" s="22">
        <f t="shared" ref="X188" ca="1" si="422">BSdelta(1,P188,Strike,W188*AnnualVarConvtr,Dividend,RiskFreeRate,G188/250)</f>
        <v>0.15118874675605032</v>
      </c>
      <c r="Y188" s="22">
        <f t="shared" ca="1" si="315"/>
        <v>12.805984179288023</v>
      </c>
      <c r="Z188" s="22">
        <f t="shared" ca="1" si="316"/>
        <v>-17.374701400586822</v>
      </c>
      <c r="AA188">
        <f t="shared" si="303"/>
        <v>0.73884103340948371</v>
      </c>
      <c r="AB188">
        <f t="shared" ref="AB188" ca="1" si="423">BSdelta(1,P188,Strike,AA188/AnnualVarConvtr,Dividend,RiskFreeRate,G188/250)</f>
        <v>1.043721647287232E-11</v>
      </c>
      <c r="AC188">
        <f t="shared" ca="1" si="312"/>
        <v>-4.9032171918734856E-9</v>
      </c>
      <c r="AD188">
        <f t="shared" ca="1" si="313"/>
        <v>-0.49832040176326875</v>
      </c>
    </row>
    <row r="189" spans="7:30" x14ac:dyDescent="0.25">
      <c r="G189" s="19">
        <v>66</v>
      </c>
      <c r="H189" s="19">
        <f t="shared" ca="1" si="363"/>
        <v>0.4950242097479487</v>
      </c>
      <c r="I189" s="19">
        <f t="shared" ca="1" si="363"/>
        <v>0.65195973047020062</v>
      </c>
      <c r="J189" s="19">
        <f t="shared" ca="1" si="297"/>
        <v>-0.6851733915917233</v>
      </c>
      <c r="K189" s="19">
        <f t="shared" ca="1" si="298"/>
        <v>-0.96790218592073185</v>
      </c>
      <c r="L189" s="19">
        <f t="array" aca="1" ref="L189:M189" ca="1">MMULT(J189:K189,TRANSPOSE($B$10:$C$11))</f>
        <v>-0.6851733915917233</v>
      </c>
      <c r="M189" s="19">
        <f ca="1"/>
        <v>-0.18426933549968666</v>
      </c>
      <c r="N189" s="20">
        <f t="shared" ca="1" si="320"/>
        <v>5.0269922005294169E-2</v>
      </c>
      <c r="O189" s="20">
        <f t="shared" ca="1" si="299"/>
        <v>-9.7159347686852915E-3</v>
      </c>
      <c r="P189" s="19">
        <f t="shared" ca="1" si="305"/>
        <v>84.191122666794882</v>
      </c>
      <c r="Q189" s="19">
        <f ca="1">HCTrans(P189,Strike,RiskFreeRate,Dividend,Variance_T0*AnnualVarConvtr,(Simulation!G189)/250,0.5,Variance_Avg*AnnualVarConvtr,Lambda,SQRT(Simulation!N189),Rho,1,"Call")</f>
        <v>7.2885799759180543</v>
      </c>
      <c r="R189" s="19">
        <f t="shared" ca="1" si="300"/>
        <v>0.73578886005524846</v>
      </c>
      <c r="S189" s="19">
        <f t="shared" ca="1" si="301"/>
        <v>3.3610911365342759E-13</v>
      </c>
      <c r="T189" s="19">
        <f t="shared" ca="1" si="306"/>
        <v>-7.1006173311497988E-10</v>
      </c>
      <c r="U189" s="19">
        <f t="shared" ca="1" si="307"/>
        <v>-0.91851107227528561</v>
      </c>
      <c r="V189" s="21">
        <f t="shared" ca="1" si="308"/>
        <v>1.6879026323380303E-5</v>
      </c>
      <c r="W189">
        <f t="shared" ca="1" si="309"/>
        <v>4.1084092205354011E-3</v>
      </c>
      <c r="X189" s="22">
        <f t="shared" ref="X189" ca="1" si="424">BSdelta(1,P189,Strike,W189*AnnualVarConvtr,Dividend,RiskFreeRate,G189/250)</f>
        <v>1.3810358737845823E-7</v>
      </c>
      <c r="Y189" s="22">
        <f t="shared" ca="1" si="315"/>
        <v>-12.728738696881553</v>
      </c>
      <c r="Z189" s="22">
        <f t="shared" ca="1" si="316"/>
        <v>-5.0735096510349713</v>
      </c>
      <c r="AA189">
        <f t="shared" si="303"/>
        <v>0.73884103340948371</v>
      </c>
      <c r="AB189">
        <f t="shared" ref="AB189" ca="1" si="425">BSdelta(1,P189,Strike,AA189/AnnualVarConvtr,Dividend,RiskFreeRate,G189/250)</f>
        <v>4.1778568714049411E-13</v>
      </c>
      <c r="AC189">
        <f t="shared" ca="1" si="312"/>
        <v>-8.4354712633300927E-10</v>
      </c>
      <c r="AD189">
        <f t="shared" ca="1" si="313"/>
        <v>-0.92586734824942385</v>
      </c>
    </row>
    <row r="190" spans="7:30" x14ac:dyDescent="0.25">
      <c r="G190" s="19">
        <v>65</v>
      </c>
      <c r="H190" s="19">
        <f t="shared" ca="1" si="363"/>
        <v>0.92781655559414877</v>
      </c>
      <c r="I190" s="19">
        <f t="shared" ca="1" si="363"/>
        <v>0.24729199805054003</v>
      </c>
      <c r="J190" s="19">
        <f t="shared" ca="1" si="297"/>
        <v>6.5860552584793598E-3</v>
      </c>
      <c r="K190" s="19">
        <f t="shared" ca="1" si="298"/>
        <v>0.38703889943049785</v>
      </c>
      <c r="L190" s="19">
        <f t="array" aca="1" ref="L190:M190" ca="1">MMULT(J190:K190,TRANSPOSE($B$10:$C$11))</f>
        <v>6.5860552584793598E-3</v>
      </c>
      <c r="M190" s="19">
        <f ca="1"/>
        <v>0.26527443149528973</v>
      </c>
      <c r="N190" s="20">
        <f t="shared" ca="1" si="320"/>
        <v>5.1509755199351449E-2</v>
      </c>
      <c r="O190" s="20">
        <f t="shared" ca="1" si="299"/>
        <v>9.4536628286061053E-5</v>
      </c>
      <c r="P190" s="19">
        <f t="shared" ca="1" si="305"/>
        <v>84.199082187890639</v>
      </c>
      <c r="Q190" s="19">
        <f ca="1">HCTrans(P190,Strike,RiskFreeRate,Dividend,Variance_T0*AnnualVarConvtr,(Simulation!G190)/250,0.5,Variance_Avg*AnnualVarConvtr,Lambda,SQRT(Simulation!N190),Rho,1,"Call")</f>
        <v>7.196701256038935</v>
      </c>
      <c r="R190" s="19">
        <f t="shared" ca="1" si="300"/>
        <v>0.73567580316427006</v>
      </c>
      <c r="S190" s="19">
        <f t="shared" ca="1" si="301"/>
        <v>2.2878094984261354E-13</v>
      </c>
      <c r="T190" s="19">
        <f t="shared" ca="1" si="306"/>
        <v>-9.0369328857821228E-12</v>
      </c>
      <c r="U190" s="19">
        <f t="shared" ca="1" si="307"/>
        <v>-1.0103897921453679</v>
      </c>
      <c r="V190" s="21">
        <f t="shared" ca="1" si="308"/>
        <v>9.6245349030793048E-5</v>
      </c>
      <c r="W190">
        <f t="shared" ca="1" si="309"/>
        <v>9.8104713969713528E-3</v>
      </c>
      <c r="X190" s="22">
        <f t="shared" ref="X190" ca="1" si="426">BSdelta(1,P190,Strike,W190*AnnualVarConvtr,Dividend,RiskFreeRate,G190/250)</f>
        <v>1.6384982916831325E-2</v>
      </c>
      <c r="Y190" s="22">
        <f t="shared" ca="1" si="315"/>
        <v>1.3795888950661608</v>
      </c>
      <c r="Z190" s="22">
        <f t="shared" ca="1" si="316"/>
        <v>-6.5449772659802514</v>
      </c>
      <c r="AA190">
        <f t="shared" si="303"/>
        <v>0.73884103340948371</v>
      </c>
      <c r="AB190">
        <f t="shared" ref="AB190" ca="1" si="427">BSdelta(1,P190,Strike,AA190/AnnualVarConvtr,Dividend,RiskFreeRate,G190/250)</f>
        <v>2.8759957583369023E-13</v>
      </c>
      <c r="AC190">
        <f t="shared" ca="1" si="312"/>
        <v>-1.0961551085643459E-11</v>
      </c>
      <c r="AD190">
        <f t="shared" ca="1" si="313"/>
        <v>-1.0177460681175816</v>
      </c>
    </row>
    <row r="191" spans="7:30" x14ac:dyDescent="0.25">
      <c r="G191" s="19">
        <v>64</v>
      </c>
      <c r="H191" s="19">
        <f t="shared" ca="1" si="363"/>
        <v>0.59176522615143523</v>
      </c>
      <c r="I191" s="19">
        <f t="shared" ca="1" si="363"/>
        <v>0.54148108038846721</v>
      </c>
      <c r="J191" s="19">
        <f t="shared" ca="1" si="297"/>
        <v>-0.9897535030032012</v>
      </c>
      <c r="K191" s="19">
        <f t="shared" ca="1" si="298"/>
        <v>-0.26396705040254448</v>
      </c>
      <c r="L191" s="19">
        <f t="array" aca="1" ref="L191:M191" ca="1">MMULT(J191:K191,TRANSPOSE($B$10:$C$11))</f>
        <v>-0.9897535030032012</v>
      </c>
      <c r="M191" s="19">
        <f ca="1"/>
        <v>0.52501837800267848</v>
      </c>
      <c r="N191" s="20">
        <f t="shared" ca="1" si="320"/>
        <v>5.4237238731991447E-2</v>
      </c>
      <c r="O191" s="20">
        <f t="shared" ca="1" si="299"/>
        <v>-1.4578264605929779E-2</v>
      </c>
      <c r="P191" s="19">
        <f t="shared" ca="1" si="305"/>
        <v>82.980509606379385</v>
      </c>
      <c r="Q191" s="19">
        <f ca="1">HCTrans(P191,Strike,RiskFreeRate,Dividend,Variance_T0*AnnualVarConvtr,(Simulation!G191)/250,0.5,Variance_Avg*AnnualVarConvtr,Lambda,SQRT(Simulation!N191),Rho,1,"Call")</f>
        <v>6.6187645758173232</v>
      </c>
      <c r="R191" s="19">
        <f t="shared" ca="1" si="300"/>
        <v>0.73464132785968661</v>
      </c>
      <c r="S191" s="19">
        <f t="shared" ca="1" si="301"/>
        <v>1.1473641233220221E-15</v>
      </c>
      <c r="T191" s="19">
        <f t="shared" ca="1" si="306"/>
        <v>-1.8889150946514256E-11</v>
      </c>
      <c r="U191" s="19">
        <f t="shared" ca="1" si="307"/>
        <v>-1.5883264723480905</v>
      </c>
      <c r="V191" s="21">
        <f t="shared" ca="1" si="308"/>
        <v>2.152910960588059E-4</v>
      </c>
      <c r="W191">
        <f t="shared" ca="1" si="309"/>
        <v>1.467280123421584E-2</v>
      </c>
      <c r="X191" s="22">
        <f t="shared" ref="X191" ca="1" si="428">BSdelta(1,P191,Strike,W191*AnnualVarConvtr,Dividend,RiskFreeRate,G191/250)</f>
        <v>6.292403091616719E-2</v>
      </c>
      <c r="Y191" s="22">
        <f t="shared" ca="1" si="315"/>
        <v>3.8618339195806408</v>
      </c>
      <c r="Z191" s="22">
        <f t="shared" ca="1" si="316"/>
        <v>-10.984747865782504</v>
      </c>
      <c r="AA191">
        <f t="shared" si="303"/>
        <v>0.73884103340948371</v>
      </c>
      <c r="AB191">
        <f t="shared" ref="AB191" ca="1" si="429">BSdelta(1,P191,Strike,AA191/AnnualVarConvtr,Dividend,RiskFreeRate,G191/250)</f>
        <v>1.64870425875497E-15</v>
      </c>
      <c r="AC191">
        <f t="shared" ca="1" si="312"/>
        <v>-2.3728349045676473E-11</v>
      </c>
      <c r="AD191">
        <f t="shared" ca="1" si="313"/>
        <v>-1.595682748315465</v>
      </c>
    </row>
    <row r="192" spans="7:30" x14ac:dyDescent="0.25">
      <c r="G192" s="19">
        <v>63</v>
      </c>
      <c r="H192" s="19">
        <f t="shared" ca="1" si="363"/>
        <v>0.83805169766210885</v>
      </c>
      <c r="I192" s="19">
        <f t="shared" ca="1" si="363"/>
        <v>0.8452389606853149</v>
      </c>
      <c r="J192" s="19">
        <f t="shared" ca="1" si="297"/>
        <v>0.33485888563402078</v>
      </c>
      <c r="K192" s="19">
        <f t="shared" ca="1" si="298"/>
        <v>-0.49114204063180594</v>
      </c>
      <c r="L192" s="19">
        <f t="array" aca="1" ref="L192:M192" ca="1">MMULT(J192:K192,TRANSPOSE($B$10:$C$11))</f>
        <v>0.33485888563402078</v>
      </c>
      <c r="M192" s="19">
        <f ca="1"/>
        <v>-0.58254073911443038</v>
      </c>
      <c r="N192" s="20">
        <f t="shared" ca="1" si="320"/>
        <v>5.0711473856733261E-2</v>
      </c>
      <c r="O192" s="20">
        <f t="shared" ca="1" si="299"/>
        <v>4.769193459984819E-3</v>
      </c>
      <c r="P192" s="19">
        <f t="shared" ca="1" si="305"/>
        <v>83.377204916530289</v>
      </c>
      <c r="Q192" s="19">
        <f ca="1">HCTrans(P192,Strike,RiskFreeRate,Dividend,Variance_T0*AnnualVarConvtr,(Simulation!G192)/250,0.5,Variance_Avg*AnnualVarConvtr,Lambda,SQRT(Simulation!N192),Rho,1,"Call")</f>
        <v>6.6881082033243757</v>
      </c>
      <c r="R192" s="19">
        <f t="shared" ca="1" si="300"/>
        <v>0.73538041691143063</v>
      </c>
      <c r="S192" s="19">
        <f t="shared" ca="1" si="301"/>
        <v>3.7786851680846252E-15</v>
      </c>
      <c r="T192" s="19">
        <f t="shared" ca="1" si="306"/>
        <v>2.1939219395035014E-13</v>
      </c>
      <c r="U192" s="19">
        <f t="shared" ca="1" si="307"/>
        <v>-1.5189828448412575</v>
      </c>
      <c r="V192" s="21">
        <f t="shared" ca="1" si="308"/>
        <v>3.7432413361232383E-4</v>
      </c>
      <c r="W192">
        <f t="shared" ca="1" si="309"/>
        <v>1.9347458065914598E-2</v>
      </c>
      <c r="X192" s="22">
        <f t="shared" ref="X192" ca="1" si="430">BSdelta(1,P192,Strike,W192*AnnualVarConvtr,Dividend,RiskFreeRate,G192/250)</f>
        <v>0.13413737802590572</v>
      </c>
      <c r="Y192" s="22">
        <f t="shared" ca="1" si="315"/>
        <v>5.9375698347606694</v>
      </c>
      <c r="Z192" s="22">
        <f t="shared" ca="1" si="316"/>
        <v>-16.852974073036123</v>
      </c>
      <c r="AA192">
        <f t="shared" si="303"/>
        <v>0.73884103340948371</v>
      </c>
      <c r="AB192">
        <f t="shared" ref="AB192" ca="1" si="431">BSdelta(1,P192,Strike,AA192/AnnualVarConvtr,Dividend,RiskFreeRate,G192/250)</f>
        <v>5.0392198502001071E-15</v>
      </c>
      <c r="AC192">
        <f t="shared" ca="1" si="312"/>
        <v>2.8269171324061206E-13</v>
      </c>
      <c r="AD192">
        <f t="shared" ca="1" si="313"/>
        <v>-1.5263391208086952</v>
      </c>
    </row>
    <row r="193" spans="7:30" x14ac:dyDescent="0.25">
      <c r="G193" s="19">
        <v>62</v>
      </c>
      <c r="H193" s="19">
        <f t="shared" ca="1" si="363"/>
        <v>0.41469749051632276</v>
      </c>
      <c r="I193" s="19">
        <f t="shared" ca="1" si="363"/>
        <v>0.64865197761094173</v>
      </c>
      <c r="J193" s="19">
        <f t="shared" ca="1" si="297"/>
        <v>-0.7889400523964859</v>
      </c>
      <c r="K193" s="19">
        <f t="shared" ca="1" si="298"/>
        <v>-1.0667640413263808</v>
      </c>
      <c r="L193" s="19">
        <f t="array" aca="1" ref="L193:M193" ca="1">MMULT(J193:K193,TRANSPOSE($B$10:$C$11))</f>
        <v>-0.7889400523964859</v>
      </c>
      <c r="M193" s="19">
        <f ca="1"/>
        <v>-0.17888527718967873</v>
      </c>
      <c r="N193" s="20">
        <f t="shared" ca="1" si="320"/>
        <v>4.9497038611936939E-2</v>
      </c>
      <c r="O193" s="20">
        <f t="shared" ca="1" si="299"/>
        <v>-1.1101038485565418E-2</v>
      </c>
      <c r="P193" s="19">
        <f t="shared" ca="1" si="305"/>
        <v>82.456749812223407</v>
      </c>
      <c r="Q193" s="19">
        <f ca="1">HCTrans(P193,Strike,RiskFreeRate,Dividend,Variance_T0*AnnualVarConvtr,(Simulation!G193)/250,0.5,Variance_Avg*AnnualVarConvtr,Lambda,SQRT(Simulation!N193),Rho,1,"Call")</f>
        <v>6.2479220961174633</v>
      </c>
      <c r="R193" s="19">
        <f t="shared" ca="1" si="300"/>
        <v>0.73504440002213967</v>
      </c>
      <c r="S193" s="19">
        <f t="shared" ca="1" si="301"/>
        <v>4.3787749629859823E-17</v>
      </c>
      <c r="T193" s="19">
        <f t="shared" ca="1" si="306"/>
        <v>-3.0796750200784368E-13</v>
      </c>
      <c r="U193" s="19">
        <f t="shared" ca="1" si="307"/>
        <v>-1.9591689520478619</v>
      </c>
      <c r="V193" s="21">
        <f t="shared" ca="1" si="308"/>
        <v>2.5186426200556327E-4</v>
      </c>
      <c r="W193">
        <f t="shared" ca="1" si="309"/>
        <v>1.5870231945550237E-2</v>
      </c>
      <c r="X193" s="22">
        <f t="shared" ref="X193" ca="1" si="432">BSdelta(1,P193,Strike,W193*AnnualVarConvtr,Dividend,RiskFreeRate,G193/250)</f>
        <v>6.9282742910712458E-2</v>
      </c>
      <c r="Y193" s="22">
        <f t="shared" ca="1" si="315"/>
        <v>-5.3477024218565301</v>
      </c>
      <c r="Z193" s="22">
        <f t="shared" ca="1" si="316"/>
        <v>-11.945457758386505</v>
      </c>
      <c r="AA193">
        <f t="shared" si="303"/>
        <v>0.73884103340948371</v>
      </c>
      <c r="AB193">
        <f t="shared" ref="AB193" ca="1" si="433">BSdelta(1,P193,Strike,AA193/AnnualVarConvtr,Dividend,RiskFreeRate,G193/250)</f>
        <v>6.2815810797963663E-17</v>
      </c>
      <c r="AC193">
        <f t="shared" ca="1" si="312"/>
        <v>-4.1033810284152046E-13</v>
      </c>
      <c r="AD193">
        <f t="shared" ca="1" si="313"/>
        <v>-1.9665252280151972</v>
      </c>
    </row>
    <row r="194" spans="7:30" x14ac:dyDescent="0.25">
      <c r="G194" s="19">
        <v>61</v>
      </c>
      <c r="H194" s="19">
        <f t="shared" ca="1" si="363"/>
        <v>0.72192411608011442</v>
      </c>
      <c r="I194" s="19">
        <f t="shared" ca="1" si="363"/>
        <v>0.37151596790069863</v>
      </c>
      <c r="J194" s="19">
        <f t="shared" ca="1" si="297"/>
        <v>-0.55818832301455756</v>
      </c>
      <c r="K194" s="19">
        <f t="shared" ca="1" si="298"/>
        <v>0.58317775338255851</v>
      </c>
      <c r="L194" s="19">
        <f t="array" aca="1" ref="L194:M194" ca="1">MMULT(J194:K194,TRANSPOSE($B$10:$C$11))</f>
        <v>-0.55818832301455756</v>
      </c>
      <c r="M194" s="19">
        <f ca="1"/>
        <v>0.80675920615450902</v>
      </c>
      <c r="N194" s="20">
        <f t="shared" ca="1" si="320"/>
        <v>5.377090849622413E-2</v>
      </c>
      <c r="O194" s="20">
        <f t="shared" ca="1" si="299"/>
        <v>-8.1862391878978931E-3</v>
      </c>
      <c r="P194" s="19">
        <f t="shared" ca="1" si="305"/>
        <v>81.784494511182942</v>
      </c>
      <c r="Q194" s="19">
        <f ca="1">HCTrans(P194,Strike,RiskFreeRate,Dividend,Variance_T0*AnnualVarConvtr,(Simulation!G194)/250,0.5,Variance_Avg*AnnualVarConvtr,Lambda,SQRT(Simulation!N194),Rho,1,"Call")</f>
        <v>5.9004343352756763</v>
      </c>
      <c r="R194" s="19">
        <f t="shared" ca="1" si="300"/>
        <v>0.73409341695694375</v>
      </c>
      <c r="S194" s="19">
        <f t="shared" ca="1" si="301"/>
        <v>1.0071840363883482E-18</v>
      </c>
      <c r="T194" s="19">
        <f t="shared" ca="1" si="306"/>
        <v>-3.4987869319645693E-15</v>
      </c>
      <c r="U194" s="19">
        <f t="shared" ca="1" si="307"/>
        <v>-2.3066567128896454</v>
      </c>
      <c r="V194" s="21">
        <f t="shared" ca="1" si="308"/>
        <v>8.4960549456830976E-6</v>
      </c>
      <c r="W194">
        <f t="shared" ca="1" si="309"/>
        <v>2.9147992976675252E-3</v>
      </c>
      <c r="X194" s="22">
        <f t="shared" ref="X194" ca="1" si="434">BSdelta(1,P194,Strike,W194*AnnualVarConvtr,Dividend,RiskFreeRate,G194/250)</f>
        <v>5.6485993715091305E-19</v>
      </c>
      <c r="Y194" s="22">
        <f t="shared" ca="1" si="315"/>
        <v>-5.6662541073008619</v>
      </c>
      <c r="Z194" s="22">
        <f t="shared" ca="1" si="316"/>
        <v>-6.6266914119274301</v>
      </c>
      <c r="AA194">
        <f t="shared" si="303"/>
        <v>0.73884103340948371</v>
      </c>
      <c r="AB194">
        <f t="shared" ref="AB194" ca="1" si="435">BSdelta(1,P194,Strike,AA194/AnnualVarConvtr,Dividend,RiskFreeRate,G194/250)</f>
        <v>1.658423232059754E-18</v>
      </c>
      <c r="AC194">
        <f t="shared" ca="1" si="312"/>
        <v>-5.0017260277019567E-15</v>
      </c>
      <c r="AD194">
        <f t="shared" ca="1" si="313"/>
        <v>-2.3140129888569794</v>
      </c>
    </row>
    <row r="195" spans="7:30" x14ac:dyDescent="0.25">
      <c r="G195" s="19">
        <v>60</v>
      </c>
      <c r="H195" s="19">
        <f t="shared" ca="1" si="363"/>
        <v>0.47937841829062777</v>
      </c>
      <c r="I195" s="19">
        <f t="shared" ca="1" si="363"/>
        <v>0.9215231602899665</v>
      </c>
      <c r="J195" s="19">
        <f t="shared" ca="1" si="297"/>
        <v>1.0681991074199393</v>
      </c>
      <c r="K195" s="19">
        <f t="shared" ca="1" si="298"/>
        <v>-0.5740040237072529</v>
      </c>
      <c r="L195" s="19">
        <f t="array" aca="1" ref="L195:M195" ca="1">MMULT(J195:K195,TRANSPOSE($B$10:$C$11))</f>
        <v>1.0681991074199393</v>
      </c>
      <c r="M195" s="19">
        <f ca="1"/>
        <v>-1.1657824577800568</v>
      </c>
      <c r="N195" s="20">
        <f t="shared" ca="1" si="320"/>
        <v>4.70989631715261E-2</v>
      </c>
      <c r="O195" s="20">
        <f t="shared" ca="1" si="299"/>
        <v>1.4661819875612998E-2</v>
      </c>
      <c r="P195" s="19">
        <f t="shared" ca="1" si="305"/>
        <v>82.992437722099183</v>
      </c>
      <c r="Q195" s="19">
        <f ca="1">HCTrans(P195,Strike,RiskFreeRate,Dividend,Variance_T0*AnnualVarConvtr,(Simulation!G195)/250,0.5,Variance_Avg*AnnualVarConvtr,Lambda,SQRT(Simulation!N195),Rho,1,"Call")</f>
        <v>6.2699470521012444</v>
      </c>
      <c r="R195" s="19">
        <f t="shared" ca="1" si="300"/>
        <v>0.73576156936281523</v>
      </c>
      <c r="S195" s="19">
        <f t="shared" ca="1" si="301"/>
        <v>1.5923632697169078E-16</v>
      </c>
      <c r="T195" s="19">
        <f t="shared" ca="1" si="306"/>
        <v>1.3131822290879217E-14</v>
      </c>
      <c r="U195" s="19">
        <f t="shared" ca="1" si="307"/>
        <v>-1.9371439960640904</v>
      </c>
      <c r="V195" s="21">
        <f t="shared" ca="1" si="308"/>
        <v>5.2203380296968215E-4</v>
      </c>
      <c r="W195">
        <f t="shared" ca="1" si="309"/>
        <v>2.2848059063510891E-2</v>
      </c>
      <c r="X195" s="22">
        <f t="shared" ref="X195" ca="1" si="436">BSdelta(1,P195,Strike,W195*AnnualVarConvtr,Dividend,RiskFreeRate,G195/250)</f>
        <v>0.1673096439395268</v>
      </c>
      <c r="Y195" s="22">
        <f t="shared" ca="1" si="315"/>
        <v>13.885435204957767</v>
      </c>
      <c r="Z195" s="22">
        <f t="shared" ca="1" si="316"/>
        <v>-20.142613900059629</v>
      </c>
      <c r="AA195">
        <f t="shared" si="303"/>
        <v>0.73884103340948371</v>
      </c>
      <c r="AB195">
        <f t="shared" ref="AB195" ca="1" si="437">BSdelta(1,P195,Strike,AA195/AnnualVarConvtr,Dividend,RiskFreeRate,G195/250)</f>
        <v>2.1115618754973685E-16</v>
      </c>
      <c r="AC195">
        <f t="shared" ca="1" si="312"/>
        <v>1.7386730158053827E-14</v>
      </c>
      <c r="AD195">
        <f t="shared" ca="1" si="313"/>
        <v>-1.9445002720314286</v>
      </c>
    </row>
    <row r="196" spans="7:30" x14ac:dyDescent="0.25">
      <c r="G196" s="19">
        <v>59</v>
      </c>
      <c r="H196" s="19">
        <f t="shared" ca="1" si="363"/>
        <v>2.0872246805284544E-2</v>
      </c>
      <c r="I196" s="19">
        <f t="shared" ca="1" si="363"/>
        <v>0.7002435978173811</v>
      </c>
      <c r="J196" s="19">
        <f t="shared" ca="1" si="297"/>
        <v>-0.85558741205772149</v>
      </c>
      <c r="K196" s="19">
        <f t="shared" ca="1" si="298"/>
        <v>-2.6470058544229951</v>
      </c>
      <c r="L196" s="19">
        <f t="array" aca="1" ref="L196:M196" ca="1">MMULT(J196:K196,TRANSPOSE($B$10:$C$11))</f>
        <v>-0.85558741205772149</v>
      </c>
      <c r="M196" s="19">
        <f ca="1"/>
        <v>-1.2334887339995597</v>
      </c>
      <c r="N196" s="20">
        <f t="shared" ca="1" si="320"/>
        <v>4.0551360077516078E-2</v>
      </c>
      <c r="O196" s="20">
        <f t="shared" ca="1" si="299"/>
        <v>-1.0896752691510147E-2</v>
      </c>
      <c r="P196" s="19">
        <f t="shared" ca="1" si="305"/>
        <v>82.092999033321988</v>
      </c>
      <c r="Q196" s="19">
        <f ca="1">HCTrans(P196,Strike,RiskFreeRate,Dividend,Variance_T0*AnnualVarConvtr,(Simulation!G196)/250,0.5,Variance_Avg*AnnualVarConvtr,Lambda,SQRT(Simulation!N196),Rho,1,"Call")</f>
        <v>5.8589391079849662</v>
      </c>
      <c r="R196" s="19">
        <f t="shared" ca="1" si="300"/>
        <v>0.73624631098949966</v>
      </c>
      <c r="S196" s="19">
        <f t="shared" ca="1" si="301"/>
        <v>1.4994191100405535E-18</v>
      </c>
      <c r="T196" s="19">
        <f t="shared" ca="1" si="306"/>
        <v>-1.294909582460565E-14</v>
      </c>
      <c r="U196" s="19">
        <f t="shared" ca="1" si="307"/>
        <v>-2.3481519401803559</v>
      </c>
      <c r="V196" s="21">
        <f t="shared" ca="1" si="308"/>
        <v>6.5324063166889983E-4</v>
      </c>
      <c r="W196">
        <f t="shared" ca="1" si="309"/>
        <v>2.5558572567123145E-2</v>
      </c>
      <c r="X196" s="22">
        <f t="shared" ref="X196" ca="1" si="438">BSdelta(1,P196,Strike,W196*AnnualVarConvtr,Dividend,RiskFreeRate,G196/250)</f>
        <v>0.18222305561284069</v>
      </c>
      <c r="Y196" s="22">
        <f t="shared" ca="1" si="315"/>
        <v>1.2242866900808902</v>
      </c>
      <c r="Z196" s="22">
        <f t="shared" ca="1" si="316"/>
        <v>-21.777908534256799</v>
      </c>
      <c r="AA196">
        <f t="shared" si="303"/>
        <v>0.73884103340948371</v>
      </c>
      <c r="AB196">
        <f t="shared" ref="AB196" ca="1" si="439">BSdelta(1,P196,Strike,AA196/AnnualVarConvtr,Dividend,RiskFreeRate,G196/250)</f>
        <v>1.9645390460100485E-18</v>
      </c>
      <c r="AC196">
        <f t="shared" ca="1" si="312"/>
        <v>-1.7173169798395477E-14</v>
      </c>
      <c r="AD196">
        <f t="shared" ca="1" si="313"/>
        <v>-2.3555082161476895</v>
      </c>
    </row>
    <row r="197" spans="7:30" x14ac:dyDescent="0.25">
      <c r="G197" s="19">
        <v>58</v>
      </c>
      <c r="H197" s="19">
        <f t="shared" ca="1" si="363"/>
        <v>0.64872991031490412</v>
      </c>
      <c r="I197" s="19">
        <f t="shared" ca="1" si="363"/>
        <v>9.3845551566226981E-2</v>
      </c>
      <c r="J197" s="19">
        <f t="shared" ca="1" si="297"/>
        <v>0.77321446806458904</v>
      </c>
      <c r="K197" s="19">
        <f t="shared" ca="1" si="298"/>
        <v>0.51731712697071208</v>
      </c>
      <c r="L197" s="19">
        <f t="array" aca="1" ref="L197:M197" ca="1">MMULT(J197:K197,TRANSPOSE($B$10:$C$11))</f>
        <v>0.77321446806458904</v>
      </c>
      <c r="M197" s="19">
        <f ca="1"/>
        <v>-0.19313441646597151</v>
      </c>
      <c r="N197" s="20">
        <f t="shared" ca="1" si="320"/>
        <v>3.9425698971799934E-2</v>
      </c>
      <c r="O197" s="20">
        <f t="shared" ca="1" si="299"/>
        <v>9.7100098001704199E-3</v>
      </c>
      <c r="P197" s="19">
        <f t="shared" ca="1" si="305"/>
        <v>82.894005455046454</v>
      </c>
      <c r="Q197" s="19">
        <f ca="1">HCTrans(P197,Strike,RiskFreeRate,Dividend,Variance_T0*AnnualVarConvtr,(Simulation!G197)/250,0.5,Variance_Avg*AnnualVarConvtr,Lambda,SQRT(Simulation!N197),Rho,1,"Call")</f>
        <v>6.061746160577087</v>
      </c>
      <c r="R197" s="19">
        <f t="shared" ca="1" si="300"/>
        <v>0.73687444625164145</v>
      </c>
      <c r="S197" s="19">
        <f t="shared" ca="1" si="301"/>
        <v>3.5189014491153153E-17</v>
      </c>
      <c r="T197" s="19">
        <f t="shared" ca="1" si="306"/>
        <v>2.7926655033002557E-15</v>
      </c>
      <c r="U197" s="19">
        <f t="shared" ca="1" si="307"/>
        <v>-2.1453448875882377</v>
      </c>
      <c r="V197" s="21">
        <f t="shared" ca="1" si="308"/>
        <v>4.24638660388533E-4</v>
      </c>
      <c r="W197">
        <f t="shared" ca="1" si="309"/>
        <v>2.0606762491680565E-2</v>
      </c>
      <c r="X197" s="22">
        <f t="shared" ref="X197" ca="1" si="440">BSdelta(1,P197,Strike,W197*AnnualVarConvtr,Dividend,RiskFreeRate,G197/250)</f>
        <v>0.13200407438559769</v>
      </c>
      <c r="Y197" s="22">
        <f t="shared" ca="1" si="315"/>
        <v>-4.1628525037979562</v>
      </c>
      <c r="Z197" s="22">
        <f t="shared" ca="1" si="316"/>
        <v>-17.412248977866721</v>
      </c>
      <c r="AA197">
        <f t="shared" si="303"/>
        <v>0.73884103340948371</v>
      </c>
      <c r="AB197">
        <f t="shared" ref="AB197" ca="1" si="441">BSdelta(1,P197,Strike,AA197/AnnualVarConvtr,Dividend,RiskFreeRate,G197/250)</f>
        <v>4.24788894781577E-17</v>
      </c>
      <c r="AC197">
        <f t="shared" ca="1" si="312"/>
        <v>3.358396785730111E-15</v>
      </c>
      <c r="AD197">
        <f t="shared" ca="1" si="313"/>
        <v>-2.1527011635555722</v>
      </c>
    </row>
    <row r="198" spans="7:30" x14ac:dyDescent="0.25">
      <c r="G198" s="19">
        <v>57</v>
      </c>
      <c r="H198" s="19">
        <f t="shared" ca="1" si="363"/>
        <v>0.20934429888101769</v>
      </c>
      <c r="I198" s="19">
        <f t="shared" ca="1" si="363"/>
        <v>0.74499863400971633</v>
      </c>
      <c r="J198" s="19">
        <f t="shared" ref="J198:J254" ca="1" si="442">SQRT(-2*LN(H198))*COS(2*PI()*I198)</f>
        <v>-5.556472360079865E-2</v>
      </c>
      <c r="K198" s="19">
        <f t="shared" ref="K198:K254" ca="1" si="443">SQRT(-2*LN(H198))*SIN(2*PI()*I198)</f>
        <v>-1.7676149468195883</v>
      </c>
      <c r="L198" s="19">
        <f t="array" aca="1" ref="L198:M198" ca="1">MMULT(J198:K198,TRANSPOSE($B$10:$C$11))</f>
        <v>-5.556472360079865E-2</v>
      </c>
      <c r="M198" s="19">
        <f ca="1"/>
        <v>-1.1932532448956898</v>
      </c>
      <c r="N198" s="20">
        <f t="shared" ca="1" si="320"/>
        <v>3.3658442591547988E-2</v>
      </c>
      <c r="O198" s="20">
        <f t="shared" ref="O198:O254" ca="1" si="444">GetStockReturns(0,RiskFreeRate,N198,L198,"Daily")</f>
        <v>-6.4472745188799002E-4</v>
      </c>
      <c r="P198" s="19">
        <f t="shared" ca="1" si="305"/>
        <v>82.840578638850843</v>
      </c>
      <c r="Q198" s="19">
        <f ca="1">HCTrans(P198,Strike,RiskFreeRate,Dividend,Variance_T0*AnnualVarConvtr,(Simulation!G198)/250,0.5,Variance_Avg*AnnualVarConvtr,Lambda,SQRT(Simulation!N198),Rho,1,"Call")</f>
        <v>5.960278829231612</v>
      </c>
      <c r="R198" s="19">
        <f t="shared" ref="R198:R254" ca="1" si="445">BSvol(1,P198,Strike,Q198,Dividend,RiskFreeRate,G198/250)</f>
        <v>0.73776765487804574</v>
      </c>
      <c r="S198" s="19">
        <f t="shared" ref="S198:S254" ca="1" si="446">BSdelta(1,P198,Strike,R198/AnnualVarConvtr,Dividend,RiskFreeRate,G198/250)</f>
        <v>1.6112666136511511E-17</v>
      </c>
      <c r="T198" s="19">
        <f t="shared" ca="1" si="306"/>
        <v>-1.5802957360148037E-15</v>
      </c>
      <c r="U198" s="19">
        <f t="shared" ca="1" si="307"/>
        <v>-2.246812218933711</v>
      </c>
      <c r="V198" s="21">
        <f t="shared" ca="1" si="308"/>
        <v>1.0722058355916615E-4</v>
      </c>
      <c r="W198">
        <f t="shared" ca="1" si="309"/>
        <v>1.035473725205841E-2</v>
      </c>
      <c r="X198" s="22">
        <f t="shared" ref="X198" ca="1" si="447">BSdelta(1,P198,Strike,W198*AnnualVarConvtr,Dividend,RiskFreeRate,G198/250)</f>
        <v>8.9193215510272438E-3</v>
      </c>
      <c r="Y198" s="22">
        <f t="shared" ca="1" si="315"/>
        <v>-10.196412146435753</v>
      </c>
      <c r="Z198" s="22">
        <f t="shared" ca="1" si="316"/>
        <v>-7.317304162776443</v>
      </c>
      <c r="AA198">
        <f t="shared" ref="AA198:AA240" si="448">$R$5</f>
        <v>0.73884103340948371</v>
      </c>
      <c r="AB198">
        <f t="shared" ref="AB198" ca="1" si="449">BSdelta(1,P198,Strike,AA198/AnnualVarConvtr,Dividend,RiskFreeRate,G198/250)</f>
        <v>1.7897587854935575E-17</v>
      </c>
      <c r="AC198">
        <f t="shared" ca="1" si="312"/>
        <v>-2.0363292501638443E-15</v>
      </c>
      <c r="AD198">
        <f t="shared" ca="1" si="313"/>
        <v>-2.254168494901045</v>
      </c>
    </row>
    <row r="199" spans="7:30" x14ac:dyDescent="0.25">
      <c r="G199" s="19">
        <v>56</v>
      </c>
      <c r="H199" s="19">
        <f t="shared" ca="1" si="363"/>
        <v>0.38989773684705253</v>
      </c>
      <c r="I199" s="19">
        <f t="shared" ca="1" si="363"/>
        <v>0.8232436691844478</v>
      </c>
      <c r="J199" s="19">
        <f t="shared" ca="1" si="442"/>
        <v>0.6095667172814393</v>
      </c>
      <c r="K199" s="19">
        <f t="shared" ca="1" si="443"/>
        <v>-1.2297032130123031</v>
      </c>
      <c r="L199" s="19">
        <f t="array" aca="1" ref="L199:M199" ca="1">MMULT(J199:K199,TRANSPOSE($B$10:$C$11))</f>
        <v>0.6095667172814393</v>
      </c>
      <c r="M199" s="19">
        <f ca="1"/>
        <v>-1.2945796405051531</v>
      </c>
      <c r="N199" s="20">
        <f t="shared" ca="1" si="320"/>
        <v>2.7945541177388025E-2</v>
      </c>
      <c r="O199" s="20">
        <f t="shared" ca="1" si="444"/>
        <v>6.4447712039970104E-3</v>
      </c>
      <c r="P199" s="19">
        <f t="shared" ref="P199:P254" ca="1" si="450">P198*EXP(O199)</f>
        <v>83.376191311257315</v>
      </c>
      <c r="Q199" s="19">
        <f ca="1">HCTrans(P199,Strike,RiskFreeRate,Dividend,Variance_T0*AnnualVarConvtr,(Simulation!G199)/250,0.5,Variance_Avg*AnnualVarConvtr,Lambda,SQRT(Simulation!N199),Rho,1,"Call")</f>
        <v>6.075667197519067</v>
      </c>
      <c r="R199" s="19">
        <f t="shared" ca="1" si="445"/>
        <v>0.73898327479403758</v>
      </c>
      <c r="S199" s="19">
        <f t="shared" ca="1" si="446"/>
        <v>1.124379570133932E-16</v>
      </c>
      <c r="T199" s="19">
        <f t="shared" ref="T199:T254" ca="1" si="451">(S199-S198)*P199</f>
        <v>8.0312358802633974E-15</v>
      </c>
      <c r="U199" s="19">
        <f t="shared" ref="U199:U254" ca="1" si="452">(Q199-Q198)+U198-T199</f>
        <v>-2.1314238506462639</v>
      </c>
      <c r="V199" s="21">
        <f t="shared" ref="V199:V254" ca="1" si="453">(O199-O198)^2</f>
        <v>5.026099119179523E-5</v>
      </c>
      <c r="W199">
        <f t="shared" ref="W199:W254" ca="1" si="454">SQRT(V199)</f>
        <v>7.0894986558850005E-3</v>
      </c>
      <c r="X199" s="22">
        <f t="shared" ref="X199" ca="1" si="455">BSdelta(1,P199,Strike,W199*AnnualVarConvtr,Dividend,RiskFreeRate,G199/250)</f>
        <v>3.3646375360056618E-4</v>
      </c>
      <c r="Y199" s="22">
        <f t="shared" ca="1" si="315"/>
        <v>-0.71560599371556333</v>
      </c>
      <c r="Z199" s="22">
        <f t="shared" ca="1" si="316"/>
        <v>-6.4863098007734248</v>
      </c>
      <c r="AA199">
        <f t="shared" si="448"/>
        <v>0.73884103340948371</v>
      </c>
      <c r="AB199">
        <f t="shared" ref="AB199" ca="1" si="456">BSdelta(1,P199,Strike,AA199/AnnualVarConvtr,Dividend,RiskFreeRate,G199/250)</f>
        <v>1.1096417037933922E-16</v>
      </c>
      <c r="AC199">
        <f t="shared" ref="AC199:AC254" ca="1" si="457">(AB199-AB198)*P199</f>
        <v>7.759537189239596E-15</v>
      </c>
      <c r="AD199">
        <f t="shared" ref="AD199:AD254" ca="1" si="458">(Q199-Q198)+AD198-AC199</f>
        <v>-2.1387801266135975</v>
      </c>
    </row>
    <row r="200" spans="7:30" x14ac:dyDescent="0.25">
      <c r="G200" s="19">
        <v>55</v>
      </c>
      <c r="H200" s="19">
        <f t="shared" ca="1" si="363"/>
        <v>0.97287426469641103</v>
      </c>
      <c r="I200" s="19">
        <f t="shared" ca="1" si="363"/>
        <v>0.96855667348794627</v>
      </c>
      <c r="J200" s="19">
        <f t="shared" ca="1" si="442"/>
        <v>0.22996058678687689</v>
      </c>
      <c r="K200" s="19">
        <f t="shared" ca="1" si="443"/>
        <v>-4.6032461806470207E-2</v>
      </c>
      <c r="L200" s="19">
        <f t="array" aca="1" ref="L200:M200" ca="1">MMULT(J200:K200,TRANSPOSE($B$10:$C$11))</f>
        <v>0.22996058678687689</v>
      </c>
      <c r="M200" s="19">
        <f ca="1"/>
        <v>-0.19687841157145386</v>
      </c>
      <c r="N200" s="20">
        <f t="shared" ca="1" si="320"/>
        <v>2.7033561393814992E-2</v>
      </c>
      <c r="O200" s="20">
        <f t="shared" ca="1" si="444"/>
        <v>2.3913053499284498E-3</v>
      </c>
      <c r="P200" s="19">
        <f t="shared" ca="1" si="450"/>
        <v>83.575807820486872</v>
      </c>
      <c r="Q200" s="19">
        <f ca="1">HCTrans(P200,Strike,RiskFreeRate,Dividend,Variance_T0*AnnualVarConvtr,(Simulation!G200)/250,0.5,Variance_Avg*AnnualVarConvtr,Lambda,SQRT(Simulation!N200),Rho,1,"Call")</f>
        <v>6.0541143772750132</v>
      </c>
      <c r="R200" s="19">
        <f t="shared" ca="1" si="445"/>
        <v>0.73925401890027009</v>
      </c>
      <c r="S200" s="19">
        <f t="shared" ca="1" si="446"/>
        <v>1.5367018440580192E-16</v>
      </c>
      <c r="T200" s="19">
        <f t="shared" ca="1" si="451"/>
        <v>3.4460167125585652E-15</v>
      </c>
      <c r="U200" s="19">
        <f t="shared" ca="1" si="452"/>
        <v>-2.1529766708903213</v>
      </c>
      <c r="V200" s="21">
        <f t="shared" ca="1" si="453"/>
        <v>1.6430585430099767E-5</v>
      </c>
      <c r="W200">
        <f t="shared" ca="1" si="454"/>
        <v>4.0534658540685607E-3</v>
      </c>
      <c r="X200" s="22">
        <f t="shared" ref="X200" ca="1" si="459">BSdelta(1,P200,Strike,W200*AnnualVarConvtr,Dividend,RiskFreeRate,G200/250)</f>
        <v>1.3138736953682413E-9</v>
      </c>
      <c r="Y200" s="22">
        <f t="shared" ref="Y200:Y254" ca="1" si="460">(X200-X199)*P200</f>
        <v>-2.8120120201425101E-2</v>
      </c>
      <c r="Z200" s="22">
        <f t="shared" ref="Z200:Z254" ca="1" si="461">(Q200-Q199)+Z199-Y200</f>
        <v>-6.4797425008160534</v>
      </c>
      <c r="AA200">
        <f t="shared" si="448"/>
        <v>0.73884103340948371</v>
      </c>
      <c r="AB200">
        <f t="shared" ref="AB200" ca="1" si="462">BSdelta(1,P200,Strike,AA200/AnnualVarConvtr,Dividend,RiskFreeRate,G200/250)</f>
        <v>1.4794482363575582E-16</v>
      </c>
      <c r="AC200">
        <f t="shared" ca="1" si="457"/>
        <v>3.0906879696343359E-15</v>
      </c>
      <c r="AD200">
        <f t="shared" ca="1" si="458"/>
        <v>-2.1603329468576544</v>
      </c>
    </row>
    <row r="201" spans="7:30" x14ac:dyDescent="0.25">
      <c r="G201" s="19">
        <v>54</v>
      </c>
      <c r="H201" s="19">
        <f t="shared" ca="1" si="363"/>
        <v>0.17217576187478134</v>
      </c>
      <c r="I201" s="19">
        <f t="shared" ca="1" si="363"/>
        <v>0.68493033093839051</v>
      </c>
      <c r="J201" s="19">
        <f t="shared" ca="1" si="442"/>
        <v>-0.74570797869794103</v>
      </c>
      <c r="K201" s="19">
        <f t="shared" ca="1" si="443"/>
        <v>-1.7211619667026814</v>
      </c>
      <c r="L201" s="19">
        <f t="array" aca="1" ref="L201:M201" ca="1">MMULT(J201:K201,TRANSPOSE($B$10:$C$11))</f>
        <v>-0.74570797869794103</v>
      </c>
      <c r="M201" s="19">
        <f ca="1"/>
        <v>-0.66636060333489944</v>
      </c>
      <c r="N201" s="20">
        <f t="shared" ca="1" si="320"/>
        <v>2.4307846602684167E-2</v>
      </c>
      <c r="O201" s="20">
        <f t="shared" ca="1" si="444"/>
        <v>-7.353126357291951E-3</v>
      </c>
      <c r="P201" s="19">
        <f t="shared" ca="1" si="450"/>
        <v>82.96351822534443</v>
      </c>
      <c r="Q201" s="19">
        <f ca="1">HCTrans(P201,Strike,RiskFreeRate,Dividend,Variance_T0*AnnualVarConvtr,(Simulation!G201)/250,0.5,Variance_Avg*AnnualVarConvtr,Lambda,SQRT(Simulation!N201),Rho,1,"Call")</f>
        <v>5.7384774274384114</v>
      </c>
      <c r="R201" s="19">
        <f t="shared" ca="1" si="445"/>
        <v>0.73950394881844506</v>
      </c>
      <c r="S201" s="19">
        <f t="shared" ca="1" si="446"/>
        <v>4.6861979414779886E-18</v>
      </c>
      <c r="T201" s="19">
        <f t="shared" ca="1" si="451"/>
        <v>-1.2360235676317405E-14</v>
      </c>
      <c r="U201" s="19">
        <f t="shared" ca="1" si="452"/>
        <v>-2.4686136207269107</v>
      </c>
      <c r="V201" s="21">
        <f t="shared" ca="1" si="453"/>
        <v>9.4953949296682315E-5</v>
      </c>
      <c r="W201">
        <f t="shared" ca="1" si="454"/>
        <v>9.7444317072204016E-3</v>
      </c>
      <c r="X201" s="22">
        <f t="shared" ref="X201" ca="1" si="463">BSdelta(1,P201,Strike,W201*AnnualVarConvtr,Dividend,RiskFreeRate,G201/250)</f>
        <v>5.0488908770301415E-3</v>
      </c>
      <c r="Y201" s="22">
        <f t="shared" ca="1" si="460"/>
        <v>0.41887364129068105</v>
      </c>
      <c r="Z201" s="22">
        <f t="shared" ca="1" si="461"/>
        <v>-7.2142530919433359</v>
      </c>
      <c r="AA201">
        <f t="shared" si="448"/>
        <v>0.73884103340948371</v>
      </c>
      <c r="AB201">
        <f t="shared" ref="AB201" ca="1" si="464">BSdelta(1,P201,Strike,AA201/AnnualVarConvtr,Dividend,RiskFreeRate,G201/250)</f>
        <v>4.3818690339777879E-18</v>
      </c>
      <c r="AC201">
        <f t="shared" ca="1" si="457"/>
        <v>-1.1910487800588907E-14</v>
      </c>
      <c r="AD201">
        <f t="shared" ca="1" si="458"/>
        <v>-2.4759698966942443</v>
      </c>
    </row>
    <row r="202" spans="7:30" x14ac:dyDescent="0.25">
      <c r="G202" s="19">
        <v>53</v>
      </c>
      <c r="H202" s="19">
        <f t="shared" ca="1" si="363"/>
        <v>3.0150986668520785E-2</v>
      </c>
      <c r="I202" s="19">
        <f t="shared" ca="1" si="363"/>
        <v>0.77473996127963662</v>
      </c>
      <c r="J202" s="19">
        <f t="shared" ca="1" si="442"/>
        <v>0.40970651104928463</v>
      </c>
      <c r="K202" s="19">
        <f t="shared" ca="1" si="443"/>
        <v>-2.614424570884478</v>
      </c>
      <c r="L202" s="19">
        <f t="array" aca="1" ref="L202:M202" ca="1">MMULT(J202:K202,TRANSPOSE($B$10:$C$11))</f>
        <v>0.40970651104928463</v>
      </c>
      <c r="M202" s="19">
        <f ca="1"/>
        <v>-2.1173435470900697</v>
      </c>
      <c r="N202" s="20">
        <f t="shared" ref="N202:N254" ca="1" si="465">GetVariance(N201,Variance_Avg,Lambda,Eta,M202,"Daily")</f>
        <v>1.6795697765697011E-2</v>
      </c>
      <c r="O202" s="20">
        <f t="shared" ca="1" si="444"/>
        <v>3.3581638868397262E-3</v>
      </c>
      <c r="P202" s="19">
        <f t="shared" ca="1" si="450"/>
        <v>83.242591641041784</v>
      </c>
      <c r="Q202" s="19">
        <f ca="1">HCTrans(P202,Strike,RiskFreeRate,Dividend,Variance_T0*AnnualVarConvtr,(Simulation!G202)/250,0.5,Variance_Avg*AnnualVarConvtr,Lambda,SQRT(Simulation!N202),Rho,1,"Call")</f>
        <v>5.7617861835915249</v>
      </c>
      <c r="R202" s="19">
        <f t="shared" ca="1" si="445"/>
        <v>0.74111538122846921</v>
      </c>
      <c r="S202" s="19">
        <f t="shared" ca="1" si="446"/>
        <v>1.0538453437431747E-17</v>
      </c>
      <c r="T202" s="19">
        <f t="shared" ca="1" si="451"/>
        <v>4.8715691442872121E-16</v>
      </c>
      <c r="U202" s="19">
        <f t="shared" ca="1" si="452"/>
        <v>-2.4453048645737976</v>
      </c>
      <c r="V202" s="21">
        <f t="shared" ca="1" si="453"/>
        <v>1.1473173869403043E-4</v>
      </c>
      <c r="W202">
        <f t="shared" ca="1" si="454"/>
        <v>1.0711290244131677E-2</v>
      </c>
      <c r="X202" s="22">
        <f t="shared" ref="X202" ca="1" si="466">BSdelta(1,P202,Strike,W202*AnnualVarConvtr,Dividend,RiskFreeRate,G202/250)</f>
        <v>1.0359776839360527E-2</v>
      </c>
      <c r="Y202" s="22">
        <f t="shared" ca="1" si="460"/>
        <v>0.44209191141440946</v>
      </c>
      <c r="Z202" s="22">
        <f t="shared" ca="1" si="461"/>
        <v>-7.6330362472046316</v>
      </c>
      <c r="AA202">
        <f t="shared" si="448"/>
        <v>0.73884103340948371</v>
      </c>
      <c r="AB202">
        <f t="shared" ref="AB202" ca="1" si="467">BSdelta(1,P202,Strike,AA202/AnnualVarConvtr,Dividend,RiskFreeRate,G202/250)</f>
        <v>8.4094999322539026E-18</v>
      </c>
      <c r="AC202">
        <f t="shared" ca="1" si="457"/>
        <v>3.3527043414604091E-16</v>
      </c>
      <c r="AD202">
        <f t="shared" ca="1" si="458"/>
        <v>-2.4526611405411312</v>
      </c>
    </row>
    <row r="203" spans="7:30" x14ac:dyDescent="0.25">
      <c r="G203" s="19">
        <v>52</v>
      </c>
      <c r="H203" s="19">
        <f t="shared" ca="1" si="363"/>
        <v>0.42296076159034324</v>
      </c>
      <c r="I203" s="19">
        <f t="shared" ca="1" si="363"/>
        <v>0.16352755106346739</v>
      </c>
      <c r="J203" s="19">
        <f t="shared" ca="1" si="442"/>
        <v>0.67820416772359982</v>
      </c>
      <c r="K203" s="19">
        <f t="shared" ca="1" si="443"/>
        <v>1.1229384844037338</v>
      </c>
      <c r="L203" s="19">
        <f t="array" aca="1" ref="L203:M203" ca="1">MMULT(J203:K203,TRANSPOSE($B$10:$C$11))</f>
        <v>0.67820416772359982</v>
      </c>
      <c r="M203" s="19">
        <f ca="1"/>
        <v>0.29741410491160752</v>
      </c>
      <c r="N203" s="20">
        <f t="shared" ca="1" si="465"/>
        <v>1.7702426169552515E-2</v>
      </c>
      <c r="O203" s="20">
        <f t="shared" ca="1" si="444"/>
        <v>5.7069865082359627E-3</v>
      </c>
      <c r="P203" s="19">
        <f t="shared" ca="1" si="450"/>
        <v>83.719014163825364</v>
      </c>
      <c r="Q203" s="19">
        <f ca="1">HCTrans(P203,Strike,RiskFreeRate,Dividend,Variance_T0*AnnualVarConvtr,(Simulation!G203)/250,0.5,Variance_Avg*AnnualVarConvtr,Lambda,SQRT(Simulation!N203),Rho,1,"Call")</f>
        <v>5.8317775287110578</v>
      </c>
      <c r="R203" s="19">
        <f t="shared" ca="1" si="445"/>
        <v>0.74111365769354631</v>
      </c>
      <c r="S203" s="19">
        <f t="shared" ca="1" si="446"/>
        <v>5.110934084847989E-17</v>
      </c>
      <c r="T203" s="19">
        <f t="shared" ca="1" si="451"/>
        <v>3.3965546978045037E-15</v>
      </c>
      <c r="U203" s="19">
        <f t="shared" ca="1" si="452"/>
        <v>-2.3753135194542683</v>
      </c>
      <c r="V203" s="21">
        <f t="shared" ca="1" si="453"/>
        <v>5.5169677067826883E-6</v>
      </c>
      <c r="W203">
        <f t="shared" ca="1" si="454"/>
        <v>2.3488226213962365E-3</v>
      </c>
      <c r="X203" s="22">
        <f t="shared" ref="X203" ca="1" si="468">BSdelta(1,P203,Strike,W203*AnnualVarConvtr,Dividend,RiskFreeRate,G203/250)</f>
        <v>5.1584135597900527E-26</v>
      </c>
      <c r="Y203" s="22">
        <f t="shared" ca="1" si="460"/>
        <v>-0.86731030394849384</v>
      </c>
      <c r="Z203" s="22">
        <f t="shared" ca="1" si="461"/>
        <v>-6.695734598136605</v>
      </c>
      <c r="AA203">
        <f t="shared" si="448"/>
        <v>0.73884103340948371</v>
      </c>
      <c r="AB203">
        <f t="shared" ref="AB203" ca="1" si="469">BSdelta(1,P203,Strike,AA203/AnnualVarConvtr,Dividend,RiskFreeRate,G203/250)</f>
        <v>4.1185506077676064E-17</v>
      </c>
      <c r="AC203">
        <f t="shared" ca="1" si="457"/>
        <v>2.7439749227222251E-15</v>
      </c>
      <c r="AD203">
        <f t="shared" ca="1" si="458"/>
        <v>-2.382669795421601</v>
      </c>
    </row>
    <row r="204" spans="7:30" x14ac:dyDescent="0.25">
      <c r="G204" s="19">
        <v>51</v>
      </c>
      <c r="H204" s="19">
        <f t="shared" ca="1" si="363"/>
        <v>0.17093907420088805</v>
      </c>
      <c r="I204" s="19">
        <f t="shared" ca="1" si="363"/>
        <v>0.93235798938217529</v>
      </c>
      <c r="J204" s="19">
        <f t="shared" ca="1" si="442"/>
        <v>1.7123827534380187</v>
      </c>
      <c r="K204" s="19">
        <f t="shared" ca="1" si="443"/>
        <v>-0.77501061935068594</v>
      </c>
      <c r="L204" s="19">
        <f t="array" aca="1" ref="L204:M204" ca="1">MMULT(J204:K204,TRANSPOSE($B$10:$C$11))</f>
        <v>1.7123827534380187</v>
      </c>
      <c r="M204" s="19">
        <f ca="1"/>
        <v>-1.7675596465464634</v>
      </c>
      <c r="N204" s="20">
        <f t="shared" ca="1" si="465"/>
        <v>1.2348993107041101E-2</v>
      </c>
      <c r="O204" s="20">
        <f t="shared" ca="1" si="444"/>
        <v>1.2035014417549067E-2</v>
      </c>
      <c r="P204" s="19">
        <f t="shared" ca="1" si="450"/>
        <v>84.732661099229176</v>
      </c>
      <c r="Q204" s="19">
        <f ca="1">HCTrans(P204,Strike,RiskFreeRate,Dividend,Variance_T0*AnnualVarConvtr,(Simulation!G204)/250,0.5,Variance_Avg*AnnualVarConvtr,Lambda,SQRT(Simulation!N204),Rho,1,"Call")</f>
        <v>6.1210639989766804</v>
      </c>
      <c r="R204" s="19">
        <f t="shared" ca="1" si="445"/>
        <v>0.7426106678770199</v>
      </c>
      <c r="S204" s="19">
        <f t="shared" ca="1" si="446"/>
        <v>3.1173349519822209E-15</v>
      </c>
      <c r="T204" s="19">
        <f t="shared" ca="1" si="451"/>
        <v>2.5980945556197215E-13</v>
      </c>
      <c r="U204" s="19">
        <f t="shared" ca="1" si="452"/>
        <v>-2.0860270491889055</v>
      </c>
      <c r="V204" s="21">
        <f t="shared" ca="1" si="453"/>
        <v>4.0043937221045573E-5</v>
      </c>
      <c r="W204">
        <f t="shared" ca="1" si="454"/>
        <v>6.3280279093131039E-3</v>
      </c>
      <c r="X204" s="22">
        <f t="shared" ref="X204" ca="1" si="470">BSdelta(1,P204,Strike,W204*AnnualVarConvtr,Dividend,RiskFreeRate,G204/250)</f>
        <v>1.3454789772169339E-4</v>
      </c>
      <c r="Y204" s="22">
        <f t="shared" ca="1" si="460"/>
        <v>1.1400601419265995E-2</v>
      </c>
      <c r="Z204" s="22">
        <f t="shared" ca="1" si="461"/>
        <v>-6.417848729290248</v>
      </c>
      <c r="AA204">
        <f t="shared" si="448"/>
        <v>0.73884103340948371</v>
      </c>
      <c r="AB204">
        <f t="shared" ref="AB204" ca="1" si="471">BSdelta(1,P204,Strike,AA204/AnnualVarConvtr,Dividend,RiskFreeRate,G204/250)</f>
        <v>2.2706182139144624E-15</v>
      </c>
      <c r="AC204">
        <f t="shared" ca="1" si="457"/>
        <v>1.8890576607667124E-13</v>
      </c>
      <c r="AD204">
        <f t="shared" ca="1" si="458"/>
        <v>-2.0933833251561671</v>
      </c>
    </row>
    <row r="205" spans="7:30" x14ac:dyDescent="0.25">
      <c r="G205" s="19">
        <v>50</v>
      </c>
      <c r="H205" s="19">
        <f t="shared" ca="1" si="363"/>
        <v>0.70503529276185295</v>
      </c>
      <c r="I205" s="19">
        <f t="shared" ca="1" si="363"/>
        <v>0.21905801328685337</v>
      </c>
      <c r="J205" s="19">
        <f t="shared" ca="1" si="442"/>
        <v>0.16152210801151221</v>
      </c>
      <c r="K205" s="19">
        <f t="shared" ca="1" si="443"/>
        <v>0.82032032899289942</v>
      </c>
      <c r="L205" s="19">
        <f t="array" aca="1" ref="L205:M205" ca="1">MMULT(J205:K205,TRANSPOSE($B$10:$C$11))</f>
        <v>0.16152210801151221</v>
      </c>
      <c r="M205" s="19">
        <f ca="1"/>
        <v>0.45651428187650966</v>
      </c>
      <c r="N205" s="20">
        <f t="shared" ca="1" si="465"/>
        <v>1.3596135476178956E-2</v>
      </c>
      <c r="O205" s="20">
        <f t="shared" ca="1" si="444"/>
        <v>1.1911589308664274E-3</v>
      </c>
      <c r="P205" s="19">
        <f t="shared" ca="1" si="450"/>
        <v>84.833651300983064</v>
      </c>
      <c r="Q205" s="19">
        <f ca="1">HCTrans(P205,Strike,RiskFreeRate,Dividend,Variance_T0*AnnualVarConvtr,(Simulation!G205)/250,0.5,Variance_Avg*AnnualVarConvtr,Lambda,SQRT(Simulation!N205),Rho,1,"Call")</f>
        <v>6.049397617316842</v>
      </c>
      <c r="R205" s="19">
        <f t="shared" ca="1" si="445"/>
        <v>0.74238323564726016</v>
      </c>
      <c r="S205" s="19">
        <f t="shared" ca="1" si="446"/>
        <v>2.5868810017682295E-15</v>
      </c>
      <c r="T205" s="19">
        <f t="shared" ca="1" si="451"/>
        <v>-4.5000345443682774E-14</v>
      </c>
      <c r="U205" s="19">
        <f t="shared" ca="1" si="452"/>
        <v>-2.157693430848699</v>
      </c>
      <c r="V205" s="21">
        <f t="shared" ca="1" si="453"/>
        <v>1.1758920181605719E-4</v>
      </c>
      <c r="W205">
        <f t="shared" ca="1" si="454"/>
        <v>1.084385548668264E-2</v>
      </c>
      <c r="X205" s="22">
        <f t="shared" ref="X205" ca="1" si="472">BSdelta(1,P205,Strike,W205*AnnualVarConvtr,Dividend,RiskFreeRate,G205/250)</f>
        <v>1.7571014711232815E-2</v>
      </c>
      <c r="Y205" s="22">
        <f t="shared" ca="1" si="460"/>
        <v>1.4791991455785658</v>
      </c>
      <c r="Z205" s="22">
        <f t="shared" ca="1" si="461"/>
        <v>-7.968714256528652</v>
      </c>
      <c r="AA205">
        <f t="shared" si="448"/>
        <v>0.73884103340948371</v>
      </c>
      <c r="AB205">
        <f t="shared" ref="AB205" ca="1" si="473">BSdelta(1,P205,Strike,AA205/AnnualVarConvtr,Dividend,RiskFreeRate,G205/250)</f>
        <v>1.9173274140231476E-15</v>
      </c>
      <c r="AC205">
        <f t="shared" ca="1" si="457"/>
        <v>-2.9970948525825186E-14</v>
      </c>
      <c r="AD205">
        <f t="shared" ca="1" si="458"/>
        <v>-2.1650497068159757</v>
      </c>
    </row>
    <row r="206" spans="7:30" x14ac:dyDescent="0.25">
      <c r="G206" s="19">
        <v>49</v>
      </c>
      <c r="H206" s="19">
        <f t="shared" ca="1" si="363"/>
        <v>0.54582163336609424</v>
      </c>
      <c r="I206" s="19">
        <f t="shared" ca="1" si="363"/>
        <v>0.48342702008569216</v>
      </c>
      <c r="J206" s="19">
        <f t="shared" ca="1" si="442"/>
        <v>-1.0944601603420807</v>
      </c>
      <c r="K206" s="19">
        <f t="shared" ca="1" si="443"/>
        <v>0.1143810660647228</v>
      </c>
      <c r="L206" s="19">
        <f t="array" aca="1" ref="L206:M206" ca="1">MMULT(J206:K206,TRANSPOSE($B$10:$C$11))</f>
        <v>-1.0944601603420807</v>
      </c>
      <c r="M206" s="19">
        <f ca="1"/>
        <v>0.86397146006521475</v>
      </c>
      <c r="N206" s="20">
        <f t="shared" ca="1" si="465"/>
        <v>1.614381484635612E-2</v>
      </c>
      <c r="O206" s="20">
        <f t="shared" ca="1" si="444"/>
        <v>-8.7949431594167848E-3</v>
      </c>
      <c r="P206" s="19">
        <f t="shared" ca="1" si="450"/>
        <v>84.090815547153738</v>
      </c>
      <c r="Q206" s="19">
        <f ca="1">HCTrans(P206,Strike,RiskFreeRate,Dividend,Variance_T0*AnnualVarConvtr,(Simulation!G206)/250,0.5,Variance_Avg*AnnualVarConvtr,Lambda,SQRT(Simulation!N206),Rho,1,"Call")</f>
        <v>5.6621493725673417</v>
      </c>
      <c r="R206" s="19">
        <f t="shared" ca="1" si="445"/>
        <v>0.74162994843553887</v>
      </c>
      <c r="S206" s="19">
        <f t="shared" ca="1" si="446"/>
        <v>3.91353175612664E-17</v>
      </c>
      <c r="T206" s="19">
        <f t="shared" ca="1" si="451"/>
        <v>-2.1424201239170475E-13</v>
      </c>
      <c r="U206" s="19">
        <f t="shared" ca="1" si="452"/>
        <v>-2.5449416755979852</v>
      </c>
      <c r="V206" s="21">
        <f t="shared" ca="1" si="453"/>
        <v>9.9722234957558731E-5</v>
      </c>
      <c r="W206">
        <f t="shared" ca="1" si="454"/>
        <v>9.9861020902832116E-3</v>
      </c>
      <c r="X206" s="22">
        <f t="shared" ref="X206" ca="1" si="474">BSdelta(1,P206,Strike,W206*AnnualVarConvtr,Dividend,RiskFreeRate,G206/250)</f>
        <v>7.2663413885668124E-3</v>
      </c>
      <c r="Y206" s="22">
        <f t="shared" ca="1" si="460"/>
        <v>-0.86652838364998264</v>
      </c>
      <c r="Z206" s="22">
        <f t="shared" ca="1" si="461"/>
        <v>-7.4894341176281705</v>
      </c>
      <c r="AA206">
        <f t="shared" si="448"/>
        <v>0.73884103340948371</v>
      </c>
      <c r="AB206">
        <f t="shared" ref="AB206" ca="1" si="475">BSdelta(1,P206,Strike,AA206/AnnualVarConvtr,Dividend,RiskFreeRate,G206/250)</f>
        <v>2.9965188351224033E-17</v>
      </c>
      <c r="AC206">
        <f t="shared" ca="1" si="457"/>
        <v>-1.5870982878964327E-13</v>
      </c>
      <c r="AD206">
        <f t="shared" ca="1" si="458"/>
        <v>-2.5522979515653175</v>
      </c>
    </row>
    <row r="207" spans="7:30" x14ac:dyDescent="0.25">
      <c r="G207" s="19">
        <v>48</v>
      </c>
      <c r="H207" s="19">
        <f t="shared" ca="1" si="363"/>
        <v>0.56971573151983068</v>
      </c>
      <c r="I207" s="19">
        <f t="shared" ca="1" si="363"/>
        <v>0.99942516715704488</v>
      </c>
      <c r="J207" s="19">
        <f t="shared" ca="1" si="442"/>
        <v>1.0607642715414567</v>
      </c>
      <c r="K207" s="19">
        <f t="shared" ca="1" si="443"/>
        <v>-3.8312651905440622E-3</v>
      </c>
      <c r="L207" s="19">
        <f t="array" aca="1" ref="L207:M207" ca="1">MMULT(J207:K207,TRANSPOSE($B$10:$C$11))</f>
        <v>1.0607642715414567</v>
      </c>
      <c r="M207" s="19">
        <f ca="1"/>
        <v>-0.76271024169986612</v>
      </c>
      <c r="N207" s="20">
        <f t="shared" ca="1" si="465"/>
        <v>1.3806794653951474E-2</v>
      </c>
      <c r="O207" s="20">
        <f t="shared" ca="1" si="444"/>
        <v>7.883068710895216E-3</v>
      </c>
      <c r="P207" s="19">
        <f t="shared" ca="1" si="450"/>
        <v>84.756328921495879</v>
      </c>
      <c r="Q207" s="19">
        <f ca="1">HCTrans(P207,Strike,RiskFreeRate,Dividend,Variance_T0*AnnualVarConvtr,(Simulation!G207)/250,0.5,Variance_Avg*AnnualVarConvtr,Lambda,SQRT(Simulation!N207),Rho,1,"Call")</f>
        <v>5.8062383893278451</v>
      </c>
      <c r="R207" s="19">
        <f t="shared" ca="1" si="445"/>
        <v>0.74235676791008653</v>
      </c>
      <c r="S207" s="19">
        <f t="shared" ca="1" si="446"/>
        <v>4.9151139530495225E-16</v>
      </c>
      <c r="T207" s="19">
        <f t="shared" ca="1" si="451"/>
        <v>3.8341735641460024E-14</v>
      </c>
      <c r="U207" s="19">
        <f t="shared" ca="1" si="452"/>
        <v>-2.4008526588375201</v>
      </c>
      <c r="V207" s="21">
        <f t="shared" ca="1" si="453"/>
        <v>2.7815607994626808E-4</v>
      </c>
      <c r="W207">
        <f t="shared" ca="1" si="454"/>
        <v>1.6678011870312003E-2</v>
      </c>
      <c r="X207" s="22">
        <f t="shared" ref="X207" ca="1" si="476">BSdelta(1,P207,Strike,W207*AnnualVarConvtr,Dividend,RiskFreeRate,G207/250)</f>
        <v>8.4787806785592862E-2</v>
      </c>
      <c r="Y207" s="22">
        <f t="shared" ca="1" si="460"/>
        <v>6.5704348196667013</v>
      </c>
      <c r="Z207" s="22">
        <f t="shared" ca="1" si="461"/>
        <v>-13.915779920534369</v>
      </c>
      <c r="AA207">
        <f t="shared" si="448"/>
        <v>0.73884103340948371</v>
      </c>
      <c r="AB207">
        <f t="shared" ref="AB207" ca="1" si="477">BSdelta(1,P207,Strike,AA207/AnnualVarConvtr,Dividend,RiskFreeRate,G207/250)</f>
        <v>3.5945735606969278E-16</v>
      </c>
      <c r="AC207">
        <f t="shared" ca="1" si="457"/>
        <v>2.7926546544203225E-14</v>
      </c>
      <c r="AD207">
        <f t="shared" ca="1" si="458"/>
        <v>-2.4082089348048421</v>
      </c>
    </row>
    <row r="208" spans="7:30" x14ac:dyDescent="0.25">
      <c r="G208" s="19">
        <v>47</v>
      </c>
      <c r="H208" s="19">
        <f t="shared" ca="1" si="363"/>
        <v>0.42482509356361753</v>
      </c>
      <c r="I208" s="19">
        <f t="shared" ca="1" si="363"/>
        <v>0.98891921148544637</v>
      </c>
      <c r="J208" s="19">
        <f t="shared" ca="1" si="442"/>
        <v>1.3053235331622492</v>
      </c>
      <c r="K208" s="19">
        <f t="shared" ca="1" si="443"/>
        <v>-9.1027207010076522E-2</v>
      </c>
      <c r="L208" s="19">
        <f t="array" aca="1" ref="L208:M208" ca="1">MMULT(J208:K208,TRANSPOSE($B$10:$C$11))</f>
        <v>1.3053235331622492</v>
      </c>
      <c r="M208" s="19">
        <f ca="1"/>
        <v>-0.99876371608144088</v>
      </c>
      <c r="N208" s="20">
        <f t="shared" ca="1" si="465"/>
        <v>1.104326290622909E-2</v>
      </c>
      <c r="O208" s="20">
        <f t="shared" ca="1" si="444"/>
        <v>8.675547045815319E-3</v>
      </c>
      <c r="P208" s="19">
        <f t="shared" ca="1" si="450"/>
        <v>85.494835281846548</v>
      </c>
      <c r="Q208" s="19">
        <f ca="1">HCTrans(P208,Strike,RiskFreeRate,Dividend,Variance_T0*AnnualVarConvtr,(Simulation!G208)/250,0.5,Variance_Avg*AnnualVarConvtr,Lambda,SQRT(Simulation!N208),Rho,1,"Call")</f>
        <v>5.9808841112967599</v>
      </c>
      <c r="R208" s="19">
        <f t="shared" ca="1" si="445"/>
        <v>0.74320174928822946</v>
      </c>
      <c r="S208" s="19">
        <f t="shared" ca="1" si="446"/>
        <v>8.0033140729923044E-15</v>
      </c>
      <c r="T208" s="19">
        <f t="shared" ca="1" si="451"/>
        <v>6.4222033259861394E-13</v>
      </c>
      <c r="U208" s="19">
        <f t="shared" ca="1" si="452"/>
        <v>-2.2262069368692474</v>
      </c>
      <c r="V208" s="21">
        <f t="shared" ca="1" si="453"/>
        <v>6.2802191131773903E-7</v>
      </c>
      <c r="W208">
        <f t="shared" ca="1" si="454"/>
        <v>7.9247833492010304E-4</v>
      </c>
      <c r="X208" s="22">
        <f t="shared" ref="X208" ca="1" si="478">BSdelta(1,P208,Strike,W208*AnnualVarConvtr,Dividend,RiskFreeRate,G208/250)</f>
        <v>3.1566141627662806E-183</v>
      </c>
      <c r="Y208" s="22">
        <f t="shared" ca="1" si="460"/>
        <v>-7.2489195750432929</v>
      </c>
      <c r="Z208" s="22">
        <f t="shared" ca="1" si="461"/>
        <v>-6.4922146235221616</v>
      </c>
      <c r="AA208">
        <f t="shared" si="448"/>
        <v>0.73884103340948371</v>
      </c>
      <c r="AB208">
        <f t="shared" ref="AB208" ca="1" si="479">BSdelta(1,P208,Strike,AA208/AnnualVarConvtr,Dividend,RiskFreeRate,G208/250)</f>
        <v>5.6076783988449317E-15</v>
      </c>
      <c r="AC208">
        <f t="shared" ca="1" si="457"/>
        <v>4.4869579357479002E-13</v>
      </c>
      <c r="AD208">
        <f t="shared" ca="1" si="458"/>
        <v>-2.2335632128363758</v>
      </c>
    </row>
    <row r="209" spans="7:30" x14ac:dyDescent="0.25">
      <c r="G209" s="19">
        <v>46</v>
      </c>
      <c r="H209" s="19">
        <f t="shared" ca="1" si="363"/>
        <v>0.34186795492565836</v>
      </c>
      <c r="I209" s="19">
        <f t="shared" ca="1" si="363"/>
        <v>1.5834995900252502E-2</v>
      </c>
      <c r="J209" s="19">
        <f t="shared" ca="1" si="442"/>
        <v>1.4579030967651123</v>
      </c>
      <c r="K209" s="19">
        <f t="shared" ca="1" si="443"/>
        <v>0.14553345597494782</v>
      </c>
      <c r="L209" s="19">
        <f t="array" aca="1" ref="L209:M209" ca="1">MMULT(J209:K209,TRANSPOSE($B$10:$C$11))</f>
        <v>1.4579030967651123</v>
      </c>
      <c r="M209" s="19">
        <f ca="1"/>
        <v>-0.94306530858641957</v>
      </c>
      <c r="N209" s="20">
        <f t="shared" ca="1" si="465"/>
        <v>8.7256982871598814E-3</v>
      </c>
      <c r="O209" s="20">
        <f t="shared" ca="1" si="444"/>
        <v>8.6130853372146012E-3</v>
      </c>
      <c r="P209" s="19">
        <f t="shared" ca="1" si="450"/>
        <v>86.234389945738371</v>
      </c>
      <c r="Q209" s="19">
        <f ca="1">HCTrans(P209,Strike,RiskFreeRate,Dividend,Variance_T0*AnnualVarConvtr,(Simulation!G209)/250,0.5,Variance_Avg*AnnualVarConvtr,Lambda,SQRT(Simulation!N209),Rho,1,"Call")</f>
        <v>6.1574806596881615</v>
      </c>
      <c r="R209" s="19">
        <f t="shared" ca="1" si="445"/>
        <v>0.7439567995779528</v>
      </c>
      <c r="S209" s="19">
        <f t="shared" ca="1" si="446"/>
        <v>1.1697385802803239E-13</v>
      </c>
      <c r="T209" s="19">
        <f t="shared" ca="1" si="451"/>
        <v>9.3970083800181498E-12</v>
      </c>
      <c r="U209" s="19">
        <f t="shared" ca="1" si="452"/>
        <v>-2.0496103884872428</v>
      </c>
      <c r="V209" s="21">
        <f t="shared" ca="1" si="453"/>
        <v>3.9014650413209843E-9</v>
      </c>
      <c r="W209">
        <f t="shared" ca="1" si="454"/>
        <v>6.24617086007178E-5</v>
      </c>
      <c r="X209" s="22">
        <f t="shared" ref="X209" ca="1" si="480">BSdelta(1,P209,Strike,W209*AnnualVarConvtr,Dividend,RiskFreeRate,G209/250)</f>
        <v>0</v>
      </c>
      <c r="Y209" s="22">
        <f t="shared" ca="1" si="460"/>
        <v>-2.7220869662022788E-181</v>
      </c>
      <c r="Z209" s="22">
        <f t="shared" ca="1" si="461"/>
        <v>-6.31561807513076</v>
      </c>
      <c r="AA209">
        <f t="shared" si="448"/>
        <v>0.73884103340948371</v>
      </c>
      <c r="AB209">
        <f t="shared" ref="AB209" ca="1" si="481">BSdelta(1,P209,Strike,AA209/AnnualVarConvtr,Dividend,RiskFreeRate,G209/250)</f>
        <v>7.9930140068644372E-14</v>
      </c>
      <c r="AC209">
        <f t="shared" ca="1" si="457"/>
        <v>6.4091521413606781E-12</v>
      </c>
      <c r="AD209">
        <f t="shared" ca="1" si="458"/>
        <v>-2.0569666644513833</v>
      </c>
    </row>
    <row r="210" spans="7:30" x14ac:dyDescent="0.25">
      <c r="G210" s="19">
        <v>45</v>
      </c>
      <c r="H210" s="19">
        <f t="shared" ca="1" si="363"/>
        <v>0.51303113382855847</v>
      </c>
      <c r="I210" s="19">
        <f t="shared" ca="1" si="363"/>
        <v>0.61352595572954183</v>
      </c>
      <c r="J210" s="19">
        <f t="shared" ca="1" si="442"/>
        <v>-0.87368118577947296</v>
      </c>
      <c r="K210" s="19">
        <f t="shared" ca="1" si="443"/>
        <v>-0.75598854321492981</v>
      </c>
      <c r="L210" s="19">
        <f t="array" aca="1" ref="L210:M210" ca="1">MMULT(J210:K210,TRANSPOSE($B$10:$C$11))</f>
        <v>-0.87368118577947296</v>
      </c>
      <c r="M210" s="19">
        <f ca="1"/>
        <v>9.8624720665602239E-2</v>
      </c>
      <c r="N210" s="20">
        <f t="shared" ca="1" si="465"/>
        <v>8.944152490849332E-3</v>
      </c>
      <c r="O210" s="20">
        <f t="shared" ca="1" si="444"/>
        <v>-5.2257974989446303E-3</v>
      </c>
      <c r="P210" s="19">
        <f t="shared" ca="1" si="450"/>
        <v>85.784921923744378</v>
      </c>
      <c r="Q210" s="19">
        <f ca="1">HCTrans(P210,Strike,RiskFreeRate,Dividend,Variance_T0*AnnualVarConvtr,(Simulation!G210)/250,0.5,Variance_Avg*AnnualVarConvtr,Lambda,SQRT(Simulation!N210),Rho,1,"Call")</f>
        <v>5.8726769033356874</v>
      </c>
      <c r="R210" s="19">
        <f t="shared" ca="1" si="445"/>
        <v>0.74381164648341869</v>
      </c>
      <c r="S210" s="19">
        <f t="shared" ca="1" si="446"/>
        <v>8.4479805429955513E-15</v>
      </c>
      <c r="T210" s="19">
        <f t="shared" ca="1" si="451"/>
        <v>-9.3098839267597328E-12</v>
      </c>
      <c r="U210" s="19">
        <f t="shared" ca="1" si="452"/>
        <v>-2.334414144830407</v>
      </c>
      <c r="V210" s="21">
        <f t="shared" ca="1" si="453"/>
        <v>1.915146781529426E-4</v>
      </c>
      <c r="W210">
        <f t="shared" ca="1" si="454"/>
        <v>1.3838882836159232E-2</v>
      </c>
      <c r="X210" s="22">
        <f t="shared" ref="X210" ca="1" si="482">BSdelta(1,P210,Strike,W210*AnnualVarConvtr,Dividend,RiskFreeRate,G210/250)</f>
        <v>5.4224145659685585E-2</v>
      </c>
      <c r="Y210" s="22">
        <f t="shared" ca="1" si="460"/>
        <v>4.6516141017978709</v>
      </c>
      <c r="Z210" s="22">
        <f t="shared" ca="1" si="461"/>
        <v>-11.252035933281105</v>
      </c>
      <c r="AA210">
        <f t="shared" si="448"/>
        <v>0.73884103340948371</v>
      </c>
      <c r="AB210">
        <f t="shared" ref="AB210" ca="1" si="483">BSdelta(1,P210,Strike,AA210/AnnualVarConvtr,Dividend,RiskFreeRate,G210/250)</f>
        <v>5.6352250448035988E-15</v>
      </c>
      <c r="AC210">
        <f t="shared" ca="1" si="457"/>
        <v>-6.3733834846514041E-12</v>
      </c>
      <c r="AD210">
        <f t="shared" ca="1" si="458"/>
        <v>-2.3417704207974839</v>
      </c>
    </row>
    <row r="211" spans="7:30" x14ac:dyDescent="0.25">
      <c r="G211" s="19">
        <v>44</v>
      </c>
      <c r="H211" s="19">
        <f t="shared" ca="1" si="363"/>
        <v>0.26583102139200221</v>
      </c>
      <c r="I211" s="19">
        <f t="shared" ca="1" si="363"/>
        <v>0.71836388514969041</v>
      </c>
      <c r="J211" s="19">
        <f t="shared" ca="1" si="442"/>
        <v>-0.32144369851032584</v>
      </c>
      <c r="K211" s="19">
        <f t="shared" ca="1" si="443"/>
        <v>-1.5957640203557999</v>
      </c>
      <c r="L211" s="19">
        <f t="array" aca="1" ref="L211:M211" ca="1">MMULT(J211:K211,TRANSPOSE($B$10:$C$11))</f>
        <v>-0.32144369851032584</v>
      </c>
      <c r="M211" s="19">
        <f ca="1"/>
        <v>-0.88286997143757295</v>
      </c>
      <c r="N211" s="20">
        <f t="shared" ca="1" si="465"/>
        <v>7.0039002639824483E-3</v>
      </c>
      <c r="O211" s="20">
        <f t="shared" ca="1" si="444"/>
        <v>-1.7013939673812899E-3</v>
      </c>
      <c r="P211" s="19">
        <f t="shared" ca="1" si="450"/>
        <v>85.639092067288374</v>
      </c>
      <c r="Q211" s="19">
        <f ca="1">HCTrans(P211,Strike,RiskFreeRate,Dividend,Variance_T0*AnnualVarConvtr,(Simulation!G211)/250,0.5,Variance_Avg*AnnualVarConvtr,Lambda,SQRT(Simulation!N211),Rho,1,"Call")</f>
        <v>5.7114888531253172</v>
      </c>
      <c r="R211" s="19">
        <f t="shared" ca="1" si="445"/>
        <v>0.74430268064235217</v>
      </c>
      <c r="S211" s="19">
        <f t="shared" ca="1" si="446"/>
        <v>2.2487025866461858E-15</v>
      </c>
      <c r="T211" s="19">
        <f t="shared" ca="1" si="451"/>
        <v>-5.3090053565451461E-13</v>
      </c>
      <c r="U211" s="19">
        <f t="shared" ca="1" si="452"/>
        <v>-2.4956021950402465</v>
      </c>
      <c r="V211" s="21">
        <f t="shared" ca="1" si="453"/>
        <v>1.2421420253296145E-5</v>
      </c>
      <c r="W211">
        <f t="shared" ca="1" si="454"/>
        <v>3.5244035315633404E-3</v>
      </c>
      <c r="X211" s="22">
        <f t="shared" ref="X211" ca="1" si="484">BSdelta(1,P211,Strike,W211*AnnualVarConvtr,Dividend,RiskFreeRate,G211/250)</f>
        <v>1.8006518418780332E-11</v>
      </c>
      <c r="Y211" s="22">
        <f t="shared" ca="1" si="460"/>
        <v>-4.643706600877807</v>
      </c>
      <c r="Z211" s="22">
        <f t="shared" ca="1" si="461"/>
        <v>-6.7695173826136683</v>
      </c>
      <c r="AA211">
        <f t="shared" si="448"/>
        <v>0.73884103340948371</v>
      </c>
      <c r="AB211">
        <f t="shared" ref="AB211" ca="1" si="485">BSdelta(1,P211,Strike,AA211/AnnualVarConvtr,Dividend,RiskFreeRate,G211/250)</f>
        <v>1.4133630566369672E-15</v>
      </c>
      <c r="AC211">
        <f t="shared" ca="1" si="457"/>
        <v>-3.6155642749998728E-13</v>
      </c>
      <c r="AD211">
        <f t="shared" ca="1" si="458"/>
        <v>-2.5029584710074926</v>
      </c>
    </row>
    <row r="212" spans="7:30" x14ac:dyDescent="0.25">
      <c r="G212" s="19">
        <v>43</v>
      </c>
      <c r="H212" s="19">
        <f t="shared" ca="1" si="363"/>
        <v>0.35833787067757716</v>
      </c>
      <c r="I212" s="19">
        <f t="shared" ca="1" si="363"/>
        <v>0.18889669209071258</v>
      </c>
      <c r="J212" s="19">
        <f t="shared" ca="1" si="442"/>
        <v>0.5366244086181996</v>
      </c>
      <c r="K212" s="19">
        <f t="shared" ca="1" si="443"/>
        <v>1.3283795292386924</v>
      </c>
      <c r="L212" s="19">
        <f t="array" aca="1" ref="L212:M212" ca="1">MMULT(J212:K212,TRANSPOSE($B$10:$C$11))</f>
        <v>0.5366244086181996</v>
      </c>
      <c r="M212" s="19">
        <f ca="1"/>
        <v>0.54216902321827742</v>
      </c>
      <c r="N212" s="20">
        <f t="shared" ca="1" si="465"/>
        <v>8.1608839830240726E-3</v>
      </c>
      <c r="O212" s="20">
        <f t="shared" ca="1" si="444"/>
        <v>3.0659779028469102E-3</v>
      </c>
      <c r="P212" s="19">
        <f t="shared" ca="1" si="450"/>
        <v>85.902062556042011</v>
      </c>
      <c r="Q212" s="19">
        <f ca="1">HCTrans(P212,Strike,RiskFreeRate,Dividend,Variance_T0*AnnualVarConvtr,(Simulation!G212)/250,0.5,Variance_Avg*AnnualVarConvtr,Lambda,SQRT(Simulation!N212),Rho,1,"Call")</f>
        <v>5.6896579693920728</v>
      </c>
      <c r="R212" s="19">
        <f t="shared" ca="1" si="445"/>
        <v>0.74407039695194843</v>
      </c>
      <c r="S212" s="19">
        <f t="shared" ca="1" si="446"/>
        <v>3.7284929127572426E-15</v>
      </c>
      <c r="T212" s="19">
        <f t="shared" ca="1" si="451"/>
        <v>1.2711704116341781E-13</v>
      </c>
      <c r="U212" s="19">
        <f t="shared" ca="1" si="452"/>
        <v>-2.5174330787736179</v>
      </c>
      <c r="V212" s="21">
        <f t="shared" ca="1" si="453"/>
        <v>2.2727834549043123E-5</v>
      </c>
      <c r="W212">
        <f t="shared" ca="1" si="454"/>
        <v>4.7673718702281997E-3</v>
      </c>
      <c r="X212" s="22">
        <f t="shared" ref="X212" ca="1" si="486">BSdelta(1,P212,Strike,W212*AnnualVarConvtr,Dividend,RiskFreeRate,G212/250)</f>
        <v>6.3198538514865976E-7</v>
      </c>
      <c r="Y212" s="22">
        <f t="shared" ca="1" si="460"/>
        <v>5.4287301292472847E-5</v>
      </c>
      <c r="Z212" s="22">
        <f t="shared" ca="1" si="461"/>
        <v>-6.7914025536482052</v>
      </c>
      <c r="AA212">
        <f t="shared" si="448"/>
        <v>0.73884103340948371</v>
      </c>
      <c r="AB212">
        <f t="shared" ref="AB212" ca="1" si="487">BSdelta(1,P212,Strike,AA212/AnnualVarConvtr,Dividend,RiskFreeRate,G212/250)</f>
        <v>2.4073729376854243E-15</v>
      </c>
      <c r="AC212">
        <f t="shared" ca="1" si="457"/>
        <v>8.5387498983148434E-14</v>
      </c>
      <c r="AD212">
        <f t="shared" ca="1" si="458"/>
        <v>-2.5247893547408222</v>
      </c>
    </row>
    <row r="213" spans="7:30" x14ac:dyDescent="0.25">
      <c r="G213" s="19">
        <v>42</v>
      </c>
      <c r="H213" s="19">
        <f t="shared" ca="1" si="363"/>
        <v>0.10092541810257272</v>
      </c>
      <c r="I213" s="19">
        <f t="shared" ca="1" si="363"/>
        <v>0.13147695509742208</v>
      </c>
      <c r="J213" s="19">
        <f t="shared" ca="1" si="442"/>
        <v>1.4515225313392086</v>
      </c>
      <c r="K213" s="19">
        <f t="shared" ca="1" si="443"/>
        <v>1.5747473702491595</v>
      </c>
      <c r="L213" s="19">
        <f t="array" aca="1" ref="L213:M213" ca="1">MMULT(J213:K213,TRANSPOSE($B$10:$C$11))</f>
        <v>1.4515225313392086</v>
      </c>
      <c r="M213" s="19">
        <f ca="1"/>
        <v>5.8507543898139946E-2</v>
      </c>
      <c r="N213" s="20">
        <f t="shared" ca="1" si="465"/>
        <v>8.2850876076057799E-3</v>
      </c>
      <c r="O213" s="20">
        <f t="shared" ca="1" si="444"/>
        <v>8.3560750084487843E-3</v>
      </c>
      <c r="P213" s="19">
        <f t="shared" ca="1" si="450"/>
        <v>86.622874017303275</v>
      </c>
      <c r="Q213" s="19">
        <f ca="1">HCTrans(P213,Strike,RiskFreeRate,Dividend,Variance_T0*AnnualVarConvtr,(Simulation!G213)/250,0.5,Variance_Avg*AnnualVarConvtr,Lambda,SQRT(Simulation!N213),Rho,1,"Call")</f>
        <v>5.8417290142821514</v>
      </c>
      <c r="R213" s="19">
        <f t="shared" ca="1" si="445"/>
        <v>0.74422580976784936</v>
      </c>
      <c r="S213" s="19">
        <f t="shared" ca="1" si="446"/>
        <v>5.2692494454341371E-14</v>
      </c>
      <c r="T213" s="19">
        <f t="shared" ca="1" si="451"/>
        <v>4.2414025369196855E-12</v>
      </c>
      <c r="U213" s="19">
        <f t="shared" ca="1" si="452"/>
        <v>-2.3653620338877808</v>
      </c>
      <c r="V213" s="21">
        <f t="shared" ca="1" si="453"/>
        <v>2.7985127386697325E-5</v>
      </c>
      <c r="W213">
        <f t="shared" ca="1" si="454"/>
        <v>5.2900971056018741E-3</v>
      </c>
      <c r="X213" s="22">
        <f t="shared" ref="X213" ca="1" si="488">BSdelta(1,P213,Strike,W213*AnnualVarConvtr,Dividend,RiskFreeRate,G213/250)</f>
        <v>1.5122441241854703E-5</v>
      </c>
      <c r="Y213" s="22">
        <f t="shared" ca="1" si="460"/>
        <v>1.255204932128742E-3</v>
      </c>
      <c r="Z213" s="22">
        <f t="shared" ca="1" si="461"/>
        <v>-6.6405867136902552</v>
      </c>
      <c r="AA213">
        <f t="shared" si="448"/>
        <v>0.73884103340948371</v>
      </c>
      <c r="AB213">
        <f t="shared" ref="AB213" ca="1" si="489">BSdelta(1,P213,Strike,AA213/AnnualVarConvtr,Dividend,RiskFreeRate,G213/250)</f>
        <v>3.4888084548933526E-14</v>
      </c>
      <c r="AC213">
        <f t="shared" ca="1" si="457"/>
        <v>2.8135725898935036E-12</v>
      </c>
      <c r="AD213">
        <f t="shared" ca="1" si="458"/>
        <v>-2.3727183098535574</v>
      </c>
    </row>
    <row r="214" spans="7:30" x14ac:dyDescent="0.25">
      <c r="G214" s="19">
        <v>41</v>
      </c>
      <c r="H214" s="19">
        <f t="shared" ca="1" si="363"/>
        <v>0.66329512634208798</v>
      </c>
      <c r="I214" s="19">
        <f t="shared" ca="1" si="363"/>
        <v>0.53963321305630008</v>
      </c>
      <c r="J214" s="19">
        <f t="shared" ca="1" si="442"/>
        <v>-0.87817868157261536</v>
      </c>
      <c r="K214" s="19">
        <f t="shared" ca="1" si="443"/>
        <v>-0.22332197243227336</v>
      </c>
      <c r="L214" s="19">
        <f t="array" aca="1" ref="L214:M214" ca="1">MMULT(J214:K214,TRANSPOSE($B$10:$C$11))</f>
        <v>-0.87817868157261536</v>
      </c>
      <c r="M214" s="19">
        <f ca="1"/>
        <v>0.47342850016611027</v>
      </c>
      <c r="N214" s="20">
        <f t="shared" ca="1" si="465"/>
        <v>9.3688519814459741E-3</v>
      </c>
      <c r="O214" s="20">
        <f t="shared" ca="1" si="444"/>
        <v>-5.3759605676911085E-3</v>
      </c>
      <c r="P214" s="19">
        <f t="shared" ca="1" si="450"/>
        <v>86.158442363996002</v>
      </c>
      <c r="Q214" s="19">
        <f ca="1">HCTrans(P214,Strike,RiskFreeRate,Dividend,Variance_T0*AnnualVarConvtr,(Simulation!G214)/250,0.5,Variance_Avg*AnnualVarConvtr,Lambda,SQRT(Simulation!N214),Rho,1,"Call")</f>
        <v>5.5459102368025981</v>
      </c>
      <c r="R214" s="19">
        <f t="shared" ca="1" si="445"/>
        <v>0.7438747752219631</v>
      </c>
      <c r="S214" s="19">
        <f t="shared" ca="1" si="446"/>
        <v>2.8584671871797511E-15</v>
      </c>
      <c r="T214" s="19">
        <f t="shared" ca="1" si="451"/>
        <v>-4.2936221660635495E-12</v>
      </c>
      <c r="U214" s="19">
        <f t="shared" ca="1" si="452"/>
        <v>-2.6611808113630406</v>
      </c>
      <c r="V214" s="21">
        <f t="shared" ca="1" si="453"/>
        <v>1.8856880106437167E-4</v>
      </c>
      <c r="W214">
        <f t="shared" ca="1" si="454"/>
        <v>1.3732035576139893E-2</v>
      </c>
      <c r="X214" s="22">
        <f t="shared" ref="X214" ca="1" si="490">BSdelta(1,P214,Strike,W214*AnnualVarConvtr,Dividend,RiskFreeRate,G214/250)</f>
        <v>4.9430208386883383E-2</v>
      </c>
      <c r="Y214" s="22">
        <f t="shared" ca="1" si="460"/>
        <v>4.2575268343594646</v>
      </c>
      <c r="Z214" s="22">
        <f t="shared" ca="1" si="461"/>
        <v>-11.193932325529273</v>
      </c>
      <c r="AA214">
        <f t="shared" si="448"/>
        <v>0.73884103340948371</v>
      </c>
      <c r="AB214">
        <f t="shared" ref="AB214" ca="1" si="491">BSdelta(1,P214,Strike,AA214/AnnualVarConvtr,Dividend,RiskFreeRate,G214/250)</f>
        <v>1.8695158418777923E-15</v>
      </c>
      <c r="AC214">
        <f t="shared" ca="1" si="457"/>
        <v>-2.8448284488885035E-12</v>
      </c>
      <c r="AD214">
        <f t="shared" ca="1" si="458"/>
        <v>-2.6685370873302658</v>
      </c>
    </row>
    <row r="215" spans="7:30" x14ac:dyDescent="0.25">
      <c r="G215" s="19">
        <v>40</v>
      </c>
      <c r="H215" s="19">
        <f t="shared" ca="1" si="363"/>
        <v>0.31696792062977364</v>
      </c>
      <c r="I215" s="19">
        <f t="shared" ca="1" si="363"/>
        <v>0.62753874397636877</v>
      </c>
      <c r="J215" s="19">
        <f t="shared" ca="1" si="442"/>
        <v>-1.0546592126808871</v>
      </c>
      <c r="K215" s="19">
        <f t="shared" ca="1" si="443"/>
        <v>-1.0888541495818083</v>
      </c>
      <c r="L215" s="19">
        <f t="array" aca="1" ref="L215:M215" ca="1">MMULT(J215:K215,TRANSPOSE($B$10:$C$11))</f>
        <v>-1.0546592126808871</v>
      </c>
      <c r="M215" s="19">
        <f ca="1"/>
        <v>-3.9072732111281594E-3</v>
      </c>
      <c r="N215" s="20">
        <f t="shared" ca="1" si="465"/>
        <v>9.3472658275458344E-3</v>
      </c>
      <c r="O215" s="20">
        <f t="shared" ca="1" si="444"/>
        <v>-6.4488821904793905E-3</v>
      </c>
      <c r="P215" s="19">
        <f t="shared" ca="1" si="450"/>
        <v>85.604604456604079</v>
      </c>
      <c r="Q215" s="19">
        <f ca="1">HCTrans(P215,Strike,RiskFreeRate,Dividend,Variance_T0*AnnualVarConvtr,(Simulation!G215)/250,0.5,Variance_Avg*AnnualVarConvtr,Lambda,SQRT(Simulation!N215),Rho,1,"Call")</f>
        <v>5.226343052364868</v>
      </c>
      <c r="R215" s="19">
        <f t="shared" ca="1" si="445"/>
        <v>0.74375863317268509</v>
      </c>
      <c r="S215" s="19">
        <f t="shared" ca="1" si="446"/>
        <v>7.8356706898637163E-17</v>
      </c>
      <c r="T215" s="19">
        <f t="shared" ca="1" si="451"/>
        <v>-2.3799025801012435E-13</v>
      </c>
      <c r="U215" s="19">
        <f t="shared" ca="1" si="452"/>
        <v>-2.9807479958005327</v>
      </c>
      <c r="V215" s="21">
        <f t="shared" ca="1" si="453"/>
        <v>1.1511608086466404E-6</v>
      </c>
      <c r="W215">
        <f t="shared" ca="1" si="454"/>
        <v>1.072921622788282E-3</v>
      </c>
      <c r="X215" s="22">
        <f t="shared" ref="X215" ca="1" si="492">BSdelta(1,P215,Strike,W215*AnnualVarConvtr,Dividend,RiskFreeRate,G215/250)</f>
        <v>2.2129378310202176E-116</v>
      </c>
      <c r="Y215" s="22">
        <f t="shared" ca="1" si="460"/>
        <v>-4.2314534371666657</v>
      </c>
      <c r="Z215" s="22">
        <f t="shared" ca="1" si="461"/>
        <v>-7.2820460728003376</v>
      </c>
      <c r="AA215">
        <f t="shared" si="448"/>
        <v>0.73884103340948371</v>
      </c>
      <c r="AB215">
        <f t="shared" ref="AB215" ca="1" si="493">BSdelta(1,P215,Strike,AA215/AnnualVarConvtr,Dividend,RiskFreeRate,G215/250)</f>
        <v>4.9358338315991687E-17</v>
      </c>
      <c r="AC215">
        <f t="shared" ca="1" si="457"/>
        <v>-1.5581386314112786E-13</v>
      </c>
      <c r="AD215">
        <f t="shared" ca="1" si="458"/>
        <v>-2.9881042717678401</v>
      </c>
    </row>
    <row r="216" spans="7:30" x14ac:dyDescent="0.25">
      <c r="G216" s="19">
        <v>39</v>
      </c>
      <c r="H216" s="19">
        <f t="shared" ca="1" si="363"/>
        <v>0.82687740498590834</v>
      </c>
      <c r="I216" s="19">
        <f t="shared" ca="1" si="363"/>
        <v>0.70028483498124905</v>
      </c>
      <c r="J216" s="19">
        <f t="shared" ca="1" si="442"/>
        <v>-0.18949059881713579</v>
      </c>
      <c r="K216" s="19">
        <f t="shared" ca="1" si="443"/>
        <v>-0.58676314143435448</v>
      </c>
      <c r="L216" s="19">
        <f t="array" aca="1" ref="L216:M216" ca="1">MMULT(J216:K216,TRANSPOSE($B$10:$C$11))</f>
        <v>-0.18949059881713579</v>
      </c>
      <c r="M216" s="19">
        <f ca="1"/>
        <v>-0.27354837908446755</v>
      </c>
      <c r="N216" s="20">
        <f t="shared" ca="1" si="465"/>
        <v>8.6978244519117717E-3</v>
      </c>
      <c r="O216" s="20">
        <f t="shared" ca="1" si="444"/>
        <v>-1.1176941630416126E-3</v>
      </c>
      <c r="P216" s="19">
        <f t="shared" ca="1" si="450"/>
        <v>85.508978140316231</v>
      </c>
      <c r="Q216" s="19">
        <f ca="1">HCTrans(P216,Strike,RiskFreeRate,Dividend,Variance_T0*AnnualVarConvtr,(Simulation!G216)/250,0.5,Variance_Avg*AnnualVarConvtr,Lambda,SQRT(Simulation!N216),Rho,1,"Call")</f>
        <v>5.0757388856220587</v>
      </c>
      <c r="R216" s="19">
        <f t="shared" ca="1" si="445"/>
        <v>0.74391075800778406</v>
      </c>
      <c r="S216" s="19">
        <f t="shared" ca="1" si="446"/>
        <v>1.9634189498446022E-17</v>
      </c>
      <c r="T216" s="19">
        <f t="shared" ca="1" si="451"/>
        <v>-5.0213024567172833E-15</v>
      </c>
      <c r="U216" s="19">
        <f t="shared" ca="1" si="452"/>
        <v>-3.1313521625433371</v>
      </c>
      <c r="V216" s="21">
        <f t="shared" ca="1" si="453"/>
        <v>2.8421565783895911E-5</v>
      </c>
      <c r="W216">
        <f t="shared" ca="1" si="454"/>
        <v>5.3311880274377783E-3</v>
      </c>
      <c r="X216" s="22">
        <f t="shared" ref="X216" ca="1" si="494">BSdelta(1,P216,Strike,W216*AnnualVarConvtr,Dividend,RiskFreeRate,G216/250)</f>
        <v>1.3965862757413207E-6</v>
      </c>
      <c r="Y216" s="22">
        <f t="shared" ca="1" si="460"/>
        <v>1.1942066532343024E-4</v>
      </c>
      <c r="Z216" s="22">
        <f t="shared" ca="1" si="461"/>
        <v>-7.4327696602084705</v>
      </c>
      <c r="AA216">
        <f t="shared" si="448"/>
        <v>0.73884103340948371</v>
      </c>
      <c r="AB216">
        <f t="shared" ref="AB216" ca="1" si="495">BSdelta(1,P216,Strike,AA216/AnnualVarConvtr,Dividend,RiskFreeRate,G216/250)</f>
        <v>1.1964620519717112E-17</v>
      </c>
      <c r="AC216">
        <f t="shared" ca="1" si="457"/>
        <v>-3.1974985976267962E-15</v>
      </c>
      <c r="AD216">
        <f t="shared" ca="1" si="458"/>
        <v>-3.1387084385106463</v>
      </c>
    </row>
    <row r="217" spans="7:30" x14ac:dyDescent="0.25">
      <c r="G217" s="19">
        <v>38</v>
      </c>
      <c r="H217" s="19">
        <f t="shared" ca="1" si="363"/>
        <v>0.82384984389641658</v>
      </c>
      <c r="I217" s="19">
        <f t="shared" ca="1" si="363"/>
        <v>0.64234651655370945</v>
      </c>
      <c r="J217" s="19">
        <f t="shared" ca="1" si="442"/>
        <v>-0.3896958248631372</v>
      </c>
      <c r="K217" s="19">
        <f t="shared" ca="1" si="443"/>
        <v>-0.48545973262758541</v>
      </c>
      <c r="L217" s="19">
        <f t="array" aca="1" ref="L217:M217" ca="1">MMULT(J217:K217,TRANSPOSE($B$10:$C$11))</f>
        <v>-0.3896958248631372</v>
      </c>
      <c r="M217" s="19">
        <f ca="1"/>
        <v>-5.9433384330471628E-2</v>
      </c>
      <c r="N217" s="20">
        <f t="shared" ca="1" si="465"/>
        <v>8.5536845026739292E-3</v>
      </c>
      <c r="O217" s="20">
        <f t="shared" ca="1" si="444"/>
        <v>-2.2794620296067735E-3</v>
      </c>
      <c r="P217" s="19">
        <f t="shared" ca="1" si="450"/>
        <v>85.314285652822235</v>
      </c>
      <c r="Q217" s="19">
        <f ca="1">HCTrans(P217,Strike,RiskFreeRate,Dividend,Variance_T0*AnnualVarConvtr,(Simulation!G217)/250,0.5,Variance_Avg*AnnualVarConvtr,Lambda,SQRT(Simulation!N217),Rho,1,"Call")</f>
        <v>4.8887803287875329</v>
      </c>
      <c r="R217" s="19">
        <f t="shared" ca="1" si="445"/>
        <v>0.74391675869738005</v>
      </c>
      <c r="S217" s="19">
        <f t="shared" ca="1" si="446"/>
        <v>2.5860952028185517E-18</v>
      </c>
      <c r="T217" s="19">
        <f t="shared" ca="1" si="451"/>
        <v>-1.4544459865734114E-15</v>
      </c>
      <c r="U217" s="19">
        <f t="shared" ca="1" si="452"/>
        <v>-3.3183107193778616</v>
      </c>
      <c r="V217" s="21">
        <f t="shared" ca="1" si="453"/>
        <v>1.3497045757833657E-6</v>
      </c>
      <c r="W217">
        <f t="shared" ca="1" si="454"/>
        <v>1.161767866565161E-3</v>
      </c>
      <c r="X217" s="22">
        <f t="shared" ref="X217" ca="1" si="496">BSdelta(1,P217,Strike,W217*AnnualVarConvtr,Dividend,RiskFreeRate,G217/250)</f>
        <v>3.0524488534402298E-109</v>
      </c>
      <c r="Y217" s="22">
        <f t="shared" ca="1" si="460"/>
        <v>-1.1914876046740619E-4</v>
      </c>
      <c r="Z217" s="22">
        <f t="shared" ca="1" si="461"/>
        <v>-7.6196090682825286</v>
      </c>
      <c r="AA217">
        <f t="shared" si="448"/>
        <v>0.73884103340948371</v>
      </c>
      <c r="AB217">
        <f t="shared" ref="AB217" ca="1" si="497">BSdelta(1,P217,Strike,AA217/AnnualVarConvtr,Dividend,RiskFreeRate,G217/250)</f>
        <v>1.5321003852531419E-18</v>
      </c>
      <c r="AC217">
        <f t="shared" ca="1" si="457"/>
        <v>-8.900430028304785E-16</v>
      </c>
      <c r="AD217">
        <f t="shared" ca="1" si="458"/>
        <v>-3.3256669953451712</v>
      </c>
    </row>
    <row r="218" spans="7:30" x14ac:dyDescent="0.25">
      <c r="G218" s="19">
        <v>37</v>
      </c>
      <c r="H218" s="19">
        <f t="shared" ca="1" si="363"/>
        <v>0.48994300567570348</v>
      </c>
      <c r="I218" s="19">
        <f t="shared" ca="1" si="363"/>
        <v>0.58534326409842563</v>
      </c>
      <c r="J218" s="19">
        <f t="shared" ca="1" si="442"/>
        <v>-1.0268792868645842</v>
      </c>
      <c r="K218" s="19">
        <f t="shared" ca="1" si="443"/>
        <v>-0.61028792335152482</v>
      </c>
      <c r="L218" s="19">
        <f t="array" aca="1" ref="L218:M218" ca="1">MMULT(J218:K218,TRANSPOSE($B$10:$C$11))</f>
        <v>-1.0268792868645842</v>
      </c>
      <c r="M218" s="19">
        <f ca="1"/>
        <v>0.31003003170959342</v>
      </c>
      <c r="N218" s="20">
        <f t="shared" ca="1" si="465"/>
        <v>9.2632209310545156E-3</v>
      </c>
      <c r="O218" s="20">
        <f t="shared" ca="1" si="444"/>
        <v>-6.2507251154065441E-3</v>
      </c>
      <c r="P218" s="19">
        <f t="shared" ca="1" si="450"/>
        <v>84.782672718859459</v>
      </c>
      <c r="Q218" s="19">
        <f ca="1">HCTrans(P218,Strike,RiskFreeRate,Dividend,Variance_T0*AnnualVarConvtr,(Simulation!G218)/250,0.5,Variance_Avg*AnnualVarConvtr,Lambda,SQRT(Simulation!N218),Rho,1,"Call")</f>
        <v>4.586230420838092</v>
      </c>
      <c r="R218" s="19">
        <f t="shared" ca="1" si="445"/>
        <v>0.7436247419955333</v>
      </c>
      <c r="S218" s="19">
        <f t="shared" ca="1" si="446"/>
        <v>3.9414283183582554E-20</v>
      </c>
      <c r="T218" s="19">
        <f t="shared" ca="1" si="451"/>
        <v>-2.1591441492877561E-16</v>
      </c>
      <c r="U218" s="19">
        <f t="shared" ca="1" si="452"/>
        <v>-3.6208606273273025</v>
      </c>
      <c r="V218" s="21">
        <f t="shared" ca="1" si="453"/>
        <v>1.5770930496635919E-5</v>
      </c>
      <c r="W218">
        <f t="shared" ca="1" si="454"/>
        <v>3.971263085799771E-3</v>
      </c>
      <c r="X218" s="22">
        <f t="shared" ref="X218" ca="1" si="498">BSdelta(1,P218,Strike,W218*AnnualVarConvtr,Dividend,RiskFreeRate,G218/250)</f>
        <v>4.4977694378482279E-12</v>
      </c>
      <c r="Y218" s="22">
        <f t="shared" ca="1" si="460"/>
        <v>3.813329142139748E-10</v>
      </c>
      <c r="Z218" s="22">
        <f t="shared" ca="1" si="461"/>
        <v>-7.9221589766133027</v>
      </c>
      <c r="AA218">
        <f t="shared" si="448"/>
        <v>0.73884103340948371</v>
      </c>
      <c r="AB218">
        <f t="shared" ref="AB218" ca="1" si="499">BSdelta(1,P218,Strike,AA218/AnnualVarConvtr,Dividend,RiskFreeRate,G218/250)</f>
        <v>2.2807500675426357E-20</v>
      </c>
      <c r="AC218">
        <f t="shared" ca="1" si="457"/>
        <v>-1.2796188467005579E-16</v>
      </c>
      <c r="AD218">
        <f t="shared" ca="1" si="458"/>
        <v>-3.6282169032946121</v>
      </c>
    </row>
    <row r="219" spans="7:30" x14ac:dyDescent="0.25">
      <c r="G219" s="19">
        <v>36</v>
      </c>
      <c r="H219" s="19">
        <f t="shared" ca="1" si="363"/>
        <v>0.25672738673506634</v>
      </c>
      <c r="I219" s="19">
        <f t="shared" ca="1" si="363"/>
        <v>0.76238791151889829</v>
      </c>
      <c r="J219" s="19">
        <f t="shared" ca="1" si="442"/>
        <v>0.12822785304871051</v>
      </c>
      <c r="K219" s="19">
        <f t="shared" ca="1" si="443"/>
        <v>-1.6440920399645416</v>
      </c>
      <c r="L219" s="19">
        <f t="array" aca="1" ref="L219:M219" ca="1">MMULT(J219:K219,TRANSPOSE($B$10:$C$11))</f>
        <v>0.12822785304871051</v>
      </c>
      <c r="M219" s="19">
        <f ca="1"/>
        <v>-1.2387726407585613</v>
      </c>
      <c r="N219" s="20">
        <f t="shared" ca="1" si="465"/>
        <v>6.5586588145447244E-3</v>
      </c>
      <c r="O219" s="20">
        <f t="shared" ca="1" si="444"/>
        <v>6.567799497167753E-4</v>
      </c>
      <c r="P219" s="19">
        <f t="shared" ca="1" si="450"/>
        <v>84.838374568311252</v>
      </c>
      <c r="Q219" s="19">
        <f ca="1">HCTrans(P219,Strike,RiskFreeRate,Dividend,Variance_T0*AnnualVarConvtr,(Simulation!G219)/250,0.5,Variance_Avg*AnnualVarConvtr,Lambda,SQRT(Simulation!N219),Rho,1,"Call")</f>
        <v>4.4937795181951401</v>
      </c>
      <c r="R219" s="19">
        <f t="shared" ca="1" si="445"/>
        <v>0.7443788527946984</v>
      </c>
      <c r="S219" s="19">
        <f t="shared" ca="1" si="446"/>
        <v>1.8817116013858164E-20</v>
      </c>
      <c r="T219" s="19">
        <f t="shared" ca="1" si="451"/>
        <v>-1.7474301833912013E-18</v>
      </c>
      <c r="U219" s="19">
        <f t="shared" ca="1" si="452"/>
        <v>-3.7133115299702544</v>
      </c>
      <c r="V219" s="21">
        <f t="shared" ca="1" si="453"/>
        <v>4.7713626224704317E-5</v>
      </c>
      <c r="W219">
        <f t="shared" ca="1" si="454"/>
        <v>6.9075050651233195E-3</v>
      </c>
      <c r="X219" s="22">
        <f t="shared" ref="X219" ca="1" si="500">BSdelta(1,P219,Strike,W219*AnnualVarConvtr,Dividend,RiskFreeRate,G219/250)</f>
        <v>3.9648734127556973E-5</v>
      </c>
      <c r="Y219" s="22">
        <f t="shared" ca="1" si="460"/>
        <v>3.3637337754896155E-3</v>
      </c>
      <c r="Z219" s="22">
        <f t="shared" ca="1" si="461"/>
        <v>-8.0179736130317458</v>
      </c>
      <c r="AA219">
        <f t="shared" si="448"/>
        <v>0.73884103340948371</v>
      </c>
      <c r="AB219">
        <f t="shared" ref="AB219" ca="1" si="501">BSdelta(1,P219,Strike,AA219/AnnualVarConvtr,Dividend,RiskFreeRate,G219/250)</f>
        <v>9.8767444616484612E-21</v>
      </c>
      <c r="AC219">
        <f t="shared" ca="1" si="457"/>
        <v>-1.0970243391160073E-18</v>
      </c>
      <c r="AD219">
        <f t="shared" ca="1" si="458"/>
        <v>-3.720667805937564</v>
      </c>
    </row>
    <row r="220" spans="7:30" x14ac:dyDescent="0.25">
      <c r="G220" s="19">
        <v>35</v>
      </c>
      <c r="H220" s="19">
        <f t="shared" ca="1" si="363"/>
        <v>7.9780390416366198E-2</v>
      </c>
      <c r="I220" s="19">
        <f t="shared" ca="1" si="363"/>
        <v>0.66322679156665898</v>
      </c>
      <c r="J220" s="19">
        <f t="shared" ca="1" si="442"/>
        <v>-1.1662096624686045</v>
      </c>
      <c r="K220" s="19">
        <f t="shared" ca="1" si="443"/>
        <v>-1.9227350573790107</v>
      </c>
      <c r="L220" s="19">
        <f t="array" aca="1" ref="L220:M220" ca="1">MMULT(J220:K220,TRANSPOSE($B$10:$C$11))</f>
        <v>-1.1662096624686045</v>
      </c>
      <c r="M220" s="19">
        <f ca="1"/>
        <v>-0.50568593292992658</v>
      </c>
      <c r="N220" s="20">
        <f t="shared" ca="1" si="465"/>
        <v>5.5954925227368075E-3</v>
      </c>
      <c r="O220" s="20">
        <f t="shared" ca="1" si="444"/>
        <v>-5.5172897326374879E-3</v>
      </c>
      <c r="P220" s="19">
        <f t="shared" ca="1" si="450"/>
        <v>84.371585564567098</v>
      </c>
      <c r="Q220" s="19">
        <f ca="1">HCTrans(P220,Strike,RiskFreeRate,Dividend,Variance_T0*AnnualVarConvtr,(Simulation!G220)/250,0.5,Variance_Avg*AnnualVarConvtr,Lambda,SQRT(Simulation!N220),Rho,1,"Call")</f>
        <v>4.224612551252676</v>
      </c>
      <c r="R220" s="19" t="e">
        <f t="shared" ca="1" si="445"/>
        <v>#VALUE!</v>
      </c>
      <c r="S220" s="19" t="e">
        <f t="shared" ca="1" si="446"/>
        <v>#VALUE!</v>
      </c>
      <c r="T220" s="19" t="e">
        <f t="shared" ca="1" si="451"/>
        <v>#VALUE!</v>
      </c>
      <c r="U220" s="19" t="e">
        <f t="shared" ca="1" si="452"/>
        <v>#VALUE!</v>
      </c>
      <c r="V220" s="21">
        <f t="shared" ca="1" si="453"/>
        <v>3.8119136442566073E-5</v>
      </c>
      <c r="W220">
        <f t="shared" ca="1" si="454"/>
        <v>6.1740696823542633E-3</v>
      </c>
      <c r="X220" s="22">
        <f t="shared" ref="X220" ca="1" si="502">BSdelta(1,P220,Strike,W220*AnnualVarConvtr,Dividend,RiskFreeRate,G220/250)</f>
        <v>1.7910588383979851E-6</v>
      </c>
      <c r="Y220" s="22">
        <f t="shared" ca="1" si="460"/>
        <v>-3.1941120899348753E-3</v>
      </c>
      <c r="Z220" s="22">
        <f t="shared" ca="1" si="461"/>
        <v>-8.2839464678842756</v>
      </c>
      <c r="AA220">
        <f t="shared" si="448"/>
        <v>0.73884103340948371</v>
      </c>
      <c r="AB220">
        <f t="shared" ref="AB220" ca="1" si="503">BSdelta(1,P220,Strike,AA220/AnnualVarConvtr,Dividend,RiskFreeRate,G220/250)</f>
        <v>1.354951561749935E-22</v>
      </c>
      <c r="AC220">
        <f t="shared" ca="1" si="457"/>
        <v>-8.2188464928253451E-19</v>
      </c>
      <c r="AD220">
        <f t="shared" ca="1" si="458"/>
        <v>-3.9898347728800281</v>
      </c>
    </row>
    <row r="221" spans="7:30" x14ac:dyDescent="0.25">
      <c r="G221" s="19">
        <v>34</v>
      </c>
      <c r="H221" s="19">
        <f t="shared" ca="1" si="363"/>
        <v>0.95366656685385998</v>
      </c>
      <c r="I221" s="19">
        <f t="shared" ca="1" si="363"/>
        <v>3.8405673436506693E-2</v>
      </c>
      <c r="J221" s="19">
        <f t="shared" ca="1" si="442"/>
        <v>0.29910487192755036</v>
      </c>
      <c r="K221" s="19">
        <f t="shared" ca="1" si="443"/>
        <v>7.3611372177088644E-2</v>
      </c>
      <c r="L221" s="19">
        <f t="array" aca="1" ref="L221:M221" ca="1">MMULT(J221:K221,TRANSPOSE($B$10:$C$11))</f>
        <v>0.29910487192755036</v>
      </c>
      <c r="M221" s="19">
        <f ca="1"/>
        <v>-0.16295829772975007</v>
      </c>
      <c r="N221" s="20">
        <f t="shared" ca="1" si="465"/>
        <v>5.3082755479535908E-3</v>
      </c>
      <c r="O221" s="20">
        <f t="shared" ca="1" si="444"/>
        <v>1.3782570162617547E-3</v>
      </c>
      <c r="P221" s="19">
        <f t="shared" ca="1" si="450"/>
        <v>84.487951466984669</v>
      </c>
      <c r="Q221" s="19">
        <f ca="1">HCTrans(P221,Strike,RiskFreeRate,Dividend,Variance_T0*AnnualVarConvtr,(Simulation!G221)/250,0.5,Variance_Avg*AnnualVarConvtr,Lambda,SQRT(Simulation!N221),Rho,1,"Call")</f>
        <v>4.1423419201431386</v>
      </c>
      <c r="R221" s="19" t="e">
        <f t="shared" ca="1" si="445"/>
        <v>#VALUE!</v>
      </c>
      <c r="S221" s="19" t="e">
        <f t="shared" ca="1" si="446"/>
        <v>#VALUE!</v>
      </c>
      <c r="T221" s="19" t="e">
        <f t="shared" ca="1" si="451"/>
        <v>#VALUE!</v>
      </c>
      <c r="U221" s="19" t="e">
        <f t="shared" ca="1" si="452"/>
        <v>#VALUE!</v>
      </c>
      <c r="V221" s="21">
        <f t="shared" ca="1" si="453"/>
        <v>4.7548564966254917E-5</v>
      </c>
      <c r="W221">
        <f t="shared" ca="1" si="454"/>
        <v>6.8955467488992428E-3</v>
      </c>
      <c r="X221" s="22">
        <f t="shared" ref="X221" ca="1" si="504">BSdelta(1,P221,Strike,W221*AnnualVarConvtr,Dividend,RiskFreeRate,G221/250)</f>
        <v>1.5085662092113633E-5</v>
      </c>
      <c r="Y221" s="22">
        <f t="shared" ca="1" si="460"/>
        <v>1.1232337944727441E-3</v>
      </c>
      <c r="Z221" s="22">
        <f t="shared" ca="1" si="461"/>
        <v>-8.3673403327882863</v>
      </c>
      <c r="AA221">
        <f t="shared" si="448"/>
        <v>0.73884103340948371</v>
      </c>
      <c r="AB221">
        <f t="shared" ref="AB221" ca="1" si="505">BSdelta(1,P221,Strike,AA221/AnnualVarConvtr,Dividend,RiskFreeRate,G221/250)</f>
        <v>7.357091032391218E-23</v>
      </c>
      <c r="AC221">
        <f t="shared" ca="1" si="457"/>
        <v>-5.2318526780957858E-21</v>
      </c>
      <c r="AD221">
        <f t="shared" ca="1" si="458"/>
        <v>-4.0721054039895659</v>
      </c>
    </row>
    <row r="222" spans="7:30" x14ac:dyDescent="0.25">
      <c r="G222" s="19">
        <v>33</v>
      </c>
      <c r="H222" s="19">
        <f t="shared" ca="1" si="363"/>
        <v>0.85135593817598776</v>
      </c>
      <c r="I222" s="19">
        <f t="shared" ca="1" si="363"/>
        <v>8.8662723101524454E-2</v>
      </c>
      <c r="J222" s="19">
        <f t="shared" ca="1" si="442"/>
        <v>0.48153985889234013</v>
      </c>
      <c r="K222" s="19">
        <f t="shared" ca="1" si="443"/>
        <v>0.29994886656676661</v>
      </c>
      <c r="L222" s="19">
        <f t="array" aca="1" ref="L222:M222" ca="1">MMULT(J222:K222,TRANSPOSE($B$10:$C$11))</f>
        <v>0.48153985889234013</v>
      </c>
      <c r="M222" s="19">
        <f ca="1"/>
        <v>-0.13578285151822453</v>
      </c>
      <c r="N222" s="20">
        <f t="shared" ca="1" si="465"/>
        <v>5.0776820062791335E-3</v>
      </c>
      <c r="O222" s="20">
        <f t="shared" ca="1" si="444"/>
        <v>2.1701761509231375E-3</v>
      </c>
      <c r="P222" s="19">
        <f t="shared" ca="1" si="450"/>
        <v>84.671504303253172</v>
      </c>
      <c r="Q222" s="19">
        <f ca="1">HCTrans(P222,Strike,RiskFreeRate,Dividend,Variance_T0*AnnualVarConvtr,(Simulation!G222)/250,0.5,Variance_Avg*AnnualVarConvtr,Lambda,SQRT(Simulation!N222),Rho,1,"Call")</f>
        <v>4.0792913688488994</v>
      </c>
      <c r="R222" s="19" t="e">
        <f t="shared" ca="1" si="445"/>
        <v>#VALUE!</v>
      </c>
      <c r="S222" s="19" t="e">
        <f t="shared" ca="1" si="446"/>
        <v>#VALUE!</v>
      </c>
      <c r="T222" s="19" t="e">
        <f t="shared" ca="1" si="451"/>
        <v>#VALUE!</v>
      </c>
      <c r="U222" s="19" t="e">
        <f t="shared" ca="1" si="452"/>
        <v>#VALUE!</v>
      </c>
      <c r="V222" s="21">
        <f t="shared" ca="1" si="453"/>
        <v>6.2713591584283341E-7</v>
      </c>
      <c r="W222">
        <f t="shared" ca="1" si="454"/>
        <v>7.9191913466138283E-4</v>
      </c>
      <c r="X222" s="22">
        <f t="shared" ref="X222" ca="1" si="506">BSdelta(1,P222,Strike,W222*AnnualVarConvtr,Dividend,RiskFreeRate,G222/250)</f>
        <v>3.7887677208645574E-293</v>
      </c>
      <c r="Y222" s="22">
        <f t="shared" ca="1" si="460"/>
        <v>-1.2773257027498227E-3</v>
      </c>
      <c r="Z222" s="22">
        <f t="shared" ca="1" si="461"/>
        <v>-8.4291135583797754</v>
      </c>
      <c r="AA222">
        <f t="shared" si="448"/>
        <v>0.73884103340948371</v>
      </c>
      <c r="AB222">
        <f t="shared" ref="AB222" ca="1" si="507">BSdelta(1,P222,Strike,AA222/AnnualVarConvtr,Dividend,RiskFreeRate,G222/250)</f>
        <v>6.0736111063381213E-23</v>
      </c>
      <c r="AC222">
        <f t="shared" ca="1" si="457"/>
        <v>-1.0867417608194384E-21</v>
      </c>
      <c r="AD222">
        <f t="shared" ca="1" si="458"/>
        <v>-4.1351559552838051</v>
      </c>
    </row>
    <row r="223" spans="7:30" x14ac:dyDescent="0.25">
      <c r="G223" s="19">
        <v>32</v>
      </c>
      <c r="H223" s="19">
        <f t="shared" ref="H223:I254" ca="1" si="508">RAND()</f>
        <v>0.62619552689614522</v>
      </c>
      <c r="I223" s="19">
        <f t="shared" ca="1" si="508"/>
        <v>0.75370659621516434</v>
      </c>
      <c r="J223" s="19">
        <f t="shared" ca="1" si="442"/>
        <v>2.253184619333292E-2</v>
      </c>
      <c r="K223" s="19">
        <f t="shared" ca="1" si="443"/>
        <v>-0.96730426580267947</v>
      </c>
      <c r="L223" s="19">
        <f t="array" aca="1" ref="L223:M223" ca="1">MMULT(J223:K223,TRANSPOSE($B$10:$C$11))</f>
        <v>2.253184619333292E-2</v>
      </c>
      <c r="M223" s="19">
        <f ca="1"/>
        <v>-0.69092303701667546</v>
      </c>
      <c r="N223" s="20">
        <f t="shared" ca="1" si="465"/>
        <v>3.9526451891312925E-3</v>
      </c>
      <c r="O223" s="20">
        <f t="shared" ca="1" si="444"/>
        <v>8.9592300725467713E-5</v>
      </c>
      <c r="P223" s="19">
        <f t="shared" ca="1" si="450"/>
        <v>84.679090557959526</v>
      </c>
      <c r="Q223" s="19">
        <f ca="1">HCTrans(P223,Strike,RiskFreeRate,Dividend,Variance_T0*AnnualVarConvtr,(Simulation!G223)/250,0.5,Variance_Avg*AnnualVarConvtr,Lambda,SQRT(Simulation!N223),Rho,1,"Call")</f>
        <v>3.961945939827217</v>
      </c>
      <c r="R223" s="19" t="e">
        <f t="shared" ca="1" si="445"/>
        <v>#VALUE!</v>
      </c>
      <c r="S223" s="19" t="e">
        <f t="shared" ca="1" si="446"/>
        <v>#VALUE!</v>
      </c>
      <c r="T223" s="19" t="e">
        <f t="shared" ca="1" si="451"/>
        <v>#VALUE!</v>
      </c>
      <c r="U223" s="19" t="e">
        <f t="shared" ca="1" si="452"/>
        <v>#VALUE!</v>
      </c>
      <c r="V223" s="21">
        <f t="shared" ca="1" si="453"/>
        <v>4.328829157703359E-6</v>
      </c>
      <c r="W223">
        <f t="shared" ca="1" si="454"/>
        <v>2.0805838501976696E-3</v>
      </c>
      <c r="X223" s="22">
        <f t="shared" ref="X223" ca="1" si="509">BSdelta(1,P223,Strike,W223*AnnualVarConvtr,Dividend,RiskFreeRate,G223/250)</f>
        <v>1.3527392779687541E-45</v>
      </c>
      <c r="Y223" s="22">
        <f t="shared" ca="1" si="460"/>
        <v>1.1454873182042492E-43</v>
      </c>
      <c r="Z223" s="22">
        <f t="shared" ca="1" si="461"/>
        <v>-8.5464589874014578</v>
      </c>
      <c r="AA223">
        <f t="shared" si="448"/>
        <v>0.73884103340948371</v>
      </c>
      <c r="AB223">
        <f t="shared" ref="AB223" ca="1" si="510">BSdelta(1,P223,Strike,AA223/AnnualVarConvtr,Dividend,RiskFreeRate,G223/250)</f>
        <v>1.4074458870940366E-23</v>
      </c>
      <c r="AC223">
        <f t="shared" ca="1" si="457"/>
        <v>-3.9512662715877086E-21</v>
      </c>
      <c r="AD223">
        <f t="shared" ca="1" si="458"/>
        <v>-4.2525013843054875</v>
      </c>
    </row>
    <row r="224" spans="7:30" x14ac:dyDescent="0.25">
      <c r="G224" s="19">
        <v>31</v>
      </c>
      <c r="H224" s="19">
        <f t="shared" ca="1" si="508"/>
        <v>0.82843740632225982</v>
      </c>
      <c r="I224" s="19">
        <f t="shared" ca="1" si="508"/>
        <v>0.83827201011319774</v>
      </c>
      <c r="J224" s="19">
        <f t="shared" ca="1" si="442"/>
        <v>0.3231060864064027</v>
      </c>
      <c r="K224" s="19">
        <f t="shared" ca="1" si="443"/>
        <v>-0.5215653823634907</v>
      </c>
      <c r="L224" s="19">
        <f t="array" aca="1" ref="L224:M224" ca="1">MMULT(J224:K224,TRANSPOSE($B$10:$C$11))</f>
        <v>0.3231060864064027</v>
      </c>
      <c r="M224" s="19">
        <f ca="1"/>
        <v>-0.59534278893519921</v>
      </c>
      <c r="N224" s="20">
        <f t="shared" ca="1" si="465"/>
        <v>3.1045416637376418E-3</v>
      </c>
      <c r="O224" s="20">
        <f t="shared" ca="1" si="444"/>
        <v>1.1386070824679503E-3</v>
      </c>
      <c r="P224" s="19">
        <f t="shared" ca="1" si="450"/>
        <v>84.775561681135514</v>
      </c>
      <c r="Q224" s="19">
        <f ca="1">HCTrans(P224,Strike,RiskFreeRate,Dividend,Variance_T0*AnnualVarConvtr,(Simulation!G224)/250,0.5,Variance_Avg*AnnualVarConvtr,Lambda,SQRT(Simulation!N224),Rho,1,"Call")</f>
        <v>3.8700522508492412</v>
      </c>
      <c r="R224" s="19" t="e">
        <f t="shared" ca="1" si="445"/>
        <v>#VALUE!</v>
      </c>
      <c r="S224" s="19" t="e">
        <f t="shared" ca="1" si="446"/>
        <v>#VALUE!</v>
      </c>
      <c r="T224" s="19" t="e">
        <f t="shared" ca="1" si="451"/>
        <v>#VALUE!</v>
      </c>
      <c r="U224" s="19" t="e">
        <f t="shared" ca="1" si="452"/>
        <v>#VALUE!</v>
      </c>
      <c r="V224" s="21">
        <f t="shared" ca="1" si="453"/>
        <v>1.1004320123142284E-6</v>
      </c>
      <c r="W224">
        <f t="shared" ca="1" si="454"/>
        <v>1.0490147817424826E-3</v>
      </c>
      <c r="X224" s="22">
        <f t="shared" ref="X224" ca="1" si="511">BSdelta(1,P224,Strike,W224*AnnualVarConvtr,Dividend,RiskFreeRate,G224/250)</f>
        <v>3.4916734414158077E-176</v>
      </c>
      <c r="Y224" s="22">
        <f t="shared" ca="1" si="460"/>
        <v>-1.1467923209793482E-43</v>
      </c>
      <c r="Z224" s="22">
        <f t="shared" ca="1" si="461"/>
        <v>-8.6383526763794336</v>
      </c>
      <c r="AA224">
        <f t="shared" si="448"/>
        <v>0.73884103340948371</v>
      </c>
      <c r="AB224">
        <f t="shared" ref="AB224" ca="1" si="512">BSdelta(1,P224,Strike,AA224/AnnualVarConvtr,Dividend,RiskFreeRate,G224/250)</f>
        <v>5.6740310966556243E-24</v>
      </c>
      <c r="AC224">
        <f t="shared" ca="1" si="457"/>
        <v>-7.1215098292680003E-22</v>
      </c>
      <c r="AD224">
        <f t="shared" ca="1" si="458"/>
        <v>-4.3443950732834633</v>
      </c>
    </row>
    <row r="225" spans="7:30" x14ac:dyDescent="0.25">
      <c r="G225" s="19">
        <v>30</v>
      </c>
      <c r="H225" s="19">
        <f t="shared" ca="1" si="508"/>
        <v>0.93584284216798241</v>
      </c>
      <c r="I225" s="19">
        <f t="shared" ca="1" si="508"/>
        <v>4.5376672858160383E-2</v>
      </c>
      <c r="J225" s="19">
        <f t="shared" ca="1" si="442"/>
        <v>0.34946298533538933</v>
      </c>
      <c r="K225" s="19">
        <f t="shared" ca="1" si="443"/>
        <v>0.102425887439337</v>
      </c>
      <c r="L225" s="19">
        <f t="array" aca="1" ref="L225:M225" ca="1">MMULT(J225:K225,TRANSPOSE($B$10:$C$11))</f>
        <v>0.34946298533538933</v>
      </c>
      <c r="M225" s="19">
        <f ca="1"/>
        <v>-0.17893925209638956</v>
      </c>
      <c r="N225" s="20">
        <f t="shared" ca="1" si="465"/>
        <v>2.8857753303411396E-3</v>
      </c>
      <c r="O225" s="20">
        <f t="shared" ca="1" si="444"/>
        <v>1.1873053821331249E-3</v>
      </c>
      <c r="P225" s="19">
        <f t="shared" ca="1" si="450"/>
        <v>84.876275939251883</v>
      </c>
      <c r="Q225" s="19">
        <f ca="1">HCTrans(P225,Strike,RiskFreeRate,Dividend,Variance_T0*AnnualVarConvtr,(Simulation!G225)/250,0.5,Variance_Avg*AnnualVarConvtr,Lambda,SQRT(Simulation!N225),Rho,1,"Call")</f>
        <v>3.7748745025766084</v>
      </c>
      <c r="R225" s="19">
        <f t="shared" ca="1" si="445"/>
        <v>0.74572569818410239</v>
      </c>
      <c r="S225" s="19">
        <f t="shared" ca="1" si="446"/>
        <v>5.7255782183656618E-24</v>
      </c>
      <c r="T225" s="19" t="e">
        <f t="shared" ca="1" si="451"/>
        <v>#VALUE!</v>
      </c>
      <c r="U225" s="19" t="e">
        <f t="shared" ca="1" si="452"/>
        <v>#VALUE!</v>
      </c>
      <c r="V225" s="21">
        <f t="shared" ca="1" si="453"/>
        <v>2.3715243902791478E-9</v>
      </c>
      <c r="W225">
        <f t="shared" ca="1" si="454"/>
        <v>4.8698299665174633E-5</v>
      </c>
      <c r="X225" s="22">
        <f t="shared" ref="X225" ca="1" si="513">BSdelta(1,P225,Strike,W225*AnnualVarConvtr,Dividend,RiskFreeRate,G225/250)</f>
        <v>0</v>
      </c>
      <c r="Y225" s="22">
        <f t="shared" ca="1" si="460"/>
        <v>-2.9636023850336533E-174</v>
      </c>
      <c r="Z225" s="22">
        <f t="shared" ca="1" si="461"/>
        <v>-8.7335304246520664</v>
      </c>
      <c r="AA225">
        <f t="shared" si="448"/>
        <v>0.73884103340948371</v>
      </c>
      <c r="AB225">
        <f t="shared" ref="AB225" ca="1" si="514">BSdelta(1,P225,Strike,AA225/AnnualVarConvtr,Dividend,RiskFreeRate,G225/250)</f>
        <v>2.2096494424484866E-24</v>
      </c>
      <c r="AC225">
        <f t="shared" ca="1" si="457"/>
        <v>-2.9404381324136691E-22</v>
      </c>
      <c r="AD225">
        <f t="shared" ca="1" si="458"/>
        <v>-4.4395728215560961</v>
      </c>
    </row>
    <row r="226" spans="7:30" x14ac:dyDescent="0.25">
      <c r="G226" s="19">
        <v>29</v>
      </c>
      <c r="H226" s="19">
        <f t="shared" ca="1" si="508"/>
        <v>0.43690214436952346</v>
      </c>
      <c r="I226" s="19">
        <f t="shared" ca="1" si="508"/>
        <v>0.58113818935181305</v>
      </c>
      <c r="J226" s="19">
        <f t="shared" ca="1" si="442"/>
        <v>-1.1232499614770137</v>
      </c>
      <c r="K226" s="19">
        <f t="shared" ca="1" si="443"/>
        <v>-0.62801400766305915</v>
      </c>
      <c r="L226" s="19">
        <f t="array" aca="1" ref="L226:M226" ca="1">MMULT(J226:K226,TRANSPOSE($B$10:$C$11))</f>
        <v>-1.1232499614770137</v>
      </c>
      <c r="M226" s="19">
        <f ca="1"/>
        <v>0.36671413247372175</v>
      </c>
      <c r="N226" s="20">
        <f t="shared" ca="1" si="465"/>
        <v>3.4110839851419286E-3</v>
      </c>
      <c r="O226" s="20">
        <f t="shared" ca="1" si="444"/>
        <v>-4.1490876957455671E-3</v>
      </c>
      <c r="P226" s="19">
        <f t="shared" ca="1" si="450"/>
        <v>84.524846387259416</v>
      </c>
      <c r="Q226" s="19">
        <f ca="1">HCTrans(P226,Strike,RiskFreeRate,Dividend,Variance_T0*AnnualVarConvtr,(Simulation!G226)/250,0.5,Variance_Avg*AnnualVarConvtr,Lambda,SQRT(Simulation!N226),Rho,1,"Call")</f>
        <v>3.5382172209473026</v>
      </c>
      <c r="R226" s="19">
        <f t="shared" ca="1" si="445"/>
        <v>0.74546810952528286</v>
      </c>
      <c r="S226" s="19">
        <f t="shared" ca="1" si="446"/>
        <v>6.4625252563165571E-26</v>
      </c>
      <c r="T226" s="19">
        <f t="shared" ca="1" si="451"/>
        <v>-4.784911798399566E-22</v>
      </c>
      <c r="U226" s="19" t="e">
        <f t="shared" ca="1" si="452"/>
        <v>#VALUE!</v>
      </c>
      <c r="V226" s="21">
        <f t="shared" ca="1" si="453"/>
        <v>2.8477091081631622E-5</v>
      </c>
      <c r="W226">
        <f t="shared" ca="1" si="454"/>
        <v>5.3363930778786922E-3</v>
      </c>
      <c r="X226" s="22">
        <f t="shared" ref="X226" ca="1" si="515">BSdelta(1,P226,Strike,W226*AnnualVarConvtr,Dividend,RiskFreeRate,G226/250)</f>
        <v>2.6731511779629576E-9</v>
      </c>
      <c r="Y226" s="22">
        <f t="shared" ca="1" si="460"/>
        <v>2.2594769268724055E-7</v>
      </c>
      <c r="Z226" s="22">
        <f t="shared" ca="1" si="461"/>
        <v>-8.9701879322290647</v>
      </c>
      <c r="AA226">
        <f t="shared" si="448"/>
        <v>0.73884103340948371</v>
      </c>
      <c r="AB226">
        <f t="shared" ref="AB226" ca="1" si="516">BSdelta(1,P226,Strike,AA226/AnnualVarConvtr,Dividend,RiskFreeRate,G226/250)</f>
        <v>2.3859260898360222E-26</v>
      </c>
      <c r="AC226">
        <f t="shared" ca="1" si="457"/>
        <v>-1.847535793303043E-22</v>
      </c>
      <c r="AD226">
        <f t="shared" ca="1" si="458"/>
        <v>-4.6762301031854019</v>
      </c>
    </row>
    <row r="227" spans="7:30" x14ac:dyDescent="0.25">
      <c r="G227" s="19">
        <v>28</v>
      </c>
      <c r="H227" s="19">
        <f t="shared" ca="1" si="508"/>
        <v>0.55030603525261945</v>
      </c>
      <c r="I227" s="19">
        <f t="shared" ca="1" si="508"/>
        <v>0.33528441787301633</v>
      </c>
      <c r="J227" s="19">
        <f t="shared" ca="1" si="442"/>
        <v>-0.55804217098888209</v>
      </c>
      <c r="K227" s="19">
        <f t="shared" ca="1" si="443"/>
        <v>0.93976081581549409</v>
      </c>
      <c r="L227" s="19">
        <f t="array" aca="1" ref="L227:M227" ca="1">MMULT(J227:K227,TRANSPOSE($B$10:$C$11))</f>
        <v>-0.55804217098888209</v>
      </c>
      <c r="M227" s="19">
        <f ca="1"/>
        <v>1.0554022295707399</v>
      </c>
      <c r="N227" s="20">
        <f t="shared" ca="1" si="465"/>
        <v>5.1092170174354265E-3</v>
      </c>
      <c r="O227" s="20">
        <f t="shared" ca="1" si="444"/>
        <v>-2.5227498573438816E-3</v>
      </c>
      <c r="P227" s="19">
        <f t="shared" ca="1" si="450"/>
        <v>84.311880086394368</v>
      </c>
      <c r="Q227" s="19">
        <f ca="1">HCTrans(P227,Strike,RiskFreeRate,Dividend,Variance_T0*AnnualVarConvtr,(Simulation!G227)/250,0.5,Variance_Avg*AnnualVarConvtr,Lambda,SQRT(Simulation!N227),Rho,1,"Call")</f>
        <v>3.3418542080740536</v>
      </c>
      <c r="R227" s="19">
        <f t="shared" ca="1" si="445"/>
        <v>0.74483353716538236</v>
      </c>
      <c r="S227" s="19">
        <f t="shared" ca="1" si="446"/>
        <v>1.4384036539672477E-27</v>
      </c>
      <c r="T227" s="19">
        <f t="shared" ca="1" si="451"/>
        <v>-5.3274020282694477E-24</v>
      </c>
      <c r="U227" s="19" t="e">
        <f t="shared" ca="1" si="452"/>
        <v>#VALUE!</v>
      </c>
      <c r="V227" s="21">
        <f t="shared" ca="1" si="453"/>
        <v>2.6449747646170673E-6</v>
      </c>
      <c r="W227">
        <f t="shared" ca="1" si="454"/>
        <v>1.6263378384016856E-3</v>
      </c>
      <c r="X227" s="22">
        <f t="shared" ref="X227" ca="1" si="517">BSdelta(1,P227,Strike,W227*AnnualVarConvtr,Dividend,RiskFreeRate,G227/250)</f>
        <v>9.0388655238675181E-88</v>
      </c>
      <c r="Y227" s="22">
        <f t="shared" ca="1" si="460"/>
        <v>-2.2537840156921672E-7</v>
      </c>
      <c r="Z227" s="22">
        <f t="shared" ca="1" si="461"/>
        <v>-9.1665507197239116</v>
      </c>
      <c r="AA227">
        <f t="shared" si="448"/>
        <v>0.73884103340948371</v>
      </c>
      <c r="AB227">
        <f t="shared" ref="AB227" ca="1" si="518">BSdelta(1,P227,Strike,AA227/AnnualVarConvtr,Dividend,RiskFreeRate,G227/250)</f>
        <v>5.4959359099062681E-28</v>
      </c>
      <c r="AC227">
        <f t="shared" ca="1" si="457"/>
        <v>-1.9652818748726924E-24</v>
      </c>
      <c r="AD227">
        <f t="shared" ca="1" si="458"/>
        <v>-4.8725931160586509</v>
      </c>
    </row>
    <row r="228" spans="7:30" x14ac:dyDescent="0.25">
      <c r="G228" s="19">
        <v>27</v>
      </c>
      <c r="H228" s="19">
        <f t="shared" ca="1" si="508"/>
        <v>0.53863430504367982</v>
      </c>
      <c r="I228" s="19">
        <f t="shared" ca="1" si="508"/>
        <v>0.26239981511697097</v>
      </c>
      <c r="J228" s="19">
        <f t="shared" ca="1" si="442"/>
        <v>-8.657991255612997E-2</v>
      </c>
      <c r="K228" s="19">
        <f t="shared" ca="1" si="443"/>
        <v>1.1090269311564984</v>
      </c>
      <c r="L228" s="19">
        <f t="array" aca="1" ref="L228:M228" ca="1">MMULT(J228:K228,TRANSPOSE($B$10:$C$11))</f>
        <v>-8.657991255612997E-2</v>
      </c>
      <c r="M228" s="19">
        <f ca="1"/>
        <v>0.8356773784663154</v>
      </c>
      <c r="N228" s="20">
        <f t="shared" ca="1" si="465"/>
        <v>6.6891302967154054E-3</v>
      </c>
      <c r="O228" s="20">
        <f t="shared" ca="1" si="444"/>
        <v>-4.4784936865445066E-4</v>
      </c>
      <c r="P228" s="19">
        <f t="shared" ca="1" si="450"/>
        <v>84.27412951804267</v>
      </c>
      <c r="Q228" s="19">
        <f ca="1">HCTrans(P228,Strike,RiskFreeRate,Dividend,Variance_T0*AnnualVarConvtr,(Simulation!G228)/250,0.5,Variance_Avg*AnnualVarConvtr,Lambda,SQRT(Simulation!N228),Rho,1,"Call")</f>
        <v>3.198111365737887</v>
      </c>
      <c r="R228" s="19">
        <f t="shared" ca="1" si="445"/>
        <v>0.74435689236372982</v>
      </c>
      <c r="S228" s="19">
        <f t="shared" ca="1" si="446"/>
        <v>1.0810455159275587E-28</v>
      </c>
      <c r="T228" s="19">
        <f t="shared" ca="1" si="451"/>
        <v>-1.1210979885124384E-25</v>
      </c>
      <c r="U228" s="19" t="e">
        <f t="shared" ca="1" si="452"/>
        <v>#VALUE!</v>
      </c>
      <c r="V228" s="21">
        <f t="shared" ca="1" si="453"/>
        <v>4.30521203796364E-6</v>
      </c>
      <c r="W228">
        <f t="shared" ca="1" si="454"/>
        <v>2.0749004886894311E-3</v>
      </c>
      <c r="X228" s="22">
        <f t="shared" ref="X228" ca="1" si="519">BSdelta(1,P228,Strike,W228*AnnualVarConvtr,Dividend,RiskFreeRate,G228/250)</f>
        <v>5.6294860708377543E-57</v>
      </c>
      <c r="Y228" s="22">
        <f t="shared" ca="1" si="460"/>
        <v>4.7442003825379802E-55</v>
      </c>
      <c r="Z228" s="22">
        <f t="shared" ca="1" si="461"/>
        <v>-9.3102935620600782</v>
      </c>
      <c r="AA228">
        <f t="shared" si="448"/>
        <v>0.73884103340948371</v>
      </c>
      <c r="AB228">
        <f t="shared" ref="AB228" ca="1" si="520">BSdelta(1,P228,Strike,AA228/AnnualVarConvtr,Dividend,RiskFreeRate,G228/250)</f>
        <v>4.2919013888522757E-29</v>
      </c>
      <c r="AC228">
        <f t="shared" ca="1" si="457"/>
        <v>-4.2699558934202213E-26</v>
      </c>
      <c r="AD228">
        <f t="shared" ca="1" si="458"/>
        <v>-5.0163359583948175</v>
      </c>
    </row>
    <row r="229" spans="7:30" x14ac:dyDescent="0.25">
      <c r="G229" s="19">
        <v>26</v>
      </c>
      <c r="H229" s="19">
        <f t="shared" ca="1" si="508"/>
        <v>0.13765134909084176</v>
      </c>
      <c r="I229" s="19">
        <f t="shared" ca="1" si="508"/>
        <v>0.60892823233795912</v>
      </c>
      <c r="J229" s="19">
        <f t="shared" ca="1" si="442"/>
        <v>-1.542988854145211</v>
      </c>
      <c r="K229" s="19">
        <f t="shared" ca="1" si="443"/>
        <v>-1.2590662766951404</v>
      </c>
      <c r="L229" s="19">
        <f t="array" aca="1" ref="L229:M229" ca="1">MMULT(J229:K229,TRANSPOSE($B$10:$C$11))</f>
        <v>-1.542988854145211</v>
      </c>
      <c r="M229" s="19">
        <f ca="1"/>
        <v>0.22724313223478887</v>
      </c>
      <c r="N229" s="20">
        <f t="shared" ca="1" si="465"/>
        <v>7.1545065257069482E-3</v>
      </c>
      <c r="O229" s="20">
        <f t="shared" ca="1" si="444"/>
        <v>-8.2543451880651049E-3</v>
      </c>
      <c r="P229" s="19">
        <f t="shared" ca="1" si="450"/>
        <v>83.581364855317361</v>
      </c>
      <c r="Q229" s="19">
        <f ca="1">HCTrans(P229,Strike,RiskFreeRate,Dividend,Variance_T0*AnnualVarConvtr,(Simulation!G229)/250,0.5,Variance_Avg*AnnualVarConvtr,Lambda,SQRT(Simulation!N229),Rho,1,"Call")</f>
        <v>2.87839454537351</v>
      </c>
      <c r="R229" s="19" t="e">
        <f t="shared" ca="1" si="445"/>
        <v>#VALUE!</v>
      </c>
      <c r="S229" s="19" t="e">
        <f t="shared" ca="1" si="446"/>
        <v>#VALUE!</v>
      </c>
      <c r="T229" s="19" t="e">
        <f t="shared" ca="1" si="451"/>
        <v>#VALUE!</v>
      </c>
      <c r="U229" s="19" t="e">
        <f t="shared" ca="1" si="452"/>
        <v>#VALUE!</v>
      </c>
      <c r="V229" s="21">
        <f t="shared" ca="1" si="453"/>
        <v>6.0941376978476021E-5</v>
      </c>
      <c r="W229">
        <f t="shared" ca="1" si="454"/>
        <v>7.806495819410654E-3</v>
      </c>
      <c r="X229" s="22">
        <f t="shared" ref="X229" ca="1" si="521">BSdelta(1,P229,Strike,W229*AnnualVarConvtr,Dividend,RiskFreeRate,G229/250)</f>
        <v>3.6329145089174706E-6</v>
      </c>
      <c r="Y229" s="22">
        <f t="shared" ca="1" si="460"/>
        <v>3.0364395305800722E-4</v>
      </c>
      <c r="Z229" s="22">
        <f t="shared" ca="1" si="461"/>
        <v>-9.6303140263775138</v>
      </c>
      <c r="AA229">
        <f t="shared" si="448"/>
        <v>0.73884103340948371</v>
      </c>
      <c r="AB229">
        <f t="shared" ref="AB229" ca="1" si="522">BSdelta(1,P229,Strike,AA229/AnnualVarConvtr,Dividend,RiskFreeRate,G229/250)</f>
        <v>6.3588339997652629E-33</v>
      </c>
      <c r="AC229">
        <f t="shared" ca="1" si="457"/>
        <v>-3.5866982790224651E-27</v>
      </c>
      <c r="AD229">
        <f t="shared" ca="1" si="458"/>
        <v>-5.3360527787591945</v>
      </c>
    </row>
    <row r="230" spans="7:30" x14ac:dyDescent="0.25">
      <c r="G230" s="19">
        <v>25</v>
      </c>
      <c r="H230" s="19">
        <f t="shared" ca="1" si="508"/>
        <v>5.0079833327754786E-2</v>
      </c>
      <c r="I230" s="19">
        <f t="shared" ca="1" si="508"/>
        <v>0.60932010482402688</v>
      </c>
      <c r="J230" s="19">
        <f t="shared" ca="1" si="442"/>
        <v>-1.8921653302451142</v>
      </c>
      <c r="K230" s="19">
        <f t="shared" ca="1" si="443"/>
        <v>-1.5517680637420941</v>
      </c>
      <c r="L230" s="19">
        <f t="array" aca="1" ref="L230:M230" ca="1">MMULT(J230:K230,TRANSPOSE($B$10:$C$11))</f>
        <v>-1.8921653302451142</v>
      </c>
      <c r="M230" s="19">
        <f ca="1"/>
        <v>0.2732430891051465</v>
      </c>
      <c r="N230" s="20">
        <f t="shared" ca="1" si="465"/>
        <v>7.7318679082818984E-3</v>
      </c>
      <c r="O230" s="20">
        <f t="shared" ca="1" si="444"/>
        <v>-1.0522799351224427E-2</v>
      </c>
      <c r="P230" s="19">
        <f t="shared" ca="1" si="450"/>
        <v>82.706466188069399</v>
      </c>
      <c r="Q230" s="19">
        <f ca="1">HCTrans(P230,Strike,RiskFreeRate,Dividend,Variance_T0*AnnualVarConvtr,(Simulation!G230)/250,0.5,Variance_Avg*AnnualVarConvtr,Lambda,SQRT(Simulation!N230),Rho,1,"Call")</f>
        <v>2.5276570089147157</v>
      </c>
      <c r="R230" s="19" t="e">
        <f t="shared" ca="1" si="445"/>
        <v>#VALUE!</v>
      </c>
      <c r="S230" s="19" t="e">
        <f t="shared" ca="1" si="446"/>
        <v>#VALUE!</v>
      </c>
      <c r="T230" s="19" t="e">
        <f t="shared" ca="1" si="451"/>
        <v>#VALUE!</v>
      </c>
      <c r="U230" s="19" t="e">
        <f t="shared" ca="1" si="452"/>
        <v>#VALUE!</v>
      </c>
      <c r="V230" s="21">
        <f t="shared" ca="1" si="453"/>
        <v>5.1458842903548616E-6</v>
      </c>
      <c r="W230">
        <f t="shared" ca="1" si="454"/>
        <v>2.2684541631593225E-3</v>
      </c>
      <c r="X230" s="22">
        <f t="shared" ref="X230" ca="1" si="523">BSdelta(1,P230,Strike,W230*AnnualVarConvtr,Dividend,RiskFreeRate,G230/250)</f>
        <v>3.6689867286182918E-63</v>
      </c>
      <c r="Y230" s="22">
        <f t="shared" ca="1" si="460"/>
        <v>-3.0046552099592953E-4</v>
      </c>
      <c r="Z230" s="22">
        <f t="shared" ca="1" si="461"/>
        <v>-9.9807510973153128</v>
      </c>
      <c r="AA230">
        <f t="shared" si="448"/>
        <v>0.73884103340948371</v>
      </c>
      <c r="AB230">
        <f t="shared" ref="AB230" ca="1" si="524">BSdelta(1,P230,Strike,AA230/AnnualVarConvtr,Dividend,RiskFreeRate,G230/250)</f>
        <v>4.7718690124081586E-38</v>
      </c>
      <c r="AC230">
        <f t="shared" ca="1" si="457"/>
        <v>-5.2591274255290052E-31</v>
      </c>
      <c r="AD230">
        <f t="shared" ca="1" si="458"/>
        <v>-5.6867903152179888</v>
      </c>
    </row>
    <row r="231" spans="7:30" x14ac:dyDescent="0.25">
      <c r="G231" s="19">
        <v>24</v>
      </c>
      <c r="H231" s="19">
        <f t="shared" ca="1" si="508"/>
        <v>0.12847860408903922</v>
      </c>
      <c r="I231" s="19">
        <f t="shared" ca="1" si="508"/>
        <v>0.56026587586332666</v>
      </c>
      <c r="J231" s="19">
        <f t="shared" ca="1" si="442"/>
        <v>-1.8823203256674232</v>
      </c>
      <c r="K231" s="19">
        <f t="shared" ca="1" si="443"/>
        <v>-0.74890318392124633</v>
      </c>
      <c r="L231" s="19">
        <f t="array" aca="1" ref="L231:M231" ca="1">MMULT(J231:K231,TRANSPOSE($B$10:$C$11))</f>
        <v>-1.8823203256674232</v>
      </c>
      <c r="M231" s="19">
        <f ca="1"/>
        <v>0.82625731957607684</v>
      </c>
      <c r="N231" s="20">
        <f t="shared" ca="1" si="465"/>
        <v>9.6123383680141936E-3</v>
      </c>
      <c r="O231" s="20">
        <f t="shared" ca="1" si="444"/>
        <v>-1.1671805790080165E-2</v>
      </c>
      <c r="P231" s="19">
        <f t="shared" ca="1" si="450"/>
        <v>81.746744117254011</v>
      </c>
      <c r="Q231" s="19">
        <f ca="1">HCTrans(P231,Strike,RiskFreeRate,Dividend,Variance_T0*AnnualVarConvtr,(Simulation!G231)/250,0.5,Variance_Avg*AnnualVarConvtr,Lambda,SQRT(Simulation!N231),Rho,1,"Call")</f>
        <v>2.1769559671939334</v>
      </c>
      <c r="R231" s="19" t="e">
        <f t="shared" ca="1" si="445"/>
        <v>#VALUE!</v>
      </c>
      <c r="S231" s="19" t="e">
        <f t="shared" ca="1" si="446"/>
        <v>#VALUE!</v>
      </c>
      <c r="T231" s="19" t="e">
        <f t="shared" ca="1" si="451"/>
        <v>#VALUE!</v>
      </c>
      <c r="U231" s="19" t="e">
        <f t="shared" ca="1" si="452"/>
        <v>#VALUE!</v>
      </c>
      <c r="V231" s="21">
        <f t="shared" ca="1" si="453"/>
        <v>1.3202157965319437E-6</v>
      </c>
      <c r="W231">
        <f t="shared" ca="1" si="454"/>
        <v>1.1490064388557375E-3</v>
      </c>
      <c r="X231" s="22">
        <f t="shared" ref="X231" ca="1" si="525">BSdelta(1,P231,Strike,W231*AnnualVarConvtr,Dividend,RiskFreeRate,G231/250)</f>
        <v>5.1280044571423946E-281</v>
      </c>
      <c r="Y231" s="22">
        <f t="shared" ca="1" si="460"/>
        <v>-2.9992771927396037E-61</v>
      </c>
      <c r="Z231" s="22">
        <f t="shared" ca="1" si="461"/>
        <v>-10.331452139036095</v>
      </c>
      <c r="AA231">
        <f t="shared" si="448"/>
        <v>0.73884103340948371</v>
      </c>
      <c r="AB231">
        <f t="shared" ref="AB231" ca="1" si="526">BSdelta(1,P231,Strike,AA231/AnnualVarConvtr,Dividend,RiskFreeRate,G231/250)</f>
        <v>2.6325669791777747E-44</v>
      </c>
      <c r="AC231">
        <f t="shared" ca="1" si="457"/>
        <v>-3.9008453991460415E-36</v>
      </c>
      <c r="AD231">
        <f t="shared" ca="1" si="458"/>
        <v>-6.0374913569387711</v>
      </c>
    </row>
    <row r="232" spans="7:30" x14ac:dyDescent="0.25">
      <c r="G232" s="19">
        <v>23</v>
      </c>
      <c r="H232" s="19">
        <f t="shared" ca="1" si="508"/>
        <v>0.96244517132953178</v>
      </c>
      <c r="I232" s="19">
        <f t="shared" ca="1" si="508"/>
        <v>0.42870619836493495</v>
      </c>
      <c r="J232" s="19">
        <f t="shared" ca="1" si="442"/>
        <v>-0.24938901940373134</v>
      </c>
      <c r="K232" s="19">
        <f t="shared" ca="1" si="443"/>
        <v>0.11983937412731893</v>
      </c>
      <c r="L232" s="19">
        <f t="array" aca="1" ref="L232:M232" ca="1">MMULT(J232:K232,TRANSPOSE($B$10:$C$11))</f>
        <v>-0.24938901940373134</v>
      </c>
      <c r="M232" s="19">
        <f ca="1"/>
        <v>0.26228563282789508</v>
      </c>
      <c r="N232" s="20">
        <f t="shared" ca="1" si="465"/>
        <v>1.0239616274642373E-2</v>
      </c>
      <c r="O232" s="20">
        <f t="shared" ca="1" si="444"/>
        <v>-1.5960598186253829E-3</v>
      </c>
      <c r="P232" s="19">
        <f t="shared" ca="1" si="450"/>
        <v>81.616375489404433</v>
      </c>
      <c r="Q232" s="19">
        <f ca="1">HCTrans(P232,Strike,RiskFreeRate,Dividend,Variance_T0*AnnualVarConvtr,(Simulation!G232)/250,0.5,Variance_Avg*AnnualVarConvtr,Lambda,SQRT(Simulation!N232),Rho,1,"Call")</f>
        <v>2.0299988237267286</v>
      </c>
      <c r="R232" s="19" t="e">
        <f t="shared" ca="1" si="445"/>
        <v>#VALUE!</v>
      </c>
      <c r="S232" s="19" t="e">
        <f t="shared" ca="1" si="446"/>
        <v>#VALUE!</v>
      </c>
      <c r="T232" s="19" t="e">
        <f t="shared" ca="1" si="451"/>
        <v>#VALUE!</v>
      </c>
      <c r="U232" s="19" t="e">
        <f t="shared" ca="1" si="452"/>
        <v>#VALUE!</v>
      </c>
      <c r="V232" s="21">
        <f t="shared" ca="1" si="453"/>
        <v>1.0152065688128727E-4</v>
      </c>
      <c r="W232">
        <f t="shared" ca="1" si="454"/>
        <v>1.0075745971454782E-2</v>
      </c>
      <c r="X232" s="22">
        <f t="shared" ref="X232" ca="1" si="527">BSdelta(1,P232,Strike,W232*AnnualVarConvtr,Dividend,RiskFreeRate,G232/250)</f>
        <v>1.4590621365546404E-5</v>
      </c>
      <c r="Y232" s="22">
        <f t="shared" ca="1" si="460"/>
        <v>1.1908336319941622E-3</v>
      </c>
      <c r="Z232" s="22">
        <f t="shared" ca="1" si="461"/>
        <v>-10.479600116135295</v>
      </c>
      <c r="AA232">
        <f t="shared" si="448"/>
        <v>0.73884103340948371</v>
      </c>
      <c r="AB232">
        <f t="shared" ref="AB232" ca="1" si="528">BSdelta(1,P232,Strike,AA232/AnnualVarConvtr,Dividend,RiskFreeRate,G232/250)</f>
        <v>7.5941912007696022E-47</v>
      </c>
      <c r="AC232">
        <f t="shared" ca="1" si="457"/>
        <v>-2.1424076471300005E-42</v>
      </c>
      <c r="AD232">
        <f t="shared" ca="1" si="458"/>
        <v>-6.1844485004059759</v>
      </c>
    </row>
    <row r="233" spans="7:30" x14ac:dyDescent="0.25">
      <c r="G233" s="19">
        <v>22</v>
      </c>
      <c r="H233" s="19">
        <f t="shared" ca="1" si="508"/>
        <v>0.69330096273089659</v>
      </c>
      <c r="I233" s="19">
        <f t="shared" ca="1" si="508"/>
        <v>0.56037151846805378</v>
      </c>
      <c r="J233" s="19">
        <f t="shared" ca="1" si="442"/>
        <v>-0.79506745432754078</v>
      </c>
      <c r="K233" s="19">
        <f t="shared" ca="1" si="443"/>
        <v>-0.31693834084338868</v>
      </c>
      <c r="L233" s="19">
        <f t="array" aca="1" ref="L233:M233" ca="1">MMULT(J233:K233,TRANSPOSE($B$10:$C$11))</f>
        <v>-0.79506745432754078</v>
      </c>
      <c r="M233" s="19">
        <f ca="1"/>
        <v>0.34857373570357242</v>
      </c>
      <c r="N233" s="20">
        <f t="shared" ca="1" si="465"/>
        <v>1.1105841414430483E-2</v>
      </c>
      <c r="O233" s="20">
        <f t="shared" ca="1" si="444"/>
        <v>-5.2991926171522905E-3</v>
      </c>
      <c r="P233" s="19">
        <f t="shared" ca="1" si="450"/>
        <v>81.185018526216254</v>
      </c>
      <c r="Q233" s="19">
        <f ca="1">HCTrans(P233,Strike,RiskFreeRate,Dividend,Variance_T0*AnnualVarConvtr,(Simulation!G233)/250,0.5,Variance_Avg*AnnualVarConvtr,Lambda,SQRT(Simulation!N233),Rho,1,"Call")</f>
        <v>1.8222307081939277</v>
      </c>
      <c r="R233" s="19" t="e">
        <f t="shared" ca="1" si="445"/>
        <v>#VALUE!</v>
      </c>
      <c r="S233" s="19" t="e">
        <f t="shared" ca="1" si="446"/>
        <v>#VALUE!</v>
      </c>
      <c r="T233" s="19" t="e">
        <f t="shared" ca="1" si="451"/>
        <v>#VALUE!</v>
      </c>
      <c r="U233" s="19" t="e">
        <f t="shared" ca="1" si="452"/>
        <v>#VALUE!</v>
      </c>
      <c r="V233" s="21">
        <f t="shared" ca="1" si="453"/>
        <v>1.3713192523525726E-5</v>
      </c>
      <c r="W233">
        <f t="shared" ca="1" si="454"/>
        <v>3.7031327985269074E-3</v>
      </c>
      <c r="X233" s="22">
        <f t="shared" ref="X233" ca="1" si="529">BSdelta(1,P233,Strike,W233*AnnualVarConvtr,Dividend,RiskFreeRate,G233/250)</f>
        <v>1.9610930413814026E-33</v>
      </c>
      <c r="Y233" s="22">
        <f t="shared" ca="1" si="460"/>
        <v>-1.1845398658708916E-3</v>
      </c>
      <c r="Z233" s="22">
        <f t="shared" ca="1" si="461"/>
        <v>-10.686183691802224</v>
      </c>
      <c r="AA233">
        <f t="shared" si="448"/>
        <v>0.73884103340948371</v>
      </c>
      <c r="AB233">
        <f t="shared" ref="AB233" ca="1" si="530">BSdelta(1,P233,Strike,AA233/AnnualVarConvtr,Dividend,RiskFreeRate,G233/250)</f>
        <v>2.3369963884831682E-51</v>
      </c>
      <c r="AC233">
        <f t="shared" ca="1" si="457"/>
        <v>-6.165155804165991E-45</v>
      </c>
      <c r="AD233">
        <f t="shared" ca="1" si="458"/>
        <v>-6.3922166159387768</v>
      </c>
    </row>
    <row r="234" spans="7:30" x14ac:dyDescent="0.25">
      <c r="G234" s="19">
        <v>21</v>
      </c>
      <c r="H234" s="19">
        <f t="shared" ca="1" si="508"/>
        <v>0.32796465793854124</v>
      </c>
      <c r="I234" s="19">
        <f t="shared" ca="1" si="508"/>
        <v>0.64166003958682893</v>
      </c>
      <c r="J234" s="19">
        <f t="shared" ca="1" si="442"/>
        <v>-0.93976061424050439</v>
      </c>
      <c r="K234" s="19">
        <f t="shared" ca="1" si="443"/>
        <v>-1.1604089111619154</v>
      </c>
      <c r="L234" s="19">
        <f t="array" aca="1" ref="L234:M234" ca="1">MMULT(J234:K234,TRANSPOSE($B$10:$C$11))</f>
        <v>-0.93976061424050439</v>
      </c>
      <c r="M234" s="19">
        <f ca="1"/>
        <v>-0.13614779699564095</v>
      </c>
      <c r="N234" s="20">
        <f t="shared" ca="1" si="465"/>
        <v>1.0735291306213639E-2</v>
      </c>
      <c r="O234" s="20">
        <f t="shared" ca="1" si="444"/>
        <v>-6.1582051432994981E-3</v>
      </c>
      <c r="P234" s="19">
        <f t="shared" ca="1" si="450"/>
        <v>80.686600782071054</v>
      </c>
      <c r="Q234" s="19">
        <f ca="1">HCTrans(P234,Strike,RiskFreeRate,Dividend,Variance_T0*AnnualVarConvtr,(Simulation!G234)/250,0.5,Variance_Avg*AnnualVarConvtr,Lambda,SQRT(Simulation!N234),Rho,1,"Call")</f>
        <v>1.6125764319893676</v>
      </c>
      <c r="R234" s="19" t="e">
        <f t="shared" ca="1" si="445"/>
        <v>#VALUE!</v>
      </c>
      <c r="S234" s="19" t="e">
        <f t="shared" ca="1" si="446"/>
        <v>#VALUE!</v>
      </c>
      <c r="T234" s="19" t="e">
        <f t="shared" ca="1" si="451"/>
        <v>#VALUE!</v>
      </c>
      <c r="U234" s="19" t="e">
        <f t="shared" ca="1" si="452"/>
        <v>#VALUE!</v>
      </c>
      <c r="V234" s="21">
        <f t="shared" ca="1" si="453"/>
        <v>7.3790252007780696E-7</v>
      </c>
      <c r="W234">
        <f t="shared" ca="1" si="454"/>
        <v>8.5901252614720754E-4</v>
      </c>
      <c r="X234" s="22">
        <f t="shared" ref="X234" ca="1" si="531">BSdelta(1,P234,Strike,W234*AnnualVarConvtr,Dividend,RiskFreeRate,G234/250)</f>
        <v>0</v>
      </c>
      <c r="Y234" s="22">
        <f t="shared" ca="1" si="460"/>
        <v>-1.5823393132643879E-31</v>
      </c>
      <c r="Z234" s="22">
        <f t="shared" ca="1" si="461"/>
        <v>-10.895837968006784</v>
      </c>
      <c r="AA234">
        <f t="shared" si="448"/>
        <v>0.73884103340948371</v>
      </c>
      <c r="AB234">
        <f t="shared" ref="AB234" ca="1" si="532">BSdelta(1,P234,Strike,AA234/AnnualVarConvtr,Dividend,RiskFreeRate,G234/250)</f>
        <v>8.4172259679595128E-57</v>
      </c>
      <c r="AC234">
        <f t="shared" ca="1" si="457"/>
        <v>-1.8856361546933183E-49</v>
      </c>
      <c r="AD234">
        <f t="shared" ca="1" si="458"/>
        <v>-6.6018708921433369</v>
      </c>
    </row>
    <row r="235" spans="7:30" x14ac:dyDescent="0.25">
      <c r="G235" s="19">
        <v>20</v>
      </c>
      <c r="H235" s="19">
        <f t="shared" ca="1" si="508"/>
        <v>1.3477256321946629E-2</v>
      </c>
      <c r="I235" s="19">
        <f t="shared" ca="1" si="508"/>
        <v>0.52288424537884426</v>
      </c>
      <c r="J235" s="19">
        <f t="shared" ca="1" si="442"/>
        <v>-2.904590898621211</v>
      </c>
      <c r="K235" s="19">
        <f t="shared" ca="1" si="443"/>
        <v>-0.42054152466890449</v>
      </c>
      <c r="L235" s="19">
        <f t="array" aca="1" ref="L235:M235" ca="1">MMULT(J235:K235,TRANSPOSE($B$10:$C$11))</f>
        <v>-2.904590898621211</v>
      </c>
      <c r="M235" s="19">
        <f ca="1"/>
        <v>1.7877750398818941</v>
      </c>
      <c r="N235" s="20">
        <f t="shared" ca="1" si="465"/>
        <v>1.5738132258123781E-2</v>
      </c>
      <c r="O235" s="20">
        <f t="shared" ca="1" si="444"/>
        <v>-2.3045788038370558E-2</v>
      </c>
      <c r="P235" s="19">
        <f t="shared" ca="1" si="450"/>
        <v>78.848377492319699</v>
      </c>
      <c r="Q235" s="19">
        <f ca="1">HCTrans(P235,Strike,RiskFreeRate,Dividend,Variance_T0*AnnualVarConvtr,(Simulation!G235)/250,0.5,Variance_Avg*AnnualVarConvtr,Lambda,SQRT(Simulation!N235),Rho,1,"Call")</f>
        <v>1.1870880952782272</v>
      </c>
      <c r="R235" s="19" t="e">
        <f t="shared" ca="1" si="445"/>
        <v>#VALUE!</v>
      </c>
      <c r="S235" s="19" t="e">
        <f t="shared" ca="1" si="446"/>
        <v>#VALUE!</v>
      </c>
      <c r="T235" s="19" t="e">
        <f t="shared" ca="1" si="451"/>
        <v>#VALUE!</v>
      </c>
      <c r="U235" s="19" t="e">
        <f t="shared" ca="1" si="452"/>
        <v>#VALUE!</v>
      </c>
      <c r="V235" s="21">
        <f t="shared" ca="1" si="453"/>
        <v>2.8519045603789668E-4</v>
      </c>
      <c r="W235">
        <f t="shared" ca="1" si="454"/>
        <v>1.6887582895071061E-2</v>
      </c>
      <c r="X235" s="22">
        <f t="shared" ref="X235" ca="1" si="533">BSdelta(1,P235,Strike,W235*AnnualVarConvtr,Dividend,RiskFreeRate,G235/250)</f>
        <v>9.3908079781454101E-4</v>
      </c>
      <c r="Y235" s="22">
        <f t="shared" ca="1" si="460"/>
        <v>7.4044997241869678E-2</v>
      </c>
      <c r="Z235" s="22">
        <f t="shared" ca="1" si="461"/>
        <v>-11.395371301959795</v>
      </c>
      <c r="AA235">
        <f t="shared" si="448"/>
        <v>0.73884103340948371</v>
      </c>
      <c r="AB235">
        <f t="shared" ref="AB235" ca="1" si="534">BSdelta(1,P235,Strike,AA235/AnnualVarConvtr,Dividend,RiskFreeRate,G235/250)</f>
        <v>1.5624165258713351E-72</v>
      </c>
      <c r="AC235">
        <f t="shared" ca="1" si="457"/>
        <v>-6.6368461055982772E-55</v>
      </c>
      <c r="AD235">
        <f t="shared" ca="1" si="458"/>
        <v>-7.0273592288544773</v>
      </c>
    </row>
    <row r="236" spans="7:30" x14ac:dyDescent="0.25">
      <c r="G236" s="19">
        <v>19</v>
      </c>
      <c r="H236" s="19">
        <f t="shared" ca="1" si="508"/>
        <v>0.2294020223892993</v>
      </c>
      <c r="I236" s="19">
        <f t="shared" ca="1" si="508"/>
        <v>0.21163234034784972</v>
      </c>
      <c r="J236" s="19">
        <f t="shared" ca="1" si="442"/>
        <v>0.40967604349782</v>
      </c>
      <c r="K236" s="19">
        <f t="shared" ca="1" si="443"/>
        <v>1.6663505201622566</v>
      </c>
      <c r="L236" s="19">
        <f t="array" aca="1" ref="L236:M236" ca="1">MMULT(J236:K236,TRANSPOSE($B$10:$C$11))</f>
        <v>0.40967604349782</v>
      </c>
      <c r="M236" s="19">
        <f ca="1"/>
        <v>0.8688917273416783</v>
      </c>
      <c r="N236" s="20">
        <f t="shared" ca="1" si="465"/>
        <v>1.8478343198016622E-2</v>
      </c>
      <c r="O236" s="20">
        <f t="shared" ca="1" si="444"/>
        <v>3.5221032146812302E-3</v>
      </c>
      <c r="P236" s="19">
        <f t="shared" ca="1" si="450"/>
        <v>79.126579256225384</v>
      </c>
      <c r="Q236" s="19">
        <f ca="1">HCTrans(P236,Strike,RiskFreeRate,Dividend,Variance_T0*AnnualVarConvtr,(Simulation!G236)/250,0.5,Variance_Avg*AnnualVarConvtr,Lambda,SQRT(Simulation!N236),Rho,1,"Call")</f>
        <v>1.1286144444872264</v>
      </c>
      <c r="R236" s="19" t="e">
        <f t="shared" ca="1" si="445"/>
        <v>#VALUE!</v>
      </c>
      <c r="S236" s="19" t="e">
        <f t="shared" ca="1" si="446"/>
        <v>#VALUE!</v>
      </c>
      <c r="T236" s="19" t="e">
        <f t="shared" ca="1" si="451"/>
        <v>#VALUE!</v>
      </c>
      <c r="U236" s="19" t="e">
        <f t="shared" ca="1" si="452"/>
        <v>#VALUE!</v>
      </c>
      <c r="V236" s="21">
        <f t="shared" ca="1" si="453"/>
        <v>7.0585284563398566E-4</v>
      </c>
      <c r="W236">
        <f t="shared" ca="1" si="454"/>
        <v>2.6567891253051788E-2</v>
      </c>
      <c r="X236" s="22">
        <f t="shared" ref="X236" ca="1" si="535">BSdelta(1,P236,Strike,W236*AnnualVarConvtr,Dividend,RiskFreeRate,G236/250)</f>
        <v>2.47794286900953E-2</v>
      </c>
      <c r="Y236" s="22">
        <f t="shared" ca="1" si="460"/>
        <v>1.8864051769945391</v>
      </c>
      <c r="Z236" s="22">
        <f t="shared" ca="1" si="461"/>
        <v>-13.340250129745336</v>
      </c>
      <c r="AA236">
        <f t="shared" si="448"/>
        <v>0.73884103340948371</v>
      </c>
      <c r="AB236">
        <f t="shared" ref="AB236" ca="1" si="536">BSdelta(1,P236,Strike,AA236/AnnualVarConvtr,Dividend,RiskFreeRate,G236/250)</f>
        <v>4.6532357931500248E-74</v>
      </c>
      <c r="AC236">
        <f t="shared" ca="1" si="457"/>
        <v>-1.1994672875774861E-70</v>
      </c>
      <c r="AD236">
        <f t="shared" ca="1" si="458"/>
        <v>-7.0858328796454781</v>
      </c>
    </row>
    <row r="237" spans="7:30" x14ac:dyDescent="0.25">
      <c r="G237" s="19">
        <v>18</v>
      </c>
      <c r="H237" s="19">
        <f t="shared" ca="1" si="508"/>
        <v>0.22713086029121632</v>
      </c>
      <c r="I237" s="19">
        <f t="shared" ca="1" si="508"/>
        <v>0.77948681146762944</v>
      </c>
      <c r="J237" s="19">
        <f t="shared" ca="1" si="442"/>
        <v>0.3171705987755824</v>
      </c>
      <c r="K237" s="19">
        <f t="shared" ca="1" si="443"/>
        <v>-1.6922945111192391</v>
      </c>
      <c r="L237" s="19">
        <f t="array" aca="1" ref="L237:M237" ca="1">MMULT(J237:K237,TRANSPOSE($B$10:$C$11))</f>
        <v>0.3171705987755824</v>
      </c>
      <c r="M237" s="19">
        <f ca="1"/>
        <v>-1.4077755397199259</v>
      </c>
      <c r="N237" s="20">
        <f t="shared" ca="1" si="465"/>
        <v>1.4023275174174624E-2</v>
      </c>
      <c r="O237" s="20">
        <f t="shared" ca="1" si="444"/>
        <v>2.3754595843974062E-3</v>
      </c>
      <c r="P237" s="19">
        <f t="shared" ca="1" si="450"/>
        <v>79.314764672234048</v>
      </c>
      <c r="Q237" s="19">
        <f ca="1">HCTrans(P237,Strike,RiskFreeRate,Dividend,Variance_T0*AnnualVarConvtr,(Simulation!G237)/250,0.5,Variance_Avg*AnnualVarConvtr,Lambda,SQRT(Simulation!N237),Rho,1,"Call")</f>
        <v>1.0630664855425636</v>
      </c>
      <c r="R237" s="19" t="e">
        <f t="shared" ca="1" si="445"/>
        <v>#VALUE!</v>
      </c>
      <c r="S237" s="19" t="e">
        <f t="shared" ca="1" si="446"/>
        <v>#VALUE!</v>
      </c>
      <c r="T237" s="19" t="e">
        <f t="shared" ca="1" si="451"/>
        <v>#VALUE!</v>
      </c>
      <c r="U237" s="19" t="e">
        <f t="shared" ca="1" si="452"/>
        <v>#VALUE!</v>
      </c>
      <c r="V237" s="21">
        <f t="shared" ca="1" si="453"/>
        <v>1.3147916148704667E-6</v>
      </c>
      <c r="W237">
        <f t="shared" ca="1" si="454"/>
        <v>1.146643630283824E-3</v>
      </c>
      <c r="X237" s="22">
        <f t="shared" ref="X237" ca="1" si="537">BSdelta(1,P237,Strike,W237*AnnualVarConvtr,Dividend,RiskFreeRate,G237/250)</f>
        <v>0</v>
      </c>
      <c r="Y237" s="22">
        <f t="shared" ca="1" si="460"/>
        <v>-1.9653745552673134</v>
      </c>
      <c r="Z237" s="22">
        <f t="shared" ca="1" si="461"/>
        <v>-11.440423533422685</v>
      </c>
      <c r="AA237">
        <f t="shared" si="448"/>
        <v>0.73884103340948371</v>
      </c>
      <c r="AB237">
        <f t="shared" ref="AB237" ca="1" si="538">BSdelta(1,P237,Strike,AA237/AnnualVarConvtr,Dividend,RiskFreeRate,G237/250)</f>
        <v>1.5989946959253672E-76</v>
      </c>
      <c r="AC237">
        <f t="shared" ca="1" si="457"/>
        <v>-3.6780206301791588E-72</v>
      </c>
      <c r="AD237">
        <f t="shared" ca="1" si="458"/>
        <v>-7.151380838590141</v>
      </c>
    </row>
    <row r="238" spans="7:30" x14ac:dyDescent="0.25">
      <c r="G238" s="19">
        <v>17</v>
      </c>
      <c r="H238" s="19">
        <f t="shared" ca="1" si="508"/>
        <v>0.56390386063265963</v>
      </c>
      <c r="I238" s="19">
        <f t="shared" ca="1" si="508"/>
        <v>0.99108370974487403</v>
      </c>
      <c r="J238" s="19">
        <f t="shared" ca="1" si="442"/>
        <v>1.0687145550309396</v>
      </c>
      <c r="K238" s="19">
        <f t="shared" ca="1" si="443"/>
        <v>-5.9934995081247049E-2</v>
      </c>
      <c r="L238" s="19">
        <f t="array" aca="1" ref="L238:M238" ca="1">MMULT(J238:K238,TRANSPOSE($B$10:$C$11))</f>
        <v>1.0687145550309396</v>
      </c>
      <c r="M238" s="19">
        <f ca="1"/>
        <v>-0.80754385756769209</v>
      </c>
      <c r="N238" s="20">
        <f t="shared" ca="1" si="465"/>
        <v>1.1739449727726968E-2</v>
      </c>
      <c r="O238" s="20">
        <f t="shared" ca="1" si="444"/>
        <v>7.3234477944934435E-3</v>
      </c>
      <c r="P238" s="19">
        <f t="shared" ca="1" si="450"/>
        <v>79.897754352270923</v>
      </c>
      <c r="Q238" s="19">
        <f ca="1">HCTrans(P238,Strike,RiskFreeRate,Dividend,Variance_T0*AnnualVarConvtr,(Simulation!G238)/250,0.5,Variance_Avg*AnnualVarConvtr,Lambda,SQRT(Simulation!N238),Rho,1,"Call")</f>
        <v>1.0495549855195208</v>
      </c>
      <c r="R238" s="19" t="e">
        <f t="shared" ca="1" si="445"/>
        <v>#VALUE!</v>
      </c>
      <c r="S238" s="19" t="e">
        <f t="shared" ca="1" si="446"/>
        <v>#VALUE!</v>
      </c>
      <c r="T238" s="19" t="e">
        <f t="shared" ca="1" si="451"/>
        <v>#VALUE!</v>
      </c>
      <c r="U238" s="19" t="e">
        <f t="shared" ca="1" si="452"/>
        <v>#VALUE!</v>
      </c>
      <c r="V238" s="21">
        <f t="shared" ca="1" si="453"/>
        <v>2.4482587327249386E-5</v>
      </c>
      <c r="W238">
        <f t="shared" ca="1" si="454"/>
        <v>4.9479882100960373E-3</v>
      </c>
      <c r="X238" s="22">
        <f t="shared" ref="X238" ca="1" si="539">BSdelta(1,P238,Strike,W238*AnnualVarConvtr,Dividend,RiskFreeRate,G238/250)</f>
        <v>2.1271199989904611E-28</v>
      </c>
      <c r="Y238" s="22">
        <f t="shared" ca="1" si="460"/>
        <v>1.6995211115714263E-26</v>
      </c>
      <c r="Z238" s="22">
        <f t="shared" ca="1" si="461"/>
        <v>-11.453935033445727</v>
      </c>
      <c r="AA238">
        <f t="shared" si="448"/>
        <v>0.73884103340948371</v>
      </c>
      <c r="AB238">
        <f t="shared" ref="AB238" ca="1" si="540">BSdelta(1,P238,Strike,AA238/AnnualVarConvtr,Dividend,RiskFreeRate,G238/250)</f>
        <v>5.3204539795633092E-76</v>
      </c>
      <c r="AC238">
        <f t="shared" ca="1" si="457"/>
        <v>2.973362396760824E-74</v>
      </c>
      <c r="AD238">
        <f t="shared" ca="1" si="458"/>
        <v>-7.1648923386131838</v>
      </c>
    </row>
    <row r="239" spans="7:30" x14ac:dyDescent="0.25">
      <c r="G239" s="19">
        <v>16</v>
      </c>
      <c r="H239" s="19">
        <f t="shared" ca="1" si="508"/>
        <v>0.47880499769275542</v>
      </c>
      <c r="I239" s="19">
        <f t="shared" ca="1" si="508"/>
        <v>3.2716210979015892E-2</v>
      </c>
      <c r="J239" s="19">
        <f t="shared" ca="1" si="442"/>
        <v>1.1880892150994466</v>
      </c>
      <c r="K239" s="19">
        <f t="shared" ca="1" si="443"/>
        <v>0.24772515366910233</v>
      </c>
      <c r="L239" s="19">
        <f t="array" aca="1" ref="L239:M239" ca="1">MMULT(J239:K239,TRANSPOSE($B$10:$C$11))</f>
        <v>1.1880892150994466</v>
      </c>
      <c r="M239" s="19">
        <f ca="1"/>
        <v>-0.67845605321971592</v>
      </c>
      <c r="N239" s="20">
        <f t="shared" ca="1" si="465"/>
        <v>9.9812725507888479E-3</v>
      </c>
      <c r="O239" s="20">
        <f t="shared" ca="1" si="444"/>
        <v>7.507096639147573E-3</v>
      </c>
      <c r="P239" s="19">
        <f t="shared" ca="1" si="450"/>
        <v>80.499811538701053</v>
      </c>
      <c r="Q239" s="19">
        <f ca="1">HCTrans(P239,Strike,RiskFreeRate,Dividend,Variance_T0*AnnualVarConvtr,(Simulation!G239)/250,0.5,Variance_Avg*AnnualVarConvtr,Lambda,SQRT(Simulation!N239),Rho,1,"Call")</f>
        <v>1.0342899265818772</v>
      </c>
      <c r="R239" s="19" t="e">
        <f t="shared" ca="1" si="445"/>
        <v>#VALUE!</v>
      </c>
      <c r="S239" s="19" t="e">
        <f t="shared" ca="1" si="446"/>
        <v>#VALUE!</v>
      </c>
      <c r="T239" s="19" t="e">
        <f t="shared" ca="1" si="451"/>
        <v>#VALUE!</v>
      </c>
      <c r="U239" s="19" t="e">
        <f t="shared" ca="1" si="452"/>
        <v>#VALUE!</v>
      </c>
      <c r="V239" s="21">
        <f t="shared" ca="1" si="453"/>
        <v>3.3726898142796562E-8</v>
      </c>
      <c r="W239">
        <f t="shared" ca="1" si="454"/>
        <v>1.8364884465412942E-4</v>
      </c>
      <c r="X239" s="22">
        <f t="shared" ref="X239" ca="1" si="541">BSdelta(1,P239,Strike,W239*AnnualVarConvtr,Dividend,RiskFreeRate,G239/250)</f>
        <v>0</v>
      </c>
      <c r="Y239" s="22">
        <f t="shared" ca="1" si="460"/>
        <v>-1.7123275903893409E-26</v>
      </c>
      <c r="Z239" s="22">
        <f t="shared" ca="1" si="461"/>
        <v>-11.469200092383371</v>
      </c>
      <c r="AA239">
        <f t="shared" si="448"/>
        <v>0.73884103340948371</v>
      </c>
      <c r="AB239">
        <f t="shared" ref="AB239" ca="1" si="542">BSdelta(1,P239,Strike,AA239/AnnualVarConvtr,Dividend,RiskFreeRate,G239/250)</f>
        <v>1.8643821819402897E-75</v>
      </c>
      <c r="AC239">
        <f t="shared" ca="1" si="457"/>
        <v>1.0725286001678775E-73</v>
      </c>
      <c r="AD239">
        <f t="shared" ca="1" si="458"/>
        <v>-7.1801573975508273</v>
      </c>
    </row>
    <row r="240" spans="7:30" x14ac:dyDescent="0.25">
      <c r="G240" s="19">
        <v>15</v>
      </c>
      <c r="H240" s="19">
        <f t="shared" ca="1" si="508"/>
        <v>0.20128541301936054</v>
      </c>
      <c r="I240" s="19">
        <f t="shared" ca="1" si="508"/>
        <v>0.86028782328149589</v>
      </c>
      <c r="J240" s="19">
        <f t="shared" ca="1" si="442"/>
        <v>1.1438315120875835</v>
      </c>
      <c r="K240" s="19">
        <f t="shared" ca="1" si="443"/>
        <v>-1.37757478840727</v>
      </c>
      <c r="L240" s="19">
        <f t="array" aca="1" ref="L240:M240" ca="1">MMULT(J240:K240,TRANSPOSE($B$10:$C$11))</f>
        <v>1.1438315120875835</v>
      </c>
      <c r="M240" s="19">
        <f ca="1"/>
        <v>-1.7805336681549484</v>
      </c>
      <c r="N240" s="20">
        <f t="shared" ca="1" si="465"/>
        <v>6.0804108237758068E-3</v>
      </c>
      <c r="O240" s="20">
        <f t="shared" ca="1" si="444"/>
        <v>5.6410313638606832E-3</v>
      </c>
      <c r="P240" s="19">
        <f t="shared" ca="1" si="450"/>
        <v>80.95519671382759</v>
      </c>
      <c r="Q240" s="19">
        <f ca="1">HCTrans(P240,Strike,RiskFreeRate,Dividend,Variance_T0*AnnualVarConvtr,(Simulation!G240)/250,0.5,Variance_Avg*AnnualVarConvtr,Lambda,SQRT(Simulation!N240),Rho,1,"Call")</f>
        <v>0.99659779514904301</v>
      </c>
      <c r="R240" s="19" t="e">
        <f t="shared" ca="1" si="445"/>
        <v>#VALUE!</v>
      </c>
      <c r="S240" s="19" t="e">
        <f t="shared" ca="1" si="446"/>
        <v>#VALUE!</v>
      </c>
      <c r="T240" s="19" t="e">
        <f t="shared" ca="1" si="451"/>
        <v>#VALUE!</v>
      </c>
      <c r="U240" s="19" t="e">
        <f t="shared" ca="1" si="452"/>
        <v>#VALUE!</v>
      </c>
      <c r="V240" s="21">
        <f t="shared" ca="1" si="453"/>
        <v>3.4821996116315353E-6</v>
      </c>
      <c r="W240">
        <f t="shared" ca="1" si="454"/>
        <v>1.8660652752868897E-3</v>
      </c>
      <c r="X240" s="22">
        <f t="shared" ref="X240" ca="1" si="543">BSdelta(1,P240,Strike,W240*AnnualVarConvtr,Dividend,RiskFreeRate,G240/250)</f>
        <v>4.0981442094103215E-188</v>
      </c>
      <c r="Y240" s="22">
        <f t="shared" ca="1" si="460"/>
        <v>3.3176607063444601E-186</v>
      </c>
      <c r="Z240" s="22">
        <f t="shared" ca="1" si="461"/>
        <v>-11.506892223816205</v>
      </c>
      <c r="AA240">
        <f t="shared" si="448"/>
        <v>0.73884103340948371</v>
      </c>
      <c r="AB240">
        <f t="shared" ref="AB240" ca="1" si="544">BSdelta(1,P240,Strike,AA240/AnnualVarConvtr,Dividend,RiskFreeRate,G240/250)</f>
        <v>2.4890357160973527E-76</v>
      </c>
      <c r="AC240">
        <f t="shared" ca="1" si="457"/>
        <v>-1.3078138868629087E-73</v>
      </c>
      <c r="AD240">
        <f t="shared" ca="1" si="458"/>
        <v>-7.2178495289836615</v>
      </c>
    </row>
    <row r="241" spans="7:30" x14ac:dyDescent="0.25">
      <c r="G241" s="19">
        <v>14</v>
      </c>
      <c r="H241" s="19">
        <f t="shared" ca="1" si="508"/>
        <v>0.76200126980959337</v>
      </c>
      <c r="I241" s="19">
        <f t="shared" ca="1" si="508"/>
        <v>0.83384907456097668</v>
      </c>
      <c r="J241" s="19">
        <f t="shared" ca="1" si="442"/>
        <v>0.37071814796198999</v>
      </c>
      <c r="K241" s="19">
        <f t="shared" ca="1" si="443"/>
        <v>-0.63732422559621271</v>
      </c>
      <c r="L241" s="19">
        <f t="array" aca="1" ref="L241:M241" ca="1">MMULT(J241:K241,TRANSPOSE($B$10:$C$11))</f>
        <v>0.37071814796198999</v>
      </c>
      <c r="M241" s="19">
        <f ca="1"/>
        <v>-0.71020870578702655</v>
      </c>
      <c r="N241" s="20">
        <f t="shared" ca="1" si="465"/>
        <v>4.8034123036286075E-3</v>
      </c>
      <c r="O241" s="20">
        <f t="shared" ca="1" si="444"/>
        <v>1.6249828265203978E-3</v>
      </c>
      <c r="P241" s="19">
        <f t="shared" ca="1" si="450"/>
        <v>81.086854460022465</v>
      </c>
      <c r="Q241" s="19">
        <f ca="1">HCTrans(P241,Strike,RiskFreeRate,Dividend,Variance_T0*AnnualVarConvtr,(Simulation!G241)/250,0.5,Variance_Avg*AnnualVarConvtr,Lambda,SQRT(Simulation!N241),Rho,1,"Call")</f>
        <v>0.90615982354759694</v>
      </c>
      <c r="R241" s="19" t="e">
        <f t="shared" ca="1" si="445"/>
        <v>#VALUE!</v>
      </c>
      <c r="S241" s="19" t="e">
        <f t="shared" ca="1" si="446"/>
        <v>#VALUE!</v>
      </c>
      <c r="T241" s="19" t="e">
        <f t="shared" ca="1" si="451"/>
        <v>#VALUE!</v>
      </c>
      <c r="U241" s="19" t="e">
        <f t="shared" ca="1" si="452"/>
        <v>#VALUE!</v>
      </c>
      <c r="V241" s="21">
        <f t="shared" ca="1" si="453"/>
        <v>1.6128645854273046E-5</v>
      </c>
      <c r="W241">
        <f t="shared" ca="1" si="454"/>
        <v>4.0160485373402855E-3</v>
      </c>
      <c r="X241" s="22">
        <f t="shared" ref="X241" ca="1" si="545">BSdelta(1,P241,Strike,W241*AnnualVarConvtr,Dividend,RiskFreeRate,G241/250)</f>
        <v>1.7039919166949455E-44</v>
      </c>
      <c r="Y241" s="22">
        <f t="shared" ca="1" si="460"/>
        <v>1.3817134455009777E-42</v>
      </c>
      <c r="Z241" s="22">
        <f t="shared" ca="1" si="461"/>
        <v>-11.597330195417651</v>
      </c>
      <c r="AA241">
        <f>$R$5</f>
        <v>0.73884103340948371</v>
      </c>
      <c r="AB241">
        <f t="shared" ref="AB241" ca="1" si="546">BSdelta(1,P241,Strike,AA241/AnnualVarConvtr,Dividend,RiskFreeRate,G241/250)</f>
        <v>2.0617785057236324E-80</v>
      </c>
      <c r="AC241">
        <f t="shared" ca="1" si="457"/>
        <v>-2.0181135854362157E-74</v>
      </c>
      <c r="AD241">
        <f t="shared" ca="1" si="458"/>
        <v>-7.3082875005851076</v>
      </c>
    </row>
    <row r="242" spans="7:30" x14ac:dyDescent="0.25">
      <c r="G242" s="19">
        <v>13</v>
      </c>
      <c r="H242" s="19">
        <f t="shared" ca="1" si="508"/>
        <v>0.56065635556518378</v>
      </c>
      <c r="I242" s="19">
        <f t="shared" ca="1" si="508"/>
        <v>0.80249395695183612</v>
      </c>
      <c r="J242" s="19">
        <f t="shared" ca="1" si="442"/>
        <v>0.34842397491306848</v>
      </c>
      <c r="K242" s="19">
        <f t="shared" ca="1" si="443"/>
        <v>-1.0177892561103008</v>
      </c>
      <c r="L242" s="19">
        <f t="array" aca="1" ref="L242:M242" ca="1">MMULT(J242:K242,TRANSPOSE($B$10:$C$11))</f>
        <v>0.34842397491306848</v>
      </c>
      <c r="M242" s="19">
        <f ca="1"/>
        <v>-0.95964242478923556</v>
      </c>
      <c r="N242" s="20">
        <f t="shared" ca="1" si="465"/>
        <v>3.3228878058106279E-3</v>
      </c>
      <c r="O242" s="20">
        <f t="shared" ca="1" si="444"/>
        <v>1.2702694857445475E-3</v>
      </c>
      <c r="P242" s="19">
        <f t="shared" ca="1" si="450"/>
        <v>81.18992206489574</v>
      </c>
      <c r="Q242" s="19">
        <f ca="1">HCTrans(P242,Strike,RiskFreeRate,Dividend,Variance_T0*AnnualVarConvtr,(Simulation!G242)/250,0.5,Variance_Avg*AnnualVarConvtr,Lambda,SQRT(Simulation!N242),Rho,1,"Call")</f>
        <v>0.81160139067075932</v>
      </c>
      <c r="R242" s="19" t="e">
        <f t="shared" ca="1" si="445"/>
        <v>#VALUE!</v>
      </c>
      <c r="S242" s="19" t="e">
        <f t="shared" ca="1" si="446"/>
        <v>#VALUE!</v>
      </c>
      <c r="T242" s="19" t="e">
        <f t="shared" ca="1" si="451"/>
        <v>#VALUE!</v>
      </c>
      <c r="U242" s="19" t="e">
        <f t="shared" ca="1" si="452"/>
        <v>#VALUE!</v>
      </c>
      <c r="V242" s="21">
        <f t="shared" ca="1" si="453"/>
        <v>1.2582155412436447E-7</v>
      </c>
      <c r="W242">
        <f t="shared" ca="1" si="454"/>
        <v>3.5471334077585024E-4</v>
      </c>
      <c r="X242" s="22">
        <f t="shared" ref="X242" ca="1" si="547">BSdelta(1,P242,Strike,W242*AnnualVarConvtr,Dividend,RiskFreeRate,G242/250)</f>
        <v>0</v>
      </c>
      <c r="Y242" s="22">
        <f t="shared" ca="1" si="460"/>
        <v>-1.3834697091567494E-42</v>
      </c>
      <c r="Z242" s="22">
        <f t="shared" ca="1" si="461"/>
        <v>-11.691888628294489</v>
      </c>
      <c r="AA242">
        <f t="shared" ref="AA242:AA254" si="548">$R$5</f>
        <v>0.73884103340948371</v>
      </c>
      <c r="AB242">
        <f t="shared" ref="AB242" ca="1" si="549">BSdelta(1,P242,Strike,AA242/AnnualVarConvtr,Dividend,RiskFreeRate,G242/250)</f>
        <v>2.0511741371414652E-85</v>
      </c>
      <c r="AC242">
        <f t="shared" ca="1" si="457"/>
        <v>-1.6739397084809556E-78</v>
      </c>
      <c r="AD242">
        <f t="shared" ca="1" si="458"/>
        <v>-7.4028459334619452</v>
      </c>
    </row>
    <row r="243" spans="7:30" x14ac:dyDescent="0.25">
      <c r="G243" s="19">
        <v>12</v>
      </c>
      <c r="H243" s="19">
        <f t="shared" ca="1" si="508"/>
        <v>0.29739447995678303</v>
      </c>
      <c r="I243" s="19">
        <f t="shared" ca="1" si="508"/>
        <v>0.87195973206961763</v>
      </c>
      <c r="J243" s="19">
        <f t="shared" ca="1" si="442"/>
        <v>1.0799888291705693</v>
      </c>
      <c r="K243" s="19">
        <f t="shared" ca="1" si="443"/>
        <v>-1.1220587066351215</v>
      </c>
      <c r="L243" s="19">
        <f t="array" aca="1" ref="L243:M243" ca="1">MMULT(J243:K243,TRANSPOSE($B$10:$C$11))</f>
        <v>1.0799888291705693</v>
      </c>
      <c r="M243" s="19">
        <f ca="1"/>
        <v>-1.5565456655716505</v>
      </c>
      <c r="N243" s="20">
        <f t="shared" ca="1" si="465"/>
        <v>1.5066874599743245E-3</v>
      </c>
      <c r="O243" s="20">
        <f t="shared" ca="1" si="444"/>
        <v>2.6513120515345204E-3</v>
      </c>
      <c r="P243" s="19">
        <f t="shared" ca="1" si="450"/>
        <v>81.405467496565961</v>
      </c>
      <c r="Q243" s="19">
        <f ca="1">HCTrans(P243,Strike,RiskFreeRate,Dividend,Variance_T0*AnnualVarConvtr,(Simulation!G243)/250,0.5,Variance_Avg*AnnualVarConvtr,Lambda,SQRT(Simulation!N243),Rho,1,"Call")</f>
        <v>0.73140810640644816</v>
      </c>
      <c r="R243" s="19" t="e">
        <f t="shared" ca="1" si="445"/>
        <v>#VALUE!</v>
      </c>
      <c r="S243" s="19" t="e">
        <f t="shared" ca="1" si="446"/>
        <v>#VALUE!</v>
      </c>
      <c r="T243" s="19" t="e">
        <f t="shared" ca="1" si="451"/>
        <v>#VALUE!</v>
      </c>
      <c r="U243" s="19" t="e">
        <f t="shared" ca="1" si="452"/>
        <v>#VALUE!</v>
      </c>
      <c r="V243" s="21">
        <f t="shared" ca="1" si="453"/>
        <v>1.9072785685237515E-6</v>
      </c>
      <c r="W243">
        <f t="shared" ca="1" si="454"/>
        <v>1.3810425657899729E-3</v>
      </c>
      <c r="X243" s="22">
        <f t="shared" ref="X243" ca="1" si="550">BSdelta(1,P243,Strike,W243*AnnualVarConvtr,Dividend,RiskFreeRate,G243/250)</f>
        <v>0</v>
      </c>
      <c r="Y243" s="22">
        <f t="shared" ca="1" si="460"/>
        <v>0</v>
      </c>
      <c r="Z243" s="22">
        <f t="shared" ca="1" si="461"/>
        <v>-11.7720819125588</v>
      </c>
      <c r="AA243">
        <f t="shared" si="548"/>
        <v>0.73884103340948371</v>
      </c>
      <c r="AB243">
        <f t="shared" ref="AB243" ca="1" si="551">BSdelta(1,P243,Strike,AA243/AnnualVarConvtr,Dividend,RiskFreeRate,G243/250)</f>
        <v>4.5102888600545614E-90</v>
      </c>
      <c r="AC243">
        <f t="shared" ca="1" si="457"/>
        <v>-1.669731179291343E-83</v>
      </c>
      <c r="AD243">
        <f t="shared" ca="1" si="458"/>
        <v>-7.4830392177262564</v>
      </c>
    </row>
    <row r="244" spans="7:30" x14ac:dyDescent="0.25">
      <c r="G244" s="19">
        <v>11</v>
      </c>
      <c r="H244" s="19">
        <f t="shared" ca="1" si="508"/>
        <v>0.57204340542619603</v>
      </c>
      <c r="I244" s="19">
        <f t="shared" ca="1" si="508"/>
        <v>0.43402559953031661</v>
      </c>
      <c r="J244" s="19">
        <f t="shared" ca="1" si="442"/>
        <v>-0.96740558408826205</v>
      </c>
      <c r="K244" s="19">
        <f t="shared" ca="1" si="443"/>
        <v>0.42568444840409225</v>
      </c>
      <c r="L244" s="19">
        <f t="array" aca="1" ref="L244:M244" ca="1">MMULT(J244:K244,TRANSPOSE($B$10:$C$11))</f>
        <v>-0.96740558408826205</v>
      </c>
      <c r="M244" s="19">
        <f ca="1"/>
        <v>0.9900980771888408</v>
      </c>
      <c r="N244" s="20">
        <f t="shared" ca="1" si="465"/>
        <v>2.6257579876665322E-3</v>
      </c>
      <c r="O244" s="20">
        <f t="shared" ca="1" si="444"/>
        <v>-3.1352049288348362E-3</v>
      </c>
      <c r="P244" s="19">
        <f t="shared" ca="1" si="450"/>
        <v>81.150644343771134</v>
      </c>
      <c r="Q244" s="19">
        <f ca="1">HCTrans(P244,Strike,RiskFreeRate,Dividend,Variance_T0*AnnualVarConvtr,(Simulation!G244)/250,0.5,Variance_Avg*AnnualVarConvtr,Lambda,SQRT(Simulation!N244),Rho,1,"Call")</f>
        <v>0.59301768254809417</v>
      </c>
      <c r="R244" s="19" t="e">
        <f t="shared" ca="1" si="445"/>
        <v>#VALUE!</v>
      </c>
      <c r="S244" s="19" t="e">
        <f t="shared" ca="1" si="446"/>
        <v>#VALUE!</v>
      </c>
      <c r="T244" s="19" t="e">
        <f t="shared" ca="1" si="451"/>
        <v>#VALUE!</v>
      </c>
      <c r="U244" s="19" t="e">
        <f t="shared" ca="1" si="452"/>
        <v>#VALUE!</v>
      </c>
      <c r="V244" s="21">
        <f t="shared" ca="1" si="453"/>
        <v>3.3483778764102905E-5</v>
      </c>
      <c r="W244">
        <f t="shared" ca="1" si="454"/>
        <v>5.7865169803693571E-3</v>
      </c>
      <c r="X244" s="22">
        <f t="shared" ref="X244" ca="1" si="552">BSdelta(1,P244,Strike,W244*AnnualVarConvtr,Dividend,RiskFreeRate,G244/250)</f>
        <v>7.7183201112439364E-28</v>
      </c>
      <c r="Y244" s="22">
        <f t="shared" ca="1" si="460"/>
        <v>6.2634665027893277E-26</v>
      </c>
      <c r="Z244" s="22">
        <f t="shared" ca="1" si="461"/>
        <v>-11.910472336417154</v>
      </c>
      <c r="AA244">
        <f t="shared" si="548"/>
        <v>0.73884103340948371</v>
      </c>
      <c r="AB244">
        <f t="shared" ref="AB244" ca="1" si="553">BSdelta(1,P244,Strike,AA244/AnnualVarConvtr,Dividend,RiskFreeRate,G244/250)</f>
        <v>5.2497108486238555E-101</v>
      </c>
      <c r="AC244">
        <f t="shared" ca="1" si="457"/>
        <v>-3.6601284716570048E-88</v>
      </c>
      <c r="AD244">
        <f t="shared" ca="1" si="458"/>
        <v>-7.6214296415846103</v>
      </c>
    </row>
    <row r="245" spans="7:30" x14ac:dyDescent="0.25">
      <c r="G245" s="19">
        <v>10</v>
      </c>
      <c r="H245" s="19">
        <f t="shared" ca="1" si="508"/>
        <v>0.11033518710232282</v>
      </c>
      <c r="I245" s="19">
        <f t="shared" ca="1" si="508"/>
        <v>0.54319942149633993</v>
      </c>
      <c r="J245" s="19">
        <f t="shared" ca="1" si="442"/>
        <v>-2.0227636591659772</v>
      </c>
      <c r="K245" s="19">
        <f t="shared" ca="1" si="443"/>
        <v>-0.56293157747888745</v>
      </c>
      <c r="L245" s="19">
        <f t="array" aca="1" ref="L245:M245" ca="1">MMULT(J245:K245,TRANSPOSE($B$10:$C$11))</f>
        <v>-2.0227636591659772</v>
      </c>
      <c r="M245" s="19">
        <f ca="1"/>
        <v>1.056616360037183</v>
      </c>
      <c r="N245" s="20">
        <f t="shared" ca="1" si="465"/>
        <v>4.1446126432912126E-3</v>
      </c>
      <c r="O245" s="20">
        <f t="shared" ca="1" si="444"/>
        <v>-8.2360146780371055E-3</v>
      </c>
      <c r="P245" s="19">
        <f t="shared" ca="1" si="450"/>
        <v>80.485031208082859</v>
      </c>
      <c r="Q245" s="19">
        <f ca="1">HCTrans(P245,Strike,RiskFreeRate,Dividend,Variance_T0*AnnualVarConvtr,(Simulation!G245)/250,0.5,Variance_Avg*AnnualVarConvtr,Lambda,SQRT(Simulation!N245),Rho,1,"Call")</f>
        <v>0.43017495447328713</v>
      </c>
      <c r="R245" s="19" t="e">
        <f t="shared" ca="1" si="445"/>
        <v>#VALUE!</v>
      </c>
      <c r="S245" s="19" t="e">
        <f t="shared" ca="1" si="446"/>
        <v>#VALUE!</v>
      </c>
      <c r="T245" s="19" t="e">
        <f t="shared" ca="1" si="451"/>
        <v>#VALUE!</v>
      </c>
      <c r="U245" s="19" t="e">
        <f t="shared" ca="1" si="452"/>
        <v>#VALUE!</v>
      </c>
      <c r="V245" s="21">
        <f t="shared" ca="1" si="453"/>
        <v>2.6018260097556917E-5</v>
      </c>
      <c r="W245">
        <f t="shared" ca="1" si="454"/>
        <v>5.1008097492022692E-3</v>
      </c>
      <c r="X245" s="22">
        <f t="shared" ref="X245" ca="1" si="554">BSdelta(1,P245,Strike,W245*AnnualVarConvtr,Dividend,RiskFreeRate,G245/250)</f>
        <v>1.5163061651138576E-41</v>
      </c>
      <c r="Y245" s="22">
        <f t="shared" ca="1" si="460"/>
        <v>-6.212092350274296E-26</v>
      </c>
      <c r="Z245" s="22">
        <f t="shared" ca="1" si="461"/>
        <v>-12.073315064491961</v>
      </c>
      <c r="AA245">
        <f t="shared" si="548"/>
        <v>0.73884103340948371</v>
      </c>
      <c r="AB245">
        <f t="shared" ref="AB245" ca="1" si="555">BSdelta(1,P245,Strike,AA245/AnnualVarConvtr,Dividend,RiskFreeRate,G245/250)</f>
        <v>1.2671113631230082E-119</v>
      </c>
      <c r="AC245">
        <f t="shared" ca="1" si="457"/>
        <v>-4.2252314148490216E-99</v>
      </c>
      <c r="AD245">
        <f t="shared" ca="1" si="458"/>
        <v>-7.7842723696594174</v>
      </c>
    </row>
    <row r="246" spans="7:30" x14ac:dyDescent="0.25">
      <c r="G246" s="19">
        <v>9</v>
      </c>
      <c r="H246" s="19">
        <f t="shared" ca="1" si="508"/>
        <v>0.22820943598392696</v>
      </c>
      <c r="I246" s="19">
        <f t="shared" ca="1" si="508"/>
        <v>0.91708093537306756</v>
      </c>
      <c r="J246" s="19">
        <f t="shared" ca="1" si="442"/>
        <v>1.4909353856627465</v>
      </c>
      <c r="K246" s="19">
        <f t="shared" ca="1" si="443"/>
        <v>-0.85562530429570061</v>
      </c>
      <c r="L246" s="19">
        <f t="array" aca="1" ref="L246:M246" ca="1">MMULT(J246:K246,TRANSPOSE($B$10:$C$11))</f>
        <v>1.4909353856627465</v>
      </c>
      <c r="M246" s="19">
        <f ca="1"/>
        <v>-1.6651283711253213</v>
      </c>
      <c r="N246" s="20">
        <f t="shared" ca="1" si="465"/>
        <v>1.9482079343741837E-3</v>
      </c>
      <c r="O246" s="20">
        <f t="shared" ca="1" si="444"/>
        <v>4.162042128799618E-3</v>
      </c>
      <c r="P246" s="19">
        <f t="shared" ca="1" si="450"/>
        <v>80.820711371629088</v>
      </c>
      <c r="Q246" s="19">
        <f ca="1">HCTrans(P246,Strike,RiskFreeRate,Dividend,Variance_T0*AnnualVarConvtr,(Simulation!G246)/250,0.5,Variance_Avg*AnnualVarConvtr,Lambda,SQRT(Simulation!N246),Rho,1,"Call")</f>
        <v>0.36822933508250344</v>
      </c>
      <c r="R246" s="19" t="e">
        <f t="shared" ca="1" si="445"/>
        <v>#VALUE!</v>
      </c>
      <c r="S246" s="19" t="e">
        <f t="shared" ca="1" si="446"/>
        <v>#VALUE!</v>
      </c>
      <c r="T246" s="19" t="e">
        <f t="shared" ca="1" si="451"/>
        <v>#VALUE!</v>
      </c>
      <c r="U246" s="19" t="e">
        <f t="shared" ca="1" si="452"/>
        <v>#VALUE!</v>
      </c>
      <c r="V246" s="21">
        <f t="shared" ca="1" si="453"/>
        <v>1.5371181258555042E-4</v>
      </c>
      <c r="W246">
        <f t="shared" ca="1" si="454"/>
        <v>1.2398056806836723E-2</v>
      </c>
      <c r="X246" s="22">
        <f t="shared" ref="X246" ca="1" si="556">BSdelta(1,P246,Strike,W246*AnnualVarConvtr,Dividend,RiskFreeRate,G246/250)</f>
        <v>5.7691614783494214E-9</v>
      </c>
      <c r="Y246" s="22">
        <f t="shared" ca="1" si="460"/>
        <v>4.6626773469799956E-7</v>
      </c>
      <c r="Z246" s="22">
        <f t="shared" ca="1" si="461"/>
        <v>-12.13526115015048</v>
      </c>
      <c r="AA246">
        <f t="shared" si="548"/>
        <v>0.73884103340948371</v>
      </c>
      <c r="AB246">
        <f t="shared" ref="AB246" ca="1" si="557">BSdelta(1,P246,Strike,AA246/AnnualVarConvtr,Dividend,RiskFreeRate,G246/250)</f>
        <v>1.0278031785771766E-127</v>
      </c>
      <c r="AC246">
        <f t="shared" ca="1" si="457"/>
        <v>-1.0240884092399829E-117</v>
      </c>
      <c r="AD246">
        <f t="shared" ca="1" si="458"/>
        <v>-7.8462179890502011</v>
      </c>
    </row>
    <row r="247" spans="7:30" x14ac:dyDescent="0.25">
      <c r="G247" s="19">
        <v>8</v>
      </c>
      <c r="H247" s="19">
        <f t="shared" ca="1" si="508"/>
        <v>0.85028156753032302</v>
      </c>
      <c r="I247" s="19">
        <f t="shared" ca="1" si="508"/>
        <v>0.59548756501283806</v>
      </c>
      <c r="J247" s="19">
        <f t="shared" ca="1" si="442"/>
        <v>-0.4700723016854908</v>
      </c>
      <c r="K247" s="19">
        <f t="shared" ca="1" si="443"/>
        <v>-0.32157034697536602</v>
      </c>
      <c r="L247" s="19">
        <f t="array" aca="1" ref="L247:M247" ca="1">MMULT(J247:K247,TRANSPOSE($B$10:$C$11))</f>
        <v>-0.4700723016854908</v>
      </c>
      <c r="M247" s="19">
        <f ca="1"/>
        <v>0.11248348115088244</v>
      </c>
      <c r="N247" s="20">
        <f t="shared" ca="1" si="465"/>
        <v>2.0988727952105527E-3</v>
      </c>
      <c r="O247" s="20">
        <f t="shared" ca="1" si="444"/>
        <v>-1.3620332717701434E-3</v>
      </c>
      <c r="P247" s="19">
        <f t="shared" ca="1" si="450"/>
        <v>80.710705806319069</v>
      </c>
      <c r="Q247" s="19">
        <f ca="1">HCTrans(P247,Strike,RiskFreeRate,Dividend,Variance_T0*AnnualVarConvtr,(Simulation!G247)/250,0.5,Variance_Avg*AnnualVarConvtr,Lambda,SQRT(Simulation!N247),Rho,1,"Call")</f>
        <v>0.27397182291034028</v>
      </c>
      <c r="R247" s="19" t="e">
        <f t="shared" ca="1" si="445"/>
        <v>#VALUE!</v>
      </c>
      <c r="S247" s="19" t="e">
        <f t="shared" ca="1" si="446"/>
        <v>#VALUE!</v>
      </c>
      <c r="T247" s="19" t="e">
        <f t="shared" ca="1" si="451"/>
        <v>#VALUE!</v>
      </c>
      <c r="U247" s="19" t="e">
        <f t="shared" ca="1" si="452"/>
        <v>#VALUE!</v>
      </c>
      <c r="V247" s="21">
        <f t="shared" ca="1" si="453"/>
        <v>3.0515409031179968E-5</v>
      </c>
      <c r="W247">
        <f t="shared" ca="1" si="454"/>
        <v>5.5240754005697612E-3</v>
      </c>
      <c r="X247" s="22">
        <f t="shared" ref="X247" ca="1" si="558">BSdelta(1,P247,Strike,W247*AnnualVarConvtr,Dividend,RiskFreeRate,G247/250)</f>
        <v>4.5585057106271281E-43</v>
      </c>
      <c r="Y247" s="22">
        <f t="shared" ca="1" si="460"/>
        <v>-4.6563309482820893E-7</v>
      </c>
      <c r="Z247" s="22">
        <f t="shared" ca="1" si="461"/>
        <v>-12.229518196689549</v>
      </c>
      <c r="AA247">
        <f t="shared" si="548"/>
        <v>0.73884103340948371</v>
      </c>
      <c r="AB247">
        <f t="shared" ref="AB247" ca="1" si="559">BSdelta(1,P247,Strike,AA247/AnnualVarConvtr,Dividend,RiskFreeRate,G247/250)</f>
        <v>3.3019734571852831E-145</v>
      </c>
      <c r="AC247">
        <f t="shared" ca="1" si="457"/>
        <v>-8.2954719972942123E-126</v>
      </c>
      <c r="AD247">
        <f t="shared" ca="1" si="458"/>
        <v>-7.9404755012223642</v>
      </c>
    </row>
    <row r="248" spans="7:30" x14ac:dyDescent="0.25">
      <c r="G248" s="19">
        <v>7</v>
      </c>
      <c r="H248" s="19">
        <f t="shared" ca="1" si="508"/>
        <v>0.21145657270235096</v>
      </c>
      <c r="I248" s="19">
        <f t="shared" ca="1" si="508"/>
        <v>0.35331632049245909</v>
      </c>
      <c r="J248" s="19">
        <f t="shared" ca="1" si="442"/>
        <v>-1.0656384929139948</v>
      </c>
      <c r="K248" s="19">
        <f t="shared" ca="1" si="443"/>
        <v>1.4042385358630616</v>
      </c>
      <c r="L248" s="19">
        <f t="array" aca="1" ref="L248:M248" ca="1">MMULT(J248:K248,TRANSPOSE($B$10:$C$11))</f>
        <v>-1.0656384929139948</v>
      </c>
      <c r="M248" s="19">
        <f ca="1"/>
        <v>1.7431086559489017</v>
      </c>
      <c r="N248" s="20">
        <f t="shared" ca="1" si="465"/>
        <v>4.5399455306382591E-3</v>
      </c>
      <c r="O248" s="20">
        <f t="shared" ca="1" si="444"/>
        <v>-4.5411434024489631E-3</v>
      </c>
      <c r="P248" s="19">
        <f t="shared" ca="1" si="450"/>
        <v>80.345017866261884</v>
      </c>
      <c r="Q248" s="19">
        <f ca="1">HCTrans(P248,Strike,RiskFreeRate,Dividend,Variance_T0*AnnualVarConvtr,(Simulation!G248)/250,0.5,Variance_Avg*AnnualVarConvtr,Lambda,SQRT(Simulation!N248),Rho,1,"Call")</f>
        <v>0.17750841125931061</v>
      </c>
      <c r="R248" s="19" t="e">
        <f t="shared" ca="1" si="445"/>
        <v>#VALUE!</v>
      </c>
      <c r="S248" s="19" t="e">
        <f t="shared" ca="1" si="446"/>
        <v>#VALUE!</v>
      </c>
      <c r="T248" s="19" t="e">
        <f t="shared" ca="1" si="451"/>
        <v>#VALUE!</v>
      </c>
      <c r="U248" s="19" t="e">
        <f t="shared" ca="1" si="452"/>
        <v>#VALUE!</v>
      </c>
      <c r="V248" s="21">
        <f t="shared" ca="1" si="453"/>
        <v>1.0106741222984703E-5</v>
      </c>
      <c r="W248">
        <f t="shared" ca="1" si="454"/>
        <v>3.1791101306788199E-3</v>
      </c>
      <c r="X248" s="22">
        <f t="shared" ref="X248" ca="1" si="560">BSdelta(1,P248,Strike,W248*AnnualVarConvtr,Dividend,RiskFreeRate,G248/250)</f>
        <v>1.7330466781089924E-149</v>
      </c>
      <c r="Y248" s="22">
        <f t="shared" ca="1" si="460"/>
        <v>-3.6625322276379341E-41</v>
      </c>
      <c r="Z248" s="22">
        <f t="shared" ca="1" si="461"/>
        <v>-12.325981608340578</v>
      </c>
      <c r="AA248">
        <f t="shared" si="548"/>
        <v>0.73884103340948371</v>
      </c>
      <c r="AB248">
        <f t="shared" ref="AB248" ca="1" si="561">BSdelta(1,P248,Strike,AA248/AnnualVarConvtr,Dividend,RiskFreeRate,G248/250)</f>
        <v>1.2803286641150548E-172</v>
      </c>
      <c r="AC248">
        <f t="shared" ca="1" si="457"/>
        <v>-2.6529711641147409E-143</v>
      </c>
      <c r="AD248">
        <f t="shared" ca="1" si="458"/>
        <v>-8.0369389128733939</v>
      </c>
    </row>
    <row r="249" spans="7:30" x14ac:dyDescent="0.25">
      <c r="G249" s="19">
        <v>6</v>
      </c>
      <c r="H249" s="19">
        <f t="shared" ca="1" si="508"/>
        <v>0.92007452160248993</v>
      </c>
      <c r="I249" s="19">
        <f t="shared" ca="1" si="508"/>
        <v>0.10629807854926387</v>
      </c>
      <c r="J249" s="19">
        <f t="shared" ca="1" si="442"/>
        <v>0.32046499161509817</v>
      </c>
      <c r="K249" s="19">
        <f t="shared" ca="1" si="443"/>
        <v>0.25279123818774119</v>
      </c>
      <c r="L249" s="19">
        <f t="array" aca="1" ref="L249:M249" ca="1">MMULT(J249:K249,TRANSPOSE($B$10:$C$11))</f>
        <v>0.32046499161509817</v>
      </c>
      <c r="M249" s="19">
        <f ca="1"/>
        <v>-5.3269261929355632E-2</v>
      </c>
      <c r="N249" s="20">
        <f t="shared" ca="1" si="465"/>
        <v>4.4656469427816455E-3</v>
      </c>
      <c r="O249" s="20">
        <f t="shared" ca="1" si="444"/>
        <v>1.3544181999021318E-3</v>
      </c>
      <c r="P249" s="19">
        <f t="shared" ca="1" si="450"/>
        <v>80.453912348418896</v>
      </c>
      <c r="Q249" s="19">
        <f ca="1">HCTrans(P249,Strike,RiskFreeRate,Dividend,Variance_T0*AnnualVarConvtr,(Simulation!G249)/250,0.5,Variance_Avg*AnnualVarConvtr,Lambda,SQRT(Simulation!N249),Rho,1,"Call")</f>
        <v>0.11870697130100893</v>
      </c>
      <c r="R249" s="19" t="e">
        <f t="shared" ca="1" si="445"/>
        <v>#VALUE!</v>
      </c>
      <c r="S249" s="19" t="e">
        <f t="shared" ca="1" si="446"/>
        <v>#VALUE!</v>
      </c>
      <c r="T249" s="19" t="e">
        <f t="shared" ca="1" si="451"/>
        <v>#VALUE!</v>
      </c>
      <c r="U249" s="19" t="e">
        <f t="shared" ca="1" si="452"/>
        <v>#VALUE!</v>
      </c>
      <c r="V249" s="21">
        <f t="shared" ca="1" si="453"/>
        <v>3.4757646607116611E-5</v>
      </c>
      <c r="W249">
        <f t="shared" ca="1" si="454"/>
        <v>5.8955616023510949E-3</v>
      </c>
      <c r="X249" s="22">
        <f t="shared" ref="X249" ca="1" si="562">BSdelta(1,P249,Strike,W249*AnnualVarConvtr,Dividend,RiskFreeRate,G249/250)</f>
        <v>1.6509034280552604E-51</v>
      </c>
      <c r="Y249" s="22">
        <f t="shared" ca="1" si="460"/>
        <v>1.3282163969646219E-49</v>
      </c>
      <c r="Z249" s="22">
        <f t="shared" ca="1" si="461"/>
        <v>-12.38478304829888</v>
      </c>
      <c r="AA249">
        <f t="shared" si="548"/>
        <v>0.73884103340948371</v>
      </c>
      <c r="AB249">
        <f t="shared" ref="AB249" ca="1" si="563">BSdelta(1,P249,Strike,AA249/AnnualVarConvtr,Dividend,RiskFreeRate,G249/250)</f>
        <v>1.5001187720179103E-198</v>
      </c>
      <c r="AC249">
        <f t="shared" ca="1" si="457"/>
        <v>-1.0300745011988088E-170</v>
      </c>
      <c r="AD249">
        <f t="shared" ca="1" si="458"/>
        <v>-8.0957403528316956</v>
      </c>
    </row>
    <row r="250" spans="7:30" x14ac:dyDescent="0.25">
      <c r="G250" s="19">
        <v>5</v>
      </c>
      <c r="H250" s="19">
        <f t="shared" ca="1" si="508"/>
        <v>0.53402490175282202</v>
      </c>
      <c r="I250" s="19">
        <f t="shared" ca="1" si="508"/>
        <v>0.21663287010217402</v>
      </c>
      <c r="J250" s="19">
        <f t="shared" ca="1" si="442"/>
        <v>0.23311468460336104</v>
      </c>
      <c r="K250" s="19">
        <f t="shared" ca="1" si="443"/>
        <v>1.0955743521317205</v>
      </c>
      <c r="L250" s="19">
        <f t="array" aca="1" ref="L250:M250" ca="1">MMULT(J250:K250,TRANSPOSE($B$10:$C$11))</f>
        <v>0.23311468460336104</v>
      </c>
      <c r="M250" s="19">
        <f ca="1"/>
        <v>0.59723185412866431</v>
      </c>
      <c r="N250" s="20">
        <f t="shared" ca="1" si="465"/>
        <v>5.5115516969910681E-3</v>
      </c>
      <c r="O250" s="20">
        <f t="shared" ca="1" si="444"/>
        <v>1.0945524319373654E-3</v>
      </c>
      <c r="P250" s="19">
        <f t="shared" ca="1" si="450"/>
        <v>80.54202158513182</v>
      </c>
      <c r="Q250" s="19">
        <f ca="1">HCTrans(P250,Strike,RiskFreeRate,Dividend,Variance_T0*AnnualVarConvtr,(Simulation!G250)/250,0.5,Variance_Avg*AnnualVarConvtr,Lambda,SQRT(Simulation!N250),Rho,1,"Call")</f>
        <v>6.8945986935972314E-2</v>
      </c>
      <c r="R250" s="19" t="e">
        <f t="shared" ca="1" si="445"/>
        <v>#VALUE!</v>
      </c>
      <c r="S250" s="19" t="e">
        <f t="shared" ca="1" si="446"/>
        <v>#VALUE!</v>
      </c>
      <c r="T250" s="19" t="e">
        <f t="shared" ca="1" si="451"/>
        <v>#VALUE!</v>
      </c>
      <c r="U250" s="19" t="e">
        <f t="shared" ca="1" si="452"/>
        <v>#VALUE!</v>
      </c>
      <c r="V250" s="21">
        <f t="shared" ca="1" si="453"/>
        <v>6.7530217359917815E-8</v>
      </c>
      <c r="W250">
        <f t="shared" ca="1" si="454"/>
        <v>2.598657679647664E-4</v>
      </c>
      <c r="X250" s="22">
        <f t="shared" ref="X250" ca="1" si="564">BSdelta(1,P250,Strike,W250*AnnualVarConvtr,Dividend,RiskFreeRate,G250/250)</f>
        <v>0</v>
      </c>
      <c r="Y250" s="22">
        <f t="shared" ca="1" si="460"/>
        <v>-1.3296709953739491E-49</v>
      </c>
      <c r="Z250" s="22">
        <f t="shared" ca="1" si="461"/>
        <v>-12.434544032663917</v>
      </c>
      <c r="AA250">
        <f t="shared" si="548"/>
        <v>0.73884103340948371</v>
      </c>
      <c r="AB250">
        <f t="shared" ref="AB250" ca="1" si="565">BSdelta(1,P250,Strike,AA250/AnnualVarConvtr,Dividend,RiskFreeRate,G250/250)</f>
        <v>2.0006265838760708E-235</v>
      </c>
      <c r="AC250">
        <f t="shared" ca="1" si="457"/>
        <v>-1.2082259851612797E-196</v>
      </c>
      <c r="AD250">
        <f t="shared" ca="1" si="458"/>
        <v>-8.1455013371967322</v>
      </c>
    </row>
    <row r="251" spans="7:30" x14ac:dyDescent="0.25">
      <c r="G251" s="19">
        <v>4</v>
      </c>
      <c r="H251" s="19">
        <f t="shared" ca="1" si="508"/>
        <v>0.62108534013881522</v>
      </c>
      <c r="I251" s="19">
        <f t="shared" ca="1" si="508"/>
        <v>0.79457148604953065</v>
      </c>
      <c r="J251" s="19">
        <f t="shared" ca="1" si="442"/>
        <v>0.26977051749728831</v>
      </c>
      <c r="K251" s="19">
        <f t="shared" ca="1" si="443"/>
        <v>-0.9379751773912306</v>
      </c>
      <c r="L251" s="19">
        <f t="array" aca="1" ref="L251:M251" ca="1">MMULT(J251:K251,TRANSPOSE($B$10:$C$11))</f>
        <v>0.26977051749728831</v>
      </c>
      <c r="M251" s="19">
        <f ca="1"/>
        <v>-0.8476099515294514</v>
      </c>
      <c r="N251" s="20">
        <f t="shared" ca="1" si="465"/>
        <v>4.0847004540988177E-3</v>
      </c>
      <c r="O251" s="20">
        <f t="shared" ca="1" si="444"/>
        <v>1.0904470640619936E-3</v>
      </c>
      <c r="P251" s="19">
        <f t="shared" ca="1" si="450"/>
        <v>80.629896298757203</v>
      </c>
      <c r="Q251" s="19">
        <f ca="1">HCTrans(P251,Strike,RiskFreeRate,Dividend,Variance_T0*AnnualVarConvtr,(Simulation!G251)/250,0.5,Variance_Avg*AnnualVarConvtr,Lambda,SQRT(Simulation!N251),Rho,1,"Call")</f>
        <v>3.2388079774321454E-2</v>
      </c>
      <c r="R251" s="19" t="e">
        <f t="shared" ca="1" si="445"/>
        <v>#VALUE!</v>
      </c>
      <c r="S251" s="19" t="e">
        <f t="shared" ca="1" si="446"/>
        <v>#VALUE!</v>
      </c>
      <c r="T251" s="19" t="e">
        <f t="shared" ca="1" si="451"/>
        <v>#VALUE!</v>
      </c>
      <c r="U251" s="19" t="e">
        <f t="shared" ca="1" si="452"/>
        <v>#VALUE!</v>
      </c>
      <c r="V251" s="21">
        <f t="shared" ca="1" si="453"/>
        <v>1.6854045392134622E-11</v>
      </c>
      <c r="W251">
        <f t="shared" ca="1" si="454"/>
        <v>4.1053678753717824E-6</v>
      </c>
      <c r="X251" s="22">
        <f t="shared" ref="X251" ca="1" si="566">BSdelta(1,P251,Strike,W251*AnnualVarConvtr,Dividend,RiskFreeRate,G251/250)</f>
        <v>0</v>
      </c>
      <c r="Y251" s="22">
        <f t="shared" ca="1" si="460"/>
        <v>0</v>
      </c>
      <c r="Z251" s="22">
        <f t="shared" ca="1" si="461"/>
        <v>-12.471101939825568</v>
      </c>
      <c r="AA251">
        <f t="shared" si="548"/>
        <v>0.73884103340948371</v>
      </c>
      <c r="AB251">
        <f t="shared" ref="AB251" ca="1" si="567">BSdelta(1,P251,Strike,AA251/AnnualVarConvtr,Dividend,RiskFreeRate,G251/250)</f>
        <v>9.3923008433432913E-291</v>
      </c>
      <c r="AC251">
        <f t="shared" ca="1" si="457"/>
        <v>-1.6131031399046447E-233</v>
      </c>
      <c r="AD251">
        <f t="shared" ca="1" si="458"/>
        <v>-8.1820592443583831</v>
      </c>
    </row>
    <row r="252" spans="7:30" x14ac:dyDescent="0.25">
      <c r="G252" s="19">
        <v>3</v>
      </c>
      <c r="H252" s="19">
        <f t="shared" ca="1" si="508"/>
        <v>5.4806014059670338E-2</v>
      </c>
      <c r="I252" s="19">
        <f t="shared" ca="1" si="508"/>
        <v>0.22345875649689184</v>
      </c>
      <c r="J252" s="19">
        <f t="shared" ca="1" si="442"/>
        <v>0.40003341472870596</v>
      </c>
      <c r="K252" s="19">
        <f t="shared" ca="1" si="443"/>
        <v>2.3765277103310201</v>
      </c>
      <c r="L252" s="19">
        <f t="array" aca="1" ref="L252:M252" ca="1">MMULT(J252:K252,TRANSPOSE($B$10:$C$11))</f>
        <v>0.40003341472870596</v>
      </c>
      <c r="M252" s="19">
        <f ca="1"/>
        <v>1.3712111112784515</v>
      </c>
      <c r="N252" s="20">
        <f t="shared" ca="1" si="465"/>
        <v>6.5318865284524309E-3</v>
      </c>
      <c r="O252" s="20">
        <f t="shared" ca="1" si="444"/>
        <v>2.0447752549544972E-3</v>
      </c>
      <c r="P252" s="19">
        <f t="shared" ca="1" si="450"/>
        <v>80.794934991532315</v>
      </c>
      <c r="Q252" s="19">
        <f ca="1">HCTrans(P252,Strike,RiskFreeRate,Dividend,Variance_T0*AnnualVarConvtr,(Simulation!G252)/250,0.5,Variance_Avg*AnnualVarConvtr,Lambda,SQRT(Simulation!N252),Rho,1,"Call")</f>
        <v>1.0243095745451569E-2</v>
      </c>
      <c r="R252" s="19" t="e">
        <f t="shared" ca="1" si="445"/>
        <v>#VALUE!</v>
      </c>
      <c r="S252" s="19" t="e">
        <f t="shared" ca="1" si="446"/>
        <v>#VALUE!</v>
      </c>
      <c r="T252" s="19" t="e">
        <f t="shared" ca="1" si="451"/>
        <v>#VALUE!</v>
      </c>
      <c r="U252" s="19" t="e">
        <f t="shared" ca="1" si="452"/>
        <v>#VALUE!</v>
      </c>
      <c r="V252" s="21">
        <f t="shared" ca="1" si="453"/>
        <v>9.1074229593215873E-7</v>
      </c>
      <c r="W252">
        <f t="shared" ca="1" si="454"/>
        <v>9.5432819089250357E-4</v>
      </c>
      <c r="X252" s="22">
        <f t="shared" ref="X252" ca="1" si="568">BSdelta(1,P252,Strike,W252*AnnualVarConvtr,Dividend,RiskFreeRate,G252/250)</f>
        <v>0</v>
      </c>
      <c r="Y252" s="22">
        <f t="shared" ca="1" si="460"/>
        <v>0</v>
      </c>
      <c r="Z252" s="22">
        <f t="shared" ca="1" si="461"/>
        <v>-12.493246923854437</v>
      </c>
      <c r="AA252">
        <f t="shared" si="548"/>
        <v>0.73884103340948371</v>
      </c>
      <c r="AB252">
        <f t="shared" ref="AB252" ca="1" si="569">BSdelta(1,P252,Strike,AA252/AnnualVarConvtr,Dividend,RiskFreeRate,G252/250)</f>
        <v>0</v>
      </c>
      <c r="AC252">
        <f t="shared" ca="1" si="457"/>
        <v>-7.5885033605883539E-289</v>
      </c>
      <c r="AD252">
        <f t="shared" ca="1" si="458"/>
        <v>-8.2042042283872529</v>
      </c>
    </row>
    <row r="253" spans="7:30" x14ac:dyDescent="0.25">
      <c r="G253" s="19">
        <v>2</v>
      </c>
      <c r="H253" s="19">
        <f t="shared" ca="1" si="508"/>
        <v>0.41885516184509597</v>
      </c>
      <c r="I253" s="19">
        <f t="shared" ca="1" si="508"/>
        <v>0.75220747940417609</v>
      </c>
      <c r="J253" s="19">
        <f t="shared" ca="1" si="442"/>
        <v>1.8297621968137751E-2</v>
      </c>
      <c r="K253" s="19">
        <f t="shared" ca="1" si="443"/>
        <v>-1.3191381225043588</v>
      </c>
      <c r="L253" s="19">
        <f t="array" aca="1" ref="L253:M253" ca="1">MMULT(J253:K253,TRANSPOSE($B$10:$C$11))</f>
        <v>1.8297621968137751E-2</v>
      </c>
      <c r="M253" s="19">
        <f ca="1"/>
        <v>-0.93332397208972229</v>
      </c>
      <c r="N253" s="20">
        <f t="shared" ca="1" si="465"/>
        <v>4.8159472976891408E-3</v>
      </c>
      <c r="O253" s="20">
        <f t="shared" ca="1" si="444"/>
        <v>8.0309238749509942E-5</v>
      </c>
      <c r="P253" s="19">
        <f t="shared" ca="1" si="450"/>
        <v>80.801423831809728</v>
      </c>
      <c r="Q253" s="19">
        <f ca="1">HCTrans(P253,Strike,RiskFreeRate,Dividend,Variance_T0*AnnualVarConvtr,(Simulation!G253)/250,0.5,Variance_Avg*AnnualVarConvtr,Lambda,SQRT(Simulation!N253),Rho,1,"Call")</f>
        <v>1.1882587464100425E-3</v>
      </c>
      <c r="R253" s="19" t="e">
        <f t="shared" ca="1" si="445"/>
        <v>#VALUE!</v>
      </c>
      <c r="S253" s="19" t="e">
        <f t="shared" ca="1" si="446"/>
        <v>#VALUE!</v>
      </c>
      <c r="T253" s="19" t="e">
        <f t="shared" ca="1" si="451"/>
        <v>#VALUE!</v>
      </c>
      <c r="U253" s="19" t="e">
        <f t="shared" ca="1" si="452"/>
        <v>#VALUE!</v>
      </c>
      <c r="V253" s="21">
        <f t="shared" ca="1" si="453"/>
        <v>3.8591267288242931E-6</v>
      </c>
      <c r="W253">
        <f t="shared" ca="1" si="454"/>
        <v>1.9644660162049872E-3</v>
      </c>
      <c r="X253" s="22">
        <f t="shared" ref="X253" ca="1" si="570">BSdelta(1,P253,Strike,W253*AnnualVarConvtr,Dividend,RiskFreeRate,G253/250)</f>
        <v>0</v>
      </c>
      <c r="Y253" s="22">
        <f t="shared" ca="1" si="460"/>
        <v>0</v>
      </c>
      <c r="Z253" s="22">
        <f t="shared" ca="1" si="461"/>
        <v>-12.502301760853479</v>
      </c>
      <c r="AA253">
        <f t="shared" si="548"/>
        <v>0.73884103340948371</v>
      </c>
      <c r="AB253">
        <f t="shared" ref="AB253" ca="1" si="571">BSdelta(1,P253,Strike,AA253/AnnualVarConvtr,Dividend,RiskFreeRate,G253/250)</f>
        <v>0</v>
      </c>
      <c r="AC253">
        <f t="shared" ca="1" si="457"/>
        <v>0</v>
      </c>
      <c r="AD253">
        <f t="shared" ca="1" si="458"/>
        <v>-8.2132590653862945</v>
      </c>
    </row>
    <row r="254" spans="7:30" x14ac:dyDescent="0.25">
      <c r="G254" s="19">
        <v>1</v>
      </c>
      <c r="H254" s="19">
        <f t="shared" ca="1" si="508"/>
        <v>0.9212213444006937</v>
      </c>
      <c r="I254" s="19">
        <f t="shared" ca="1" si="508"/>
        <v>0.29435159123455412</v>
      </c>
      <c r="J254" s="19">
        <f t="shared" ca="1" si="442"/>
        <v>-0.11143480298207414</v>
      </c>
      <c r="K254" s="19">
        <f t="shared" ca="1" si="443"/>
        <v>0.38947678604170072</v>
      </c>
      <c r="L254" s="19">
        <f t="array" aca="1" ref="L254:M254" ca="1">MMULT(J254:K254,TRANSPOSE($B$10:$C$11))</f>
        <v>-0.11143480298207414</v>
      </c>
      <c r="M254" s="19">
        <f ca="1"/>
        <v>0.35153701465476472</v>
      </c>
      <c r="N254" s="20">
        <f t="shared" ca="1" si="465"/>
        <v>5.4445314293902619E-3</v>
      </c>
      <c r="O254" s="20">
        <f t="shared" ca="1" si="444"/>
        <v>-5.2003323477369131E-4</v>
      </c>
      <c r="P254" s="19">
        <f t="shared" ca="1" si="450"/>
        <v>80.759415329855443</v>
      </c>
      <c r="Q254" s="19">
        <f ca="1">HCTrans(P254,Strike,RiskFreeRate,Dividend,Variance_T0*AnnualVarConvtr,(Simulation!G254)/250,0.5,Variance_Avg*AnnualVarConvtr,Lambda,SQRT(Simulation!N254),Rho,1,"Call")</f>
        <v>8.6386906062330127E-5</v>
      </c>
      <c r="R254" s="19" t="e">
        <f t="shared" ca="1" si="445"/>
        <v>#VALUE!</v>
      </c>
      <c r="S254" s="19" t="e">
        <f t="shared" ca="1" si="446"/>
        <v>#VALUE!</v>
      </c>
      <c r="T254" s="19" t="e">
        <f t="shared" ca="1" si="451"/>
        <v>#VALUE!</v>
      </c>
      <c r="U254" s="19" t="e">
        <f t="shared" ca="1" si="452"/>
        <v>#VALUE!</v>
      </c>
      <c r="V254" s="21">
        <f t="shared" ca="1" si="453"/>
        <v>3.6041108551595562E-7</v>
      </c>
      <c r="W254">
        <f t="shared" ca="1" si="454"/>
        <v>6.0034247352320125E-4</v>
      </c>
      <c r="X254" s="22">
        <f t="shared" ref="X254" ca="1" si="572">BSdelta(1,P254,Strike,W254*AnnualVarConvtr,Dividend,RiskFreeRate,G254/250)</f>
        <v>0</v>
      </c>
      <c r="Y254" s="22">
        <f t="shared" ca="1" si="460"/>
        <v>0</v>
      </c>
      <c r="Z254" s="22">
        <f t="shared" ca="1" si="461"/>
        <v>-12.503403632693827</v>
      </c>
      <c r="AA254">
        <f t="shared" si="548"/>
        <v>0.73884103340948371</v>
      </c>
      <c r="AB254">
        <f t="shared" ref="AB254" ca="1" si="573">BSdelta(1,P254,Strike,AA254/AnnualVarConvtr,Dividend,RiskFreeRate,G254/250)</f>
        <v>0</v>
      </c>
      <c r="AC254">
        <f t="shared" ca="1" si="457"/>
        <v>0</v>
      </c>
      <c r="AD254">
        <f t="shared" ca="1" si="458"/>
        <v>-8.2143609372266422</v>
      </c>
    </row>
  </sheetData>
  <mergeCells count="6">
    <mergeCell ref="G1:AD1"/>
    <mergeCell ref="G2:M2"/>
    <mergeCell ref="N2:P2"/>
    <mergeCell ref="R2:U2"/>
    <mergeCell ref="V2:Z2"/>
    <mergeCell ref="AA2:AD2"/>
  </mergeCells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>
      <selection activeCell="D34" sqref="D34"/>
    </sheetView>
  </sheetViews>
  <sheetFormatPr defaultRowHeight="15" x14ac:dyDescent="0.25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10</vt:i4>
      </vt:variant>
    </vt:vector>
  </HeadingPairs>
  <TitlesOfParts>
    <vt:vector size="13" baseType="lpstr">
      <vt:lpstr>Inputs</vt:lpstr>
      <vt:lpstr>Simulation</vt:lpstr>
      <vt:lpstr>Graph</vt:lpstr>
      <vt:lpstr>AnnualVarConvtr</vt:lpstr>
      <vt:lpstr>Dividend</vt:lpstr>
      <vt:lpstr>Eta</vt:lpstr>
      <vt:lpstr>Lambda</vt:lpstr>
      <vt:lpstr>Rho</vt:lpstr>
      <vt:lpstr>RiskFreeRate</vt:lpstr>
      <vt:lpstr>StockPrice_T0</vt:lpstr>
      <vt:lpstr>Strike</vt:lpstr>
      <vt:lpstr>Variance_Avg</vt:lpstr>
      <vt:lpstr>Variance_T0</vt:lpstr>
    </vt:vector>
  </TitlesOfParts>
  <Company>Barclays Capital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siluvaie</dc:creator>
  <cp:lastModifiedBy>Edwin</cp:lastModifiedBy>
  <dcterms:created xsi:type="dcterms:W3CDTF">2014-12-23T13:54:23Z</dcterms:created>
  <dcterms:modified xsi:type="dcterms:W3CDTF">2015-01-03T21:58:55Z</dcterms:modified>
</cp:coreProperties>
</file>