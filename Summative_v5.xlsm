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20" activeTab="1"/>
  </bookViews>
  <sheets>
    <sheet name="Inputs" sheetId="4" r:id="rId1"/>
    <sheet name="Simulation" sheetId="5" r:id="rId2"/>
    <sheet name="Graph" sheetId="6" r:id="rId3"/>
  </sheets>
  <functionGroups/>
  <externalReferences>
    <externalReference r:id="rId4"/>
  </externalReferences>
  <definedNames>
    <definedName name="AnnualVarConvtr" localSheetId="2">[1]Inputs!$H$4</definedName>
    <definedName name="AnnualVarConvtr" localSheetId="1">[1]Inputs!$H$4</definedName>
    <definedName name="AnnualVarConvtr">Inputs!$H$4</definedName>
    <definedName name="Dividend" localSheetId="2">[1]Inputs!$C$10</definedName>
    <definedName name="Dividend" localSheetId="1">[1]Inputs!$C$10</definedName>
    <definedName name="Dividend">Inputs!$C$10</definedName>
    <definedName name="Eta" localSheetId="2">[1]Inputs!$C$6</definedName>
    <definedName name="Eta" localSheetId="1">[1]Inputs!$C$6</definedName>
    <definedName name="Eta">Inputs!$C$6</definedName>
    <definedName name="Lambda" localSheetId="2">[1]Inputs!$C$8</definedName>
    <definedName name="Lambda" localSheetId="1">[1]Inputs!$C$8</definedName>
    <definedName name="Lambda">Inputs!$C$8</definedName>
    <definedName name="Rho" localSheetId="2">[1]Inputs!$C$7</definedName>
    <definedName name="Rho" localSheetId="1">[1]Inputs!$C$7</definedName>
    <definedName name="Rho">Inputs!$C$7</definedName>
    <definedName name="RiskFreeRate" localSheetId="2">[1]Inputs!$C$9</definedName>
    <definedName name="RiskFreeRate" localSheetId="1">[1]Inputs!$C$9</definedName>
    <definedName name="RiskFreeRate">Inputs!$C$9</definedName>
    <definedName name="StockPrice_T0">Inputs!$C$11</definedName>
    <definedName name="Strike" localSheetId="2">[1]Inputs!$C$12</definedName>
    <definedName name="Strike" localSheetId="1">[1]Inputs!$C$12</definedName>
    <definedName name="Strike">Inputs!$C$12</definedName>
    <definedName name="Variance_Avg" localSheetId="2">[1]Inputs!$C$4</definedName>
    <definedName name="Variance_Avg" localSheetId="1">[1]Inputs!$C$4</definedName>
    <definedName name="Variance_Avg">Inputs!$C$4</definedName>
    <definedName name="Variance_T0" localSheetId="2">[1]Inputs!$C$5</definedName>
    <definedName name="Variance_T0" localSheetId="1">[1]Inputs!$C$5</definedName>
    <definedName name="Variance_T0">Inputs!$C$5</definedName>
  </definedNames>
  <calcPr calcId="125725" calcMode="manual" calcOnSave="0"/>
</workbook>
</file>

<file path=xl/calcChain.xml><?xml version="1.0" encoding="utf-8"?>
<calcChain xmlns="http://schemas.openxmlformats.org/spreadsheetml/2006/main">
  <c r="N5" i="5"/>
  <c r="K254"/>
  <c r="J254"/>
  <c r="I254"/>
  <c r="H254"/>
  <c r="I253"/>
  <c r="H253"/>
  <c r="J252"/>
  <c r="I252"/>
  <c r="H252"/>
  <c r="K252" s="1"/>
  <c r="I251"/>
  <c r="H251"/>
  <c r="I250"/>
  <c r="H250"/>
  <c r="J250" s="1"/>
  <c r="I249"/>
  <c r="H249"/>
  <c r="K248"/>
  <c r="J248"/>
  <c r="I248"/>
  <c r="H248"/>
  <c r="I247"/>
  <c r="H247"/>
  <c r="J247" s="1"/>
  <c r="K246"/>
  <c r="J246"/>
  <c r="I246"/>
  <c r="H246"/>
  <c r="I245"/>
  <c r="H245"/>
  <c r="J244"/>
  <c r="I244"/>
  <c r="H244"/>
  <c r="K244" s="1"/>
  <c r="I243"/>
  <c r="H243"/>
  <c r="I242"/>
  <c r="H242"/>
  <c r="K242" s="1"/>
  <c r="I241"/>
  <c r="H241"/>
  <c r="K240"/>
  <c r="J240"/>
  <c r="I240"/>
  <c r="H240"/>
  <c r="I239"/>
  <c r="H239"/>
  <c r="J239" s="1"/>
  <c r="K238"/>
  <c r="J238"/>
  <c r="I238"/>
  <c r="H238"/>
  <c r="I237"/>
  <c r="H237"/>
  <c r="J236"/>
  <c r="I236"/>
  <c r="H236"/>
  <c r="K236" s="1"/>
  <c r="I235"/>
  <c r="H235"/>
  <c r="I234"/>
  <c r="H234"/>
  <c r="J234" s="1"/>
  <c r="I233"/>
  <c r="H233"/>
  <c r="K232"/>
  <c r="J232"/>
  <c r="I232"/>
  <c r="H232"/>
  <c r="I231"/>
  <c r="H231"/>
  <c r="J231" s="1"/>
  <c r="K230"/>
  <c r="J230"/>
  <c r="I230"/>
  <c r="H230"/>
  <c r="I229"/>
  <c r="H229"/>
  <c r="J228"/>
  <c r="I228"/>
  <c r="H228"/>
  <c r="K228" s="1"/>
  <c r="I227"/>
  <c r="H227"/>
  <c r="I226"/>
  <c r="H226"/>
  <c r="K226" s="1"/>
  <c r="I225"/>
  <c r="H225"/>
  <c r="K224"/>
  <c r="J224"/>
  <c r="I224"/>
  <c r="H224"/>
  <c r="I223"/>
  <c r="H223"/>
  <c r="J223" s="1"/>
  <c r="K222"/>
  <c r="J222"/>
  <c r="I222"/>
  <c r="H222"/>
  <c r="I221"/>
  <c r="H221"/>
  <c r="J220"/>
  <c r="I220"/>
  <c r="H220"/>
  <c r="K220" s="1"/>
  <c r="I219"/>
  <c r="H219"/>
  <c r="I218"/>
  <c r="H218"/>
  <c r="J218" s="1"/>
  <c r="I217"/>
  <c r="H217"/>
  <c r="K216"/>
  <c r="J216"/>
  <c r="I216"/>
  <c r="H216"/>
  <c r="I215"/>
  <c r="H215"/>
  <c r="J215" s="1"/>
  <c r="K214"/>
  <c r="J214"/>
  <c r="I214"/>
  <c r="H214"/>
  <c r="I213"/>
  <c r="H213"/>
  <c r="J212"/>
  <c r="I212"/>
  <c r="H212"/>
  <c r="K212" s="1"/>
  <c r="I211"/>
  <c r="H211"/>
  <c r="I210"/>
  <c r="H210"/>
  <c r="K210" s="1"/>
  <c r="I209"/>
  <c r="H209"/>
  <c r="K208"/>
  <c r="J208"/>
  <c r="I208"/>
  <c r="H208"/>
  <c r="I207"/>
  <c r="H207"/>
  <c r="J207" s="1"/>
  <c r="K206"/>
  <c r="J206"/>
  <c r="I206"/>
  <c r="H206"/>
  <c r="I205"/>
  <c r="H205"/>
  <c r="J204"/>
  <c r="I204"/>
  <c r="H204"/>
  <c r="K204" s="1"/>
  <c r="I203"/>
  <c r="H203"/>
  <c r="I202"/>
  <c r="H202"/>
  <c r="J202" s="1"/>
  <c r="I201"/>
  <c r="H201"/>
  <c r="K200"/>
  <c r="J200"/>
  <c r="I200"/>
  <c r="H200"/>
  <c r="I199"/>
  <c r="H199"/>
  <c r="J199" s="1"/>
  <c r="K198"/>
  <c r="J198"/>
  <c r="I198"/>
  <c r="H198"/>
  <c r="I197"/>
  <c r="H197"/>
  <c r="J196"/>
  <c r="I196"/>
  <c r="H196"/>
  <c r="K196" s="1"/>
  <c r="I195"/>
  <c r="H195"/>
  <c r="I194"/>
  <c r="H194"/>
  <c r="K194" s="1"/>
  <c r="I193"/>
  <c r="H193"/>
  <c r="K192"/>
  <c r="J192"/>
  <c r="I192"/>
  <c r="H192"/>
  <c r="I191"/>
  <c r="H191"/>
  <c r="J191" s="1"/>
  <c r="K190"/>
  <c r="J190"/>
  <c r="I190"/>
  <c r="H190"/>
  <c r="I189"/>
  <c r="H189"/>
  <c r="J188"/>
  <c r="I188"/>
  <c r="H188"/>
  <c r="K188" s="1"/>
  <c r="I187"/>
  <c r="H187"/>
  <c r="I186"/>
  <c r="H186"/>
  <c r="J186" s="1"/>
  <c r="I185"/>
  <c r="H185"/>
  <c r="K184"/>
  <c r="J184"/>
  <c r="I184"/>
  <c r="H184"/>
  <c r="I183"/>
  <c r="H183"/>
  <c r="J182"/>
  <c r="I182"/>
  <c r="H182"/>
  <c r="I181"/>
  <c r="H181"/>
  <c r="I180"/>
  <c r="J180" s="1"/>
  <c r="H180"/>
  <c r="J179"/>
  <c r="I179"/>
  <c r="H179"/>
  <c r="J178"/>
  <c r="I178"/>
  <c r="K178" s="1"/>
  <c r="H178"/>
  <c r="I177"/>
  <c r="H177"/>
  <c r="K176"/>
  <c r="J176"/>
  <c r="I176"/>
  <c r="H176"/>
  <c r="J175"/>
  <c r="I175"/>
  <c r="K175" s="1"/>
  <c r="H175"/>
  <c r="I174"/>
  <c r="H174"/>
  <c r="K174" s="1"/>
  <c r="I173"/>
  <c r="H173"/>
  <c r="K172"/>
  <c r="I172"/>
  <c r="J172" s="1"/>
  <c r="H172"/>
  <c r="I171"/>
  <c r="H171"/>
  <c r="K171" s="1"/>
  <c r="I170"/>
  <c r="H170"/>
  <c r="I169"/>
  <c r="H169"/>
  <c r="I168"/>
  <c r="H168"/>
  <c r="J168" s="1"/>
  <c r="K167"/>
  <c r="I167"/>
  <c r="J167" s="1"/>
  <c r="H167"/>
  <c r="K166"/>
  <c r="J166"/>
  <c r="I166"/>
  <c r="H166"/>
  <c r="I165"/>
  <c r="H165"/>
  <c r="I164"/>
  <c r="H164"/>
  <c r="K163"/>
  <c r="J163"/>
  <c r="I163"/>
  <c r="H163"/>
  <c r="I162"/>
  <c r="H162"/>
  <c r="I161"/>
  <c r="J161" s="1"/>
  <c r="H161"/>
  <c r="K160"/>
  <c r="J160"/>
  <c r="I160"/>
  <c r="H160"/>
  <c r="J159"/>
  <c r="I159"/>
  <c r="H159"/>
  <c r="I158"/>
  <c r="J158" s="1"/>
  <c r="H158"/>
  <c r="I157"/>
  <c r="H157"/>
  <c r="I156"/>
  <c r="H156"/>
  <c r="K155"/>
  <c r="J155"/>
  <c r="I155"/>
  <c r="H155"/>
  <c r="I154"/>
  <c r="K154" s="1"/>
  <c r="H154"/>
  <c r="I153"/>
  <c r="H153"/>
  <c r="K153" s="1"/>
  <c r="K152"/>
  <c r="J152"/>
  <c r="I152"/>
  <c r="H152"/>
  <c r="I151"/>
  <c r="J151" s="1"/>
  <c r="H151"/>
  <c r="I150"/>
  <c r="J150" s="1"/>
  <c r="H150"/>
  <c r="K150" s="1"/>
  <c r="I149"/>
  <c r="H149"/>
  <c r="I148"/>
  <c r="H148"/>
  <c r="I147"/>
  <c r="H147"/>
  <c r="J147" s="1"/>
  <c r="I146"/>
  <c r="K146" s="1"/>
  <c r="H146"/>
  <c r="J145"/>
  <c r="I145"/>
  <c r="H145"/>
  <c r="J144"/>
  <c r="I144"/>
  <c r="H144"/>
  <c r="K144" s="1"/>
  <c r="I143"/>
  <c r="J143" s="1"/>
  <c r="H143"/>
  <c r="I142"/>
  <c r="H142"/>
  <c r="J142" s="1"/>
  <c r="I141"/>
  <c r="H141"/>
  <c r="I140"/>
  <c r="J140" s="1"/>
  <c r="H140"/>
  <c r="I139"/>
  <c r="H139"/>
  <c r="K139" s="1"/>
  <c r="I138"/>
  <c r="H138"/>
  <c r="J137"/>
  <c r="I137"/>
  <c r="K137" s="1"/>
  <c r="H137"/>
  <c r="I136"/>
  <c r="H136"/>
  <c r="J136" s="1"/>
  <c r="K135"/>
  <c r="J135"/>
  <c r="I135"/>
  <c r="H135"/>
  <c r="I134"/>
  <c r="H134"/>
  <c r="I133"/>
  <c r="H133"/>
  <c r="K132"/>
  <c r="I132"/>
  <c r="J132" s="1"/>
  <c r="H132"/>
  <c r="I131"/>
  <c r="H131"/>
  <c r="J131" s="1"/>
  <c r="I130"/>
  <c r="H130"/>
  <c r="K129"/>
  <c r="I129"/>
  <c r="J129" s="1"/>
  <c r="H129"/>
  <c r="I128"/>
  <c r="H128"/>
  <c r="J128" s="1"/>
  <c r="K127"/>
  <c r="J127"/>
  <c r="I127"/>
  <c r="H127"/>
  <c r="I126"/>
  <c r="H126"/>
  <c r="J126" s="1"/>
  <c r="J125"/>
  <c r="I125"/>
  <c r="H125"/>
  <c r="K124"/>
  <c r="J124"/>
  <c r="I124"/>
  <c r="H124"/>
  <c r="I123"/>
  <c r="J123" s="1"/>
  <c r="H123"/>
  <c r="I122"/>
  <c r="H122"/>
  <c r="K121"/>
  <c r="J121"/>
  <c r="I121"/>
  <c r="H121"/>
  <c r="K120"/>
  <c r="J120"/>
  <c r="I120"/>
  <c r="H120"/>
  <c r="K119"/>
  <c r="I119"/>
  <c r="J119" s="1"/>
  <c r="H119"/>
  <c r="I118"/>
  <c r="H118"/>
  <c r="K117"/>
  <c r="J117"/>
  <c r="I117"/>
  <c r="H117"/>
  <c r="J116"/>
  <c r="I116"/>
  <c r="K116" s="1"/>
  <c r="H116"/>
  <c r="K115"/>
  <c r="J115"/>
  <c r="I115"/>
  <c r="H115"/>
  <c r="J114"/>
  <c r="I114"/>
  <c r="K114" s="1"/>
  <c r="H114"/>
  <c r="I113"/>
  <c r="H113"/>
  <c r="K112"/>
  <c r="J112"/>
  <c r="I112"/>
  <c r="H112"/>
  <c r="I111"/>
  <c r="H111"/>
  <c r="K111" s="1"/>
  <c r="J110"/>
  <c r="I110"/>
  <c r="K110" s="1"/>
  <c r="H110"/>
  <c r="I109"/>
  <c r="H109"/>
  <c r="I108"/>
  <c r="J108" s="1"/>
  <c r="H108"/>
  <c r="I107"/>
  <c r="J107" s="1"/>
  <c r="H107"/>
  <c r="I106"/>
  <c r="H106"/>
  <c r="K105"/>
  <c r="J105"/>
  <c r="I105"/>
  <c r="H105"/>
  <c r="I104"/>
  <c r="H104"/>
  <c r="I103"/>
  <c r="H103"/>
  <c r="K102"/>
  <c r="I102"/>
  <c r="H102"/>
  <c r="I101"/>
  <c r="H101"/>
  <c r="K101" s="1"/>
  <c r="I100"/>
  <c r="H100"/>
  <c r="K99"/>
  <c r="I99"/>
  <c r="H99"/>
  <c r="I98"/>
  <c r="H98"/>
  <c r="I97"/>
  <c r="H97"/>
  <c r="K96"/>
  <c r="I96"/>
  <c r="H96"/>
  <c r="I95"/>
  <c r="H95"/>
  <c r="I94"/>
  <c r="H94"/>
  <c r="K94" s="1"/>
  <c r="K93"/>
  <c r="I93"/>
  <c r="H93"/>
  <c r="I92"/>
  <c r="H92"/>
  <c r="I91"/>
  <c r="H91"/>
  <c r="I90"/>
  <c r="H90"/>
  <c r="I89"/>
  <c r="H89"/>
  <c r="I88"/>
  <c r="H88"/>
  <c r="I87"/>
  <c r="H87"/>
  <c r="K86"/>
  <c r="I86"/>
  <c r="H86"/>
  <c r="I85"/>
  <c r="H85"/>
  <c r="I84"/>
  <c r="H84"/>
  <c r="I83"/>
  <c r="H83"/>
  <c r="K83" s="1"/>
  <c r="I82"/>
  <c r="H82"/>
  <c r="I81"/>
  <c r="H81"/>
  <c r="I80"/>
  <c r="H80"/>
  <c r="K80" s="1"/>
  <c r="J79"/>
  <c r="I79"/>
  <c r="H79"/>
  <c r="I78"/>
  <c r="H78"/>
  <c r="I77"/>
  <c r="H77"/>
  <c r="K76"/>
  <c r="J76"/>
  <c r="I76"/>
  <c r="H76"/>
  <c r="I75"/>
  <c r="J75" s="1"/>
  <c r="H75"/>
  <c r="I74"/>
  <c r="H74"/>
  <c r="K73"/>
  <c r="I73"/>
  <c r="H73"/>
  <c r="J72"/>
  <c r="I72"/>
  <c r="H72"/>
  <c r="I71"/>
  <c r="H71"/>
  <c r="J71" s="1"/>
  <c r="I70"/>
  <c r="H70"/>
  <c r="I69"/>
  <c r="H69"/>
  <c r="I68"/>
  <c r="H68"/>
  <c r="K68" s="1"/>
  <c r="I67"/>
  <c r="J67" s="1"/>
  <c r="H67"/>
  <c r="I66"/>
  <c r="H66"/>
  <c r="K65"/>
  <c r="I65"/>
  <c r="H65"/>
  <c r="I64"/>
  <c r="H64"/>
  <c r="J63"/>
  <c r="I63"/>
  <c r="H63"/>
  <c r="I62"/>
  <c r="H62"/>
  <c r="I61"/>
  <c r="H61"/>
  <c r="K60"/>
  <c r="J60"/>
  <c r="I60"/>
  <c r="H60"/>
  <c r="I59"/>
  <c r="J59" s="1"/>
  <c r="H59"/>
  <c r="I58"/>
  <c r="H58"/>
  <c r="K57"/>
  <c r="I57"/>
  <c r="H57"/>
  <c r="K56"/>
  <c r="J56"/>
  <c r="I56"/>
  <c r="H56"/>
  <c r="I55"/>
  <c r="H55"/>
  <c r="I54"/>
  <c r="H54"/>
  <c r="I53"/>
  <c r="H53"/>
  <c r="I52"/>
  <c r="H52"/>
  <c r="I51"/>
  <c r="J51" s="1"/>
  <c r="H51"/>
  <c r="I50"/>
  <c r="H50"/>
  <c r="I49"/>
  <c r="H49"/>
  <c r="I48"/>
  <c r="H48"/>
  <c r="J48" s="1"/>
  <c r="J47"/>
  <c r="I47"/>
  <c r="H47"/>
  <c r="I46"/>
  <c r="H46"/>
  <c r="I45"/>
  <c r="H45"/>
  <c r="K44"/>
  <c r="J44"/>
  <c r="I44"/>
  <c r="H44"/>
  <c r="I43"/>
  <c r="J43" s="1"/>
  <c r="H43"/>
  <c r="I42"/>
  <c r="H42"/>
  <c r="K41"/>
  <c r="I41"/>
  <c r="H41"/>
  <c r="J40"/>
  <c r="I40"/>
  <c r="H40"/>
  <c r="I39"/>
  <c r="H39"/>
  <c r="J39" s="1"/>
  <c r="I38"/>
  <c r="H38"/>
  <c r="I37"/>
  <c r="H37"/>
  <c r="I36"/>
  <c r="H36"/>
  <c r="J36" s="1"/>
  <c r="I35"/>
  <c r="H35"/>
  <c r="I34"/>
  <c r="H34"/>
  <c r="I33"/>
  <c r="H33"/>
  <c r="K33" s="1"/>
  <c r="I32"/>
  <c r="H32"/>
  <c r="J31"/>
  <c r="I31"/>
  <c r="H31"/>
  <c r="I30"/>
  <c r="H30"/>
  <c r="I29"/>
  <c r="H29"/>
  <c r="K28"/>
  <c r="J28"/>
  <c r="I28"/>
  <c r="H28"/>
  <c r="N27"/>
  <c r="I27"/>
  <c r="H27"/>
  <c r="I26"/>
  <c r="H26"/>
  <c r="I25"/>
  <c r="H25"/>
  <c r="I24"/>
  <c r="H24"/>
  <c r="I23"/>
  <c r="H23"/>
  <c r="I22"/>
  <c r="H22"/>
  <c r="N21"/>
  <c r="K21"/>
  <c r="J21"/>
  <c r="I21"/>
  <c r="H21"/>
  <c r="J20"/>
  <c r="I20"/>
  <c r="H20"/>
  <c r="K19"/>
  <c r="J19"/>
  <c r="I19"/>
  <c r="H19"/>
  <c r="I18"/>
  <c r="H18"/>
  <c r="N17"/>
  <c r="J17"/>
  <c r="I17"/>
  <c r="K17" s="1"/>
  <c r="H17"/>
  <c r="I16"/>
  <c r="H16"/>
  <c r="J15"/>
  <c r="I15"/>
  <c r="H15"/>
  <c r="K14"/>
  <c r="I14"/>
  <c r="H14"/>
  <c r="I13"/>
  <c r="H13"/>
  <c r="J12"/>
  <c r="I12"/>
  <c r="K12" s="1"/>
  <c r="H12"/>
  <c r="N11"/>
  <c r="I11"/>
  <c r="H11"/>
  <c r="I10"/>
  <c r="K10" s="1"/>
  <c r="H10"/>
  <c r="K9"/>
  <c r="I9"/>
  <c r="H9"/>
  <c r="I8"/>
  <c r="H8"/>
  <c r="I7"/>
  <c r="H7"/>
  <c r="J6"/>
  <c r="I6"/>
  <c r="H6"/>
  <c r="K6" s="1"/>
  <c r="B6"/>
  <c r="W5"/>
  <c r="V5"/>
  <c r="I5"/>
  <c r="H5"/>
  <c r="C5" i="4"/>
  <c r="H4"/>
  <c r="Q11" i="5"/>
  <c r="B10" a="1"/>
  <c r="Q5"/>
  <c r="Q17"/>
  <c r="R17"/>
  <c r="R5"/>
  <c r="Q21"/>
  <c r="Q27"/>
  <c r="R11"/>
  <c r="R21"/>
  <c r="R27"/>
  <c r="K29" l="1"/>
  <c r="K113"/>
  <c r="K123"/>
  <c r="J193"/>
  <c r="K249"/>
  <c r="L249" s="1" a="1"/>
  <c r="K143"/>
  <c r="J169"/>
  <c r="J49"/>
  <c r="K72"/>
  <c r="J109"/>
  <c r="K168"/>
  <c r="J104"/>
  <c r="K20"/>
  <c r="J138"/>
  <c r="K159"/>
  <c r="J185"/>
  <c r="J225"/>
  <c r="J241"/>
  <c r="J106"/>
  <c r="J164"/>
  <c r="K182"/>
  <c r="K85"/>
  <c r="J187"/>
  <c r="J227"/>
  <c r="J251"/>
  <c r="K131"/>
  <c r="K142"/>
  <c r="K186"/>
  <c r="K202"/>
  <c r="K218"/>
  <c r="L218" s="1" a="1"/>
  <c r="K234"/>
  <c r="K250"/>
  <c r="K36"/>
  <c r="L36" s="1" a="1"/>
  <c r="J68"/>
  <c r="J111"/>
  <c r="L111" s="1" a="1"/>
  <c r="J139"/>
  <c r="K145"/>
  <c r="K147"/>
  <c r="J171"/>
  <c r="J189"/>
  <c r="J194"/>
  <c r="J197"/>
  <c r="J205"/>
  <c r="J210"/>
  <c r="J213"/>
  <c r="J221"/>
  <c r="J226"/>
  <c r="J229"/>
  <c r="J237"/>
  <c r="J242"/>
  <c r="J245"/>
  <c r="K253"/>
  <c r="K18"/>
  <c r="J64"/>
  <c r="J162"/>
  <c r="J32"/>
  <c r="K179"/>
  <c r="J201"/>
  <c r="J209"/>
  <c r="J217"/>
  <c r="J233"/>
  <c r="K35"/>
  <c r="K125"/>
  <c r="J195"/>
  <c r="J203"/>
  <c r="J211"/>
  <c r="J219"/>
  <c r="J235"/>
  <c r="J243"/>
  <c r="K88"/>
  <c r="J148"/>
  <c r="K40"/>
  <c r="K48"/>
  <c r="K128"/>
  <c r="K136"/>
  <c r="J10"/>
  <c r="J13"/>
  <c r="K16"/>
  <c r="J18"/>
  <c r="J52"/>
  <c r="K91"/>
  <c r="J113"/>
  <c r="K126"/>
  <c r="J153"/>
  <c r="J174"/>
  <c r="J183"/>
  <c r="J5"/>
  <c r="K43"/>
  <c r="J66"/>
  <c r="J78"/>
  <c r="J57"/>
  <c r="K15"/>
  <c r="J42"/>
  <c r="J54"/>
  <c r="J74"/>
  <c r="J90"/>
  <c r="K31"/>
  <c r="J33"/>
  <c r="K53"/>
  <c r="K64"/>
  <c r="K148"/>
  <c r="K169"/>
  <c r="K205"/>
  <c r="K37"/>
  <c r="K69"/>
  <c r="K45"/>
  <c r="K63"/>
  <c r="K77"/>
  <c r="J65"/>
  <c r="L65" s="1" a="1"/>
  <c r="K39"/>
  <c r="J50"/>
  <c r="J62"/>
  <c r="K71"/>
  <c r="K104"/>
  <c r="K185"/>
  <c r="K187"/>
  <c r="K189"/>
  <c r="K191"/>
  <c r="K193"/>
  <c r="K195"/>
  <c r="K197"/>
  <c r="K199"/>
  <c r="K201"/>
  <c r="K203"/>
  <c r="K207"/>
  <c r="K209"/>
  <c r="K211"/>
  <c r="K213"/>
  <c r="K215"/>
  <c r="K217"/>
  <c r="K219"/>
  <c r="K221"/>
  <c r="L221" s="1" a="1"/>
  <c r="K223"/>
  <c r="K225"/>
  <c r="K227"/>
  <c r="K229"/>
  <c r="L229" s="1" a="1"/>
  <c r="K231"/>
  <c r="K233"/>
  <c r="L233" s="1" a="1"/>
  <c r="K235"/>
  <c r="K237"/>
  <c r="K239"/>
  <c r="K241"/>
  <c r="K243"/>
  <c r="K245"/>
  <c r="K247"/>
  <c r="K251"/>
  <c r="J11"/>
  <c r="J30"/>
  <c r="L30" s="1" a="1"/>
  <c r="K49"/>
  <c r="J73"/>
  <c r="K164"/>
  <c r="J249"/>
  <c r="J253"/>
  <c r="J46"/>
  <c r="K55"/>
  <c r="K75"/>
  <c r="J34"/>
  <c r="K87"/>
  <c r="J8"/>
  <c r="J14"/>
  <c r="K32"/>
  <c r="J35"/>
  <c r="J41"/>
  <c r="K52"/>
  <c r="K95"/>
  <c r="K109"/>
  <c r="J38"/>
  <c r="K47"/>
  <c r="J55"/>
  <c r="J58"/>
  <c r="K61"/>
  <c r="K67"/>
  <c r="J70"/>
  <c r="K79"/>
  <c r="J82"/>
  <c r="J98"/>
  <c r="K106"/>
  <c r="K138"/>
  <c r="L138" s="1" a="1"/>
  <c r="K162"/>
  <c r="AA254"/>
  <c r="AA251"/>
  <c r="AA247"/>
  <c r="AA239"/>
  <c r="AA231"/>
  <c r="AA227"/>
  <c r="AA219"/>
  <c r="AA211"/>
  <c r="AA203"/>
  <c r="AA195"/>
  <c r="AA187"/>
  <c r="AA179"/>
  <c r="AA171"/>
  <c r="AA163"/>
  <c r="AA155"/>
  <c r="AA147"/>
  <c r="AA139"/>
  <c r="AA131"/>
  <c r="AA252"/>
  <c r="AA242"/>
  <c r="AA234"/>
  <c r="AA228"/>
  <c r="AA220"/>
  <c r="AA212"/>
  <c r="AA204"/>
  <c r="AA196"/>
  <c r="AA188"/>
  <c r="AA182"/>
  <c r="AA174"/>
  <c r="AA166"/>
  <c r="AA158"/>
  <c r="AA150"/>
  <c r="AA142"/>
  <c r="AA134"/>
  <c r="AA125"/>
  <c r="AA253"/>
  <c r="AA245"/>
  <c r="AA237"/>
  <c r="AA229"/>
  <c r="AA221"/>
  <c r="AA213"/>
  <c r="AA205"/>
  <c r="AA197"/>
  <c r="AA189"/>
  <c r="AA238"/>
  <c r="AA236"/>
  <c r="AA222"/>
  <c r="AA217"/>
  <c r="AA200"/>
  <c r="AA183"/>
  <c r="AA176"/>
  <c r="AA167"/>
  <c r="AA153"/>
  <c r="AA146"/>
  <c r="AA241"/>
  <c r="AA240"/>
  <c r="AA225"/>
  <c r="AA208"/>
  <c r="AA191"/>
  <c r="AA186"/>
  <c r="AA168"/>
  <c r="AA159"/>
  <c r="AA145"/>
  <c r="AA138"/>
  <c r="AA119"/>
  <c r="AA103"/>
  <c r="AA246"/>
  <c r="AA244"/>
  <c r="AA224"/>
  <c r="AA207"/>
  <c r="AA202"/>
  <c r="AA172"/>
  <c r="AA165"/>
  <c r="AA152"/>
  <c r="AA143"/>
  <c r="AA129"/>
  <c r="AA115"/>
  <c r="AA249"/>
  <c r="AA248"/>
  <c r="AA215"/>
  <c r="AA210"/>
  <c r="AA190"/>
  <c r="AA185"/>
  <c r="AA178"/>
  <c r="AA164"/>
  <c r="AA157"/>
  <c r="AA144"/>
  <c r="AA135"/>
  <c r="AA122"/>
  <c r="AA250"/>
  <c r="AA230"/>
  <c r="AA223"/>
  <c r="AA218"/>
  <c r="AA198"/>
  <c r="AA193"/>
  <c r="AA177"/>
  <c r="AA170"/>
  <c r="AA156"/>
  <c r="AA149"/>
  <c r="AA136"/>
  <c r="AA127"/>
  <c r="AA233"/>
  <c r="AA232"/>
  <c r="AA226"/>
  <c r="AA206"/>
  <c r="AA201"/>
  <c r="AA184"/>
  <c r="AA169"/>
  <c r="AA162"/>
  <c r="AA148"/>
  <c r="AA141"/>
  <c r="AA128"/>
  <c r="AA126"/>
  <c r="AA235"/>
  <c r="AA214"/>
  <c r="AA209"/>
  <c r="AA192"/>
  <c r="AA181"/>
  <c r="AA175"/>
  <c r="AA161"/>
  <c r="AA154"/>
  <c r="AA243"/>
  <c r="AA140"/>
  <c r="AA124"/>
  <c r="AA105"/>
  <c r="AA97"/>
  <c r="AA89"/>
  <c r="AA81"/>
  <c r="AA78"/>
  <c r="AA77"/>
  <c r="AA76"/>
  <c r="AA75"/>
  <c r="AA74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AA39"/>
  <c r="AA38"/>
  <c r="AA37"/>
  <c r="AA36"/>
  <c r="AA35"/>
  <c r="AA34"/>
  <c r="AA33"/>
  <c r="AA32"/>
  <c r="AA31"/>
  <c r="AA30"/>
  <c r="AA29"/>
  <c r="AA28"/>
  <c r="AA27"/>
  <c r="AA180"/>
  <c r="AA160"/>
  <c r="AA106"/>
  <c r="AA102"/>
  <c r="AA94"/>
  <c r="AA86"/>
  <c r="AA133"/>
  <c r="AA118"/>
  <c r="AA108"/>
  <c r="AA107"/>
  <c r="AA99"/>
  <c r="AA91"/>
  <c r="AA83"/>
  <c r="AA26"/>
  <c r="AA216"/>
  <c r="AA173"/>
  <c r="AA132"/>
  <c r="AA194"/>
  <c r="AA130"/>
  <c r="AA111"/>
  <c r="AA98"/>
  <c r="AA90"/>
  <c r="AA82"/>
  <c r="AA112"/>
  <c r="AA16"/>
  <c r="AA199"/>
  <c r="AA120"/>
  <c r="AA101"/>
  <c r="AA93"/>
  <c r="AA85"/>
  <c r="AA14"/>
  <c r="AA12"/>
  <c r="AA10"/>
  <c r="AA151"/>
  <c r="AA137"/>
  <c r="AA7"/>
  <c r="AA121"/>
  <c r="AA116"/>
  <c r="AA24"/>
  <c r="AA20"/>
  <c r="AA18"/>
  <c r="AA8"/>
  <c r="AA5"/>
  <c r="AA114"/>
  <c r="AA21"/>
  <c r="AA92"/>
  <c r="AA104"/>
  <c r="AA15"/>
  <c r="AA110"/>
  <c r="AA96"/>
  <c r="AA117"/>
  <c r="AA109"/>
  <c r="AA22"/>
  <c r="AA19"/>
  <c r="AA17"/>
  <c r="AA13"/>
  <c r="AA23"/>
  <c r="AA6"/>
  <c r="AA25"/>
  <c r="AA100"/>
  <c r="AA84"/>
  <c r="AA113"/>
  <c r="AA95"/>
  <c r="AA87"/>
  <c r="AA79"/>
  <c r="AA9"/>
  <c r="AA123"/>
  <c r="AA88"/>
  <c r="AA80"/>
  <c r="AA11"/>
  <c r="C10"/>
  <c r="B11"/>
  <c r="L43" s="1" a="1"/>
  <c r="C11"/>
  <c r="B10"/>
  <c r="L10" a="1"/>
  <c r="L75" a="1"/>
  <c r="L113" a="1"/>
  <c r="L21" a="1"/>
  <c r="L70" a="1"/>
  <c r="J103"/>
  <c r="K5"/>
  <c r="K11"/>
  <c r="L11" s="1" a="1"/>
  <c r="K13"/>
  <c r="L13" s="1" a="1"/>
  <c r="J16"/>
  <c r="L16" s="1" a="1"/>
  <c r="J29"/>
  <c r="K30"/>
  <c r="J37"/>
  <c r="K38"/>
  <c r="J45"/>
  <c r="K46"/>
  <c r="L46" s="1" a="1"/>
  <c r="J53"/>
  <c r="L53" s="1" a="1"/>
  <c r="K54"/>
  <c r="L54" s="1" a="1"/>
  <c r="J61"/>
  <c r="K62"/>
  <c r="J69"/>
  <c r="K70"/>
  <c r="J77"/>
  <c r="K78"/>
  <c r="L78" s="1" a="1"/>
  <c r="K82"/>
  <c r="K90"/>
  <c r="K98"/>
  <c r="K107"/>
  <c r="K122"/>
  <c r="J122"/>
  <c r="J22"/>
  <c r="K22"/>
  <c r="J25"/>
  <c r="L25" s="1" a="1"/>
  <c r="K25"/>
  <c r="J7"/>
  <c r="L56" a="1"/>
  <c r="L153" a="1"/>
  <c r="K7"/>
  <c r="J9"/>
  <c r="J85"/>
  <c r="J93"/>
  <c r="J101"/>
  <c r="K103"/>
  <c r="J24"/>
  <c r="L24" s="1" a="1"/>
  <c r="K24"/>
  <c r="J87"/>
  <c r="J95"/>
  <c r="K8"/>
  <c r="K34"/>
  <c r="K42"/>
  <c r="K50"/>
  <c r="K58"/>
  <c r="K66"/>
  <c r="K74"/>
  <c r="L178" a="1"/>
  <c r="L187" a="1"/>
  <c r="J23"/>
  <c r="K23"/>
  <c r="J84"/>
  <c r="K84"/>
  <c r="J92"/>
  <c r="L92" s="1" a="1"/>
  <c r="K92"/>
  <c r="J100"/>
  <c r="L100" s="1" a="1"/>
  <c r="K100"/>
  <c r="K118"/>
  <c r="J118"/>
  <c r="L40" a="1"/>
  <c r="K51"/>
  <c r="L51" s="1" a="1"/>
  <c r="K59"/>
  <c r="L59" s="1" a="1"/>
  <c r="K108"/>
  <c r="L108" s="1" a="1"/>
  <c r="K130"/>
  <c r="J130"/>
  <c r="J27"/>
  <c r="K27"/>
  <c r="J134"/>
  <c r="K134"/>
  <c r="J26"/>
  <c r="L26" s="1" a="1"/>
  <c r="K26"/>
  <c r="J81"/>
  <c r="L81" s="1" a="1"/>
  <c r="K81"/>
  <c r="J89"/>
  <c r="K89"/>
  <c r="J97"/>
  <c r="K97"/>
  <c r="K170"/>
  <c r="J170"/>
  <c r="L39" a="1"/>
  <c r="L68" a="1"/>
  <c r="L76" a="1"/>
  <c r="J149"/>
  <c r="K149"/>
  <c r="J156"/>
  <c r="K156"/>
  <c r="L126" a="1"/>
  <c r="L135" a="1"/>
  <c r="J177"/>
  <c r="K177"/>
  <c r="J80"/>
  <c r="J88"/>
  <c r="J96"/>
  <c r="J83"/>
  <c r="J91"/>
  <c r="J99"/>
  <c r="L124" a="1"/>
  <c r="L129" a="1"/>
  <c r="J86"/>
  <c r="J94"/>
  <c r="J102"/>
  <c r="L123" a="1"/>
  <c r="J173"/>
  <c r="K173"/>
  <c r="L159" a="1"/>
  <c r="J181"/>
  <c r="K181"/>
  <c r="K140"/>
  <c r="L140" s="1" a="1"/>
  <c r="J146"/>
  <c r="K161"/>
  <c r="J154"/>
  <c r="L154" s="1" a="1"/>
  <c r="L175" a="1"/>
  <c r="J133"/>
  <c r="K133"/>
  <c r="L241" a="1"/>
  <c r="J141"/>
  <c r="L141" s="1" a="1"/>
  <c r="K141"/>
  <c r="J157"/>
  <c r="K157"/>
  <c r="K151"/>
  <c r="L151" s="1" a="1"/>
  <c r="K158"/>
  <c r="K180"/>
  <c r="L180" s="1" a="1"/>
  <c r="K183"/>
  <c r="J165"/>
  <c r="K165"/>
  <c r="AB5"/>
  <c r="AB27"/>
  <c r="S5"/>
  <c r="S17"/>
  <c r="AB11"/>
  <c r="AB17"/>
  <c r="AB21"/>
  <c r="S11"/>
  <c r="S21"/>
  <c r="S27"/>
  <c r="L58" l="1" a="1"/>
  <c r="M58" s="1"/>
  <c r="L22" a="1"/>
  <c r="L22" s="1"/>
  <c r="L34" a="1"/>
  <c r="M34" s="1"/>
  <c r="L38" a="1"/>
  <c r="L38" s="1"/>
  <c r="L42" a="1"/>
  <c r="L42" s="1"/>
  <c r="L134" a="1"/>
  <c r="L134" s="1"/>
  <c r="L82" a="1"/>
  <c r="M82" s="1"/>
  <c r="L98" a="1"/>
  <c r="M98" s="1"/>
  <c r="L90" a="1"/>
  <c r="M90" s="1"/>
  <c r="L50" a="1"/>
  <c r="M50" s="1"/>
  <c r="L62" a="1"/>
  <c r="M62" s="1"/>
  <c r="L31" a="1"/>
  <c r="T5"/>
  <c r="U5" s="1"/>
  <c r="AC5"/>
  <c r="AD5" s="1"/>
  <c r="L31"/>
  <c r="M31"/>
  <c r="L46"/>
  <c r="M46"/>
  <c r="L180"/>
  <c r="M180"/>
  <c r="L50"/>
  <c r="L51"/>
  <c r="M51"/>
  <c r="L43"/>
  <c r="M43"/>
  <c r="L78"/>
  <c r="M78"/>
  <c r="L11"/>
  <c r="M11"/>
  <c r="L13"/>
  <c r="M13"/>
  <c r="L54"/>
  <c r="M54"/>
  <c r="M42"/>
  <c r="L221"/>
  <c r="M221"/>
  <c r="L40"/>
  <c r="M40"/>
  <c r="L159"/>
  <c r="M159"/>
  <c r="L108"/>
  <c r="M108"/>
  <c r="L76"/>
  <c r="M76"/>
  <c r="L59"/>
  <c r="M59"/>
  <c r="M187"/>
  <c r="L187"/>
  <c r="M218"/>
  <c r="L218"/>
  <c r="M153"/>
  <c r="L153"/>
  <c r="L233"/>
  <c r="M233"/>
  <c r="L135"/>
  <c r="M135"/>
  <c r="L170" a="1"/>
  <c r="L15" a="1"/>
  <c r="L68"/>
  <c r="M68"/>
  <c r="L56"/>
  <c r="M56"/>
  <c r="L21"/>
  <c r="M21"/>
  <c r="L154"/>
  <c r="M154"/>
  <c r="L126"/>
  <c r="M126"/>
  <c r="L175"/>
  <c r="M175"/>
  <c r="L81"/>
  <c r="M81"/>
  <c r="L25"/>
  <c r="M25"/>
  <c r="L140"/>
  <c r="M140"/>
  <c r="L213" a="1"/>
  <c r="L188" a="1"/>
  <c r="L228" a="1"/>
  <c r="L41" a="1"/>
  <c r="L89" a="1"/>
  <c r="L33" a="1"/>
  <c r="L241"/>
  <c r="M241"/>
  <c r="L151"/>
  <c r="M151"/>
  <c r="M129"/>
  <c r="L129"/>
  <c r="M24"/>
  <c r="L24"/>
  <c r="L70"/>
  <c r="M70"/>
  <c r="L138"/>
  <c r="M138"/>
  <c r="L39"/>
  <c r="M39"/>
  <c r="M16"/>
  <c r="L16"/>
  <c r="M38"/>
  <c r="L254" a="1"/>
  <c r="L244" a="1"/>
  <c r="L236" a="1"/>
  <c r="L222" a="1"/>
  <c r="L214" a="1"/>
  <c r="L206" a="1"/>
  <c r="L198" a="1"/>
  <c r="L190" a="1"/>
  <c r="L247" a="1"/>
  <c r="L239" a="1"/>
  <c r="L231" a="1"/>
  <c r="L223" a="1"/>
  <c r="L215" a="1"/>
  <c r="L207" a="1"/>
  <c r="L199" a="1"/>
  <c r="L191" a="1"/>
  <c r="L246" a="1"/>
  <c r="L245" a="1"/>
  <c r="L209" a="1"/>
  <c r="L203" a="1"/>
  <c r="L192" a="1"/>
  <c r="L160" a="1"/>
  <c r="L139" a="1"/>
  <c r="L253" a="1"/>
  <c r="L250" a="1"/>
  <c r="L217" a="1"/>
  <c r="L200" a="1"/>
  <c r="L152" a="1"/>
  <c r="L234" a="1"/>
  <c r="L232" a="1"/>
  <c r="L227" a="1"/>
  <c r="L216" a="1"/>
  <c r="L204" a="1"/>
  <c r="L194" a="1"/>
  <c r="L179" a="1"/>
  <c r="L136" a="1"/>
  <c r="L114" a="1"/>
  <c r="L235" a="1"/>
  <c r="L224" a="1"/>
  <c r="L212" a="1"/>
  <c r="L202" a="1"/>
  <c r="L171" a="1"/>
  <c r="L164" a="1"/>
  <c r="L142" a="1"/>
  <c r="L128" a="1"/>
  <c r="L127" a="1"/>
  <c r="L121" a="1"/>
  <c r="L238" a="1"/>
  <c r="L237" a="1"/>
  <c r="L220" a="1"/>
  <c r="L210" a="1"/>
  <c r="L185" a="1"/>
  <c r="L182" a="1"/>
  <c r="L163" a="1"/>
  <c r="L242" a="1"/>
  <c r="L193" a="1"/>
  <c r="L176" a="1"/>
  <c r="L243" a="1"/>
  <c r="L226" a="1"/>
  <c r="L201" a="1"/>
  <c r="L195" a="1"/>
  <c r="L184" a="1"/>
  <c r="L168" a="1"/>
  <c r="L251" a="1"/>
  <c r="L225" a="1"/>
  <c r="L230" a="1"/>
  <c r="L147" a="1"/>
  <c r="L219" a="1"/>
  <c r="L208" a="1"/>
  <c r="L117" a="1"/>
  <c r="L116" a="1"/>
  <c r="L109" a="1"/>
  <c r="L137" a="1"/>
  <c r="L186" a="1"/>
  <c r="L158" a="1"/>
  <c r="L252" a="1"/>
  <c r="L144" a="1"/>
  <c r="L107" a="1"/>
  <c r="L102" a="1"/>
  <c r="L94" a="1"/>
  <c r="L86" a="1"/>
  <c r="L88" a="1"/>
  <c r="L125" a="1"/>
  <c r="L9" a="1"/>
  <c r="L115" a="1"/>
  <c r="L6" a="1"/>
  <c r="L196" a="1"/>
  <c r="L96" a="1"/>
  <c r="L106" a="1"/>
  <c r="L104" a="1"/>
  <c r="L112" a="1"/>
  <c r="L80" a="1"/>
  <c r="L14" a="1"/>
  <c r="L110" a="1"/>
  <c r="L8" a="1"/>
  <c r="L181" a="1"/>
  <c r="L131" a="1"/>
  <c r="L133" a="1"/>
  <c r="L169" a="1"/>
  <c r="L248" a="1"/>
  <c r="L72" a="1"/>
  <c r="L67" a="1"/>
  <c r="L18" a="1"/>
  <c r="L83" a="1"/>
  <c r="L44" a="1"/>
  <c r="L118" a="1"/>
  <c r="L87" a="1"/>
  <c r="L85" a="1"/>
  <c r="L63" a="1"/>
  <c r="L172" a="1"/>
  <c r="L69" a="1"/>
  <c r="L37" a="1"/>
  <c r="L103" a="1"/>
  <c r="L73" a="1"/>
  <c r="L120" a="1"/>
  <c r="L20" a="1"/>
  <c r="L124"/>
  <c r="M124"/>
  <c r="L92"/>
  <c r="M92"/>
  <c r="L229"/>
  <c r="M229"/>
  <c r="L178"/>
  <c r="M178"/>
  <c r="L113"/>
  <c r="M113"/>
  <c r="L123"/>
  <c r="M123"/>
  <c r="L111"/>
  <c r="M111"/>
  <c r="L36"/>
  <c r="M36"/>
  <c r="L65"/>
  <c r="M65"/>
  <c r="L197" a="1"/>
  <c r="L166" a="1"/>
  <c r="L174" a="1"/>
  <c r="L61" a="1"/>
  <c r="L74" a="1"/>
  <c r="L155" a="1"/>
  <c r="L177" a="1"/>
  <c r="L64" a="1"/>
  <c r="L211" a="1"/>
  <c r="L149" a="1"/>
  <c r="L146" a="1"/>
  <c r="L240" a="1"/>
  <c r="L161" a="1"/>
  <c r="L52" a="1"/>
  <c r="L130" a="1"/>
  <c r="L95" a="1"/>
  <c r="L167" a="1"/>
  <c r="L26"/>
  <c r="M26"/>
  <c r="L75"/>
  <c r="M75"/>
  <c r="L141"/>
  <c r="M141"/>
  <c r="L53"/>
  <c r="M53"/>
  <c r="L10"/>
  <c r="M10"/>
  <c r="L249"/>
  <c r="M249"/>
  <c r="L100"/>
  <c r="M100"/>
  <c r="L30"/>
  <c r="M30"/>
  <c r="L165" a="1"/>
  <c r="L150" a="1"/>
  <c r="L32" a="1"/>
  <c r="L29" a="1"/>
  <c r="L157" a="1"/>
  <c r="L145" a="1"/>
  <c r="L28" a="1"/>
  <c r="L23" a="1"/>
  <c r="L55" a="1"/>
  <c r="L47" a="1"/>
  <c r="L189" a="1"/>
  <c r="L35" a="1"/>
  <c r="L162" a="1"/>
  <c r="L173" a="1"/>
  <c r="L91" a="1"/>
  <c r="L97" a="1"/>
  <c r="L143" a="1"/>
  <c r="L71" a="1"/>
  <c r="L84" a="1"/>
  <c r="L119" a="1"/>
  <c r="L93" a="1"/>
  <c r="L7" a="1"/>
  <c r="L12" a="1"/>
  <c r="L17" a="1"/>
  <c r="L57" a="1"/>
  <c r="L205" a="1"/>
  <c r="L99" a="1"/>
  <c r="L183" a="1"/>
  <c r="L156" a="1"/>
  <c r="L60" a="1"/>
  <c r="L148" a="1"/>
  <c r="L27" a="1"/>
  <c r="L79" a="1"/>
  <c r="L132" a="1"/>
  <c r="L101" a="1"/>
  <c r="L48" a="1"/>
  <c r="L122" a="1"/>
  <c r="L77" a="1"/>
  <c r="L45" a="1"/>
  <c r="L66" a="1"/>
  <c r="L5" a="1"/>
  <c r="L19" a="1"/>
  <c r="L105" a="1"/>
  <c r="L49" a="1"/>
  <c r="L58" l="1"/>
  <c r="L90"/>
  <c r="M134"/>
  <c r="L34"/>
  <c r="L62"/>
  <c r="M22"/>
  <c r="L82"/>
  <c r="L98"/>
  <c r="L66"/>
  <c r="M66"/>
  <c r="M211"/>
  <c r="L211"/>
  <c r="L197"/>
  <c r="M197"/>
  <c r="L69"/>
  <c r="M69"/>
  <c r="M18"/>
  <c r="L18"/>
  <c r="M8"/>
  <c r="L8"/>
  <c r="L196"/>
  <c r="M196"/>
  <c r="L102"/>
  <c r="M102"/>
  <c r="L116"/>
  <c r="M116"/>
  <c r="L168"/>
  <c r="M168"/>
  <c r="L242"/>
  <c r="M242"/>
  <c r="M121"/>
  <c r="L121"/>
  <c r="L224"/>
  <c r="M224"/>
  <c r="M227"/>
  <c r="L227"/>
  <c r="L139"/>
  <c r="M139"/>
  <c r="L199"/>
  <c r="M199"/>
  <c r="L198"/>
  <c r="M198"/>
  <c r="L213"/>
  <c r="M213"/>
  <c r="M5"/>
  <c r="L5"/>
  <c r="M181"/>
  <c r="L181"/>
  <c r="L253"/>
  <c r="M253"/>
  <c r="L150"/>
  <c r="M150"/>
  <c r="L103"/>
  <c r="M103"/>
  <c r="M137"/>
  <c r="L137"/>
  <c r="L202"/>
  <c r="M202"/>
  <c r="L246"/>
  <c r="M246"/>
  <c r="L228"/>
  <c r="M228"/>
  <c r="L97"/>
  <c r="M97"/>
  <c r="M165"/>
  <c r="L165"/>
  <c r="L212"/>
  <c r="M212"/>
  <c r="L104"/>
  <c r="M104"/>
  <c r="L23"/>
  <c r="M23"/>
  <c r="L57"/>
  <c r="M57"/>
  <c r="L37"/>
  <c r="M37"/>
  <c r="L251"/>
  <c r="M251"/>
  <c r="L190"/>
  <c r="M190"/>
  <c r="L174"/>
  <c r="M174"/>
  <c r="L247"/>
  <c r="M247"/>
  <c r="L27"/>
  <c r="M27"/>
  <c r="L55"/>
  <c r="M55"/>
  <c r="M166"/>
  <c r="L166"/>
  <c r="L96"/>
  <c r="M96"/>
  <c r="M193"/>
  <c r="L193"/>
  <c r="L191"/>
  <c r="M191"/>
  <c r="L132"/>
  <c r="M132"/>
  <c r="L71"/>
  <c r="M71"/>
  <c r="L44"/>
  <c r="M44"/>
  <c r="L86"/>
  <c r="M86"/>
  <c r="M176"/>
  <c r="L176"/>
  <c r="L250"/>
  <c r="M250"/>
  <c r="M101"/>
  <c r="L101"/>
  <c r="L189"/>
  <c r="M189"/>
  <c r="L61"/>
  <c r="M61"/>
  <c r="L133"/>
  <c r="M133"/>
  <c r="L230"/>
  <c r="M230"/>
  <c r="L171"/>
  <c r="M171"/>
  <c r="L245"/>
  <c r="M245"/>
  <c r="L41"/>
  <c r="M41"/>
  <c r="L48"/>
  <c r="M48"/>
  <c r="L35"/>
  <c r="M35"/>
  <c r="L74"/>
  <c r="M74"/>
  <c r="L87"/>
  <c r="M87"/>
  <c r="L125"/>
  <c r="M125"/>
  <c r="L226"/>
  <c r="M226"/>
  <c r="L179"/>
  <c r="M179"/>
  <c r="L231"/>
  <c r="M231"/>
  <c r="L170"/>
  <c r="M170"/>
  <c r="M122"/>
  <c r="L122"/>
  <c r="L162"/>
  <c r="M162"/>
  <c r="M20"/>
  <c r="L20"/>
  <c r="M85"/>
  <c r="L85"/>
  <c r="L248"/>
  <c r="M248"/>
  <c r="L80"/>
  <c r="M80"/>
  <c r="L9"/>
  <c r="M9"/>
  <c r="L252"/>
  <c r="M252"/>
  <c r="M219"/>
  <c r="L219"/>
  <c r="L201"/>
  <c r="M201"/>
  <c r="L185"/>
  <c r="M185"/>
  <c r="L142"/>
  <c r="M142"/>
  <c r="L136"/>
  <c r="M136"/>
  <c r="M152"/>
  <c r="L152"/>
  <c r="M203"/>
  <c r="L203"/>
  <c r="M223"/>
  <c r="L223"/>
  <c r="L222"/>
  <c r="M222"/>
  <c r="L33"/>
  <c r="M33"/>
  <c r="M15"/>
  <c r="L15"/>
  <c r="M17"/>
  <c r="L17"/>
  <c r="L79"/>
  <c r="M79"/>
  <c r="L149"/>
  <c r="M149"/>
  <c r="L94"/>
  <c r="M94"/>
  <c r="L238"/>
  <c r="M238"/>
  <c r="L188"/>
  <c r="M188"/>
  <c r="L19"/>
  <c r="M19"/>
  <c r="L47"/>
  <c r="M47"/>
  <c r="M131"/>
  <c r="L131"/>
  <c r="L225"/>
  <c r="M225"/>
  <c r="L204"/>
  <c r="M204"/>
  <c r="M99"/>
  <c r="L99"/>
  <c r="L32"/>
  <c r="M32"/>
  <c r="L73"/>
  <c r="M73"/>
  <c r="L88"/>
  <c r="M88"/>
  <c r="L243"/>
  <c r="M243"/>
  <c r="L194"/>
  <c r="M194"/>
  <c r="L239"/>
  <c r="M239"/>
  <c r="L49"/>
  <c r="M49"/>
  <c r="L119"/>
  <c r="M119"/>
  <c r="M161"/>
  <c r="L161"/>
  <c r="M169"/>
  <c r="L169"/>
  <c r="L158"/>
  <c r="M158"/>
  <c r="L210"/>
  <c r="M210"/>
  <c r="M200"/>
  <c r="L200"/>
  <c r="L236"/>
  <c r="M236"/>
  <c r="L156"/>
  <c r="M156"/>
  <c r="L157"/>
  <c r="M157"/>
  <c r="L52"/>
  <c r="M52"/>
  <c r="L60"/>
  <c r="M60"/>
  <c r="M145"/>
  <c r="L145"/>
  <c r="M177"/>
  <c r="L177"/>
  <c r="L72"/>
  <c r="M72"/>
  <c r="L115"/>
  <c r="M115"/>
  <c r="L144"/>
  <c r="M144"/>
  <c r="M195"/>
  <c r="L195"/>
  <c r="L182"/>
  <c r="M182"/>
  <c r="L128"/>
  <c r="M128"/>
  <c r="L114"/>
  <c r="M114"/>
  <c r="L234"/>
  <c r="M234"/>
  <c r="L192"/>
  <c r="M192"/>
  <c r="L215"/>
  <c r="M215"/>
  <c r="L214"/>
  <c r="M214"/>
  <c r="L167"/>
  <c r="M167"/>
  <c r="L143"/>
  <c r="M143"/>
  <c r="M83"/>
  <c r="L83"/>
  <c r="M109"/>
  <c r="L109"/>
  <c r="L216"/>
  <c r="M216"/>
  <c r="L205"/>
  <c r="M205"/>
  <c r="M146"/>
  <c r="L146"/>
  <c r="M106"/>
  <c r="L106"/>
  <c r="L237"/>
  <c r="M237"/>
  <c r="L254"/>
  <c r="M254"/>
  <c r="L105"/>
  <c r="M105"/>
  <c r="L84"/>
  <c r="M84"/>
  <c r="L240"/>
  <c r="M240"/>
  <c r="M118"/>
  <c r="L118"/>
  <c r="L186"/>
  <c r="M186"/>
  <c r="L220"/>
  <c r="M220"/>
  <c r="M217"/>
  <c r="L217"/>
  <c r="L244"/>
  <c r="M244"/>
  <c r="L183"/>
  <c r="M183"/>
  <c r="L29"/>
  <c r="M29"/>
  <c r="L120"/>
  <c r="M120"/>
  <c r="M112"/>
  <c r="L112"/>
  <c r="L147"/>
  <c r="M147"/>
  <c r="L164"/>
  <c r="M164"/>
  <c r="L209"/>
  <c r="M209"/>
  <c r="L89"/>
  <c r="M89"/>
  <c r="M93"/>
  <c r="L93"/>
  <c r="M155"/>
  <c r="L155"/>
  <c r="L77"/>
  <c r="M77"/>
  <c r="M7"/>
  <c r="L7"/>
  <c r="L173"/>
  <c r="M173"/>
  <c r="L130"/>
  <c r="M130"/>
  <c r="L63"/>
  <c r="M63"/>
  <c r="M14"/>
  <c r="L14"/>
  <c r="L208"/>
  <c r="M208"/>
  <c r="L45"/>
  <c r="M45"/>
  <c r="L148"/>
  <c r="M148"/>
  <c r="M12"/>
  <c r="L12"/>
  <c r="M91"/>
  <c r="L91"/>
  <c r="L28"/>
  <c r="M28"/>
  <c r="L95"/>
  <c r="M95"/>
  <c r="L64"/>
  <c r="M64"/>
  <c r="L172"/>
  <c r="M172"/>
  <c r="L67"/>
  <c r="M67"/>
  <c r="M110"/>
  <c r="L110"/>
  <c r="M6"/>
  <c r="L6"/>
  <c r="L107"/>
  <c r="M107"/>
  <c r="L117"/>
  <c r="M117"/>
  <c r="L184"/>
  <c r="M184"/>
  <c r="L163"/>
  <c r="M163"/>
  <c r="L127"/>
  <c r="M127"/>
  <c r="L235"/>
  <c r="M235"/>
  <c r="L232"/>
  <c r="M232"/>
  <c r="L160"/>
  <c r="M160"/>
  <c r="L207"/>
  <c r="M207"/>
  <c r="L206"/>
  <c r="M206"/>
  <c r="N22"/>
  <c r="O22" s="1"/>
  <c r="N12"/>
  <c r="N6"/>
  <c r="N28"/>
  <c r="N18"/>
  <c r="O28"/>
  <c r="N23"/>
  <c r="O23"/>
  <c r="O12"/>
  <c r="O6"/>
  <c r="N13"/>
  <c r="N7"/>
  <c r="N29"/>
  <c r="O18"/>
  <c r="N19"/>
  <c r="N24"/>
  <c r="N14"/>
  <c r="O13"/>
  <c r="O7"/>
  <c r="N8"/>
  <c r="O29"/>
  <c r="N30"/>
  <c r="O19"/>
  <c r="N20"/>
  <c r="N25"/>
  <c r="O24"/>
  <c r="O14"/>
  <c r="N15"/>
  <c r="N9"/>
  <c r="O8"/>
  <c r="N31"/>
  <c r="O30"/>
  <c r="O20"/>
  <c r="N26"/>
  <c r="O25"/>
  <c r="O15"/>
  <c r="N16"/>
  <c r="O9"/>
  <c r="N10"/>
  <c r="N32"/>
  <c r="O31"/>
  <c r="O26"/>
  <c r="O16"/>
  <c r="O10"/>
  <c r="N33"/>
  <c r="O32"/>
  <c r="O33"/>
  <c r="N34"/>
  <c r="N35"/>
  <c r="O34"/>
  <c r="O35"/>
  <c r="N36"/>
  <c r="N37"/>
  <c r="O36"/>
  <c r="O37"/>
  <c r="N38"/>
  <c r="O38"/>
  <c r="N39"/>
  <c r="N40"/>
  <c r="O39"/>
  <c r="N41"/>
  <c r="O40"/>
  <c r="O41"/>
  <c r="N42"/>
  <c r="N43"/>
  <c r="O42"/>
  <c r="N44"/>
  <c r="O43"/>
  <c r="N45"/>
  <c r="O44"/>
  <c r="O45"/>
  <c r="N46"/>
  <c r="N47"/>
  <c r="O46"/>
  <c r="N48"/>
  <c r="O47"/>
  <c r="N49"/>
  <c r="O48"/>
  <c r="O49"/>
  <c r="N50"/>
  <c r="O50"/>
  <c r="N51"/>
  <c r="N52"/>
  <c r="O51"/>
  <c r="O52"/>
  <c r="N53"/>
  <c r="N54"/>
  <c r="O53"/>
  <c r="N55"/>
  <c r="O54"/>
  <c r="O55"/>
  <c r="N56"/>
  <c r="N57"/>
  <c r="O56"/>
  <c r="O57"/>
  <c r="N58"/>
  <c r="N59"/>
  <c r="O58"/>
  <c r="N60"/>
  <c r="O59"/>
  <c r="O60"/>
  <c r="N61"/>
  <c r="O61"/>
  <c r="N62"/>
  <c r="N63"/>
  <c r="O62"/>
  <c r="N64"/>
  <c r="O63"/>
  <c r="O64"/>
  <c r="N65"/>
  <c r="N66"/>
  <c r="O65"/>
  <c r="O66"/>
  <c r="N67"/>
  <c r="O67"/>
  <c r="N68"/>
  <c r="N69"/>
  <c r="O68"/>
  <c r="O69"/>
  <c r="N70"/>
  <c r="N71"/>
  <c r="O70"/>
  <c r="N72"/>
  <c r="O71"/>
  <c r="N73"/>
  <c r="O72"/>
  <c r="O73"/>
  <c r="N74"/>
  <c r="O74"/>
  <c r="N75"/>
  <c r="O75"/>
  <c r="N76"/>
  <c r="N77"/>
  <c r="O76"/>
  <c r="O77"/>
  <c r="N78"/>
  <c r="N79"/>
  <c r="O78"/>
  <c r="O79"/>
  <c r="N80"/>
  <c r="O80"/>
  <c r="N81"/>
  <c r="O81"/>
  <c r="N82"/>
  <c r="N83"/>
  <c r="O82"/>
  <c r="O83"/>
  <c r="N84"/>
  <c r="O84"/>
  <c r="N85"/>
  <c r="O85"/>
  <c r="N86"/>
  <c r="O86"/>
  <c r="N87"/>
  <c r="N88"/>
  <c r="O87"/>
  <c r="N89"/>
  <c r="O88"/>
  <c r="O89"/>
  <c r="N90"/>
  <c r="N91"/>
  <c r="O90"/>
  <c r="O91"/>
  <c r="N92"/>
  <c r="N93"/>
  <c r="O92"/>
  <c r="O93"/>
  <c r="N94"/>
  <c r="O94"/>
  <c r="N95"/>
  <c r="N96"/>
  <c r="O95"/>
  <c r="N97"/>
  <c r="O96"/>
  <c r="O97"/>
  <c r="N98"/>
  <c r="N99"/>
  <c r="O98"/>
  <c r="O99"/>
  <c r="N100"/>
  <c r="N101"/>
  <c r="O100"/>
  <c r="O101"/>
  <c r="N102"/>
  <c r="N103"/>
  <c r="O102"/>
  <c r="N104"/>
  <c r="O103"/>
  <c r="N105"/>
  <c r="O104"/>
  <c r="O105"/>
  <c r="N106"/>
  <c r="N107"/>
  <c r="O106"/>
  <c r="O107"/>
  <c r="N108"/>
  <c r="N109"/>
  <c r="O108"/>
  <c r="O109"/>
  <c r="N110"/>
  <c r="O110"/>
  <c r="N111"/>
  <c r="N112"/>
  <c r="O111"/>
  <c r="O112"/>
  <c r="N113"/>
  <c r="N114"/>
  <c r="O113"/>
  <c r="N115"/>
  <c r="O114"/>
  <c r="O115"/>
  <c r="N116"/>
  <c r="O116"/>
  <c r="N117"/>
  <c r="O117"/>
  <c r="N118"/>
  <c r="O118"/>
  <c r="N119"/>
  <c r="N120"/>
  <c r="O119"/>
  <c r="N121"/>
  <c r="O120"/>
  <c r="N122"/>
  <c r="O121"/>
  <c r="O122"/>
  <c r="N123"/>
  <c r="O123"/>
  <c r="N124"/>
  <c r="N125"/>
  <c r="O124"/>
  <c r="O125"/>
  <c r="N126"/>
  <c r="N127"/>
  <c r="O126"/>
  <c r="N128"/>
  <c r="O127"/>
  <c r="O128"/>
  <c r="N129"/>
  <c r="N130"/>
  <c r="O129"/>
  <c r="O130"/>
  <c r="N131"/>
  <c r="O131"/>
  <c r="N132"/>
  <c r="O132"/>
  <c r="N133"/>
  <c r="O133"/>
  <c r="N134"/>
  <c r="N135"/>
  <c r="O134"/>
  <c r="N136"/>
  <c r="O135"/>
  <c r="O136"/>
  <c r="N137"/>
  <c r="O137"/>
  <c r="N138"/>
  <c r="N139"/>
  <c r="O138"/>
  <c r="O139"/>
  <c r="N140"/>
  <c r="O140"/>
  <c r="N141"/>
  <c r="N142"/>
  <c r="O141"/>
  <c r="N143"/>
  <c r="O142"/>
  <c r="N144"/>
  <c r="O143"/>
  <c r="O144"/>
  <c r="N145"/>
  <c r="O145"/>
  <c r="N146"/>
  <c r="N147"/>
  <c r="O146"/>
  <c r="O147"/>
  <c r="N148"/>
  <c r="N149"/>
  <c r="O148"/>
  <c r="O149"/>
  <c r="N150"/>
  <c r="O150"/>
  <c r="N151"/>
  <c r="N152"/>
  <c r="O151"/>
  <c r="O152"/>
  <c r="N153"/>
  <c r="N154"/>
  <c r="O153"/>
  <c r="N155"/>
  <c r="O154"/>
  <c r="O155"/>
  <c r="N156"/>
  <c r="O156"/>
  <c r="N157"/>
  <c r="N158"/>
  <c r="O157"/>
  <c r="O158"/>
  <c r="N159"/>
  <c r="N160"/>
  <c r="O159"/>
  <c r="O160"/>
  <c r="N161"/>
  <c r="O161"/>
  <c r="N162"/>
  <c r="N163"/>
  <c r="O162"/>
  <c r="N164"/>
  <c r="O163"/>
  <c r="O164"/>
  <c r="N165"/>
  <c r="N166"/>
  <c r="O165"/>
  <c r="N167"/>
  <c r="O166"/>
  <c r="N168"/>
  <c r="O167"/>
  <c r="N169"/>
  <c r="O168"/>
  <c r="N170"/>
  <c r="O169"/>
  <c r="N171"/>
  <c r="O170"/>
  <c r="O171"/>
  <c r="N172"/>
  <c r="N173"/>
  <c r="O172"/>
  <c r="O173"/>
  <c r="N174"/>
  <c r="O174"/>
  <c r="N175"/>
  <c r="N176"/>
  <c r="O175"/>
  <c r="O176"/>
  <c r="N177"/>
  <c r="O177"/>
  <c r="N178"/>
  <c r="N179"/>
  <c r="O178"/>
  <c r="O179"/>
  <c r="N180"/>
  <c r="N181"/>
  <c r="O180"/>
  <c r="N182"/>
  <c r="O181"/>
  <c r="N183"/>
  <c r="O182"/>
  <c r="N184"/>
  <c r="O183"/>
  <c r="N185"/>
  <c r="O184"/>
  <c r="N186"/>
  <c r="O185"/>
  <c r="O186"/>
  <c r="N187"/>
  <c r="N188"/>
  <c r="O187"/>
  <c r="O188"/>
  <c r="N189"/>
  <c r="O189"/>
  <c r="N190"/>
  <c r="O190"/>
  <c r="N191"/>
  <c r="N192"/>
  <c r="O191"/>
  <c r="O192"/>
  <c r="N193"/>
  <c r="N194"/>
  <c r="O193"/>
  <c r="N195"/>
  <c r="O194"/>
  <c r="N196"/>
  <c r="O195"/>
  <c r="N197"/>
  <c r="O196"/>
  <c r="N198"/>
  <c r="O197"/>
  <c r="N199"/>
  <c r="O198"/>
  <c r="O199"/>
  <c r="N200"/>
  <c r="O200"/>
  <c r="N201"/>
  <c r="O201"/>
  <c r="N202"/>
  <c r="O202"/>
  <c r="N203"/>
  <c r="O203"/>
  <c r="N204"/>
  <c r="N205"/>
  <c r="O204"/>
  <c r="N206"/>
  <c r="O205"/>
  <c r="N207"/>
  <c r="O206"/>
  <c r="O207"/>
  <c r="N208"/>
  <c r="O208"/>
  <c r="N209"/>
  <c r="O209"/>
  <c r="N210"/>
  <c r="O210"/>
  <c r="N211"/>
  <c r="N212"/>
  <c r="O211"/>
  <c r="O212"/>
  <c r="N213"/>
  <c r="O213"/>
  <c r="N214"/>
  <c r="N215"/>
  <c r="O214"/>
  <c r="O215"/>
  <c r="N216"/>
  <c r="O216"/>
  <c r="N217"/>
  <c r="O217"/>
  <c r="N218"/>
  <c r="N219"/>
  <c r="O218"/>
  <c r="O219"/>
  <c r="N220"/>
  <c r="O220"/>
  <c r="N221"/>
  <c r="N222"/>
  <c r="O221"/>
  <c r="O222"/>
  <c r="N223"/>
  <c r="O223"/>
  <c r="N224"/>
  <c r="N225"/>
  <c r="O224"/>
  <c r="N226"/>
  <c r="O225"/>
  <c r="O226"/>
  <c r="N227"/>
  <c r="N228"/>
  <c r="O227"/>
  <c r="O228"/>
  <c r="N229"/>
  <c r="N230"/>
  <c r="O229"/>
  <c r="N231"/>
  <c r="O230"/>
  <c r="O231"/>
  <c r="N232"/>
  <c r="O232"/>
  <c r="N233"/>
  <c r="N234"/>
  <c r="O233"/>
  <c r="O234"/>
  <c r="N235"/>
  <c r="N236"/>
  <c r="O235"/>
  <c r="O236"/>
  <c r="N237"/>
  <c r="N238"/>
  <c r="O237"/>
  <c r="N239"/>
  <c r="O238"/>
  <c r="O239"/>
  <c r="N240"/>
  <c r="O240"/>
  <c r="N241"/>
  <c r="N242"/>
  <c r="O241"/>
  <c r="N243"/>
  <c r="O242"/>
  <c r="N244"/>
  <c r="O243"/>
  <c r="N245"/>
  <c r="O244"/>
  <c r="O245"/>
  <c r="N246"/>
  <c r="O246"/>
  <c r="N247"/>
  <c r="N248"/>
  <c r="O247"/>
  <c r="O248"/>
  <c r="N249"/>
  <c r="N250" s="1"/>
  <c r="O249"/>
  <c r="N251"/>
  <c r="N252"/>
  <c r="O251"/>
  <c r="N253"/>
  <c r="O252"/>
  <c r="N254"/>
  <c r="O253"/>
  <c r="O254"/>
  <c r="O250"/>
  <c r="P22" l="1"/>
  <c r="V22"/>
  <c r="W22" s="1"/>
  <c r="V254"/>
  <c r="W254" s="1"/>
  <c r="V253"/>
  <c r="W253" s="1"/>
  <c r="V252"/>
  <c r="W252" s="1"/>
  <c r="V251"/>
  <c r="W251" s="1"/>
  <c r="V250"/>
  <c r="W250" s="1"/>
  <c r="V249"/>
  <c r="W249" s="1"/>
  <c r="V248"/>
  <c r="W248" s="1"/>
  <c r="V247"/>
  <c r="W247" s="1"/>
  <c r="V246"/>
  <c r="W246" s="1"/>
  <c r="V245"/>
  <c r="W245" s="1"/>
  <c r="V244"/>
  <c r="W244" s="1"/>
  <c r="V243"/>
  <c r="W243" s="1"/>
  <c r="V242"/>
  <c r="W242" s="1"/>
  <c r="V241"/>
  <c r="W241" s="1"/>
  <c r="V240"/>
  <c r="W240" s="1"/>
  <c r="V239"/>
  <c r="W239" s="1"/>
  <c r="V238"/>
  <c r="W238" s="1"/>
  <c r="V237"/>
  <c r="W237" s="1"/>
  <c r="V236"/>
  <c r="W236" s="1"/>
  <c r="V235"/>
  <c r="W235" s="1"/>
  <c r="V234"/>
  <c r="W234" s="1"/>
  <c r="V233"/>
  <c r="W233" s="1"/>
  <c r="V232"/>
  <c r="W232" s="1"/>
  <c r="V231"/>
  <c r="W231" s="1"/>
  <c r="V230"/>
  <c r="W230" s="1"/>
  <c r="V229"/>
  <c r="W229" s="1"/>
  <c r="V228"/>
  <c r="W228" s="1"/>
  <c r="V227"/>
  <c r="W227" s="1"/>
  <c r="V226"/>
  <c r="W226" s="1"/>
  <c r="V225"/>
  <c r="W225" s="1"/>
  <c r="V224"/>
  <c r="W224" s="1"/>
  <c r="V223"/>
  <c r="W223" s="1"/>
  <c r="V222"/>
  <c r="W222" s="1"/>
  <c r="V221"/>
  <c r="W221" s="1"/>
  <c r="V220"/>
  <c r="W220" s="1"/>
  <c r="V219"/>
  <c r="W219" s="1"/>
  <c r="V218"/>
  <c r="W218" s="1"/>
  <c r="V217"/>
  <c r="W217" s="1"/>
  <c r="V216"/>
  <c r="W216" s="1"/>
  <c r="V215"/>
  <c r="W215" s="1"/>
  <c r="V214"/>
  <c r="W214" s="1"/>
  <c r="V213"/>
  <c r="W213" s="1"/>
  <c r="V212"/>
  <c r="W212" s="1"/>
  <c r="V211"/>
  <c r="W211" s="1"/>
  <c r="V210"/>
  <c r="W210" s="1"/>
  <c r="V209"/>
  <c r="W209" s="1"/>
  <c r="V208"/>
  <c r="W208" s="1"/>
  <c r="V207"/>
  <c r="W207" s="1"/>
  <c r="V206"/>
  <c r="W206" s="1"/>
  <c r="V205"/>
  <c r="W205" s="1"/>
  <c r="V204"/>
  <c r="W204" s="1"/>
  <c r="V203"/>
  <c r="W203" s="1"/>
  <c r="V202"/>
  <c r="W202" s="1"/>
  <c r="V201"/>
  <c r="W201" s="1"/>
  <c r="V200"/>
  <c r="W200" s="1"/>
  <c r="V199"/>
  <c r="W199" s="1"/>
  <c r="V198"/>
  <c r="W198" s="1"/>
  <c r="V197"/>
  <c r="W197" s="1"/>
  <c r="V196"/>
  <c r="W196" s="1"/>
  <c r="V195"/>
  <c r="W195" s="1"/>
  <c r="V194"/>
  <c r="W194" s="1"/>
  <c r="V193"/>
  <c r="W193" s="1"/>
  <c r="V192"/>
  <c r="W192" s="1"/>
  <c r="V191"/>
  <c r="W191" s="1"/>
  <c r="V190"/>
  <c r="W190" s="1"/>
  <c r="V189"/>
  <c r="W189" s="1"/>
  <c r="V188"/>
  <c r="W188" s="1"/>
  <c r="V187"/>
  <c r="W187" s="1"/>
  <c r="V186"/>
  <c r="W186" s="1"/>
  <c r="V185"/>
  <c r="W185" s="1"/>
  <c r="V184"/>
  <c r="W184" s="1"/>
  <c r="V183"/>
  <c r="W183" s="1"/>
  <c r="V182"/>
  <c r="W182" s="1"/>
  <c r="V181"/>
  <c r="W181" s="1"/>
  <c r="V180"/>
  <c r="W180" s="1"/>
  <c r="V179"/>
  <c r="W179" s="1"/>
  <c r="V178"/>
  <c r="W178" s="1"/>
  <c r="V177"/>
  <c r="W177" s="1"/>
  <c r="V176"/>
  <c r="W176" s="1"/>
  <c r="V175"/>
  <c r="W175" s="1"/>
  <c r="V174"/>
  <c r="W174" s="1"/>
  <c r="V173"/>
  <c r="W173" s="1"/>
  <c r="V172"/>
  <c r="W172" s="1"/>
  <c r="V171"/>
  <c r="W171" s="1"/>
  <c r="V170"/>
  <c r="W170" s="1"/>
  <c r="V169"/>
  <c r="W169" s="1"/>
  <c r="V168"/>
  <c r="W168" s="1"/>
  <c r="V167"/>
  <c r="W167" s="1"/>
  <c r="V166"/>
  <c r="W166" s="1"/>
  <c r="V165"/>
  <c r="W165" s="1"/>
  <c r="V164"/>
  <c r="W164" s="1"/>
  <c r="V163"/>
  <c r="W163" s="1"/>
  <c r="V162"/>
  <c r="W162" s="1"/>
  <c r="V161"/>
  <c r="W161" s="1"/>
  <c r="V160"/>
  <c r="W160" s="1"/>
  <c r="V159"/>
  <c r="W159" s="1"/>
  <c r="V158"/>
  <c r="W158" s="1"/>
  <c r="V157"/>
  <c r="W157" s="1"/>
  <c r="V156"/>
  <c r="W156" s="1"/>
  <c r="V155"/>
  <c r="W155" s="1"/>
  <c r="V154"/>
  <c r="W154" s="1"/>
  <c r="V153"/>
  <c r="W153" s="1"/>
  <c r="V152"/>
  <c r="W152" s="1"/>
  <c r="V151"/>
  <c r="W151" s="1"/>
  <c r="V150"/>
  <c r="W150" s="1"/>
  <c r="V149"/>
  <c r="W149" s="1"/>
  <c r="V148"/>
  <c r="W148" s="1"/>
  <c r="V147"/>
  <c r="W147" s="1"/>
  <c r="V146"/>
  <c r="W146" s="1"/>
  <c r="V145"/>
  <c r="W145" s="1"/>
  <c r="V144"/>
  <c r="W144" s="1"/>
  <c r="V143"/>
  <c r="W143" s="1"/>
  <c r="V142"/>
  <c r="W142" s="1"/>
  <c r="V141"/>
  <c r="W141" s="1"/>
  <c r="V140"/>
  <c r="W140" s="1"/>
  <c r="V139"/>
  <c r="W139" s="1"/>
  <c r="V138"/>
  <c r="W138" s="1"/>
  <c r="V137"/>
  <c r="W137" s="1"/>
  <c r="V136"/>
  <c r="W136" s="1"/>
  <c r="V135"/>
  <c r="W135" s="1"/>
  <c r="V134"/>
  <c r="W134" s="1"/>
  <c r="V133"/>
  <c r="W133" s="1"/>
  <c r="V132"/>
  <c r="W132" s="1"/>
  <c r="V131"/>
  <c r="W131" s="1"/>
  <c r="V130"/>
  <c r="W130" s="1"/>
  <c r="V129"/>
  <c r="W129" s="1"/>
  <c r="V128"/>
  <c r="W128" s="1"/>
  <c r="V127"/>
  <c r="W127" s="1"/>
  <c r="V126"/>
  <c r="W126" s="1"/>
  <c r="V125"/>
  <c r="W125" s="1"/>
  <c r="V124"/>
  <c r="W124" s="1"/>
  <c r="V123"/>
  <c r="W123" s="1"/>
  <c r="V122"/>
  <c r="W122" s="1"/>
  <c r="V121"/>
  <c r="W121" s="1"/>
  <c r="V120"/>
  <c r="W120" s="1"/>
  <c r="V119"/>
  <c r="W119" s="1"/>
  <c r="V118"/>
  <c r="W118" s="1"/>
  <c r="V117"/>
  <c r="W117" s="1"/>
  <c r="V116"/>
  <c r="W116" s="1"/>
  <c r="V115"/>
  <c r="W115" s="1"/>
  <c r="V114"/>
  <c r="W114" s="1"/>
  <c r="V113"/>
  <c r="W113" s="1"/>
  <c r="V112"/>
  <c r="W112" s="1"/>
  <c r="V111"/>
  <c r="W111" s="1"/>
  <c r="V110"/>
  <c r="W110" s="1"/>
  <c r="V109"/>
  <c r="W109" s="1"/>
  <c r="V108"/>
  <c r="W108" s="1"/>
  <c r="V107"/>
  <c r="W107" s="1"/>
  <c r="V106"/>
  <c r="W106" s="1"/>
  <c r="V105"/>
  <c r="W105" s="1"/>
  <c r="V104"/>
  <c r="W104" s="1"/>
  <c r="V103"/>
  <c r="W103" s="1"/>
  <c r="V102"/>
  <c r="W102" s="1"/>
  <c r="V101"/>
  <c r="W101" s="1"/>
  <c r="V100"/>
  <c r="W100" s="1"/>
  <c r="V99"/>
  <c r="W99" s="1"/>
  <c r="V98"/>
  <c r="W98" s="1"/>
  <c r="V97"/>
  <c r="W97" s="1"/>
  <c r="V96"/>
  <c r="W96" s="1"/>
  <c r="V95"/>
  <c r="W95" s="1"/>
  <c r="V94"/>
  <c r="W94" s="1"/>
  <c r="V93"/>
  <c r="W93" s="1"/>
  <c r="V92"/>
  <c r="W92" s="1"/>
  <c r="V91"/>
  <c r="W91" s="1"/>
  <c r="V90"/>
  <c r="W90" s="1"/>
  <c r="V89"/>
  <c r="W89" s="1"/>
  <c r="V88"/>
  <c r="W88" s="1"/>
  <c r="V87"/>
  <c r="W87" s="1"/>
  <c r="V86"/>
  <c r="W86" s="1"/>
  <c r="V85"/>
  <c r="W85" s="1"/>
  <c r="V84"/>
  <c r="W84" s="1"/>
  <c r="V83"/>
  <c r="W83" s="1"/>
  <c r="V82"/>
  <c r="W82" s="1"/>
  <c r="V81"/>
  <c r="W81" s="1"/>
  <c r="V80"/>
  <c r="W80" s="1"/>
  <c r="V79"/>
  <c r="W79" s="1"/>
  <c r="V78"/>
  <c r="W78" s="1"/>
  <c r="V77"/>
  <c r="W77" s="1"/>
  <c r="V76"/>
  <c r="W76" s="1"/>
  <c r="V75"/>
  <c r="W75" s="1"/>
  <c r="V74"/>
  <c r="W74" s="1"/>
  <c r="V73"/>
  <c r="W73" s="1"/>
  <c r="V72"/>
  <c r="W72" s="1"/>
  <c r="V71"/>
  <c r="W71" s="1"/>
  <c r="V70"/>
  <c r="W70" s="1"/>
  <c r="V69"/>
  <c r="W69" s="1"/>
  <c r="V68"/>
  <c r="W68" s="1"/>
  <c r="V67"/>
  <c r="W67" s="1"/>
  <c r="V66"/>
  <c r="W66" s="1"/>
  <c r="V65"/>
  <c r="W65" s="1"/>
  <c r="V64"/>
  <c r="W64" s="1"/>
  <c r="V63"/>
  <c r="W63" s="1"/>
  <c r="V62"/>
  <c r="W62" s="1"/>
  <c r="V61"/>
  <c r="W61" s="1"/>
  <c r="V60"/>
  <c r="W60" s="1"/>
  <c r="V59"/>
  <c r="W59" s="1"/>
  <c r="V58"/>
  <c r="W58" s="1"/>
  <c r="V57"/>
  <c r="W57" s="1"/>
  <c r="V56"/>
  <c r="W56" s="1"/>
  <c r="V55"/>
  <c r="W55" s="1"/>
  <c r="V54"/>
  <c r="W54" s="1"/>
  <c r="V53"/>
  <c r="W53" s="1"/>
  <c r="V52"/>
  <c r="W52" s="1"/>
  <c r="V51"/>
  <c r="W51" s="1"/>
  <c r="V50"/>
  <c r="W50" s="1"/>
  <c r="V49"/>
  <c r="W49" s="1"/>
  <c r="V48"/>
  <c r="W48" s="1"/>
  <c r="V47"/>
  <c r="W47" s="1"/>
  <c r="V46"/>
  <c r="W46" s="1"/>
  <c r="V45"/>
  <c r="W45" s="1"/>
  <c r="V44"/>
  <c r="W44" s="1"/>
  <c r="V43"/>
  <c r="W43" s="1"/>
  <c r="V42"/>
  <c r="W42" s="1"/>
  <c r="V41"/>
  <c r="W41" s="1"/>
  <c r="V40"/>
  <c r="W40" s="1"/>
  <c r="V39"/>
  <c r="W39" s="1"/>
  <c r="V38"/>
  <c r="W38" s="1"/>
  <c r="V37"/>
  <c r="W37" s="1"/>
  <c r="V36"/>
  <c r="W36" s="1"/>
  <c r="V35"/>
  <c r="W35" s="1"/>
  <c r="V34"/>
  <c r="W34" s="1"/>
  <c r="V33"/>
  <c r="W33" s="1"/>
  <c r="V32"/>
  <c r="W32" s="1"/>
  <c r="V11"/>
  <c r="W11" s="1"/>
  <c r="V10"/>
  <c r="W10" s="1"/>
  <c r="V16"/>
  <c r="W16" s="1"/>
  <c r="V17"/>
  <c r="W17" s="1"/>
  <c r="V26"/>
  <c r="W26" s="1"/>
  <c r="V27"/>
  <c r="W27" s="1"/>
  <c r="V31"/>
  <c r="W31" s="1"/>
  <c r="V9"/>
  <c r="W9" s="1"/>
  <c r="V15"/>
  <c r="W15" s="1"/>
  <c r="V25"/>
  <c r="W25" s="1"/>
  <c r="V21"/>
  <c r="W21" s="1"/>
  <c r="V20"/>
  <c r="W20" s="1"/>
  <c r="V30"/>
  <c r="W30" s="1"/>
  <c r="V8"/>
  <c r="W8" s="1"/>
  <c r="V14"/>
  <c r="W14" s="1"/>
  <c r="V24"/>
  <c r="W24" s="1"/>
  <c r="V19"/>
  <c r="W19" s="1"/>
  <c r="V29"/>
  <c r="W29" s="1"/>
  <c r="V7"/>
  <c r="W7" s="1"/>
  <c r="V13"/>
  <c r="W13" s="1"/>
  <c r="P18"/>
  <c r="V18"/>
  <c r="W18" s="1"/>
  <c r="P6"/>
  <c r="V6"/>
  <c r="W6" s="1"/>
  <c r="V12"/>
  <c r="W12" s="1"/>
  <c r="P12"/>
  <c r="V23"/>
  <c r="W23" s="1"/>
  <c r="P28"/>
  <c r="V28"/>
  <c r="W28" s="1"/>
  <c r="P23"/>
  <c r="B14"/>
  <c r="AB22"/>
  <c r="Q22"/>
  <c r="R22" s="1"/>
  <c r="X22"/>
  <c r="AB18"/>
  <c r="AB12"/>
  <c r="Q28"/>
  <c r="AB23"/>
  <c r="X12"/>
  <c r="Q18"/>
  <c r="X28"/>
  <c r="Q12"/>
  <c r="Q23"/>
  <c r="AB6"/>
  <c r="AB28"/>
  <c r="R28"/>
  <c r="X11"/>
  <c r="X6"/>
  <c r="S22"/>
  <c r="Q6"/>
  <c r="X27"/>
  <c r="X21"/>
  <c r="X23"/>
  <c r="X17"/>
  <c r="X18"/>
  <c r="R18"/>
  <c r="R12"/>
  <c r="R23"/>
  <c r="R6"/>
  <c r="AC22" l="1"/>
  <c r="Y18"/>
  <c r="Y23"/>
  <c r="Y22"/>
  <c r="T22"/>
  <c r="Y6"/>
  <c r="Z6" s="1"/>
  <c r="AC28"/>
  <c r="AC6"/>
  <c r="AD6" s="1"/>
  <c r="Y28"/>
  <c r="Y12"/>
  <c r="AC23"/>
  <c r="AC12"/>
  <c r="AC18"/>
  <c r="P29"/>
  <c r="P7"/>
  <c r="P24"/>
  <c r="P13"/>
  <c r="P19"/>
  <c r="Q13"/>
  <c r="X13"/>
  <c r="AB13"/>
  <c r="R13"/>
  <c r="X24"/>
  <c r="Q24"/>
  <c r="AB24"/>
  <c r="R24"/>
  <c r="Q7"/>
  <c r="X7"/>
  <c r="AB7"/>
  <c r="R7"/>
  <c r="X29"/>
  <c r="Q29"/>
  <c r="AB29"/>
  <c r="R29"/>
  <c r="S18"/>
  <c r="S6"/>
  <c r="Q19"/>
  <c r="X19"/>
  <c r="AB19"/>
  <c r="R19"/>
  <c r="S12"/>
  <c r="S23"/>
  <c r="S28"/>
  <c r="T28" l="1"/>
  <c r="T23"/>
  <c r="T12"/>
  <c r="AC19"/>
  <c r="Y19"/>
  <c r="T6"/>
  <c r="U6" s="1"/>
  <c r="T18"/>
  <c r="AC29"/>
  <c r="Y29"/>
  <c r="AC7"/>
  <c r="AD7" s="1"/>
  <c r="Y7"/>
  <c r="Z7" s="1"/>
  <c r="AC24"/>
  <c r="Y24"/>
  <c r="AC13"/>
  <c r="Y13"/>
  <c r="P20"/>
  <c r="P30"/>
  <c r="P8"/>
  <c r="P25"/>
  <c r="P14"/>
  <c r="S24"/>
  <c r="S13"/>
  <c r="S19"/>
  <c r="S29"/>
  <c r="S7"/>
  <c r="X20"/>
  <c r="Q20"/>
  <c r="AB20"/>
  <c r="R20"/>
  <c r="X30"/>
  <c r="Q30"/>
  <c r="AB30"/>
  <c r="R30"/>
  <c r="Q8"/>
  <c r="X8"/>
  <c r="AB8"/>
  <c r="R8"/>
  <c r="X25"/>
  <c r="Q25"/>
  <c r="AB25"/>
  <c r="R25"/>
  <c r="X14"/>
  <c r="Q14"/>
  <c r="AB14"/>
  <c r="R14"/>
  <c r="AC14" l="1"/>
  <c r="Y14"/>
  <c r="AC25"/>
  <c r="Y25"/>
  <c r="AC8"/>
  <c r="AD8" s="1"/>
  <c r="Y8"/>
  <c r="AC30"/>
  <c r="Y30"/>
  <c r="T7"/>
  <c r="U7" s="1"/>
  <c r="T29"/>
  <c r="T19"/>
  <c r="T13"/>
  <c r="T24"/>
  <c r="Z8"/>
  <c r="AC20"/>
  <c r="AC21"/>
  <c r="Y20"/>
  <c r="Y21"/>
  <c r="P15"/>
  <c r="P26"/>
  <c r="P9"/>
  <c r="P31"/>
  <c r="S8"/>
  <c r="S20"/>
  <c r="S25"/>
  <c r="S30"/>
  <c r="S14"/>
  <c r="Q15"/>
  <c r="X15"/>
  <c r="AB15"/>
  <c r="R15"/>
  <c r="X26"/>
  <c r="Q26"/>
  <c r="AB26"/>
  <c r="R26"/>
  <c r="Q9"/>
  <c r="X9"/>
  <c r="AB9"/>
  <c r="R9"/>
  <c r="X31"/>
  <c r="Q31"/>
  <c r="AB31"/>
  <c r="R31"/>
  <c r="AC31" l="1"/>
  <c r="Y31"/>
  <c r="AC9"/>
  <c r="AD9" s="1"/>
  <c r="Y9"/>
  <c r="Z9" s="1"/>
  <c r="AC15"/>
  <c r="Y15"/>
  <c r="T14"/>
  <c r="T30"/>
  <c r="T25"/>
  <c r="T21"/>
  <c r="T20"/>
  <c r="T8"/>
  <c r="U8" s="1"/>
  <c r="AC26"/>
  <c r="AC27"/>
  <c r="Y26"/>
  <c r="Y27"/>
  <c r="P32"/>
  <c r="P10"/>
  <c r="P16"/>
  <c r="S15"/>
  <c r="S26"/>
  <c r="S9"/>
  <c r="S31"/>
  <c r="X32"/>
  <c r="Q32"/>
  <c r="AB32"/>
  <c r="R32"/>
  <c r="Q10"/>
  <c r="X10"/>
  <c r="AB10"/>
  <c r="R10"/>
  <c r="Q16"/>
  <c r="X16"/>
  <c r="AB16"/>
  <c r="R16"/>
  <c r="AC32" l="1"/>
  <c r="Y32"/>
  <c r="T31"/>
  <c r="T9"/>
  <c r="U9" s="1"/>
  <c r="T27"/>
  <c r="T26"/>
  <c r="T15"/>
  <c r="AC16"/>
  <c r="AC17"/>
  <c r="Y16"/>
  <c r="Y17"/>
  <c r="AC10"/>
  <c r="AD10" s="1"/>
  <c r="AD11" s="1"/>
  <c r="AD12" s="1"/>
  <c r="AD13" s="1"/>
  <c r="AD14" s="1"/>
  <c r="AD15" s="1"/>
  <c r="AD16" s="1"/>
  <c r="AC11"/>
  <c r="Y10"/>
  <c r="Z10" s="1"/>
  <c r="Z11" s="1"/>
  <c r="Z12" s="1"/>
  <c r="Z13" s="1"/>
  <c r="Z14" s="1"/>
  <c r="Z15" s="1"/>
  <c r="Y11"/>
  <c r="P33"/>
  <c r="S10"/>
  <c r="S32"/>
  <c r="S16"/>
  <c r="Q33"/>
  <c r="X33"/>
  <c r="AB33"/>
  <c r="R33"/>
  <c r="AD17" l="1"/>
  <c r="AD18" s="1"/>
  <c r="AD19" s="1"/>
  <c r="AD20" s="1"/>
  <c r="AD21" s="1"/>
  <c r="AD22" s="1"/>
  <c r="AD23" s="1"/>
  <c r="AD24" s="1"/>
  <c r="AD25" s="1"/>
  <c r="AD26" s="1"/>
  <c r="AD27" s="1"/>
  <c r="AD28" s="1"/>
  <c r="AD29" s="1"/>
  <c r="AD30" s="1"/>
  <c r="AD31" s="1"/>
  <c r="AD32" s="1"/>
  <c r="Z16"/>
  <c r="Z17" s="1"/>
  <c r="Z18" s="1"/>
  <c r="Z19" s="1"/>
  <c r="Z20" s="1"/>
  <c r="Z21" s="1"/>
  <c r="Z22" s="1"/>
  <c r="Z23" s="1"/>
  <c r="Z24" s="1"/>
  <c r="Z25" s="1"/>
  <c r="Z26" s="1"/>
  <c r="Z27" s="1"/>
  <c r="Z28" s="1"/>
  <c r="Z29" s="1"/>
  <c r="Z30" s="1"/>
  <c r="Z31" s="1"/>
  <c r="Z32" s="1"/>
  <c r="Z33" s="1"/>
  <c r="AC33"/>
  <c r="Y33"/>
  <c r="T17"/>
  <c r="T16"/>
  <c r="T32"/>
  <c r="T11"/>
  <c r="T10"/>
  <c r="U10" s="1"/>
  <c r="P34"/>
  <c r="S33"/>
  <c r="Q34"/>
  <c r="X34"/>
  <c r="AB34"/>
  <c r="R34"/>
  <c r="AD33" l="1"/>
  <c r="AC34"/>
  <c r="Y34"/>
  <c r="Z34" s="1"/>
  <c r="T33"/>
  <c r="U11"/>
  <c r="U12" s="1"/>
  <c r="U13" s="1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P35"/>
  <c r="S34"/>
  <c r="Q35"/>
  <c r="X35"/>
  <c r="AB35"/>
  <c r="R35"/>
  <c r="AD34" l="1"/>
  <c r="AC35"/>
  <c r="Y35"/>
  <c r="Z35" s="1"/>
  <c r="T34"/>
  <c r="U33"/>
  <c r="P36"/>
  <c r="S35"/>
  <c r="X36"/>
  <c r="Q36"/>
  <c r="AB36"/>
  <c r="R36"/>
  <c r="AD35" l="1"/>
  <c r="AC36"/>
  <c r="Y36"/>
  <c r="Z36" s="1"/>
  <c r="T35"/>
  <c r="U34"/>
  <c r="P37"/>
  <c r="S36"/>
  <c r="Q37"/>
  <c r="X37"/>
  <c r="AB37"/>
  <c r="R37"/>
  <c r="AD36" l="1"/>
  <c r="AC37"/>
  <c r="Y37"/>
  <c r="Z37" s="1"/>
  <c r="T36"/>
  <c r="U35"/>
  <c r="P38"/>
  <c r="S37"/>
  <c r="X38"/>
  <c r="Q38"/>
  <c r="AB38"/>
  <c r="R38"/>
  <c r="AD37" l="1"/>
  <c r="AC38"/>
  <c r="Y38"/>
  <c r="Z38" s="1"/>
  <c r="T37"/>
  <c r="U36"/>
  <c r="P39"/>
  <c r="S38"/>
  <c r="X39"/>
  <c r="Q39"/>
  <c r="AB39"/>
  <c r="R39"/>
  <c r="AD38" l="1"/>
  <c r="AD39" s="1"/>
  <c r="AC39"/>
  <c r="Y39"/>
  <c r="Z39" s="1"/>
  <c r="T38"/>
  <c r="U37"/>
  <c r="U38" s="1"/>
  <c r="P40"/>
  <c r="S39"/>
  <c r="X40"/>
  <c r="Q40"/>
  <c r="AB40"/>
  <c r="R40"/>
  <c r="AC40" l="1"/>
  <c r="AD40" s="1"/>
  <c r="Y40"/>
  <c r="Z40" s="1"/>
  <c r="T39"/>
  <c r="U39" s="1"/>
  <c r="P41"/>
  <c r="S40"/>
  <c r="X41"/>
  <c r="Q41"/>
  <c r="AB41"/>
  <c r="R41"/>
  <c r="AC41" l="1"/>
  <c r="AD41" s="1"/>
  <c r="Y41"/>
  <c r="Z41" s="1"/>
  <c r="T40"/>
  <c r="U40" s="1"/>
  <c r="P42"/>
  <c r="S41"/>
  <c r="Q42"/>
  <c r="X42"/>
  <c r="AB42"/>
  <c r="R42"/>
  <c r="AC42" l="1"/>
  <c r="AD42" s="1"/>
  <c r="Y42"/>
  <c r="Z42" s="1"/>
  <c r="T41"/>
  <c r="U41" s="1"/>
  <c r="P43"/>
  <c r="S42"/>
  <c r="X43"/>
  <c r="Q43"/>
  <c r="AB43"/>
  <c r="R43"/>
  <c r="AC43" l="1"/>
  <c r="AD43" s="1"/>
  <c r="Y43"/>
  <c r="Z43" s="1"/>
  <c r="T42"/>
  <c r="U42" s="1"/>
  <c r="P44"/>
  <c r="S43"/>
  <c r="X44"/>
  <c r="Q44"/>
  <c r="AB44"/>
  <c r="R44"/>
  <c r="AC44" l="1"/>
  <c r="AD44" s="1"/>
  <c r="Y44"/>
  <c r="Z44" s="1"/>
  <c r="T43"/>
  <c r="U43" s="1"/>
  <c r="P45"/>
  <c r="S44"/>
  <c r="Q45"/>
  <c r="X45"/>
  <c r="AB45"/>
  <c r="R45"/>
  <c r="AC45" l="1"/>
  <c r="AD45" s="1"/>
  <c r="Y45"/>
  <c r="Z45" s="1"/>
  <c r="T44"/>
  <c r="U44" s="1"/>
  <c r="P46"/>
  <c r="S45"/>
  <c r="Q46"/>
  <c r="X46"/>
  <c r="AB46"/>
  <c r="R46"/>
  <c r="AC46" l="1"/>
  <c r="AD46" s="1"/>
  <c r="Y46"/>
  <c r="Z46" s="1"/>
  <c r="T45"/>
  <c r="U45" s="1"/>
  <c r="P47"/>
  <c r="S46"/>
  <c r="Q47"/>
  <c r="X47"/>
  <c r="AB47"/>
  <c r="R47"/>
  <c r="AC47" l="1"/>
  <c r="AD47" s="1"/>
  <c r="Y47"/>
  <c r="Z47" s="1"/>
  <c r="T46"/>
  <c r="U46" s="1"/>
  <c r="P48"/>
  <c r="S47"/>
  <c r="X48"/>
  <c r="Q48"/>
  <c r="AB48"/>
  <c r="R48"/>
  <c r="AC48" l="1"/>
  <c r="AD48" s="1"/>
  <c r="Y48"/>
  <c r="Z48" s="1"/>
  <c r="T47"/>
  <c r="U47" s="1"/>
  <c r="P49"/>
  <c r="S48"/>
  <c r="X49"/>
  <c r="Q49"/>
  <c r="AB49"/>
  <c r="R49"/>
  <c r="AC49" l="1"/>
  <c r="AD49" s="1"/>
  <c r="Y49"/>
  <c r="Z49" s="1"/>
  <c r="T48"/>
  <c r="U48" s="1"/>
  <c r="P50"/>
  <c r="S49"/>
  <c r="Q50"/>
  <c r="X50"/>
  <c r="AB50"/>
  <c r="R50"/>
  <c r="AC50" l="1"/>
  <c r="AD50" s="1"/>
  <c r="Y50"/>
  <c r="Z50" s="1"/>
  <c r="T49"/>
  <c r="U49" s="1"/>
  <c r="P51"/>
  <c r="S50"/>
  <c r="X51"/>
  <c r="Q51"/>
  <c r="AB51"/>
  <c r="R51"/>
  <c r="AC51" l="1"/>
  <c r="AD51" s="1"/>
  <c r="Y51"/>
  <c r="Z51" s="1"/>
  <c r="T50"/>
  <c r="U50" s="1"/>
  <c r="P52"/>
  <c r="S51"/>
  <c r="X52"/>
  <c r="Q52"/>
  <c r="AB52"/>
  <c r="R52"/>
  <c r="AC52" l="1"/>
  <c r="AD52" s="1"/>
  <c r="Y52"/>
  <c r="Z52" s="1"/>
  <c r="T51"/>
  <c r="U51" s="1"/>
  <c r="P53"/>
  <c r="S52"/>
  <c r="X53"/>
  <c r="Q53"/>
  <c r="AB53"/>
  <c r="R53"/>
  <c r="AC53" l="1"/>
  <c r="AD53" s="1"/>
  <c r="Y53"/>
  <c r="Z53" s="1"/>
  <c r="T52"/>
  <c r="U52" s="1"/>
  <c r="P54"/>
  <c r="S53"/>
  <c r="Q54"/>
  <c r="X54"/>
  <c r="AB54"/>
  <c r="R54"/>
  <c r="AC54" l="1"/>
  <c r="AD54" s="1"/>
  <c r="Y54"/>
  <c r="Z54" s="1"/>
  <c r="T53"/>
  <c r="U53" s="1"/>
  <c r="P55"/>
  <c r="S54"/>
  <c r="Q55"/>
  <c r="X55"/>
  <c r="AB55"/>
  <c r="R55"/>
  <c r="AC55" l="1"/>
  <c r="AD55" s="1"/>
  <c r="Y55"/>
  <c r="Z55" s="1"/>
  <c r="T54"/>
  <c r="U54" s="1"/>
  <c r="P56"/>
  <c r="S55"/>
  <c r="X56"/>
  <c r="Q56"/>
  <c r="AB56"/>
  <c r="R56"/>
  <c r="AC56" l="1"/>
  <c r="AD56" s="1"/>
  <c r="Y56"/>
  <c r="Z56" s="1"/>
  <c r="T55"/>
  <c r="U55" s="1"/>
  <c r="P57"/>
  <c r="S56"/>
  <c r="X57"/>
  <c r="Q57"/>
  <c r="AB57"/>
  <c r="R57"/>
  <c r="AC57" l="1"/>
  <c r="AD57" s="1"/>
  <c r="Y57"/>
  <c r="Z57" s="1"/>
  <c r="T56"/>
  <c r="U56" s="1"/>
  <c r="P58"/>
  <c r="S57"/>
  <c r="Q58"/>
  <c r="X58"/>
  <c r="AB58"/>
  <c r="R58"/>
  <c r="AC58" l="1"/>
  <c r="AD58" s="1"/>
  <c r="Y58"/>
  <c r="Z58" s="1"/>
  <c r="T57"/>
  <c r="U57" s="1"/>
  <c r="P59"/>
  <c r="S58"/>
  <c r="Q59"/>
  <c r="X59"/>
  <c r="AB59"/>
  <c r="R59"/>
  <c r="AC59" l="1"/>
  <c r="AD59" s="1"/>
  <c r="Y59"/>
  <c r="Z59" s="1"/>
  <c r="T58"/>
  <c r="U58" s="1"/>
  <c r="P60"/>
  <c r="S59"/>
  <c r="X60"/>
  <c r="Q60"/>
  <c r="AB60"/>
  <c r="R60"/>
  <c r="AC60" l="1"/>
  <c r="AD60" s="1"/>
  <c r="Y60"/>
  <c r="Z60" s="1"/>
  <c r="T59"/>
  <c r="U59" s="1"/>
  <c r="P61"/>
  <c r="S60"/>
  <c r="X61"/>
  <c r="Q61"/>
  <c r="AB61"/>
  <c r="R61"/>
  <c r="AC61" l="1"/>
  <c r="AD61" s="1"/>
  <c r="Y61"/>
  <c r="Z61" s="1"/>
  <c r="T60"/>
  <c r="U60" s="1"/>
  <c r="P62"/>
  <c r="S61"/>
  <c r="Q62"/>
  <c r="X62"/>
  <c r="AB62"/>
  <c r="R62"/>
  <c r="AC62" l="1"/>
  <c r="AD62" s="1"/>
  <c r="Y62"/>
  <c r="Z62" s="1"/>
  <c r="T61"/>
  <c r="U61" s="1"/>
  <c r="P63"/>
  <c r="S62"/>
  <c r="Q63"/>
  <c r="X63"/>
  <c r="AB63"/>
  <c r="R63"/>
  <c r="AC63" l="1"/>
  <c r="AD63" s="1"/>
  <c r="Y63"/>
  <c r="Z63" s="1"/>
  <c r="T62"/>
  <c r="U62" s="1"/>
  <c r="P64"/>
  <c r="S63"/>
  <c r="X64"/>
  <c r="Q64"/>
  <c r="AB64"/>
  <c r="R64"/>
  <c r="AC64" l="1"/>
  <c r="AD64" s="1"/>
  <c r="Y64"/>
  <c r="Z64" s="1"/>
  <c r="T63"/>
  <c r="U63" s="1"/>
  <c r="P65"/>
  <c r="S64"/>
  <c r="X65"/>
  <c r="Q65"/>
  <c r="AB65"/>
  <c r="R65"/>
  <c r="AC65" l="1"/>
  <c r="AD65" s="1"/>
  <c r="Y65"/>
  <c r="Z65" s="1"/>
  <c r="T64"/>
  <c r="U64" s="1"/>
  <c r="P66"/>
  <c r="S65"/>
  <c r="X66"/>
  <c r="Q66"/>
  <c r="AB66"/>
  <c r="R66"/>
  <c r="AC66" l="1"/>
  <c r="AD66" s="1"/>
  <c r="Y66"/>
  <c r="Z66" s="1"/>
  <c r="T65"/>
  <c r="U65" s="1"/>
  <c r="P67"/>
  <c r="S66"/>
  <c r="X67"/>
  <c r="Q67"/>
  <c r="AB67"/>
  <c r="R67"/>
  <c r="AC67" l="1"/>
  <c r="AD67" s="1"/>
  <c r="Y67"/>
  <c r="Z67" s="1"/>
  <c r="T66"/>
  <c r="U66" s="1"/>
  <c r="P68"/>
  <c r="S67"/>
  <c r="Q68"/>
  <c r="X68"/>
  <c r="AB68"/>
  <c r="R68"/>
  <c r="AC68" l="1"/>
  <c r="AD68" s="1"/>
  <c r="Y68"/>
  <c r="Z68" s="1"/>
  <c r="T67"/>
  <c r="U67" s="1"/>
  <c r="P69"/>
  <c r="S68"/>
  <c r="X69"/>
  <c r="Q69"/>
  <c r="AB69"/>
  <c r="R69"/>
  <c r="AC69" l="1"/>
  <c r="AD69" s="1"/>
  <c r="Y69"/>
  <c r="Z69" s="1"/>
  <c r="T68"/>
  <c r="U68" s="1"/>
  <c r="P70"/>
  <c r="S69"/>
  <c r="Q70"/>
  <c r="X70"/>
  <c r="AB70"/>
  <c r="R70"/>
  <c r="AC70" l="1"/>
  <c r="AD70" s="1"/>
  <c r="Y70"/>
  <c r="Z70" s="1"/>
  <c r="T69"/>
  <c r="U69" s="1"/>
  <c r="P71"/>
  <c r="S70"/>
  <c r="X71"/>
  <c r="Q71"/>
  <c r="AB71"/>
  <c r="R71"/>
  <c r="AC71" l="1"/>
  <c r="AD71" s="1"/>
  <c r="Y71"/>
  <c r="Z71" s="1"/>
  <c r="T70"/>
  <c r="U70" s="1"/>
  <c r="P72"/>
  <c r="S71"/>
  <c r="X72"/>
  <c r="Q72"/>
  <c r="AB72"/>
  <c r="R72"/>
  <c r="AC72" l="1"/>
  <c r="AD72" s="1"/>
  <c r="Y72"/>
  <c r="Z72" s="1"/>
  <c r="T71"/>
  <c r="U71" s="1"/>
  <c r="P73"/>
  <c r="S72"/>
  <c r="X73"/>
  <c r="Q73"/>
  <c r="AB73"/>
  <c r="R73"/>
  <c r="AC73" l="1"/>
  <c r="AD73" s="1"/>
  <c r="Y73"/>
  <c r="Z73" s="1"/>
  <c r="T72"/>
  <c r="U72" s="1"/>
  <c r="P74"/>
  <c r="S73"/>
  <c r="Q74"/>
  <c r="X74"/>
  <c r="AB74"/>
  <c r="R74"/>
  <c r="AC74" l="1"/>
  <c r="AD74" s="1"/>
  <c r="Y74"/>
  <c r="Z74" s="1"/>
  <c r="T73"/>
  <c r="U73" s="1"/>
  <c r="P75"/>
  <c r="S74"/>
  <c r="X75"/>
  <c r="Q75"/>
  <c r="AB75"/>
  <c r="R75"/>
  <c r="AC75" l="1"/>
  <c r="AD75" s="1"/>
  <c r="Y75"/>
  <c r="Z75" s="1"/>
  <c r="T74"/>
  <c r="U74" s="1"/>
  <c r="P76"/>
  <c r="S75"/>
  <c r="X76"/>
  <c r="Q76"/>
  <c r="AB76"/>
  <c r="R76"/>
  <c r="AC76" l="1"/>
  <c r="AD76" s="1"/>
  <c r="Y76"/>
  <c r="Z76" s="1"/>
  <c r="T75"/>
  <c r="U75" s="1"/>
  <c r="P77"/>
  <c r="S76"/>
  <c r="X77"/>
  <c r="Q77"/>
  <c r="AB77"/>
  <c r="R77"/>
  <c r="AC77" l="1"/>
  <c r="AD77" s="1"/>
  <c r="Y77"/>
  <c r="Z77" s="1"/>
  <c r="T76"/>
  <c r="U76" s="1"/>
  <c r="P78"/>
  <c r="S77"/>
  <c r="Q78"/>
  <c r="X78"/>
  <c r="AB78"/>
  <c r="R78"/>
  <c r="AC78" l="1"/>
  <c r="AD78" s="1"/>
  <c r="Y78"/>
  <c r="Z78" s="1"/>
  <c r="T77"/>
  <c r="U77" s="1"/>
  <c r="P79"/>
  <c r="S78"/>
  <c r="Q79"/>
  <c r="X79"/>
  <c r="AB79"/>
  <c r="R79"/>
  <c r="AC79" l="1"/>
  <c r="AD79" s="1"/>
  <c r="Y79"/>
  <c r="Z79" s="1"/>
  <c r="T78"/>
  <c r="U78" s="1"/>
  <c r="P80"/>
  <c r="S79"/>
  <c r="X80"/>
  <c r="Q80"/>
  <c r="AB80"/>
  <c r="R80"/>
  <c r="AC80" l="1"/>
  <c r="AD80" s="1"/>
  <c r="Y80"/>
  <c r="Z80" s="1"/>
  <c r="T79"/>
  <c r="U79" s="1"/>
  <c r="P81"/>
  <c r="S80"/>
  <c r="X81"/>
  <c r="Q81"/>
  <c r="AB81"/>
  <c r="R81"/>
  <c r="AC81" l="1"/>
  <c r="AD81" s="1"/>
  <c r="Y81"/>
  <c r="Z81" s="1"/>
  <c r="T80"/>
  <c r="U80" s="1"/>
  <c r="P82"/>
  <c r="S81"/>
  <c r="Q82"/>
  <c r="X82"/>
  <c r="AB82"/>
  <c r="R82"/>
  <c r="AC82" l="1"/>
  <c r="AD82" s="1"/>
  <c r="Y82"/>
  <c r="Z82" s="1"/>
  <c r="T81"/>
  <c r="U81" s="1"/>
  <c r="P83"/>
  <c r="S82"/>
  <c r="Q83"/>
  <c r="X83"/>
  <c r="AB83"/>
  <c r="R83"/>
  <c r="AC83" l="1"/>
  <c r="AD83" s="1"/>
  <c r="Y83"/>
  <c r="Z83" s="1"/>
  <c r="T82"/>
  <c r="U82" s="1"/>
  <c r="P84"/>
  <c r="S83"/>
  <c r="Q84"/>
  <c r="X84"/>
  <c r="AB84"/>
  <c r="R84"/>
  <c r="AC84" l="1"/>
  <c r="AD84" s="1"/>
  <c r="Y84"/>
  <c r="Z84" s="1"/>
  <c r="T83"/>
  <c r="U83" s="1"/>
  <c r="P85"/>
  <c r="S84"/>
  <c r="X85"/>
  <c r="Q85"/>
  <c r="AB85"/>
  <c r="R85"/>
  <c r="AC85" l="1"/>
  <c r="AD85" s="1"/>
  <c r="Y85"/>
  <c r="Z85" s="1"/>
  <c r="T84"/>
  <c r="U84" s="1"/>
  <c r="P86"/>
  <c r="S85"/>
  <c r="Q86"/>
  <c r="X86"/>
  <c r="AB86"/>
  <c r="R86"/>
  <c r="AC86" l="1"/>
  <c r="AD86" s="1"/>
  <c r="Y86"/>
  <c r="Z86" s="1"/>
  <c r="T85"/>
  <c r="U85" s="1"/>
  <c r="P87"/>
  <c r="S86"/>
  <c r="X87"/>
  <c r="Q87"/>
  <c r="AB87"/>
  <c r="R87"/>
  <c r="AC87" l="1"/>
  <c r="AD87" s="1"/>
  <c r="Y87"/>
  <c r="Z87" s="1"/>
  <c r="T86"/>
  <c r="U86" s="1"/>
  <c r="P88"/>
  <c r="S87"/>
  <c r="X88"/>
  <c r="Q88"/>
  <c r="AB88"/>
  <c r="R88"/>
  <c r="AC88" l="1"/>
  <c r="AD88" s="1"/>
  <c r="Y88"/>
  <c r="Z88" s="1"/>
  <c r="T87"/>
  <c r="U87" s="1"/>
  <c r="P89"/>
  <c r="S88"/>
  <c r="X89"/>
  <c r="Q89"/>
  <c r="AB89"/>
  <c r="R89"/>
  <c r="AC89" l="1"/>
  <c r="AD89" s="1"/>
  <c r="Y89"/>
  <c r="Z89" s="1"/>
  <c r="T88"/>
  <c r="U88" s="1"/>
  <c r="P90"/>
  <c r="S89"/>
  <c r="Q90"/>
  <c r="X90"/>
  <c r="AB90"/>
  <c r="R90"/>
  <c r="AC90" l="1"/>
  <c r="AD90" s="1"/>
  <c r="Y90"/>
  <c r="Z90" s="1"/>
  <c r="T89"/>
  <c r="U89" s="1"/>
  <c r="P91"/>
  <c r="S90"/>
  <c r="Q91"/>
  <c r="X91"/>
  <c r="AB91"/>
  <c r="R91"/>
  <c r="AC91" l="1"/>
  <c r="AD91" s="1"/>
  <c r="Y91"/>
  <c r="Z91" s="1"/>
  <c r="T90"/>
  <c r="U90" s="1"/>
  <c r="P92"/>
  <c r="S91"/>
  <c r="X92"/>
  <c r="Q92"/>
  <c r="AB92"/>
  <c r="R92"/>
  <c r="AC92" l="1"/>
  <c r="AD92" s="1"/>
  <c r="Y92"/>
  <c r="Z92" s="1"/>
  <c r="T91"/>
  <c r="U91" s="1"/>
  <c r="P93"/>
  <c r="S92"/>
  <c r="X93"/>
  <c r="Q93"/>
  <c r="AB93"/>
  <c r="R93"/>
  <c r="AC93" l="1"/>
  <c r="AD93" s="1"/>
  <c r="Y93"/>
  <c r="Z93" s="1"/>
  <c r="T92"/>
  <c r="U92" s="1"/>
  <c r="P94"/>
  <c r="S93"/>
  <c r="Q94"/>
  <c r="X94"/>
  <c r="AB94"/>
  <c r="R94"/>
  <c r="AC94" l="1"/>
  <c r="AD94" s="1"/>
  <c r="Y94"/>
  <c r="Z94" s="1"/>
  <c r="T93"/>
  <c r="U93" s="1"/>
  <c r="P95"/>
  <c r="S94"/>
  <c r="X95"/>
  <c r="Q95"/>
  <c r="AB95"/>
  <c r="R95"/>
  <c r="AC95" l="1"/>
  <c r="AD95" s="1"/>
  <c r="Y95"/>
  <c r="Z95" s="1"/>
  <c r="T94"/>
  <c r="U94" s="1"/>
  <c r="P96"/>
  <c r="S95"/>
  <c r="X96"/>
  <c r="Q96"/>
  <c r="AB96"/>
  <c r="R96"/>
  <c r="AC96" l="1"/>
  <c r="AD96" s="1"/>
  <c r="Y96"/>
  <c r="Z96" s="1"/>
  <c r="T95"/>
  <c r="U95" s="1"/>
  <c r="P97"/>
  <c r="S96"/>
  <c r="X97"/>
  <c r="Q97"/>
  <c r="AB97"/>
  <c r="R97"/>
  <c r="AC97" l="1"/>
  <c r="AD97" s="1"/>
  <c r="Y97"/>
  <c r="Z97" s="1"/>
  <c r="T96"/>
  <c r="U96" s="1"/>
  <c r="P98"/>
  <c r="S97"/>
  <c r="Q98"/>
  <c r="X98"/>
  <c r="AB98"/>
  <c r="R98"/>
  <c r="AC98" l="1"/>
  <c r="AD98" s="1"/>
  <c r="Y98"/>
  <c r="Z98" s="1"/>
  <c r="T97"/>
  <c r="U97" s="1"/>
  <c r="P99"/>
  <c r="S98"/>
  <c r="Q99"/>
  <c r="X99"/>
  <c r="AB99"/>
  <c r="R99"/>
  <c r="AC99" l="1"/>
  <c r="AD99" s="1"/>
  <c r="Y99"/>
  <c r="Z99" s="1"/>
  <c r="T98"/>
  <c r="U98" s="1"/>
  <c r="P100"/>
  <c r="S99"/>
  <c r="X100"/>
  <c r="Q100"/>
  <c r="AB100"/>
  <c r="R100"/>
  <c r="AC100" l="1"/>
  <c r="AD100" s="1"/>
  <c r="Y100"/>
  <c r="Z100" s="1"/>
  <c r="T99"/>
  <c r="U99" s="1"/>
  <c r="P101"/>
  <c r="S100"/>
  <c r="X101"/>
  <c r="Q101"/>
  <c r="AB101"/>
  <c r="R101"/>
  <c r="AC101" l="1"/>
  <c r="AD101" s="1"/>
  <c r="Y101"/>
  <c r="Z101" s="1"/>
  <c r="T100"/>
  <c r="U100" s="1"/>
  <c r="P102"/>
  <c r="S101"/>
  <c r="Q102"/>
  <c r="X102"/>
  <c r="AB102"/>
  <c r="R102"/>
  <c r="AC102" l="1"/>
  <c r="AD102" s="1"/>
  <c r="Y102"/>
  <c r="Z102" s="1"/>
  <c r="T101"/>
  <c r="U101" s="1"/>
  <c r="P103"/>
  <c r="S102"/>
  <c r="Q103"/>
  <c r="X103"/>
  <c r="AB103"/>
  <c r="R103"/>
  <c r="AC103" l="1"/>
  <c r="AD103" s="1"/>
  <c r="Y103"/>
  <c r="Z103" s="1"/>
  <c r="T102"/>
  <c r="U102" s="1"/>
  <c r="P104"/>
  <c r="S103"/>
  <c r="X104"/>
  <c r="Q104"/>
  <c r="AB104"/>
  <c r="R104"/>
  <c r="AC104" l="1"/>
  <c r="AD104" s="1"/>
  <c r="Y104"/>
  <c r="Z104" s="1"/>
  <c r="T103"/>
  <c r="U103" s="1"/>
  <c r="P105"/>
  <c r="S104"/>
  <c r="X105"/>
  <c r="Q105"/>
  <c r="AB105"/>
  <c r="R105"/>
  <c r="AC105" l="1"/>
  <c r="AD105" s="1"/>
  <c r="Y105"/>
  <c r="Z105" s="1"/>
  <c r="T104"/>
  <c r="U104" s="1"/>
  <c r="P106"/>
  <c r="S105"/>
  <c r="Q106"/>
  <c r="X106"/>
  <c r="AB106"/>
  <c r="R106"/>
  <c r="AC106" l="1"/>
  <c r="AD106" s="1"/>
  <c r="Y106"/>
  <c r="Z106" s="1"/>
  <c r="T105"/>
  <c r="U105" s="1"/>
  <c r="P107"/>
  <c r="S106"/>
  <c r="Q107"/>
  <c r="X107"/>
  <c r="AB107"/>
  <c r="R107"/>
  <c r="AC107" l="1"/>
  <c r="AD107" s="1"/>
  <c r="Y107"/>
  <c r="Z107" s="1"/>
  <c r="T106"/>
  <c r="U106" s="1"/>
  <c r="P108"/>
  <c r="S107"/>
  <c r="X108"/>
  <c r="Q108"/>
  <c r="AB108"/>
  <c r="R108"/>
  <c r="AC108" l="1"/>
  <c r="AD108" s="1"/>
  <c r="Y108"/>
  <c r="Z108" s="1"/>
  <c r="T107"/>
  <c r="U107" s="1"/>
  <c r="P109"/>
  <c r="S108"/>
  <c r="X109"/>
  <c r="Q109"/>
  <c r="AB109"/>
  <c r="R109"/>
  <c r="AC109" l="1"/>
  <c r="AD109" s="1"/>
  <c r="Y109"/>
  <c r="Z109" s="1"/>
  <c r="T108"/>
  <c r="U108" s="1"/>
  <c r="P110"/>
  <c r="S109"/>
  <c r="Q110"/>
  <c r="X110"/>
  <c r="AB110"/>
  <c r="R110"/>
  <c r="AC110" l="1"/>
  <c r="AD110" s="1"/>
  <c r="Y110"/>
  <c r="Z110" s="1"/>
  <c r="T109"/>
  <c r="U109" s="1"/>
  <c r="P111"/>
  <c r="S110"/>
  <c r="X111"/>
  <c r="Q111"/>
  <c r="AB111"/>
  <c r="R111"/>
  <c r="AC111" l="1"/>
  <c r="AD111" s="1"/>
  <c r="Y111"/>
  <c r="Z111" s="1"/>
  <c r="T110"/>
  <c r="U110" s="1"/>
  <c r="P112"/>
  <c r="S111"/>
  <c r="X112"/>
  <c r="Q112"/>
  <c r="AB112"/>
  <c r="R112"/>
  <c r="AC112" l="1"/>
  <c r="AD112" s="1"/>
  <c r="Y112"/>
  <c r="Z112" s="1"/>
  <c r="T111"/>
  <c r="U111" s="1"/>
  <c r="P113"/>
  <c r="S112"/>
  <c r="X113"/>
  <c r="Q113"/>
  <c r="AB113"/>
  <c r="R113"/>
  <c r="AC113" l="1"/>
  <c r="AD113" s="1"/>
  <c r="Y113"/>
  <c r="Z113" s="1"/>
  <c r="T112"/>
  <c r="U112" s="1"/>
  <c r="P114"/>
  <c r="S113"/>
  <c r="Q114"/>
  <c r="X114"/>
  <c r="AB114"/>
  <c r="R114"/>
  <c r="AC114" l="1"/>
  <c r="AD114" s="1"/>
  <c r="Y114"/>
  <c r="Z114" s="1"/>
  <c r="T113"/>
  <c r="U113" s="1"/>
  <c r="P115"/>
  <c r="S114"/>
  <c r="Q115"/>
  <c r="X115"/>
  <c r="AB115"/>
  <c r="R115"/>
  <c r="AC115" l="1"/>
  <c r="AD115" s="1"/>
  <c r="Y115"/>
  <c r="Z115" s="1"/>
  <c r="T114"/>
  <c r="U114" s="1"/>
  <c r="P116"/>
  <c r="S115"/>
  <c r="X116"/>
  <c r="Q116"/>
  <c r="AB116"/>
  <c r="R116"/>
  <c r="AC116" l="1"/>
  <c r="AD116" s="1"/>
  <c r="Y116"/>
  <c r="Z116" s="1"/>
  <c r="T115"/>
  <c r="U115" s="1"/>
  <c r="P117"/>
  <c r="S116"/>
  <c r="X117"/>
  <c r="Q117"/>
  <c r="AB117"/>
  <c r="R117"/>
  <c r="AC117" l="1"/>
  <c r="AD117" s="1"/>
  <c r="Y117"/>
  <c r="Z117" s="1"/>
  <c r="T116"/>
  <c r="U116" s="1"/>
  <c r="P118"/>
  <c r="S117"/>
  <c r="Q118"/>
  <c r="X118"/>
  <c r="AB118"/>
  <c r="R118"/>
  <c r="AC118" l="1"/>
  <c r="AD118" s="1"/>
  <c r="Y118"/>
  <c r="Z118" s="1"/>
  <c r="T117"/>
  <c r="U117" s="1"/>
  <c r="P119"/>
  <c r="S118"/>
  <c r="X119"/>
  <c r="Q119"/>
  <c r="AB119"/>
  <c r="R119"/>
  <c r="AC119" l="1"/>
  <c r="AD119" s="1"/>
  <c r="Y119"/>
  <c r="Z119" s="1"/>
  <c r="T118"/>
  <c r="U118" s="1"/>
  <c r="P120"/>
  <c r="S119"/>
  <c r="X120"/>
  <c r="Q120"/>
  <c r="AB120"/>
  <c r="R120"/>
  <c r="AC120" l="1"/>
  <c r="AD120" s="1"/>
  <c r="Y120"/>
  <c r="Z120" s="1"/>
  <c r="T119"/>
  <c r="U119"/>
  <c r="P121"/>
  <c r="S120"/>
  <c r="X121"/>
  <c r="Q121"/>
  <c r="AB121"/>
  <c r="R121"/>
  <c r="AC121" l="1"/>
  <c r="AD121" s="1"/>
  <c r="Y121"/>
  <c r="Z121" s="1"/>
  <c r="T120"/>
  <c r="U120" s="1"/>
  <c r="P122"/>
  <c r="S121"/>
  <c r="Q122"/>
  <c r="X122"/>
  <c r="AB122"/>
  <c r="R122"/>
  <c r="AC122" l="1"/>
  <c r="AD122" s="1"/>
  <c r="Y122"/>
  <c r="Z122" s="1"/>
  <c r="T121"/>
  <c r="U121" s="1"/>
  <c r="P123"/>
  <c r="S122"/>
  <c r="X123"/>
  <c r="Q123"/>
  <c r="AB123"/>
  <c r="R123"/>
  <c r="AC123" l="1"/>
  <c r="AD123" s="1"/>
  <c r="Y123"/>
  <c r="Z123" s="1"/>
  <c r="T122"/>
  <c r="U122" s="1"/>
  <c r="P124"/>
  <c r="S123"/>
  <c r="X124"/>
  <c r="Q124"/>
  <c r="AB124"/>
  <c r="R124"/>
  <c r="AC124" l="1"/>
  <c r="AD124" s="1"/>
  <c r="Y124"/>
  <c r="Z124" s="1"/>
  <c r="T123"/>
  <c r="U123" s="1"/>
  <c r="P125"/>
  <c r="S124"/>
  <c r="X125"/>
  <c r="Q125"/>
  <c r="AB125"/>
  <c r="R125"/>
  <c r="AC125" l="1"/>
  <c r="AD125" s="1"/>
  <c r="Y125"/>
  <c r="Z125" s="1"/>
  <c r="T124"/>
  <c r="U124" s="1"/>
  <c r="P126"/>
  <c r="S125"/>
  <c r="Q126"/>
  <c r="X126"/>
  <c r="AB126"/>
  <c r="R126"/>
  <c r="AC126" l="1"/>
  <c r="AD126" s="1"/>
  <c r="Y126"/>
  <c r="Z126" s="1"/>
  <c r="T125"/>
  <c r="U125" s="1"/>
  <c r="P127"/>
  <c r="S126"/>
  <c r="Q127"/>
  <c r="X127"/>
  <c r="AB127"/>
  <c r="R127"/>
  <c r="AC127" l="1"/>
  <c r="AD127" s="1"/>
  <c r="Y127"/>
  <c r="Z127" s="1"/>
  <c r="T126"/>
  <c r="U126" s="1"/>
  <c r="P128"/>
  <c r="S127"/>
  <c r="X128"/>
  <c r="Q128"/>
  <c r="AB128"/>
  <c r="R128"/>
  <c r="AC128" l="1"/>
  <c r="AD128" s="1"/>
  <c r="Y128"/>
  <c r="Z128" s="1"/>
  <c r="T127"/>
  <c r="U127" s="1"/>
  <c r="P129"/>
  <c r="S128"/>
  <c r="X129"/>
  <c r="Q129"/>
  <c r="AB129"/>
  <c r="R129"/>
  <c r="AC129" l="1"/>
  <c r="AD129" s="1"/>
  <c r="Y129"/>
  <c r="Z129" s="1"/>
  <c r="T128"/>
  <c r="U128" s="1"/>
  <c r="P130"/>
  <c r="S129"/>
  <c r="X130"/>
  <c r="Q130"/>
  <c r="AB130"/>
  <c r="R130"/>
  <c r="AC130" l="1"/>
  <c r="AD130" s="1"/>
  <c r="Y130"/>
  <c r="Z130" s="1"/>
  <c r="T129"/>
  <c r="U129" s="1"/>
  <c r="P131"/>
  <c r="S130"/>
  <c r="X131"/>
  <c r="Q131"/>
  <c r="AB131"/>
  <c r="R131"/>
  <c r="AC131" l="1"/>
  <c r="AD131" s="1"/>
  <c r="Y131"/>
  <c r="Z131" s="1"/>
  <c r="T130"/>
  <c r="U130" s="1"/>
  <c r="P132"/>
  <c r="S131"/>
  <c r="X132"/>
  <c r="Q132"/>
  <c r="AB132"/>
  <c r="R132"/>
  <c r="AC132" l="1"/>
  <c r="AD132" s="1"/>
  <c r="Y132"/>
  <c r="Z132" s="1"/>
  <c r="T131"/>
  <c r="U131" s="1"/>
  <c r="P133"/>
  <c r="S132"/>
  <c r="X133"/>
  <c r="Q133"/>
  <c r="AB133"/>
  <c r="R133"/>
  <c r="AC133" l="1"/>
  <c r="AD133" s="1"/>
  <c r="Y133"/>
  <c r="Z133" s="1"/>
  <c r="T132"/>
  <c r="U132" s="1"/>
  <c r="P134"/>
  <c r="S133"/>
  <c r="Q134"/>
  <c r="X134"/>
  <c r="AB134"/>
  <c r="R134"/>
  <c r="AC134" l="1"/>
  <c r="AD134" s="1"/>
  <c r="Y134"/>
  <c r="Z134" s="1"/>
  <c r="T133"/>
  <c r="U133" s="1"/>
  <c r="P135"/>
  <c r="S134"/>
  <c r="Q135"/>
  <c r="X135"/>
  <c r="AB135"/>
  <c r="R135"/>
  <c r="AC135" l="1"/>
  <c r="AD135" s="1"/>
  <c r="Y135"/>
  <c r="Z135" s="1"/>
  <c r="T134"/>
  <c r="U134" s="1"/>
  <c r="P136"/>
  <c r="S135"/>
  <c r="X136"/>
  <c r="Q136"/>
  <c r="AB136"/>
  <c r="R136"/>
  <c r="AC136" l="1"/>
  <c r="AD136" s="1"/>
  <c r="Y136"/>
  <c r="Z136" s="1"/>
  <c r="T135"/>
  <c r="U135" s="1"/>
  <c r="P137"/>
  <c r="S136"/>
  <c r="X137"/>
  <c r="Q137"/>
  <c r="AB137"/>
  <c r="R137"/>
  <c r="AC137" l="1"/>
  <c r="AD137" s="1"/>
  <c r="Y137"/>
  <c r="Z137" s="1"/>
  <c r="T136"/>
  <c r="U136" s="1"/>
  <c r="P138"/>
  <c r="S137"/>
  <c r="Q138"/>
  <c r="X138"/>
  <c r="AB138"/>
  <c r="R138"/>
  <c r="AC138" l="1"/>
  <c r="AD138" s="1"/>
  <c r="Y138"/>
  <c r="Z138" s="1"/>
  <c r="T137"/>
  <c r="U137" s="1"/>
  <c r="P139"/>
  <c r="S138"/>
  <c r="Q139"/>
  <c r="X139"/>
  <c r="AB139"/>
  <c r="R139"/>
  <c r="AC139" l="1"/>
  <c r="AD139" s="1"/>
  <c r="Y139"/>
  <c r="Z139" s="1"/>
  <c r="T138"/>
  <c r="U138" s="1"/>
  <c r="P140"/>
  <c r="S139"/>
  <c r="X140"/>
  <c r="Q140"/>
  <c r="AB140"/>
  <c r="R140"/>
  <c r="AC140" l="1"/>
  <c r="AD140" s="1"/>
  <c r="Y140"/>
  <c r="Z140" s="1"/>
  <c r="T139"/>
  <c r="U139" s="1"/>
  <c r="P141"/>
  <c r="S140"/>
  <c r="X141"/>
  <c r="Q141"/>
  <c r="AB141"/>
  <c r="R141"/>
  <c r="AC141" l="1"/>
  <c r="AD141" s="1"/>
  <c r="Y141"/>
  <c r="Z141" s="1"/>
  <c r="T140"/>
  <c r="U140" s="1"/>
  <c r="P142"/>
  <c r="S141"/>
  <c r="Q142"/>
  <c r="X142"/>
  <c r="AB142"/>
  <c r="R142"/>
  <c r="AC142" l="1"/>
  <c r="AD142" s="1"/>
  <c r="Y142"/>
  <c r="Z142" s="1"/>
  <c r="T141"/>
  <c r="U141" s="1"/>
  <c r="P143"/>
  <c r="S142"/>
  <c r="Q143"/>
  <c r="X143"/>
  <c r="AB143"/>
  <c r="R143"/>
  <c r="AC143" l="1"/>
  <c r="AD143" s="1"/>
  <c r="Y143"/>
  <c r="Z143" s="1"/>
  <c r="T142"/>
  <c r="U142" s="1"/>
  <c r="P144"/>
  <c r="S143"/>
  <c r="X144"/>
  <c r="Q144"/>
  <c r="AB144"/>
  <c r="R144"/>
  <c r="AC144" l="1"/>
  <c r="AD144" s="1"/>
  <c r="Y144"/>
  <c r="Z144" s="1"/>
  <c r="T143"/>
  <c r="U143" s="1"/>
  <c r="P145"/>
  <c r="S144"/>
  <c r="X145"/>
  <c r="Q145"/>
  <c r="AB145"/>
  <c r="R145"/>
  <c r="AC145" l="1"/>
  <c r="AD145" s="1"/>
  <c r="Y145"/>
  <c r="Z145" s="1"/>
  <c r="T144"/>
  <c r="U144" s="1"/>
  <c r="P146"/>
  <c r="S145"/>
  <c r="Q146"/>
  <c r="X146"/>
  <c r="AB146"/>
  <c r="R146"/>
  <c r="AC146" l="1"/>
  <c r="AD146" s="1"/>
  <c r="Y146"/>
  <c r="Z146" s="1"/>
  <c r="T145"/>
  <c r="U145" s="1"/>
  <c r="P147"/>
  <c r="S146"/>
  <c r="Q147"/>
  <c r="X147"/>
  <c r="AB147"/>
  <c r="R147"/>
  <c r="AC147" l="1"/>
  <c r="AD147" s="1"/>
  <c r="Y147"/>
  <c r="Z147" s="1"/>
  <c r="T146"/>
  <c r="U146" s="1"/>
  <c r="P148"/>
  <c r="S147"/>
  <c r="X148"/>
  <c r="Q148"/>
  <c r="AB148"/>
  <c r="R148"/>
  <c r="AC148" l="1"/>
  <c r="AD148" s="1"/>
  <c r="Y148"/>
  <c r="Z148" s="1"/>
  <c r="T147"/>
  <c r="U147" s="1"/>
  <c r="P149"/>
  <c r="S148"/>
  <c r="X149"/>
  <c r="Q149"/>
  <c r="AB149"/>
  <c r="R149"/>
  <c r="AC149" l="1"/>
  <c r="AD149" s="1"/>
  <c r="Y149"/>
  <c r="Z149" s="1"/>
  <c r="T148"/>
  <c r="U148" s="1"/>
  <c r="P150"/>
  <c r="S149"/>
  <c r="Q150"/>
  <c r="X150"/>
  <c r="AB150"/>
  <c r="R150"/>
  <c r="AC150" l="1"/>
  <c r="AD150" s="1"/>
  <c r="Y150"/>
  <c r="Z150" s="1"/>
  <c r="T149"/>
  <c r="U149" s="1"/>
  <c r="P151"/>
  <c r="S150"/>
  <c r="X151"/>
  <c r="Q151"/>
  <c r="AB151"/>
  <c r="R151"/>
  <c r="AC151" l="1"/>
  <c r="AD151" s="1"/>
  <c r="Y151"/>
  <c r="Z151" s="1"/>
  <c r="T150"/>
  <c r="U150" s="1"/>
  <c r="P152"/>
  <c r="S151"/>
  <c r="X152"/>
  <c r="Q152"/>
  <c r="AB152"/>
  <c r="R152"/>
  <c r="AC152" l="1"/>
  <c r="AD152" s="1"/>
  <c r="Y152"/>
  <c r="Z152" s="1"/>
  <c r="T151"/>
  <c r="U151" s="1"/>
  <c r="P153"/>
  <c r="S152"/>
  <c r="X153"/>
  <c r="Q153"/>
  <c r="AB153"/>
  <c r="R153"/>
  <c r="AC153" l="1"/>
  <c r="AD153" s="1"/>
  <c r="Y153"/>
  <c r="Z153" s="1"/>
  <c r="T152"/>
  <c r="U152" s="1"/>
  <c r="P154"/>
  <c r="S153"/>
  <c r="Q154"/>
  <c r="X154"/>
  <c r="AB154"/>
  <c r="R154"/>
  <c r="AC154" l="1"/>
  <c r="AD154" s="1"/>
  <c r="Y154"/>
  <c r="Z154" s="1"/>
  <c r="T153"/>
  <c r="U153" s="1"/>
  <c r="P155"/>
  <c r="S154"/>
  <c r="Q155"/>
  <c r="X155"/>
  <c r="AB155"/>
  <c r="R155"/>
  <c r="AC155" l="1"/>
  <c r="AD155" s="1"/>
  <c r="Y155"/>
  <c r="Z155" s="1"/>
  <c r="T154"/>
  <c r="U154" s="1"/>
  <c r="P156"/>
  <c r="S155"/>
  <c r="X156"/>
  <c r="Q156"/>
  <c r="AB156"/>
  <c r="R156"/>
  <c r="AC156" l="1"/>
  <c r="AD156" s="1"/>
  <c r="Y156"/>
  <c r="Z156" s="1"/>
  <c r="T155"/>
  <c r="U155" s="1"/>
  <c r="P157"/>
  <c r="S156"/>
  <c r="X157"/>
  <c r="Q157"/>
  <c r="AB157"/>
  <c r="R157"/>
  <c r="AC157" l="1"/>
  <c r="AD157" s="1"/>
  <c r="Y157"/>
  <c r="Z157" s="1"/>
  <c r="T156"/>
  <c r="U156" s="1"/>
  <c r="P158"/>
  <c r="S157"/>
  <c r="Q158"/>
  <c r="X158"/>
  <c r="AB158"/>
  <c r="R158"/>
  <c r="AC158" l="1"/>
  <c r="AD158" s="1"/>
  <c r="Y158"/>
  <c r="Z158" s="1"/>
  <c r="T157"/>
  <c r="U157" s="1"/>
  <c r="P159"/>
  <c r="S158"/>
  <c r="X159"/>
  <c r="Q159"/>
  <c r="AB159"/>
  <c r="R159"/>
  <c r="AC159" l="1"/>
  <c r="AD159" s="1"/>
  <c r="Y159"/>
  <c r="Z159" s="1"/>
  <c r="T158"/>
  <c r="U158" s="1"/>
  <c r="P160"/>
  <c r="S159"/>
  <c r="X160"/>
  <c r="Q160"/>
  <c r="AB160"/>
  <c r="R160"/>
  <c r="AC160" l="1"/>
  <c r="AD160" s="1"/>
  <c r="Y160"/>
  <c r="Z160" s="1"/>
  <c r="T159"/>
  <c r="U159" s="1"/>
  <c r="P161"/>
  <c r="S160"/>
  <c r="X161"/>
  <c r="Q161"/>
  <c r="AB161"/>
  <c r="R161"/>
  <c r="AC161" l="1"/>
  <c r="AD161" s="1"/>
  <c r="Y161"/>
  <c r="Z161" s="1"/>
  <c r="T160"/>
  <c r="U160" s="1"/>
  <c r="P162"/>
  <c r="S161"/>
  <c r="Q162"/>
  <c r="X162"/>
  <c r="AB162"/>
  <c r="R162"/>
  <c r="AC162" l="1"/>
  <c r="AD162" s="1"/>
  <c r="Y162"/>
  <c r="Z162" s="1"/>
  <c r="T161"/>
  <c r="U161" s="1"/>
  <c r="P163"/>
  <c r="S162"/>
  <c r="Q163"/>
  <c r="X163"/>
  <c r="AB163"/>
  <c r="R163"/>
  <c r="AC163" l="1"/>
  <c r="AD163" s="1"/>
  <c r="Y163"/>
  <c r="Z163" s="1"/>
  <c r="T162"/>
  <c r="U162" s="1"/>
  <c r="P164"/>
  <c r="S163"/>
  <c r="X164"/>
  <c r="Q164"/>
  <c r="AB164"/>
  <c r="R164"/>
  <c r="AC164" l="1"/>
  <c r="AD164" s="1"/>
  <c r="Y164"/>
  <c r="Z164" s="1"/>
  <c r="T163"/>
  <c r="U163" s="1"/>
  <c r="P165"/>
  <c r="S164"/>
  <c r="X165"/>
  <c r="Q165"/>
  <c r="AB165"/>
  <c r="R165"/>
  <c r="AC165" l="1"/>
  <c r="AD165" s="1"/>
  <c r="Y165"/>
  <c r="Z165" s="1"/>
  <c r="T164"/>
  <c r="U164" s="1"/>
  <c r="P166"/>
  <c r="S165"/>
  <c r="Q166"/>
  <c r="X166"/>
  <c r="AB166"/>
  <c r="R166"/>
  <c r="AC166" l="1"/>
  <c r="AD166" s="1"/>
  <c r="Y166"/>
  <c r="Z166" s="1"/>
  <c r="T165"/>
  <c r="U165" s="1"/>
  <c r="P167"/>
  <c r="S166"/>
  <c r="Q167"/>
  <c r="X167"/>
  <c r="AB167"/>
  <c r="R167"/>
  <c r="AC167" l="1"/>
  <c r="AD167" s="1"/>
  <c r="Y167"/>
  <c r="Z167" s="1"/>
  <c r="T166"/>
  <c r="U166" s="1"/>
  <c r="P168"/>
  <c r="S167"/>
  <c r="X168"/>
  <c r="Q168"/>
  <c r="AB168"/>
  <c r="R168"/>
  <c r="AC168" l="1"/>
  <c r="AD168" s="1"/>
  <c r="Y168"/>
  <c r="Z168" s="1"/>
  <c r="T167"/>
  <c r="U167" s="1"/>
  <c r="P169"/>
  <c r="S168"/>
  <c r="X169"/>
  <c r="Q169"/>
  <c r="AB169"/>
  <c r="R169"/>
  <c r="AC169" l="1"/>
  <c r="AD169" s="1"/>
  <c r="Y169"/>
  <c r="Z169" s="1"/>
  <c r="T168"/>
  <c r="U168" s="1"/>
  <c r="P170"/>
  <c r="S169"/>
  <c r="Q170"/>
  <c r="X170"/>
  <c r="AB170"/>
  <c r="R170"/>
  <c r="AC170" l="1"/>
  <c r="AD170" s="1"/>
  <c r="Y170"/>
  <c r="Z170" s="1"/>
  <c r="T169"/>
  <c r="U169" s="1"/>
  <c r="P171"/>
  <c r="S170"/>
  <c r="Q171"/>
  <c r="X171"/>
  <c r="AB171"/>
  <c r="R171"/>
  <c r="AC171" l="1"/>
  <c r="AD171" s="1"/>
  <c r="Y171"/>
  <c r="Z171" s="1"/>
  <c r="T170"/>
  <c r="U170" s="1"/>
  <c r="P172"/>
  <c r="S171"/>
  <c r="X172"/>
  <c r="Q172"/>
  <c r="AB172"/>
  <c r="R172"/>
  <c r="AC172" l="1"/>
  <c r="AD172" s="1"/>
  <c r="Y172"/>
  <c r="Z172" s="1"/>
  <c r="T171"/>
  <c r="U171" s="1"/>
  <c r="P173"/>
  <c r="S172"/>
  <c r="X173"/>
  <c r="Q173"/>
  <c r="AB173"/>
  <c r="R173"/>
  <c r="AC173" l="1"/>
  <c r="AD173" s="1"/>
  <c r="Y173"/>
  <c r="Z173" s="1"/>
  <c r="T172"/>
  <c r="U172" s="1"/>
  <c r="P174"/>
  <c r="S173"/>
  <c r="Q174"/>
  <c r="X174"/>
  <c r="AB174"/>
  <c r="R174"/>
  <c r="AC174" l="1"/>
  <c r="AD174" s="1"/>
  <c r="Y174"/>
  <c r="Z174" s="1"/>
  <c r="T173"/>
  <c r="U173" s="1"/>
  <c r="P175"/>
  <c r="S174"/>
  <c r="X175"/>
  <c r="Q175"/>
  <c r="AB175"/>
  <c r="R175"/>
  <c r="AC175" l="1"/>
  <c r="AD175" s="1"/>
  <c r="Y175"/>
  <c r="Z175" s="1"/>
  <c r="T174"/>
  <c r="U174" s="1"/>
  <c r="P176"/>
  <c r="S175"/>
  <c r="X176"/>
  <c r="Q176"/>
  <c r="AB176"/>
  <c r="R176"/>
  <c r="AC176" l="1"/>
  <c r="AD176" s="1"/>
  <c r="Y176"/>
  <c r="Z176" s="1"/>
  <c r="T175"/>
  <c r="U175" s="1"/>
  <c r="P177"/>
  <c r="S176"/>
  <c r="X177"/>
  <c r="Q177"/>
  <c r="AB177"/>
  <c r="R177"/>
  <c r="AC177" l="1"/>
  <c r="AD177" s="1"/>
  <c r="Y177"/>
  <c r="Z177" s="1"/>
  <c r="T176"/>
  <c r="U176" s="1"/>
  <c r="P178"/>
  <c r="S177"/>
  <c r="Q178"/>
  <c r="X178"/>
  <c r="AB178"/>
  <c r="R178"/>
  <c r="AC178" l="1"/>
  <c r="AD178" s="1"/>
  <c r="Y178"/>
  <c r="Z178" s="1"/>
  <c r="T177"/>
  <c r="U177" s="1"/>
  <c r="P179"/>
  <c r="S178"/>
  <c r="Q179"/>
  <c r="X179"/>
  <c r="AB179"/>
  <c r="R179"/>
  <c r="AC179" l="1"/>
  <c r="AD179" s="1"/>
  <c r="Y179"/>
  <c r="Z179" s="1"/>
  <c r="T178"/>
  <c r="U178" s="1"/>
  <c r="P180"/>
  <c r="S179"/>
  <c r="X180"/>
  <c r="Q180"/>
  <c r="AB180"/>
  <c r="R180"/>
  <c r="AC180" l="1"/>
  <c r="AD180" s="1"/>
  <c r="Y180"/>
  <c r="Z180" s="1"/>
  <c r="T179"/>
  <c r="U179" s="1"/>
  <c r="P181"/>
  <c r="S180"/>
  <c r="X181"/>
  <c r="Q181"/>
  <c r="AB181"/>
  <c r="R181"/>
  <c r="AC181" l="1"/>
  <c r="AD181" s="1"/>
  <c r="Y181"/>
  <c r="Z181" s="1"/>
  <c r="T180"/>
  <c r="U180" s="1"/>
  <c r="P182"/>
  <c r="S181"/>
  <c r="Q182"/>
  <c r="X182"/>
  <c r="AB182"/>
  <c r="R182"/>
  <c r="AC182" l="1"/>
  <c r="AD182" s="1"/>
  <c r="Y182"/>
  <c r="Z182" s="1"/>
  <c r="T181"/>
  <c r="U181" s="1"/>
  <c r="P183"/>
  <c r="S182"/>
  <c r="Q183"/>
  <c r="X183"/>
  <c r="AB183"/>
  <c r="R183"/>
  <c r="AC183" l="1"/>
  <c r="AD183" s="1"/>
  <c r="Y183"/>
  <c r="Z183" s="1"/>
  <c r="T182"/>
  <c r="U182" s="1"/>
  <c r="P184"/>
  <c r="S183"/>
  <c r="X184"/>
  <c r="Q184"/>
  <c r="AB184"/>
  <c r="R184"/>
  <c r="AC184" l="1"/>
  <c r="AD184" s="1"/>
  <c r="Y184"/>
  <c r="Z184" s="1"/>
  <c r="T183"/>
  <c r="U183" s="1"/>
  <c r="P185"/>
  <c r="S184"/>
  <c r="X185"/>
  <c r="Q185"/>
  <c r="AB185"/>
  <c r="R185"/>
  <c r="AC185" l="1"/>
  <c r="AD185" s="1"/>
  <c r="Y185"/>
  <c r="Z185" s="1"/>
  <c r="T184"/>
  <c r="U184" s="1"/>
  <c r="P186"/>
  <c r="S185"/>
  <c r="Q186"/>
  <c r="X186"/>
  <c r="AB186"/>
  <c r="R186"/>
  <c r="AC186" l="1"/>
  <c r="AD186" s="1"/>
  <c r="Y186"/>
  <c r="Z186" s="1"/>
  <c r="T185"/>
  <c r="U185" s="1"/>
  <c r="P187"/>
  <c r="S186"/>
  <c r="X187"/>
  <c r="Q187"/>
  <c r="AB187"/>
  <c r="R187"/>
  <c r="AC187" l="1"/>
  <c r="AD187" s="1"/>
  <c r="Y187"/>
  <c r="Z187" s="1"/>
  <c r="T186"/>
  <c r="U186" s="1"/>
  <c r="P188"/>
  <c r="S187"/>
  <c r="X188"/>
  <c r="Q188"/>
  <c r="AB188"/>
  <c r="R188"/>
  <c r="AC188" l="1"/>
  <c r="AD188" s="1"/>
  <c r="Y188"/>
  <c r="Z188" s="1"/>
  <c r="T187"/>
  <c r="U187" s="1"/>
  <c r="P189"/>
  <c r="S188"/>
  <c r="X189"/>
  <c r="Q189"/>
  <c r="AB189"/>
  <c r="R189"/>
  <c r="AC189" l="1"/>
  <c r="AD189" s="1"/>
  <c r="Y189"/>
  <c r="Z189" s="1"/>
  <c r="T188"/>
  <c r="U188" s="1"/>
  <c r="P190"/>
  <c r="S189"/>
  <c r="Q190"/>
  <c r="X190"/>
  <c r="AB190"/>
  <c r="R190"/>
  <c r="AC190" l="1"/>
  <c r="AD190" s="1"/>
  <c r="Y190"/>
  <c r="Z190" s="1"/>
  <c r="T189"/>
  <c r="U189" s="1"/>
  <c r="P191"/>
  <c r="S190"/>
  <c r="X191"/>
  <c r="Q191"/>
  <c r="AB191"/>
  <c r="R191"/>
  <c r="AC191" l="1"/>
  <c r="AD191" s="1"/>
  <c r="Y191"/>
  <c r="Z191" s="1"/>
  <c r="T190"/>
  <c r="U190" s="1"/>
  <c r="P192"/>
  <c r="S191"/>
  <c r="X192"/>
  <c r="Q192"/>
  <c r="AB192"/>
  <c r="R192"/>
  <c r="AC192" l="1"/>
  <c r="AD192" s="1"/>
  <c r="Y192"/>
  <c r="Z192" s="1"/>
  <c r="T191"/>
  <c r="U191" s="1"/>
  <c r="P193"/>
  <c r="S192"/>
  <c r="X193"/>
  <c r="Q193"/>
  <c r="AB193"/>
  <c r="R193"/>
  <c r="AC193" l="1"/>
  <c r="AD193" s="1"/>
  <c r="Y193"/>
  <c r="Z193" s="1"/>
  <c r="T192"/>
  <c r="U192" s="1"/>
  <c r="P194"/>
  <c r="S193"/>
  <c r="Q194"/>
  <c r="X194"/>
  <c r="AB194"/>
  <c r="R194"/>
  <c r="AC194" l="1"/>
  <c r="AD194" s="1"/>
  <c r="Y194"/>
  <c r="Z194" s="1"/>
  <c r="T193"/>
  <c r="U193" s="1"/>
  <c r="P195"/>
  <c r="S194"/>
  <c r="Q195"/>
  <c r="X195"/>
  <c r="AB195"/>
  <c r="R195"/>
  <c r="AC195" l="1"/>
  <c r="AD195" s="1"/>
  <c r="Y195"/>
  <c r="Z195" s="1"/>
  <c r="T194"/>
  <c r="U194" s="1"/>
  <c r="P196"/>
  <c r="S195"/>
  <c r="X196"/>
  <c r="Q196"/>
  <c r="AB196"/>
  <c r="R196"/>
  <c r="AC196" l="1"/>
  <c r="AD196" s="1"/>
  <c r="Y196"/>
  <c r="Z196" s="1"/>
  <c r="T195"/>
  <c r="U195" s="1"/>
  <c r="P197"/>
  <c r="S196"/>
  <c r="X197"/>
  <c r="Q197"/>
  <c r="AB197"/>
  <c r="R197"/>
  <c r="AC197" l="1"/>
  <c r="AD197" s="1"/>
  <c r="Y197"/>
  <c r="Z197" s="1"/>
  <c r="T196"/>
  <c r="U196" s="1"/>
  <c r="P198"/>
  <c r="S197"/>
  <c r="Q198"/>
  <c r="X198"/>
  <c r="AB198"/>
  <c r="R198"/>
  <c r="AC198" l="1"/>
  <c r="AD198" s="1"/>
  <c r="Y198"/>
  <c r="Z198" s="1"/>
  <c r="T197"/>
  <c r="U197" s="1"/>
  <c r="P199"/>
  <c r="S198"/>
  <c r="Q199"/>
  <c r="X199"/>
  <c r="AB199"/>
  <c r="R199"/>
  <c r="AC199" l="1"/>
  <c r="AD199" s="1"/>
  <c r="Y199"/>
  <c r="Z199" s="1"/>
  <c r="T198"/>
  <c r="U198" s="1"/>
  <c r="P200"/>
  <c r="S199"/>
  <c r="X200"/>
  <c r="Q200"/>
  <c r="AB200"/>
  <c r="R200"/>
  <c r="AC200" l="1"/>
  <c r="AD200" s="1"/>
  <c r="Y200"/>
  <c r="Z200" s="1"/>
  <c r="T199"/>
  <c r="U199" s="1"/>
  <c r="P201"/>
  <c r="S200"/>
  <c r="X201"/>
  <c r="Q201"/>
  <c r="AB201"/>
  <c r="R201"/>
  <c r="AC201" l="1"/>
  <c r="AD201" s="1"/>
  <c r="Y201"/>
  <c r="Z201" s="1"/>
  <c r="T200"/>
  <c r="U200" s="1"/>
  <c r="P202"/>
  <c r="S201"/>
  <c r="Q202"/>
  <c r="X202"/>
  <c r="AB202"/>
  <c r="R202"/>
  <c r="AC202" l="1"/>
  <c r="AD202" s="1"/>
  <c r="Y202"/>
  <c r="Z202" s="1"/>
  <c r="T201"/>
  <c r="U201" s="1"/>
  <c r="P203"/>
  <c r="S202"/>
  <c r="X203"/>
  <c r="Q203"/>
  <c r="AB203"/>
  <c r="R203"/>
  <c r="AC203" l="1"/>
  <c r="AD203" s="1"/>
  <c r="Y203"/>
  <c r="Z203" s="1"/>
  <c r="T202"/>
  <c r="U202" s="1"/>
  <c r="P204"/>
  <c r="S203"/>
  <c r="X204"/>
  <c r="Q204"/>
  <c r="AB204"/>
  <c r="R204"/>
  <c r="AC204" l="1"/>
  <c r="AD204" s="1"/>
  <c r="Y204"/>
  <c r="Z204" s="1"/>
  <c r="T203"/>
  <c r="U203" s="1"/>
  <c r="P205"/>
  <c r="S204"/>
  <c r="X205"/>
  <c r="Q205"/>
  <c r="AB205"/>
  <c r="R205"/>
  <c r="AC205" l="1"/>
  <c r="AD205" s="1"/>
  <c r="Y205"/>
  <c r="Z205" s="1"/>
  <c r="T204"/>
  <c r="U204" s="1"/>
  <c r="P206"/>
  <c r="S205"/>
  <c r="Q206"/>
  <c r="X206"/>
  <c r="AB206"/>
  <c r="R206"/>
  <c r="AC206" l="1"/>
  <c r="AD206" s="1"/>
  <c r="Y206"/>
  <c r="Z206" s="1"/>
  <c r="T205"/>
  <c r="U205" s="1"/>
  <c r="P207"/>
  <c r="S206"/>
  <c r="Q207"/>
  <c r="X207"/>
  <c r="AB207"/>
  <c r="R207"/>
  <c r="AC207" l="1"/>
  <c r="AD207" s="1"/>
  <c r="Y207"/>
  <c r="Z207" s="1"/>
  <c r="T206"/>
  <c r="U206" s="1"/>
  <c r="P208"/>
  <c r="S207"/>
  <c r="X208"/>
  <c r="Q208"/>
  <c r="AB208"/>
  <c r="R208"/>
  <c r="AC208" l="1"/>
  <c r="AD208" s="1"/>
  <c r="Y208"/>
  <c r="Z208" s="1"/>
  <c r="T207"/>
  <c r="U207" s="1"/>
  <c r="P209"/>
  <c r="S208"/>
  <c r="X209"/>
  <c r="Q209"/>
  <c r="AB209"/>
  <c r="R209"/>
  <c r="AC209" l="1"/>
  <c r="AD209" s="1"/>
  <c r="Y209"/>
  <c r="Z209" s="1"/>
  <c r="T208"/>
  <c r="U208" s="1"/>
  <c r="P210"/>
  <c r="S209"/>
  <c r="Q210"/>
  <c r="X210"/>
  <c r="AB210"/>
  <c r="R210"/>
  <c r="AC210" l="1"/>
  <c r="AD210" s="1"/>
  <c r="Y210"/>
  <c r="Z210" s="1"/>
  <c r="T209"/>
  <c r="U209" s="1"/>
  <c r="P211"/>
  <c r="S210"/>
  <c r="X211"/>
  <c r="Q211"/>
  <c r="AB211"/>
  <c r="R211"/>
  <c r="AC211" l="1"/>
  <c r="AD211" s="1"/>
  <c r="Y211"/>
  <c r="Z211" s="1"/>
  <c r="T210"/>
  <c r="U210" s="1"/>
  <c r="P212"/>
  <c r="S211"/>
  <c r="X212"/>
  <c r="Q212"/>
  <c r="AB212"/>
  <c r="R212"/>
  <c r="AC212" l="1"/>
  <c r="AD212" s="1"/>
  <c r="Y212"/>
  <c r="Z212" s="1"/>
  <c r="T211"/>
  <c r="U211" s="1"/>
  <c r="P213"/>
  <c r="S212"/>
  <c r="X213"/>
  <c r="Q213"/>
  <c r="AB213"/>
  <c r="R213"/>
  <c r="AC213" l="1"/>
  <c r="AD213" s="1"/>
  <c r="Y213"/>
  <c r="Z213" s="1"/>
  <c r="T212"/>
  <c r="U212" s="1"/>
  <c r="P214"/>
  <c r="S213"/>
  <c r="Q214"/>
  <c r="X214"/>
  <c r="AB214"/>
  <c r="R214"/>
  <c r="AC214" l="1"/>
  <c r="AD214" s="1"/>
  <c r="Y214"/>
  <c r="Z214" s="1"/>
  <c r="T213"/>
  <c r="U213" s="1"/>
  <c r="P215"/>
  <c r="S214"/>
  <c r="Q215"/>
  <c r="X215"/>
  <c r="AB215"/>
  <c r="R215"/>
  <c r="AC215" l="1"/>
  <c r="AD215" s="1"/>
  <c r="Y215"/>
  <c r="Z215" s="1"/>
  <c r="T214"/>
  <c r="U214" s="1"/>
  <c r="P216"/>
  <c r="S215"/>
  <c r="X216"/>
  <c r="Q216"/>
  <c r="AB216"/>
  <c r="R216"/>
  <c r="AC216" l="1"/>
  <c r="AD216" s="1"/>
  <c r="Y216"/>
  <c r="Z216" s="1"/>
  <c r="T215"/>
  <c r="U215" s="1"/>
  <c r="P217"/>
  <c r="S216"/>
  <c r="X217"/>
  <c r="Q217"/>
  <c r="AB217"/>
  <c r="R217"/>
  <c r="AC217" l="1"/>
  <c r="AD217" s="1"/>
  <c r="Y217"/>
  <c r="Z217" s="1"/>
  <c r="T216"/>
  <c r="U216" s="1"/>
  <c r="P218"/>
  <c r="S217"/>
  <c r="Q218"/>
  <c r="X218"/>
  <c r="AB218"/>
  <c r="R218"/>
  <c r="AC218" l="1"/>
  <c r="AD218" s="1"/>
  <c r="Y218"/>
  <c r="Z218" s="1"/>
  <c r="T217"/>
  <c r="U217" s="1"/>
  <c r="P219"/>
  <c r="S218"/>
  <c r="Q219"/>
  <c r="X219"/>
  <c r="AB219"/>
  <c r="R219"/>
  <c r="AC219" l="1"/>
  <c r="AD219" s="1"/>
  <c r="Y219"/>
  <c r="Z219" s="1"/>
  <c r="T218"/>
  <c r="U218" s="1"/>
  <c r="P220"/>
  <c r="S219"/>
  <c r="X220"/>
  <c r="Q220"/>
  <c r="AB220"/>
  <c r="R220"/>
  <c r="AC220" l="1"/>
  <c r="AD220" s="1"/>
  <c r="Y220"/>
  <c r="Z220" s="1"/>
  <c r="T219"/>
  <c r="U219" s="1"/>
  <c r="P221"/>
  <c r="S220"/>
  <c r="X221"/>
  <c r="Q221"/>
  <c r="AB221"/>
  <c r="R221"/>
  <c r="AC221" l="1"/>
  <c r="AD221" s="1"/>
  <c r="Y221"/>
  <c r="Z221" s="1"/>
  <c r="T220"/>
  <c r="U220" s="1"/>
  <c r="P222"/>
  <c r="S221"/>
  <c r="Q222"/>
  <c r="X222"/>
  <c r="AB222"/>
  <c r="R222"/>
  <c r="AC222" l="1"/>
  <c r="AD222" s="1"/>
  <c r="Y222"/>
  <c r="Z222" s="1"/>
  <c r="T221"/>
  <c r="U221" s="1"/>
  <c r="P223"/>
  <c r="S222"/>
  <c r="X223"/>
  <c r="Q223"/>
  <c r="AB223"/>
  <c r="R223"/>
  <c r="AC223" l="1"/>
  <c r="AD223" s="1"/>
  <c r="Y223"/>
  <c r="Z223" s="1"/>
  <c r="T222"/>
  <c r="U222" s="1"/>
  <c r="P224"/>
  <c r="S223"/>
  <c r="X224"/>
  <c r="Q224"/>
  <c r="AB224"/>
  <c r="R224"/>
  <c r="AC224" l="1"/>
  <c r="AD224" s="1"/>
  <c r="Y224"/>
  <c r="Z224" s="1"/>
  <c r="T223"/>
  <c r="U223" s="1"/>
  <c r="P225"/>
  <c r="S224"/>
  <c r="X225"/>
  <c r="Q225"/>
  <c r="AB225"/>
  <c r="R225"/>
  <c r="AC225" l="1"/>
  <c r="AD225" s="1"/>
  <c r="Y225"/>
  <c r="Z225" s="1"/>
  <c r="T224"/>
  <c r="U224" s="1"/>
  <c r="P226"/>
  <c r="S225"/>
  <c r="X226"/>
  <c r="Q226"/>
  <c r="AB226"/>
  <c r="R226"/>
  <c r="AC226" l="1"/>
  <c r="AD226" s="1"/>
  <c r="Y226"/>
  <c r="Z226" s="1"/>
  <c r="T225"/>
  <c r="U225" s="1"/>
  <c r="P227"/>
  <c r="S226"/>
  <c r="X227"/>
  <c r="Q227"/>
  <c r="AB227"/>
  <c r="R227"/>
  <c r="AC227" l="1"/>
  <c r="AD227" s="1"/>
  <c r="Y227"/>
  <c r="Z227" s="1"/>
  <c r="T226"/>
  <c r="U226" s="1"/>
  <c r="P228"/>
  <c r="S227"/>
  <c r="X228"/>
  <c r="Q228"/>
  <c r="AB228"/>
  <c r="R228"/>
  <c r="AC228" l="1"/>
  <c r="AD228" s="1"/>
  <c r="Y228"/>
  <c r="Z228" s="1"/>
  <c r="T227"/>
  <c r="U227" s="1"/>
  <c r="P229"/>
  <c r="S228"/>
  <c r="X229"/>
  <c r="Q229"/>
  <c r="AB229"/>
  <c r="R229"/>
  <c r="AC229" l="1"/>
  <c r="AD229" s="1"/>
  <c r="Y229"/>
  <c r="Z229" s="1"/>
  <c r="T228"/>
  <c r="U228" s="1"/>
  <c r="P230"/>
  <c r="S229"/>
  <c r="Q230"/>
  <c r="X230"/>
  <c r="AB230"/>
  <c r="R230"/>
  <c r="AC230" l="1"/>
  <c r="AD230" s="1"/>
  <c r="Y230"/>
  <c r="Z230" s="1"/>
  <c r="T229"/>
  <c r="U229" s="1"/>
  <c r="P231"/>
  <c r="S230"/>
  <c r="Q231"/>
  <c r="X231"/>
  <c r="AB231"/>
  <c r="R231"/>
  <c r="AC231" l="1"/>
  <c r="AD231" s="1"/>
  <c r="Y231"/>
  <c r="Z231" s="1"/>
  <c r="T230"/>
  <c r="U230" s="1"/>
  <c r="P232"/>
  <c r="S231"/>
  <c r="X232"/>
  <c r="Q232"/>
  <c r="AB232"/>
  <c r="R232"/>
  <c r="AC232" l="1"/>
  <c r="AD232" s="1"/>
  <c r="Y232"/>
  <c r="Z232" s="1"/>
  <c r="T231"/>
  <c r="U231" s="1"/>
  <c r="P233"/>
  <c r="S232"/>
  <c r="X233"/>
  <c r="Q233"/>
  <c r="AB233"/>
  <c r="R233"/>
  <c r="AC233" l="1"/>
  <c r="AD233" s="1"/>
  <c r="Y233"/>
  <c r="Z233" s="1"/>
  <c r="T232"/>
  <c r="U232" s="1"/>
  <c r="P234"/>
  <c r="S233"/>
  <c r="Q234"/>
  <c r="X234"/>
  <c r="AB234"/>
  <c r="R234"/>
  <c r="AC234" l="1"/>
  <c r="AD234" s="1"/>
  <c r="Y234"/>
  <c r="Z234" s="1"/>
  <c r="T233"/>
  <c r="U233" s="1"/>
  <c r="P235"/>
  <c r="S234"/>
  <c r="X235"/>
  <c r="Q235"/>
  <c r="AB235"/>
  <c r="R235"/>
  <c r="AC235" l="1"/>
  <c r="AD235" s="1"/>
  <c r="Y235"/>
  <c r="Z235" s="1"/>
  <c r="T234"/>
  <c r="U234" s="1"/>
  <c r="P236"/>
  <c r="S235"/>
  <c r="X236"/>
  <c r="Q236"/>
  <c r="AB236"/>
  <c r="R236"/>
  <c r="AC236" l="1"/>
  <c r="AD236" s="1"/>
  <c r="Y236"/>
  <c r="Z236" s="1"/>
  <c r="T235"/>
  <c r="U235" s="1"/>
  <c r="P237"/>
  <c r="S236"/>
  <c r="X237"/>
  <c r="Q237"/>
  <c r="AB237"/>
  <c r="R237"/>
  <c r="AC237" l="1"/>
  <c r="AD237" s="1"/>
  <c r="Y237"/>
  <c r="Z237" s="1"/>
  <c r="T236"/>
  <c r="U236" s="1"/>
  <c r="P238"/>
  <c r="S237"/>
  <c r="Q238"/>
  <c r="X238"/>
  <c r="AB238"/>
  <c r="R238"/>
  <c r="AC238" l="1"/>
  <c r="AD238" s="1"/>
  <c r="Y238"/>
  <c r="Z238" s="1"/>
  <c r="T237"/>
  <c r="U237" s="1"/>
  <c r="P239"/>
  <c r="S238"/>
  <c r="Q239"/>
  <c r="X239"/>
  <c r="AB239"/>
  <c r="R239"/>
  <c r="AC239" l="1"/>
  <c r="AD239" s="1"/>
  <c r="Y239"/>
  <c r="Z239" s="1"/>
  <c r="T238"/>
  <c r="U238" s="1"/>
  <c r="P240"/>
  <c r="S239"/>
  <c r="X240"/>
  <c r="Q240"/>
  <c r="AB240"/>
  <c r="R240"/>
  <c r="AC240" l="1"/>
  <c r="AD240" s="1"/>
  <c r="Y240"/>
  <c r="Z240" s="1"/>
  <c r="T239"/>
  <c r="U239" s="1"/>
  <c r="P241"/>
  <c r="S240"/>
  <c r="X241"/>
  <c r="Q241"/>
  <c r="AB241"/>
  <c r="R241"/>
  <c r="AC241" l="1"/>
  <c r="AD241" s="1"/>
  <c r="Y241"/>
  <c r="Z241" s="1"/>
  <c r="T240"/>
  <c r="U240" s="1"/>
  <c r="P242"/>
  <c r="S241"/>
  <c r="Q242"/>
  <c r="X242"/>
  <c r="AB242"/>
  <c r="R242"/>
  <c r="AC242" l="1"/>
  <c r="AD242" s="1"/>
  <c r="Y242"/>
  <c r="Z242" s="1"/>
  <c r="T241"/>
  <c r="U241" s="1"/>
  <c r="P243"/>
  <c r="S242"/>
  <c r="Q243"/>
  <c r="X243"/>
  <c r="AB243"/>
  <c r="R243"/>
  <c r="AC243" l="1"/>
  <c r="AD243" s="1"/>
  <c r="Y243"/>
  <c r="Z243" s="1"/>
  <c r="T242"/>
  <c r="U242" s="1"/>
  <c r="P244"/>
  <c r="S243"/>
  <c r="X244"/>
  <c r="Q244"/>
  <c r="AB244"/>
  <c r="R244"/>
  <c r="AC244" l="1"/>
  <c r="AD244" s="1"/>
  <c r="Y244"/>
  <c r="Z244" s="1"/>
  <c r="T243"/>
  <c r="U243" s="1"/>
  <c r="P245"/>
  <c r="S244"/>
  <c r="X245"/>
  <c r="Q245"/>
  <c r="AB245"/>
  <c r="R245"/>
  <c r="AC245" l="1"/>
  <c r="AD245" s="1"/>
  <c r="Y245"/>
  <c r="Z245" s="1"/>
  <c r="T244"/>
  <c r="U244" s="1"/>
  <c r="P246"/>
  <c r="S245"/>
  <c r="Q246"/>
  <c r="X246"/>
  <c r="AB246"/>
  <c r="R246"/>
  <c r="AC246" l="1"/>
  <c r="AD246" s="1"/>
  <c r="Y246"/>
  <c r="Z246" s="1"/>
  <c r="T245"/>
  <c r="U245" s="1"/>
  <c r="P247"/>
  <c r="S246"/>
  <c r="X247"/>
  <c r="Q247"/>
  <c r="AB247"/>
  <c r="R247"/>
  <c r="AC247" l="1"/>
  <c r="AD247" s="1"/>
  <c r="Y247"/>
  <c r="Z247" s="1"/>
  <c r="T246"/>
  <c r="U246" s="1"/>
  <c r="P248"/>
  <c r="S247"/>
  <c r="X248"/>
  <c r="Q248"/>
  <c r="AB248"/>
  <c r="R248"/>
  <c r="AC248" l="1"/>
  <c r="AD248" s="1"/>
  <c r="Y248"/>
  <c r="Z248" s="1"/>
  <c r="T247"/>
  <c r="U247" s="1"/>
  <c r="P249"/>
  <c r="P250" s="1"/>
  <c r="Q250"/>
  <c r="S248"/>
  <c r="X249"/>
  <c r="Q249"/>
  <c r="AB249"/>
  <c r="R249"/>
  <c r="AC249" l="1"/>
  <c r="AD249" s="1"/>
  <c r="Y249"/>
  <c r="Z249" s="1"/>
  <c r="T248"/>
  <c r="U248" s="1"/>
  <c r="S249"/>
  <c r="X250"/>
  <c r="AB250"/>
  <c r="R250"/>
  <c r="AC250" l="1"/>
  <c r="AD250" s="1"/>
  <c r="Y250"/>
  <c r="Z250" s="1"/>
  <c r="T249"/>
  <c r="U249" s="1"/>
  <c r="P251"/>
  <c r="S250"/>
  <c r="Q251"/>
  <c r="X251"/>
  <c r="AB251"/>
  <c r="R251"/>
  <c r="AC251" l="1"/>
  <c r="AD251" s="1"/>
  <c r="Y251"/>
  <c r="Z251" s="1"/>
  <c r="T250"/>
  <c r="U250" s="1"/>
  <c r="P252"/>
  <c r="S251"/>
  <c r="X252"/>
  <c r="Q252"/>
  <c r="AB252"/>
  <c r="R252"/>
  <c r="AC252" l="1"/>
  <c r="AD252" s="1"/>
  <c r="Y252"/>
  <c r="Z252" s="1"/>
  <c r="T251"/>
  <c r="U251" s="1"/>
  <c r="P253"/>
  <c r="S252"/>
  <c r="X253"/>
  <c r="Q253"/>
  <c r="AB253"/>
  <c r="R253"/>
  <c r="AC253" l="1"/>
  <c r="AD253" s="1"/>
  <c r="Y253"/>
  <c r="Z253" s="1"/>
  <c r="T252"/>
  <c r="U252" s="1"/>
  <c r="P254"/>
  <c r="S253"/>
  <c r="Q254"/>
  <c r="X254"/>
  <c r="AB254"/>
  <c r="R254"/>
  <c r="AC254" l="1"/>
  <c r="AD254" s="1"/>
  <c r="Y254"/>
  <c r="Z254" s="1"/>
  <c r="T253"/>
  <c r="U253" s="1"/>
  <c r="S254"/>
  <c r="T254" l="1"/>
  <c r="U254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<sst xmlns="http://schemas.openxmlformats.org/spreadsheetml/2006/main" count="58" uniqueCount="49">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</sst>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1" fillId="2" borderId="1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cked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-11.126996467514127</c:v>
                </c:pt>
                <c:pt idx="2">
                  <c:v>-31.233014464049013</c:v>
                </c:pt>
                <c:pt idx="3">
                  <c:v>-30.529920822556043</c:v>
                </c:pt>
                <c:pt idx="4">
                  <c:v>-41.373489728158603</c:v>
                </c:pt>
                <c:pt idx="5">
                  <c:v>-33.362160810791963</c:v>
                </c:pt>
                <c:pt idx="6">
                  <c:v>-23.005609976840702</c:v>
                </c:pt>
                <c:pt idx="7">
                  <c:v>-22.897057369716233</c:v>
                </c:pt>
                <c:pt idx="8">
                  <c:v>-31.877171521367281</c:v>
                </c:pt>
                <c:pt idx="9">
                  <c:v>-27.34427424484975</c:v>
                </c:pt>
                <c:pt idx="10">
                  <c:v>-30.232259622882761</c:v>
                </c:pt>
                <c:pt idx="11">
                  <c:v>-16.640092817840216</c:v>
                </c:pt>
                <c:pt idx="12">
                  <c:v>-23.560148809731437</c:v>
                </c:pt>
                <c:pt idx="13">
                  <c:v>-9.022304969622839</c:v>
                </c:pt>
                <c:pt idx="14">
                  <c:v>-14.983951542490637</c:v>
                </c:pt>
                <c:pt idx="15">
                  <c:v>-4.5789209409200406</c:v>
                </c:pt>
                <c:pt idx="16">
                  <c:v>-24.297244361619981</c:v>
                </c:pt>
                <c:pt idx="17">
                  <c:v>-21.917948839827289</c:v>
                </c:pt>
                <c:pt idx="18">
                  <c:v>-25.569838434495935</c:v>
                </c:pt>
                <c:pt idx="19">
                  <c:v>-21.540725704538122</c:v>
                </c:pt>
                <c:pt idx="20">
                  <c:v>-13.764322315505467</c:v>
                </c:pt>
                <c:pt idx="21">
                  <c:v>-14.459904822613739</c:v>
                </c:pt>
                <c:pt idx="22">
                  <c:v>-24.761055720830619</c:v>
                </c:pt>
                <c:pt idx="23">
                  <c:v>-27.449461623044009</c:v>
                </c:pt>
                <c:pt idx="24">
                  <c:v>-16.783932675318077</c:v>
                </c:pt>
                <c:pt idx="25">
                  <c:v>-17.255710460640195</c:v>
                </c:pt>
                <c:pt idx="26">
                  <c:v>-27.494456560221114</c:v>
                </c:pt>
                <c:pt idx="27">
                  <c:v>-31.695915698099927</c:v>
                </c:pt>
                <c:pt idx="28">
                  <c:v>-22.547876269636312</c:v>
                </c:pt>
                <c:pt idx="29">
                  <c:v>-16.797699475231845</c:v>
                </c:pt>
                <c:pt idx="30">
                  <c:v>-24.980681536710104</c:v>
                </c:pt>
                <c:pt idx="31">
                  <c:v>-21.080299262121375</c:v>
                </c:pt>
                <c:pt idx="32">
                  <c:v>-41.205418665897405</c:v>
                </c:pt>
                <c:pt idx="33">
                  <c:v>-56.306149153233136</c:v>
                </c:pt>
                <c:pt idx="34">
                  <c:v>-58.087135883817211</c:v>
                </c:pt>
                <c:pt idx="35">
                  <c:v>-68.288369089978872</c:v>
                </c:pt>
                <c:pt idx="36">
                  <c:v>-65.890801638445396</c:v>
                </c:pt>
                <c:pt idx="37">
                  <c:v>-63.899882879662385</c:v>
                </c:pt>
                <c:pt idx="38">
                  <c:v>-65.586524358102039</c:v>
                </c:pt>
                <c:pt idx="39">
                  <c:v>-61.338967471557716</c:v>
                </c:pt>
                <c:pt idx="40">
                  <c:v>-44.654934808318487</c:v>
                </c:pt>
                <c:pt idx="41">
                  <c:v>-23.866605010829709</c:v>
                </c:pt>
                <c:pt idx="42">
                  <c:v>-54.918046586429469</c:v>
                </c:pt>
                <c:pt idx="43">
                  <c:v>-65.420945999198437</c:v>
                </c:pt>
                <c:pt idx="44">
                  <c:v>-69.445007309200179</c:v>
                </c:pt>
                <c:pt idx="45">
                  <c:v>-64.131906627416541</c:v>
                </c:pt>
                <c:pt idx="46">
                  <c:v>-53.154087764344752</c:v>
                </c:pt>
                <c:pt idx="47">
                  <c:v>-65.760403159000916</c:v>
                </c:pt>
                <c:pt idx="48">
                  <c:v>-59.365056152337132</c:v>
                </c:pt>
                <c:pt idx="49">
                  <c:v>-63.230844138526216</c:v>
                </c:pt>
                <c:pt idx="50">
                  <c:v>-62.580391574588674</c:v>
                </c:pt>
                <c:pt idx="51">
                  <c:v>-58.86003315414348</c:v>
                </c:pt>
                <c:pt idx="52">
                  <c:v>-47.15120170429352</c:v>
                </c:pt>
                <c:pt idx="53">
                  <c:v>-52.005141399923815</c:v>
                </c:pt>
                <c:pt idx="54">
                  <c:v>-63.733955713447628</c:v>
                </c:pt>
                <c:pt idx="55">
                  <c:v>-69.86769292084702</c:v>
                </c:pt>
                <c:pt idx="56">
                  <c:v>-70.148909439143566</c:v>
                </c:pt>
                <c:pt idx="57">
                  <c:v>-72.776897065303302</c:v>
                </c:pt>
                <c:pt idx="58">
                  <c:v>-72.353097372871986</c:v>
                </c:pt>
                <c:pt idx="59">
                  <c:v>-73.245780457461564</c:v>
                </c:pt>
                <c:pt idx="60">
                  <c:v>-73.42281332580238</c:v>
                </c:pt>
                <c:pt idx="61">
                  <c:v>-73.447311634183038</c:v>
                </c:pt>
                <c:pt idx="62">
                  <c:v>-72.474589034700543</c:v>
                </c:pt>
                <c:pt idx="63">
                  <c:v>-73.648385457877879</c:v>
                </c:pt>
                <c:pt idx="64">
                  <c:v>-70.741473141653287</c:v>
                </c:pt>
                <c:pt idx="65">
                  <c:v>-73.170994906923724</c:v>
                </c:pt>
                <c:pt idx="66">
                  <c:v>-72.715662987741979</c:v>
                </c:pt>
                <c:pt idx="67">
                  <c:v>-74.164500170534751</c:v>
                </c:pt>
                <c:pt idx="68">
                  <c:v>-74.201039692125661</c:v>
                </c:pt>
                <c:pt idx="69">
                  <c:v>-73.612897486313031</c:v>
                </c:pt>
                <c:pt idx="70">
                  <c:v>-73.375842406335252</c:v>
                </c:pt>
                <c:pt idx="71">
                  <c:v>-74.505259248111102</c:v>
                </c:pt>
                <c:pt idx="72">
                  <c:v>-74.586858841333324</c:v>
                </c:pt>
                <c:pt idx="73">
                  <c:v>-74.086258474667417</c:v>
                </c:pt>
                <c:pt idx="74">
                  <c:v>-74.426137946256574</c:v>
                </c:pt>
                <c:pt idx="75">
                  <c:v>-74.773210590205025</c:v>
                </c:pt>
                <c:pt idx="76">
                  <c:v>-74.283908870736653</c:v>
                </c:pt>
                <c:pt idx="77">
                  <c:v>-73.905361782079169</c:v>
                </c:pt>
                <c:pt idx="78">
                  <c:v>-73.196284748427956</c:v>
                </c:pt>
                <c:pt idx="79">
                  <c:v>-72.435750221478187</c:v>
                </c:pt>
                <c:pt idx="80">
                  <c:v>-72.552953614896879</c:v>
                </c:pt>
                <c:pt idx="81">
                  <c:v>-72.495168199807026</c:v>
                </c:pt>
                <c:pt idx="82">
                  <c:v>-73.69656959726305</c:v>
                </c:pt>
                <c:pt idx="83">
                  <c:v>-73.630870522842315</c:v>
                </c:pt>
                <c:pt idx="84">
                  <c:v>-73.303309762501726</c:v>
                </c:pt>
                <c:pt idx="85">
                  <c:v>-71.643758539237254</c:v>
                </c:pt>
                <c:pt idx="86">
                  <c:v>-71.795048657942388</c:v>
                </c:pt>
                <c:pt idx="87">
                  <c:v>-71.464379768680473</c:v>
                </c:pt>
                <c:pt idx="88">
                  <c:v>-71.520571491368187</c:v>
                </c:pt>
                <c:pt idx="89">
                  <c:v>-72.660090772353954</c:v>
                </c:pt>
                <c:pt idx="90">
                  <c:v>-73.287188809090694</c:v>
                </c:pt>
                <c:pt idx="91">
                  <c:v>-74.283008797493551</c:v>
                </c:pt>
                <c:pt idx="92">
                  <c:v>-74.808015119902763</c:v>
                </c:pt>
                <c:pt idx="93">
                  <c:v>-74.521762982434041</c:v>
                </c:pt>
                <c:pt idx="94">
                  <c:v>-74.478135001642883</c:v>
                </c:pt>
                <c:pt idx="95">
                  <c:v>-73.669266291791189</c:v>
                </c:pt>
                <c:pt idx="96">
                  <c:v>-73.364874388248694</c:v>
                </c:pt>
                <c:pt idx="97">
                  <c:v>-73.266201248540142</c:v>
                </c:pt>
                <c:pt idx="98">
                  <c:v>-73.605792744820562</c:v>
                </c:pt>
                <c:pt idx="99">
                  <c:v>-74.081399015885324</c:v>
                </c:pt>
                <c:pt idx="100">
                  <c:v>-73.800517535452116</c:v>
                </c:pt>
                <c:pt idx="101">
                  <c:v>-74.63089314083193</c:v>
                </c:pt>
                <c:pt idx="102">
                  <c:v>-74.855427541069503</c:v>
                </c:pt>
                <c:pt idx="103">
                  <c:v>-75.196576024907188</c:v>
                </c:pt>
                <c:pt idx="104">
                  <c:v>-74.349034397948216</c:v>
                </c:pt>
                <c:pt idx="105">
                  <c:v>-73.892328591932596</c:v>
                </c:pt>
                <c:pt idx="106">
                  <c:v>-72.556656937598234</c:v>
                </c:pt>
                <c:pt idx="107">
                  <c:v>-73.252704782529719</c:v>
                </c:pt>
                <c:pt idx="108">
                  <c:v>-74.255274684024556</c:v>
                </c:pt>
                <c:pt idx="109">
                  <c:v>-74.676751617568684</c:v>
                </c:pt>
                <c:pt idx="110">
                  <c:v>-74.394185240260754</c:v>
                </c:pt>
                <c:pt idx="111">
                  <c:v>-75.265409930047483</c:v>
                </c:pt>
                <c:pt idx="112">
                  <c:v>-75.632829169222319</c:v>
                </c:pt>
                <c:pt idx="113">
                  <c:v>-75.413347544871172</c:v>
                </c:pt>
                <c:pt idx="114">
                  <c:v>-75.133582858113826</c:v>
                </c:pt>
                <c:pt idx="115">
                  <c:v>-74.335581952696657</c:v>
                </c:pt>
                <c:pt idx="116">
                  <c:v>-75.379685223867469</c:v>
                </c:pt>
                <c:pt idx="117">
                  <c:v>-75.587724141233451</c:v>
                </c:pt>
                <c:pt idx="118">
                  <c:v>-76.403496649520619</c:v>
                </c:pt>
                <c:pt idx="119">
                  <c:v>-76.857175648827521</c:v>
                </c:pt>
                <c:pt idx="120">
                  <c:v>-76.933069124329236</c:v>
                </c:pt>
                <c:pt idx="121">
                  <c:v>-77.04996946831325</c:v>
                </c:pt>
                <c:pt idx="122">
                  <c:v>-76.969182974566806</c:v>
                </c:pt>
                <c:pt idx="123">
                  <c:v>-77.888251534892206</c:v>
                </c:pt>
                <c:pt idx="124">
                  <c:v>-77.78110820664854</c:v>
                </c:pt>
                <c:pt idx="125">
                  <c:v>-77.844601462660094</c:v>
                </c:pt>
                <c:pt idx="126">
                  <c:v>-78.171081882891784</c:v>
                </c:pt>
                <c:pt idx="127">
                  <c:v>-78.809564057779113</c:v>
                </c:pt>
                <c:pt idx="128">
                  <c:v>-79.151618478576708</c:v>
                </c:pt>
                <c:pt idx="129">
                  <c:v>-79.402611270348956</c:v>
                </c:pt>
                <c:pt idx="130">
                  <c:v>-79.306683741201226</c:v>
                </c:pt>
                <c:pt idx="131">
                  <c:v>-78.749782846926237</c:v>
                </c:pt>
                <c:pt idx="132">
                  <c:v>-78.930319073089862</c:v>
                </c:pt>
                <c:pt idx="133">
                  <c:v>-78.901343692089384</c:v>
                </c:pt>
                <c:pt idx="134">
                  <c:v>-79.109733566880394</c:v>
                </c:pt>
                <c:pt idx="135">
                  <c:v>-78.967311527701199</c:v>
                </c:pt>
                <c:pt idx="136">
                  <c:v>-78.541401959434566</c:v>
                </c:pt>
                <c:pt idx="137">
                  <c:v>-79.564773345497841</c:v>
                </c:pt>
                <c:pt idx="138">
                  <c:v>-80.299308578194712</c:v>
                </c:pt>
                <c:pt idx="139">
                  <c:v>-81.055771415695645</c:v>
                </c:pt>
                <c:pt idx="140">
                  <c:v>-81.235171527323615</c:v>
                </c:pt>
                <c:pt idx="141">
                  <c:v>-80.852392286520995</c:v>
                </c:pt>
                <c:pt idx="142">
                  <c:v>-81.534317001645292</c:v>
                </c:pt>
                <c:pt idx="143">
                  <c:v>-81.4987840891677</c:v>
                </c:pt>
                <c:pt idx="144">
                  <c:v>-81.704020395018048</c:v>
                </c:pt>
                <c:pt idx="145">
                  <c:v>-81.497480241815552</c:v>
                </c:pt>
                <c:pt idx="146">
                  <c:v>-81.286473730116057</c:v>
                </c:pt>
                <c:pt idx="147">
                  <c:v>-81.444553408813078</c:v>
                </c:pt>
                <c:pt idx="148">
                  <c:v>-81.227142292793559</c:v>
                </c:pt>
                <c:pt idx="149">
                  <c:v>-82.051978035976262</c:v>
                </c:pt>
                <c:pt idx="150">
                  <c:v>-81.922172879698806</c:v>
                </c:pt>
                <c:pt idx="151">
                  <c:v>-82.428128659753739</c:v>
                </c:pt>
                <c:pt idx="152">
                  <c:v>-82.161232694589415</c:v>
                </c:pt>
                <c:pt idx="153">
                  <c:v>-82.469486077481804</c:v>
                </c:pt>
                <c:pt idx="154">
                  <c:v>-82.56633476622855</c:v>
                </c:pt>
                <c:pt idx="155">
                  <c:v>-82.973984514912004</c:v>
                </c:pt>
                <c:pt idx="156">
                  <c:v>-82.798875136371421</c:v>
                </c:pt>
                <c:pt idx="157">
                  <c:v>-83.300211085856105</c:v>
                </c:pt>
                <c:pt idx="158">
                  <c:v>-83.43538589001939</c:v>
                </c:pt>
                <c:pt idx="159">
                  <c:v>-83.541146180752847</c:v>
                </c:pt>
                <c:pt idx="160">
                  <c:v>-83.665451201611191</c:v>
                </c:pt>
                <c:pt idx="161">
                  <c:v>-83.759067154755542</c:v>
                </c:pt>
                <c:pt idx="162">
                  <c:v>-83.661255083991179</c:v>
                </c:pt>
                <c:pt idx="163">
                  <c:v>-83.751299452818103</c:v>
                </c:pt>
                <c:pt idx="164">
                  <c:v>-84.085601849466386</c:v>
                </c:pt>
                <c:pt idx="165">
                  <c:v>-84.072289505682676</c:v>
                </c:pt>
                <c:pt idx="166">
                  <c:v>-84.380354141047377</c:v>
                </c:pt>
                <c:pt idx="167">
                  <c:v>-84.535338079709959</c:v>
                </c:pt>
                <c:pt idx="168">
                  <c:v>-84.507817327348334</c:v>
                </c:pt>
                <c:pt idx="169">
                  <c:v>-84.561793214933545</c:v>
                </c:pt>
                <c:pt idx="170">
                  <c:v>-84.886505008525049</c:v>
                </c:pt>
                <c:pt idx="171">
                  <c:v>-84.941456046870755</c:v>
                </c:pt>
                <c:pt idx="172">
                  <c:v>-84.757530320775444</c:v>
                </c:pt>
                <c:pt idx="173">
                  <c:v>-85.302891041968124</c:v>
                </c:pt>
                <c:pt idx="174">
                  <c:v>-85.229399334387082</c:v>
                </c:pt>
                <c:pt idx="175">
                  <c:v>-85.314963675925782</c:v>
                </c:pt>
                <c:pt idx="176">
                  <c:v>-84.253454661460495</c:v>
                </c:pt>
                <c:pt idx="177">
                  <c:v>-84.775641076612629</c:v>
                </c:pt>
                <c:pt idx="178">
                  <c:v>-84.232342736409976</c:v>
                </c:pt>
                <c:pt idx="179">
                  <c:v>-82.06979005485276</c:v>
                </c:pt>
                <c:pt idx="180">
                  <c:v>-78.230280565079568</c:v>
                </c:pt>
                <c:pt idx="181">
                  <c:v>-84.229485789384171</c:v>
                </c:pt>
                <c:pt idx="182">
                  <c:v>-84.554845319001373</c:v>
                </c:pt>
                <c:pt idx="183">
                  <c:v>-81.866993286492814</c:v>
                </c:pt>
                <c:pt idx="184">
                  <c:v>-86.190419359931809</c:v>
                </c:pt>
                <c:pt idx="185">
                  <c:v>-85.30846919713467</c:v>
                </c:pt>
                <c:pt idx="186">
                  <c:v>-85.637255523761198</c:v>
                </c:pt>
                <c:pt idx="187">
                  <c:v>-86.379747979982184</c:v>
                </c:pt>
                <c:pt idx="188">
                  <c:v>-87.452443310012811</c:v>
                </c:pt>
                <c:pt idx="189">
                  <c:v>-86.755585133812744</c:v>
                </c:pt>
                <c:pt idx="190">
                  <c:v>-87.691432402812978</c:v>
                </c:pt>
                <c:pt idx="191">
                  <c:v>-88.136539299012071</c:v>
                </c:pt>
                <c:pt idx="192">
                  <c:v>-88.294004334046789</c:v>
                </c:pt>
                <c:pt idx="193">
                  <c:v>-88.455072428108252</c:v>
                </c:pt>
                <c:pt idx="194">
                  <c:v>-88.573857060191187</c:v>
                </c:pt>
                <c:pt idx="195">
                  <c:v>-88.655282291504079</c:v>
                </c:pt>
                <c:pt idx="196">
                  <c:v>-88.771879763138045</c:v>
                </c:pt>
                <c:pt idx="197">
                  <c:v>-88.932459779681267</c:v>
                </c:pt>
                <c:pt idx="198">
                  <c:v>-88.922599605820892</c:v>
                </c:pt>
                <c:pt idx="199">
                  <c:v>-89.375900847963877</c:v>
                </c:pt>
                <c:pt idx="200">
                  <c:v>-89.540130306760702</c:v>
                </c:pt>
                <c:pt idx="201">
                  <c:v>-89.782036521398055</c:v>
                </c:pt>
                <c:pt idx="202">
                  <c:v>-89.945169574142668</c:v>
                </c:pt>
                <c:pt idx="203">
                  <c:v>-89.975913147914994</c:v>
                </c:pt>
                <c:pt idx="204">
                  <c:v>-88.418076623658081</c:v>
                </c:pt>
                <c:pt idx="205">
                  <c:v>-73.305255855620047</c:v>
                </c:pt>
                <c:pt idx="206">
                  <c:v>-60.788233452296481</c:v>
                </c:pt>
                <c:pt idx="207">
                  <c:v>-74.136283649375144</c:v>
                </c:pt>
                <c:pt idx="208">
                  <c:v>-53.50868628093572</c:v>
                </c:pt>
                <c:pt idx="209">
                  <c:v>-56.977373729375074</c:v>
                </c:pt>
                <c:pt idx="210">
                  <c:v>-33.872347006723516</c:v>
                </c:pt>
                <c:pt idx="211">
                  <c:v>-43.445321651736343</c:v>
                </c:pt>
                <c:pt idx="212">
                  <c:v>-35.181799472191145</c:v>
                </c:pt>
                <c:pt idx="213">
                  <c:v>-37.275447811459344</c:v>
                </c:pt>
                <c:pt idx="214">
                  <c:v>-33.571268054178681</c:v>
                </c:pt>
                <c:pt idx="215">
                  <c:v>-30.249708830272329</c:v>
                </c:pt>
                <c:pt idx="216">
                  <c:v>-25.143689154312113</c:v>
                </c:pt>
                <c:pt idx="217">
                  <c:v>-6.6950435260338992</c:v>
                </c:pt>
                <c:pt idx="218">
                  <c:v>-15.181405711812557</c:v>
                </c:pt>
                <c:pt idx="219">
                  <c:v>-5.8983005677207423</c:v>
                </c:pt>
                <c:pt idx="220">
                  <c:v>-4.3027867878113897</c:v>
                </c:pt>
                <c:pt idx="221">
                  <c:v>-6.9176394326272632</c:v>
                </c:pt>
                <c:pt idx="222">
                  <c:v>-0.89625964993617924</c:v>
                </c:pt>
                <c:pt idx="223">
                  <c:v>-1.7861096817002133</c:v>
                </c:pt>
                <c:pt idx="224">
                  <c:v>-0.3189226261056719</c:v>
                </c:pt>
                <c:pt idx="225">
                  <c:v>-0.46012410221682987</c:v>
                </c:pt>
                <c:pt idx="226">
                  <c:v>-0.61198307929924001</c:v>
                </c:pt>
                <c:pt idx="227">
                  <c:v>-0.97770140361476676</c:v>
                </c:pt>
                <c:pt idx="228">
                  <c:v>-1.2651823006797822</c:v>
                </c:pt>
                <c:pt idx="229">
                  <c:v>-1.2122562649329822</c:v>
                </c:pt>
                <c:pt idx="230">
                  <c:v>-5.0911877242011023</c:v>
                </c:pt>
                <c:pt idx="231">
                  <c:v>-8.7460939105334763</c:v>
                </c:pt>
                <c:pt idx="232">
                  <c:v>-32.4686999934707</c:v>
                </c:pt>
                <c:pt idx="233">
                  <c:v>-63.002513887341593</c:v>
                </c:pt>
                <c:pt idx="234">
                  <c:v>-73.103771245978933</c:v>
                </c:pt>
                <c:pt idx="235">
                  <c:v>-83.055179331174429</c:v>
                </c:pt>
                <c:pt idx="236">
                  <c:v>-78.945798153725562</c:v>
                </c:pt>
                <c:pt idx="237">
                  <c:v>-63.321684741290291</c:v>
                </c:pt>
                <c:pt idx="238">
                  <c:v>-66.215157118618905</c:v>
                </c:pt>
                <c:pt idx="239">
                  <c:v>-93.611340976239831</c:v>
                </c:pt>
                <c:pt idx="240">
                  <c:v>-93.633545893434174</c:v>
                </c:pt>
                <c:pt idx="241">
                  <c:v>-90.082565660269537</c:v>
                </c:pt>
                <c:pt idx="242">
                  <c:v>-31.679970594346429</c:v>
                </c:pt>
                <c:pt idx="243">
                  <c:v>-47.058977885473624</c:v>
                </c:pt>
                <c:pt idx="244">
                  <c:v>-77.711568951509776</c:v>
                </c:pt>
                <c:pt idx="245">
                  <c:v>-95.432890213748436</c:v>
                </c:pt>
                <c:pt idx="246">
                  <c:v>-64.984486937939835</c:v>
                </c:pt>
                <c:pt idx="247">
                  <c:v>-69.208581439075786</c:v>
                </c:pt>
                <c:pt idx="248">
                  <c:v>-87.869888629315184</c:v>
                </c:pt>
                <c:pt idx="249">
                  <c:v>-68.887098267341045</c:v>
                </c:pt>
              </c:numCache>
            </c:numRef>
          </c:val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-23.43231170518942</c:v>
                </c:pt>
                <c:pt idx="1">
                  <c:v>-32.867043636097378</c:v>
                </c:pt>
                <c:pt idx="2">
                  <c:v>-29.122753809984449</c:v>
                </c:pt>
                <c:pt idx="3">
                  <c:v>-27.823413221336498</c:v>
                </c:pt>
                <c:pt idx="4">
                  <c:v>-29.17816959904863</c:v>
                </c:pt>
                <c:pt idx="5">
                  <c:v>-24.367984928261741</c:v>
                </c:pt>
                <c:pt idx="6">
                  <c:v>-18.427813568342664</c:v>
                </c:pt>
                <c:pt idx="7">
                  <c:v>-26.291868919352162</c:v>
                </c:pt>
                <c:pt idx="8">
                  <c:v>-26.796474381367002</c:v>
                </c:pt>
                <c:pt idx="9">
                  <c:v>-25.84402702488179</c:v>
                </c:pt>
                <c:pt idx="10">
                  <c:v>-27.083735318954322</c:v>
                </c:pt>
                <c:pt idx="11">
                  <c:v>-26.546662277909281</c:v>
                </c:pt>
                <c:pt idx="12">
                  <c:v>-25.7560059841264</c:v>
                </c:pt>
                <c:pt idx="13">
                  <c:v>-29.117594140782863</c:v>
                </c:pt>
                <c:pt idx="14">
                  <c:v>-26.897182276129982</c:v>
                </c:pt>
                <c:pt idx="15">
                  <c:v>-25.904537072874795</c:v>
                </c:pt>
                <c:pt idx="16">
                  <c:v>-20.12398887455219</c:v>
                </c:pt>
                <c:pt idx="17">
                  <c:v>-24.343614939810152</c:v>
                </c:pt>
                <c:pt idx="18">
                  <c:v>-23.863513447594773</c:v>
                </c:pt>
                <c:pt idx="19">
                  <c:v>-16.911917542576141</c:v>
                </c:pt>
                <c:pt idx="20">
                  <c:v>-22.854006863053598</c:v>
                </c:pt>
                <c:pt idx="21">
                  <c:v>-22.223855763809869</c:v>
                </c:pt>
                <c:pt idx="22">
                  <c:v>-25.446546824716673</c:v>
                </c:pt>
                <c:pt idx="23">
                  <c:v>-26.031087212344218</c:v>
                </c:pt>
                <c:pt idx="24">
                  <c:v>-25.080181402458201</c:v>
                </c:pt>
                <c:pt idx="25">
                  <c:v>-26.216599573315893</c:v>
                </c:pt>
                <c:pt idx="26">
                  <c:v>-26.833777192154827</c:v>
                </c:pt>
                <c:pt idx="27">
                  <c:v>-26.863671700132578</c:v>
                </c:pt>
                <c:pt idx="28">
                  <c:v>-17.678241424406696</c:v>
                </c:pt>
                <c:pt idx="29">
                  <c:v>-27.524132044411871</c:v>
                </c:pt>
                <c:pt idx="30">
                  <c:v>-26.351472974893547</c:v>
                </c:pt>
                <c:pt idx="31">
                  <c:v>-31.751653139311639</c:v>
                </c:pt>
                <c:pt idx="32">
                  <c:v>-67.929276180667046</c:v>
                </c:pt>
                <c:pt idx="33">
                  <c:v>-31.718066849814633</c:v>
                </c:pt>
                <c:pt idx="34">
                  <c:v>-33.465350334582304</c:v>
                </c:pt>
                <c:pt idx="35">
                  <c:v>-36.393529363628751</c:v>
                </c:pt>
                <c:pt idx="36">
                  <c:v>-42.667905030010836</c:v>
                </c:pt>
                <c:pt idx="37">
                  <c:v>-35.899159717121925</c:v>
                </c:pt>
                <c:pt idx="38">
                  <c:v>-32.592990182360737</c:v>
                </c:pt>
                <c:pt idx="39">
                  <c:v>-30.18776264126825</c:v>
                </c:pt>
                <c:pt idx="40">
                  <c:v>-20.937454626487717</c:v>
                </c:pt>
                <c:pt idx="41">
                  <c:v>-40.989874311471979</c:v>
                </c:pt>
                <c:pt idx="42">
                  <c:v>-33.973876984034277</c:v>
                </c:pt>
                <c:pt idx="43">
                  <c:v>-50.853173828340104</c:v>
                </c:pt>
                <c:pt idx="44">
                  <c:v>-34.812992482652646</c:v>
                </c:pt>
                <c:pt idx="45">
                  <c:v>-66.160390587321714</c:v>
                </c:pt>
                <c:pt idx="46">
                  <c:v>-36.061532171937685</c:v>
                </c:pt>
                <c:pt idx="47">
                  <c:v>-34.884010482889202</c:v>
                </c:pt>
                <c:pt idx="48">
                  <c:v>-32.914490784412415</c:v>
                </c:pt>
                <c:pt idx="49">
                  <c:v>-37.374713893921722</c:v>
                </c:pt>
                <c:pt idx="50">
                  <c:v>-41.494919883988928</c:v>
                </c:pt>
                <c:pt idx="51">
                  <c:v>-31.521987387678767</c:v>
                </c:pt>
                <c:pt idx="52">
                  <c:v>-32.380135878807735</c:v>
                </c:pt>
                <c:pt idx="53">
                  <c:v>-34.991132199903447</c:v>
                </c:pt>
                <c:pt idx="54">
                  <c:v>-71.38702117015157</c:v>
                </c:pt>
                <c:pt idx="55">
                  <c:v>-35.812632271094536</c:v>
                </c:pt>
                <c:pt idx="56">
                  <c:v>-37.541226128820895</c:v>
                </c:pt>
                <c:pt idx="57">
                  <c:v>-35.236507973966127</c:v>
                </c:pt>
                <c:pt idx="58">
                  <c:v>-38.173038556388448</c:v>
                </c:pt>
                <c:pt idx="59">
                  <c:v>-53.107394774019397</c:v>
                </c:pt>
                <c:pt idx="60">
                  <c:v>-54.181039635033393</c:v>
                </c:pt>
                <c:pt idx="61">
                  <c:v>-41.161357966234746</c:v>
                </c:pt>
                <c:pt idx="62">
                  <c:v>-35.765454529321623</c:v>
                </c:pt>
                <c:pt idx="63">
                  <c:v>-36.444516138555102</c:v>
                </c:pt>
                <c:pt idx="64">
                  <c:v>-36.386036464745061</c:v>
                </c:pt>
                <c:pt idx="65">
                  <c:v>-36.888275668381951</c:v>
                </c:pt>
                <c:pt idx="66">
                  <c:v>-36.481972744578485</c:v>
                </c:pt>
                <c:pt idx="67">
                  <c:v>-36.358556764454619</c:v>
                </c:pt>
                <c:pt idx="68">
                  <c:v>-51.349241941785927</c:v>
                </c:pt>
                <c:pt idx="69">
                  <c:v>-46.267041131563019</c:v>
                </c:pt>
                <c:pt idx="70">
                  <c:v>-36.855417799726212</c:v>
                </c:pt>
                <c:pt idx="71">
                  <c:v>-36.306124391415196</c:v>
                </c:pt>
                <c:pt idx="72">
                  <c:v>-37.097978887079805</c:v>
                </c:pt>
                <c:pt idx="73">
                  <c:v>-37.178867293317275</c:v>
                </c:pt>
                <c:pt idx="74">
                  <c:v>-72.91054311083893</c:v>
                </c:pt>
                <c:pt idx="75">
                  <c:v>-39.174603120129994</c:v>
                </c:pt>
                <c:pt idx="76">
                  <c:v>-64.291978830397454</c:v>
                </c:pt>
                <c:pt idx="77">
                  <c:v>-70.513695716442925</c:v>
                </c:pt>
                <c:pt idx="78">
                  <c:v>-70.198504113244638</c:v>
                </c:pt>
                <c:pt idx="79">
                  <c:v>-52.469273370851056</c:v>
                </c:pt>
                <c:pt idx="80">
                  <c:v>-70.283860949844211</c:v>
                </c:pt>
                <c:pt idx="81">
                  <c:v>-44.319161975896918</c:v>
                </c:pt>
                <c:pt idx="82">
                  <c:v>-44.431478345502462</c:v>
                </c:pt>
                <c:pt idx="83">
                  <c:v>-71.162779003947577</c:v>
                </c:pt>
                <c:pt idx="84">
                  <c:v>-46.482831270618831</c:v>
                </c:pt>
                <c:pt idx="85">
                  <c:v>-40.776308658961597</c:v>
                </c:pt>
                <c:pt idx="86">
                  <c:v>-67.775632785685801</c:v>
                </c:pt>
                <c:pt idx="87">
                  <c:v>-69.224330010924845</c:v>
                </c:pt>
                <c:pt idx="88">
                  <c:v>-51.228827301503046</c:v>
                </c:pt>
                <c:pt idx="89">
                  <c:v>-67.66693579409764</c:v>
                </c:pt>
                <c:pt idx="90">
                  <c:v>-70.241519379778325</c:v>
                </c:pt>
                <c:pt idx="91">
                  <c:v>-68.318524195203381</c:v>
                </c:pt>
                <c:pt idx="92">
                  <c:v>-53.895984628870337</c:v>
                </c:pt>
                <c:pt idx="93">
                  <c:v>-72.321782217483744</c:v>
                </c:pt>
                <c:pt idx="94">
                  <c:v>-58.589171715945973</c:v>
                </c:pt>
                <c:pt idx="95">
                  <c:v>-67.365076478170636</c:v>
                </c:pt>
                <c:pt idx="96">
                  <c:v>-71.283361101100908</c:v>
                </c:pt>
                <c:pt idx="97">
                  <c:v>-69.855035953936337</c:v>
                </c:pt>
                <c:pt idx="98">
                  <c:v>-72.095776494178907</c:v>
                </c:pt>
                <c:pt idx="99">
                  <c:v>-60.73004893837669</c:v>
                </c:pt>
                <c:pt idx="100">
                  <c:v>-50.710123993340552</c:v>
                </c:pt>
                <c:pt idx="101">
                  <c:v>-64.735022995494347</c:v>
                </c:pt>
                <c:pt idx="102">
                  <c:v>-73.055556279123522</c:v>
                </c:pt>
                <c:pt idx="103">
                  <c:v>-49.604888301836169</c:v>
                </c:pt>
                <c:pt idx="104">
                  <c:v>-70.949604910269372</c:v>
                </c:pt>
                <c:pt idx="105">
                  <c:v>-60.3597150568026</c:v>
                </c:pt>
                <c:pt idx="106">
                  <c:v>-42.105195672465811</c:v>
                </c:pt>
                <c:pt idx="107">
                  <c:v>-71.777352250827335</c:v>
                </c:pt>
                <c:pt idx="108">
                  <c:v>-67.47727433811508</c:v>
                </c:pt>
                <c:pt idx="109">
                  <c:v>-63.587002563379301</c:v>
                </c:pt>
                <c:pt idx="110">
                  <c:v>-51.177816523756661</c:v>
                </c:pt>
                <c:pt idx="111">
                  <c:v>-69.278809738892988</c:v>
                </c:pt>
                <c:pt idx="112">
                  <c:v>-66.492247739652427</c:v>
                </c:pt>
                <c:pt idx="113">
                  <c:v>-72.642325237130407</c:v>
                </c:pt>
                <c:pt idx="114">
                  <c:v>-69.737713449892823</c:v>
                </c:pt>
                <c:pt idx="115">
                  <c:v>-43.561728525174601</c:v>
                </c:pt>
                <c:pt idx="116">
                  <c:v>-60.212610719720388</c:v>
                </c:pt>
                <c:pt idx="117">
                  <c:v>-66.142889142245565</c:v>
                </c:pt>
                <c:pt idx="118">
                  <c:v>-73.362237432870558</c:v>
                </c:pt>
                <c:pt idx="119">
                  <c:v>-72.773681636579497</c:v>
                </c:pt>
                <c:pt idx="120">
                  <c:v>-74.348295352222252</c:v>
                </c:pt>
                <c:pt idx="121">
                  <c:v>-74.261199908825517</c:v>
                </c:pt>
                <c:pt idx="122">
                  <c:v>-52.540241359815731</c:v>
                </c:pt>
                <c:pt idx="123">
                  <c:v>-52.352952762431485</c:v>
                </c:pt>
                <c:pt idx="124">
                  <c:v>-75.218341987206472</c:v>
                </c:pt>
                <c:pt idx="125">
                  <c:v>-75.30952395589523</c:v>
                </c:pt>
                <c:pt idx="126">
                  <c:v>-74.159443142705086</c:v>
                </c:pt>
                <c:pt idx="127">
                  <c:v>-75.50697416048186</c:v>
                </c:pt>
                <c:pt idx="128">
                  <c:v>-76.888969365469507</c:v>
                </c:pt>
                <c:pt idx="129">
                  <c:v>-71.259949363384138</c:v>
                </c:pt>
                <c:pt idx="130">
                  <c:v>-70.599778028442401</c:v>
                </c:pt>
                <c:pt idx="131">
                  <c:v>-58.893476619190679</c:v>
                </c:pt>
                <c:pt idx="132">
                  <c:v>-76.323746808233409</c:v>
                </c:pt>
                <c:pt idx="133">
                  <c:v>-76.460744405196237</c:v>
                </c:pt>
                <c:pt idx="134">
                  <c:v>-74.891058094603878</c:v>
                </c:pt>
                <c:pt idx="135">
                  <c:v>-75.814230078659008</c:v>
                </c:pt>
                <c:pt idx="136">
                  <c:v>-47.211400837975674</c:v>
                </c:pt>
                <c:pt idx="137">
                  <c:v>-77.442953969835372</c:v>
                </c:pt>
                <c:pt idx="138">
                  <c:v>-77.497638225963485</c:v>
                </c:pt>
                <c:pt idx="139">
                  <c:v>-55.603308270079765</c:v>
                </c:pt>
                <c:pt idx="140">
                  <c:v>-52.492496978405541</c:v>
                </c:pt>
                <c:pt idx="141">
                  <c:v>-42.29834104096301</c:v>
                </c:pt>
                <c:pt idx="142">
                  <c:v>-43.857201324139481</c:v>
                </c:pt>
                <c:pt idx="143">
                  <c:v>-55.263317260635752</c:v>
                </c:pt>
                <c:pt idx="144">
                  <c:v>-55.565818298849969</c:v>
                </c:pt>
                <c:pt idx="145">
                  <c:v>-78.793319038669068</c:v>
                </c:pt>
                <c:pt idx="146">
                  <c:v>-70.133856112877098</c:v>
                </c:pt>
                <c:pt idx="147">
                  <c:v>-73.000195894657281</c:v>
                </c:pt>
                <c:pt idx="148">
                  <c:v>-48.683989687445319</c:v>
                </c:pt>
                <c:pt idx="149">
                  <c:v>-49.84831273857327</c:v>
                </c:pt>
                <c:pt idx="150">
                  <c:v>-53.246812550352317</c:v>
                </c:pt>
                <c:pt idx="151">
                  <c:v>-50.678959521327222</c:v>
                </c:pt>
                <c:pt idx="152">
                  <c:v>-56.520404138106308</c:v>
                </c:pt>
                <c:pt idx="153">
                  <c:v>-78.342875896370401</c:v>
                </c:pt>
                <c:pt idx="154">
                  <c:v>-65.527701956108089</c:v>
                </c:pt>
                <c:pt idx="155">
                  <c:v>-58.073179598339586</c:v>
                </c:pt>
                <c:pt idx="156">
                  <c:v>-45.215983938072128</c:v>
                </c:pt>
                <c:pt idx="157">
                  <c:v>-67.288404503404081</c:v>
                </c:pt>
                <c:pt idx="158">
                  <c:v>-80.113940645183476</c:v>
                </c:pt>
                <c:pt idx="159">
                  <c:v>-58.099194745643516</c:v>
                </c:pt>
                <c:pt idx="160">
                  <c:v>-76.569823619113066</c:v>
                </c:pt>
                <c:pt idx="161">
                  <c:v>-79.38790269187632</c:v>
                </c:pt>
                <c:pt idx="162">
                  <c:v>-76.149808800069621</c:v>
                </c:pt>
                <c:pt idx="163">
                  <c:v>-78.413257886191587</c:v>
                </c:pt>
                <c:pt idx="164">
                  <c:v>-68.738646992987668</c:v>
                </c:pt>
                <c:pt idx="165">
                  <c:v>-69.901693783058604</c:v>
                </c:pt>
                <c:pt idx="166">
                  <c:v>-76.045747040099357</c:v>
                </c:pt>
                <c:pt idx="167">
                  <c:v>-80.819287569670536</c:v>
                </c:pt>
                <c:pt idx="168">
                  <c:v>-81.980305003952225</c:v>
                </c:pt>
                <c:pt idx="169">
                  <c:v>-71.553967866628099</c:v>
                </c:pt>
                <c:pt idx="170">
                  <c:v>-63.120136882463058</c:v>
                </c:pt>
                <c:pt idx="171">
                  <c:v>-59.454387490510356</c:v>
                </c:pt>
                <c:pt idx="172">
                  <c:v>-60.030161261667175</c:v>
                </c:pt>
                <c:pt idx="173">
                  <c:v>-59.858264811238094</c:v>
                </c:pt>
                <c:pt idx="174">
                  <c:v>-82.885660758440821</c:v>
                </c:pt>
                <c:pt idx="175">
                  <c:v>-62.166088322048381</c:v>
                </c:pt>
                <c:pt idx="176">
                  <c:v>-56.893433485560919</c:v>
                </c:pt>
                <c:pt idx="177">
                  <c:v>-71.124421538877385</c:v>
                </c:pt>
                <c:pt idx="178">
                  <c:v>-74.539299618188409</c:v>
                </c:pt>
                <c:pt idx="179">
                  <c:v>-86.113421215271714</c:v>
                </c:pt>
                <c:pt idx="180">
                  <c:v>-47.478652624863535</c:v>
                </c:pt>
                <c:pt idx="181">
                  <c:v>-53.439196389430613</c:v>
                </c:pt>
                <c:pt idx="182">
                  <c:v>-57.080959843062352</c:v>
                </c:pt>
                <c:pt idx="183">
                  <c:v>-48.487679155251762</c:v>
                </c:pt>
                <c:pt idx="184">
                  <c:v>-48.753049297279603</c:v>
                </c:pt>
                <c:pt idx="185">
                  <c:v>-69.443577253512615</c:v>
                </c:pt>
                <c:pt idx="186">
                  <c:v>-85.791992620007193</c:v>
                </c:pt>
                <c:pt idx="187">
                  <c:v>-78.650504678180766</c:v>
                </c:pt>
                <c:pt idx="188">
                  <c:v>-52.808910343465655</c:v>
                </c:pt>
                <c:pt idx="189">
                  <c:v>-56.180628576320458</c:v>
                </c:pt>
                <c:pt idx="190">
                  <c:v>-84.896109147528932</c:v>
                </c:pt>
                <c:pt idx="191">
                  <c:v>-59.573253274947461</c:v>
                </c:pt>
                <c:pt idx="192">
                  <c:v>-80.484964095092607</c:v>
                </c:pt>
                <c:pt idx="193">
                  <c:v>-73.920064844142871</c:v>
                </c:pt>
                <c:pt idx="194">
                  <c:v>-59.854461128650222</c:v>
                </c:pt>
                <c:pt idx="195">
                  <c:v>-71.478332998150208</c:v>
                </c:pt>
                <c:pt idx="196">
                  <c:v>-86.552088491802095</c:v>
                </c:pt>
                <c:pt idx="197">
                  <c:v>-85.989210106000698</c:v>
                </c:pt>
                <c:pt idx="198">
                  <c:v>-65.916564891019277</c:v>
                </c:pt>
                <c:pt idx="199">
                  <c:v>-87.617377620605183</c:v>
                </c:pt>
                <c:pt idx="200">
                  <c:v>-60.068511902775157</c:v>
                </c:pt>
                <c:pt idx="201">
                  <c:v>-71.505561514756238</c:v>
                </c:pt>
                <c:pt idx="202">
                  <c:v>-88.060375194929307</c:v>
                </c:pt>
                <c:pt idx="203">
                  <c:v>-68.667207874415993</c:v>
                </c:pt>
                <c:pt idx="204">
                  <c:v>-51.065875926226141</c:v>
                </c:pt>
                <c:pt idx="205">
                  <c:v>-45.791592564320638</c:v>
                </c:pt>
                <c:pt idx="206">
                  <c:v>-47.869974427205435</c:v>
                </c:pt>
                <c:pt idx="207">
                  <c:v>-44.362556095103557</c:v>
                </c:pt>
                <c:pt idx="208">
                  <c:v>-44.911620358295721</c:v>
                </c:pt>
                <c:pt idx="209">
                  <c:v>-40.31119656860546</c:v>
                </c:pt>
                <c:pt idx="210">
                  <c:v>-42.833895646891442</c:v>
                </c:pt>
                <c:pt idx="211">
                  <c:v>-38.980709214483191</c:v>
                </c:pt>
                <c:pt idx="212">
                  <c:v>-37.224835628802225</c:v>
                </c:pt>
                <c:pt idx="213">
                  <c:v>-29.044175326379246</c:v>
                </c:pt>
                <c:pt idx="214">
                  <c:v>7.5639965327481491</c:v>
                </c:pt>
                <c:pt idx="215">
                  <c:v>3.4412350540842862</c:v>
                </c:pt>
                <c:pt idx="216">
                  <c:v>-29.198122681535025</c:v>
                </c:pt>
                <c:pt idx="217">
                  <c:v>-39.373643500871438</c:v>
                </c:pt>
                <c:pt idx="218">
                  <c:v>-33.930167535777301</c:v>
                </c:pt>
                <c:pt idx="219">
                  <c:v>-16.3387527805729</c:v>
                </c:pt>
                <c:pt idx="220">
                  <c:v>-17.222440687505635</c:v>
                </c:pt>
                <c:pt idx="221">
                  <c:v>-29.495212424716602</c:v>
                </c:pt>
                <c:pt idx="222">
                  <c:v>-30.585614680974764</c:v>
                </c:pt>
                <c:pt idx="223">
                  <c:v>-26.022632745894697</c:v>
                </c:pt>
                <c:pt idx="224">
                  <c:v>-17.255007905857521</c:v>
                </c:pt>
                <c:pt idx="225">
                  <c:v>-2.2223987229224207</c:v>
                </c:pt>
                <c:pt idx="226">
                  <c:v>-20.402251837615079</c:v>
                </c:pt>
                <c:pt idx="227">
                  <c:v>-5.0979178831774146</c:v>
                </c:pt>
                <c:pt idx="228">
                  <c:v>-33.78377663999283</c:v>
                </c:pt>
                <c:pt idx="229">
                  <c:v>-18.411905104699343</c:v>
                </c:pt>
                <c:pt idx="230">
                  <c:v>-26.245686649997811</c:v>
                </c:pt>
                <c:pt idx="231">
                  <c:v>-38.823303735268055</c:v>
                </c:pt>
                <c:pt idx="232">
                  <c:v>-62.892614410428024</c:v>
                </c:pt>
                <c:pt idx="233">
                  <c:v>-56.366616154419511</c:v>
                </c:pt>
                <c:pt idx="234">
                  <c:v>-95.214354174790216</c:v>
                </c:pt>
                <c:pt idx="235">
                  <c:v>-61.38195283730866</c:v>
                </c:pt>
                <c:pt idx="236">
                  <c:v>-57.770607029903196</c:v>
                </c:pt>
                <c:pt idx="237">
                  <c:v>-54.161493293009421</c:v>
                </c:pt>
                <c:pt idx="238">
                  <c:v>-63.686329205058477</c:v>
                </c:pt>
                <c:pt idx="239">
                  <c:v>-61.699259438869348</c:v>
                </c:pt>
                <c:pt idx="240">
                  <c:v>-93.717388151593397</c:v>
                </c:pt>
                <c:pt idx="241">
                  <c:v>-43.822441528136544</c:v>
                </c:pt>
                <c:pt idx="242">
                  <c:v>-48.593113461215523</c:v>
                </c:pt>
                <c:pt idx="243">
                  <c:v>-77.414193598517983</c:v>
                </c:pt>
                <c:pt idx="244">
                  <c:v>-98.818999677394316</c:v>
                </c:pt>
                <c:pt idx="245">
                  <c:v>-52.955865992086331</c:v>
                </c:pt>
                <c:pt idx="246">
                  <c:v>-56.052695654433784</c:v>
                </c:pt>
                <c:pt idx="247">
                  <c:v>-95.471506188688409</c:v>
                </c:pt>
                <c:pt idx="248">
                  <c:v>-59.508251714713239</c:v>
                </c:pt>
              </c:numCache>
            </c:numRef>
          </c:val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-11.140582266006046</c:v>
                </c:pt>
                <c:pt idx="2">
                  <c:v>-31.255716573633915</c:v>
                </c:pt>
                <c:pt idx="3">
                  <c:v>-30.556375315957126</c:v>
                </c:pt>
                <c:pt idx="4">
                  <c:v>-41.449771226555733</c:v>
                </c:pt>
                <c:pt idx="5">
                  <c:v>-33.383217741108986</c:v>
                </c:pt>
                <c:pt idx="6">
                  <c:v>-23.00586006443605</c:v>
                </c:pt>
                <c:pt idx="7">
                  <c:v>-22.897368576808301</c:v>
                </c:pt>
                <c:pt idx="8">
                  <c:v>-31.891737490616983</c:v>
                </c:pt>
                <c:pt idx="9">
                  <c:v>-27.347998574256021</c:v>
                </c:pt>
                <c:pt idx="10">
                  <c:v>-30.239210005370772</c:v>
                </c:pt>
                <c:pt idx="11">
                  <c:v>-16.641270131621546</c:v>
                </c:pt>
                <c:pt idx="12">
                  <c:v>-23.560404129565356</c:v>
                </c:pt>
                <c:pt idx="13">
                  <c:v>-9.0350727741777366</c:v>
                </c:pt>
                <c:pt idx="14">
                  <c:v>-14.987590154987203</c:v>
                </c:pt>
                <c:pt idx="15">
                  <c:v>-4.6262053592764119</c:v>
                </c:pt>
                <c:pt idx="16">
                  <c:v>-24.296132344661316</c:v>
                </c:pt>
                <c:pt idx="17">
                  <c:v>-21.914792361632294</c:v>
                </c:pt>
                <c:pt idx="18">
                  <c:v>-25.569626186815977</c:v>
                </c:pt>
                <c:pt idx="19">
                  <c:v>-21.539936751913739</c:v>
                </c:pt>
                <c:pt idx="20">
                  <c:v>-13.781054385149833</c:v>
                </c:pt>
                <c:pt idx="21">
                  <c:v>-14.472634622972432</c:v>
                </c:pt>
                <c:pt idx="22">
                  <c:v>-24.759599413105452</c:v>
                </c:pt>
                <c:pt idx="23">
                  <c:v>-27.4480745143014</c:v>
                </c:pt>
                <c:pt idx="24">
                  <c:v>-16.802576104833385</c:v>
                </c:pt>
                <c:pt idx="25">
                  <c:v>-17.279569457103324</c:v>
                </c:pt>
                <c:pt idx="26">
                  <c:v>-27.4909996005793</c:v>
                </c:pt>
                <c:pt idx="27">
                  <c:v>-31.687780855806775</c:v>
                </c:pt>
                <c:pt idx="28">
                  <c:v>-22.558975941394884</c:v>
                </c:pt>
                <c:pt idx="29">
                  <c:v>-16.837332783850805</c:v>
                </c:pt>
                <c:pt idx="30">
                  <c:v>-24.98351590862379</c:v>
                </c:pt>
                <c:pt idx="31">
                  <c:v>-21.10476484745833</c:v>
                </c:pt>
                <c:pt idx="32">
                  <c:v>-41.171371966081182</c:v>
                </c:pt>
                <c:pt idx="33">
                  <c:v>-56.280791332053141</c:v>
                </c:pt>
                <c:pt idx="34">
                  <c:v>-58.046579225938558</c:v>
                </c:pt>
                <c:pt idx="35">
                  <c:v>-68.302331983256792</c:v>
                </c:pt>
                <c:pt idx="36">
                  <c:v>-65.892582256512483</c:v>
                </c:pt>
                <c:pt idx="37">
                  <c:v>-63.895844769880554</c:v>
                </c:pt>
                <c:pt idx="38">
                  <c:v>-65.598817783784298</c:v>
                </c:pt>
                <c:pt idx="39">
                  <c:v>-61.310181097095331</c:v>
                </c:pt>
                <c:pt idx="40">
                  <c:v>-44.592597046867233</c:v>
                </c:pt>
                <c:pt idx="41">
                  <c:v>-23.894814407891879</c:v>
                </c:pt>
                <c:pt idx="42">
                  <c:v>-54.844894443072874</c:v>
                </c:pt>
                <c:pt idx="43">
                  <c:v>-65.38985181149269</c:v>
                </c:pt>
                <c:pt idx="44">
                  <c:v>-69.442800347161011</c:v>
                </c:pt>
                <c:pt idx="45">
                  <c:v>-64.108601013356108</c:v>
                </c:pt>
                <c:pt idx="46">
                  <c:v>-53.077256482028631</c:v>
                </c:pt>
                <c:pt idx="47">
                  <c:v>-65.747778894617781</c:v>
                </c:pt>
                <c:pt idx="48">
                  <c:v>-59.314012241660258</c:v>
                </c:pt>
                <c:pt idx="49">
                  <c:v>-63.202405300043459</c:v>
                </c:pt>
                <c:pt idx="50">
                  <c:v>-62.554869985777991</c:v>
                </c:pt>
                <c:pt idx="51">
                  <c:v>-58.824875183475143</c:v>
                </c:pt>
                <c:pt idx="52">
                  <c:v>-47.103392487020209</c:v>
                </c:pt>
                <c:pt idx="53">
                  <c:v>-51.944883899313709</c:v>
                </c:pt>
                <c:pt idx="54">
                  <c:v>-63.703465443474784</c:v>
                </c:pt>
                <c:pt idx="55">
                  <c:v>-69.87948095932245</c:v>
                </c:pt>
                <c:pt idx="56">
                  <c:v>-70.167451008702926</c:v>
                </c:pt>
                <c:pt idx="57">
                  <c:v>-72.807828765507324</c:v>
                </c:pt>
                <c:pt idx="58">
                  <c:v>-72.39564666333041</c:v>
                </c:pt>
                <c:pt idx="59">
                  <c:v>-73.283150738220741</c:v>
                </c:pt>
                <c:pt idx="60">
                  <c:v>-73.456457582979269</c:v>
                </c:pt>
                <c:pt idx="61">
                  <c:v>-73.485260637872997</c:v>
                </c:pt>
                <c:pt idx="62">
                  <c:v>-72.516724770331408</c:v>
                </c:pt>
                <c:pt idx="63">
                  <c:v>-73.686066925322777</c:v>
                </c:pt>
                <c:pt idx="64">
                  <c:v>-70.774314750377371</c:v>
                </c:pt>
                <c:pt idx="65">
                  <c:v>-73.217685197640975</c:v>
                </c:pt>
                <c:pt idx="66">
                  <c:v>-72.76163636605061</c:v>
                </c:pt>
                <c:pt idx="67">
                  <c:v>-74.199003766279162</c:v>
                </c:pt>
                <c:pt idx="68">
                  <c:v>-74.242117428011781</c:v>
                </c:pt>
                <c:pt idx="69">
                  <c:v>-73.666211222152953</c:v>
                </c:pt>
                <c:pt idx="70">
                  <c:v>-73.436687737261067</c:v>
                </c:pt>
                <c:pt idx="71">
                  <c:v>-74.540626460529751</c:v>
                </c:pt>
                <c:pt idx="72">
                  <c:v>-74.634324410103517</c:v>
                </c:pt>
                <c:pt idx="73">
                  <c:v>-74.105567562743744</c:v>
                </c:pt>
                <c:pt idx="74">
                  <c:v>-74.451889107642856</c:v>
                </c:pt>
                <c:pt idx="75">
                  <c:v>-74.808950430868009</c:v>
                </c:pt>
                <c:pt idx="76">
                  <c:v>-74.301396934157736</c:v>
                </c:pt>
                <c:pt idx="77">
                  <c:v>-73.916624841011711</c:v>
                </c:pt>
                <c:pt idx="78">
                  <c:v>-73.200985282452677</c:v>
                </c:pt>
                <c:pt idx="79">
                  <c:v>-72.437034964125885</c:v>
                </c:pt>
                <c:pt idx="80">
                  <c:v>-72.554306190112456</c:v>
                </c:pt>
                <c:pt idx="81">
                  <c:v>-72.496105575236058</c:v>
                </c:pt>
                <c:pt idx="82">
                  <c:v>-73.701677924607097</c:v>
                </c:pt>
                <c:pt idx="83">
                  <c:v>-73.635172871550154</c:v>
                </c:pt>
                <c:pt idx="84">
                  <c:v>-73.30570653978792</c:v>
                </c:pt>
                <c:pt idx="85">
                  <c:v>-71.642982637243463</c:v>
                </c:pt>
                <c:pt idx="86">
                  <c:v>-71.794307435399233</c:v>
                </c:pt>
                <c:pt idx="87">
                  <c:v>-71.463388989646248</c:v>
                </c:pt>
                <c:pt idx="88">
                  <c:v>-71.519553776123885</c:v>
                </c:pt>
                <c:pt idx="89">
                  <c:v>-72.659834922814383</c:v>
                </c:pt>
                <c:pt idx="90">
                  <c:v>-73.287788278773576</c:v>
                </c:pt>
                <c:pt idx="91">
                  <c:v>-74.286430654014822</c:v>
                </c:pt>
                <c:pt idx="92">
                  <c:v>-74.814189224446991</c:v>
                </c:pt>
                <c:pt idx="93">
                  <c:v>-74.525441648556196</c:v>
                </c:pt>
                <c:pt idx="94">
                  <c:v>-74.481161878997327</c:v>
                </c:pt>
                <c:pt idx="95">
                  <c:v>-73.669552542147954</c:v>
                </c:pt>
                <c:pt idx="96">
                  <c:v>-73.36451899599831</c:v>
                </c:pt>
                <c:pt idx="97">
                  <c:v>-73.265607214755534</c:v>
                </c:pt>
                <c:pt idx="98">
                  <c:v>-73.605447346762588</c:v>
                </c:pt>
                <c:pt idx="99">
                  <c:v>-74.081547078674916</c:v>
                </c:pt>
                <c:pt idx="100">
                  <c:v>-73.800118630598362</c:v>
                </c:pt>
                <c:pt idx="101">
                  <c:v>-74.631683041525164</c:v>
                </c:pt>
                <c:pt idx="102">
                  <c:v>-74.856466672129173</c:v>
                </c:pt>
                <c:pt idx="103">
                  <c:v>-75.198354573706609</c:v>
                </c:pt>
                <c:pt idx="104">
                  <c:v>-74.348726316144379</c:v>
                </c:pt>
                <c:pt idx="105">
                  <c:v>-73.891469265964645</c:v>
                </c:pt>
                <c:pt idx="106">
                  <c:v>-72.55531520408816</c:v>
                </c:pt>
                <c:pt idx="107">
                  <c:v>-73.251462272810784</c:v>
                </c:pt>
                <c:pt idx="108">
                  <c:v>-74.254416621268732</c:v>
                </c:pt>
                <c:pt idx="109">
                  <c:v>-74.676154644433979</c:v>
                </c:pt>
                <c:pt idx="110">
                  <c:v>-74.393259077547626</c:v>
                </c:pt>
                <c:pt idx="111">
                  <c:v>-75.265265823323247</c:v>
                </c:pt>
                <c:pt idx="112">
                  <c:v>-75.633141160724819</c:v>
                </c:pt>
                <c:pt idx="113">
                  <c:v>-75.413073124925845</c:v>
                </c:pt>
                <c:pt idx="114">
                  <c:v>-75.132841953511502</c:v>
                </c:pt>
                <c:pt idx="115">
                  <c:v>-74.334348798220276</c:v>
                </c:pt>
                <c:pt idx="116">
                  <c:v>-75.378932644025582</c:v>
                </c:pt>
                <c:pt idx="117">
                  <c:v>-75.587059305012517</c:v>
                </c:pt>
                <c:pt idx="118">
                  <c:v>-76.403838439296692</c:v>
                </c:pt>
                <c:pt idx="119">
                  <c:v>-76.85840065543394</c:v>
                </c:pt>
                <c:pt idx="120">
                  <c:v>-76.934180237381554</c:v>
                </c:pt>
                <c:pt idx="121">
                  <c:v>-77.051128226432041</c:v>
                </c:pt>
                <c:pt idx="122">
                  <c:v>-76.969772253496814</c:v>
                </c:pt>
                <c:pt idx="123">
                  <c:v>-77.892069902849983</c:v>
                </c:pt>
                <c:pt idx="124">
                  <c:v>-77.783771957712489</c:v>
                </c:pt>
                <c:pt idx="125">
                  <c:v>-77.846982942568829</c:v>
                </c:pt>
                <c:pt idx="126">
                  <c:v>-78.174557045835002</c:v>
                </c:pt>
                <c:pt idx="127">
                  <c:v>-78.817338445546753</c:v>
                </c:pt>
                <c:pt idx="128">
                  <c:v>-79.16240826682278</c:v>
                </c:pt>
                <c:pt idx="129">
                  <c:v>-79.415994622753004</c:v>
                </c:pt>
                <c:pt idx="130">
                  <c:v>-79.316517652389877</c:v>
                </c:pt>
                <c:pt idx="131">
                  <c:v>-78.753363441106785</c:v>
                </c:pt>
                <c:pt idx="132">
                  <c:v>-78.934223399500937</c:v>
                </c:pt>
                <c:pt idx="133">
                  <c:v>-78.904431235169881</c:v>
                </c:pt>
                <c:pt idx="134">
                  <c:v>-79.113390162333275</c:v>
                </c:pt>
                <c:pt idx="135">
                  <c:v>-78.96956673022423</c:v>
                </c:pt>
                <c:pt idx="136">
                  <c:v>-78.541690114413711</c:v>
                </c:pt>
                <c:pt idx="137">
                  <c:v>-79.569020901647903</c:v>
                </c:pt>
                <c:pt idx="138">
                  <c:v>-80.310615044394893</c:v>
                </c:pt>
                <c:pt idx="139">
                  <c:v>-81.086692531078384</c:v>
                </c:pt>
                <c:pt idx="140">
                  <c:v>-81.271222189878046</c:v>
                </c:pt>
                <c:pt idx="141">
                  <c:v>-80.867277221993632</c:v>
                </c:pt>
                <c:pt idx="142">
                  <c:v>-81.585730603833326</c:v>
                </c:pt>
                <c:pt idx="143">
                  <c:v>-81.529203698112227</c:v>
                </c:pt>
                <c:pt idx="144">
                  <c:v>-81.74258143054503</c:v>
                </c:pt>
                <c:pt idx="145">
                  <c:v>-81.517031972552005</c:v>
                </c:pt>
                <c:pt idx="146">
                  <c:v>-81.297591803718774</c:v>
                </c:pt>
                <c:pt idx="147">
                  <c:v>-81.45676117798503</c:v>
                </c:pt>
                <c:pt idx="148">
                  <c:v>-81.233920996031728</c:v>
                </c:pt>
                <c:pt idx="149">
                  <c:v>-82.074953073493262</c:v>
                </c:pt>
                <c:pt idx="150">
                  <c:v>-81.936796076213312</c:v>
                </c:pt>
                <c:pt idx="151">
                  <c:v>-82.45837908377797</c:v>
                </c:pt>
                <c:pt idx="152">
                  <c:v>-82.175612235754173</c:v>
                </c:pt>
                <c:pt idx="153">
                  <c:v>-82.489634123920624</c:v>
                </c:pt>
                <c:pt idx="154">
                  <c:v>-82.585181012537518</c:v>
                </c:pt>
                <c:pt idx="155">
                  <c:v>-83.008692213843602</c:v>
                </c:pt>
                <c:pt idx="156">
                  <c:v>-82.897751068334202</c:v>
                </c:pt>
                <c:pt idx="157">
                  <c:v>-83.361691721916827</c:v>
                </c:pt>
                <c:pt idx="158">
                  <c:v>-83.493186617290178</c:v>
                </c:pt>
                <c:pt idx="159">
                  <c:v>-83.58373697137371</c:v>
                </c:pt>
                <c:pt idx="160">
                  <c:v>-83.728735521899665</c:v>
                </c:pt>
                <c:pt idx="161">
                  <c:v>-83.828687158152988</c:v>
                </c:pt>
                <c:pt idx="162">
                  <c:v>-83.753280537026413</c:v>
                </c:pt>
                <c:pt idx="163">
                  <c:v>-83.846961659773768</c:v>
                </c:pt>
                <c:pt idx="164">
                  <c:v>-84.162677396518731</c:v>
                </c:pt>
                <c:pt idx="165">
                  <c:v>-84.163574357216831</c:v>
                </c:pt>
                <c:pt idx="166">
                  <c:v>-84.452636592354438</c:v>
                </c:pt>
                <c:pt idx="167">
                  <c:v>-84.571903842839717</c:v>
                </c:pt>
                <c:pt idx="168">
                  <c:v>-84.530578909295102</c:v>
                </c:pt>
                <c:pt idx="169">
                  <c:v>-84.580380220096345</c:v>
                </c:pt>
                <c:pt idx="170">
                  <c:v>-84.916444289320168</c:v>
                </c:pt>
                <c:pt idx="171">
                  <c:v>-85.023389647571449</c:v>
                </c:pt>
                <c:pt idx="172">
                  <c:v>-84.861528215914774</c:v>
                </c:pt>
                <c:pt idx="173">
                  <c:v>-85.375316912449875</c:v>
                </c:pt>
                <c:pt idx="174">
                  <c:v>-85.321206361140355</c:v>
                </c:pt>
                <c:pt idx="175">
                  <c:v>-85.409222982994962</c:v>
                </c:pt>
                <c:pt idx="176">
                  <c:v>-84.400603405646166</c:v>
                </c:pt>
                <c:pt idx="177">
                  <c:v>-84.909171254194618</c:v>
                </c:pt>
                <c:pt idx="178">
                  <c:v>-84.392201801168568</c:v>
                </c:pt>
                <c:pt idx="179">
                  <c:v>-82.275220729072615</c:v>
                </c:pt>
                <c:pt idx="180">
                  <c:v>-78.470564212306812</c:v>
                </c:pt>
                <c:pt idx="181">
                  <c:v>-84.398508063789421</c:v>
                </c:pt>
                <c:pt idx="182">
                  <c:v>-84.717542915466453</c:v>
                </c:pt>
                <c:pt idx="183">
                  <c:v>-82.081482921124547</c:v>
                </c:pt>
                <c:pt idx="184">
                  <c:v>-86.310181730178982</c:v>
                </c:pt>
                <c:pt idx="185">
                  <c:v>-85.464344383219924</c:v>
                </c:pt>
                <c:pt idx="186">
                  <c:v>-85.787902811743976</c:v>
                </c:pt>
                <c:pt idx="187">
                  <c:v>-86.510153069812134</c:v>
                </c:pt>
                <c:pt idx="188">
                  <c:v>-87.532143290701327</c:v>
                </c:pt>
                <c:pt idx="189">
                  <c:v>-86.883426351217821</c:v>
                </c:pt>
                <c:pt idx="190">
                  <c:v>-87.77701377853009</c:v>
                </c:pt>
                <c:pt idx="191">
                  <c:v>-88.172785522149383</c:v>
                </c:pt>
                <c:pt idx="192">
                  <c:v>-88.34201576076714</c:v>
                </c:pt>
                <c:pt idx="193">
                  <c:v>-88.49301416609751</c:v>
                </c:pt>
                <c:pt idx="194">
                  <c:v>-88.631235359945421</c:v>
                </c:pt>
                <c:pt idx="195">
                  <c:v>-88.674230552116896</c:v>
                </c:pt>
                <c:pt idx="196">
                  <c:v>-88.787547679298413</c:v>
                </c:pt>
                <c:pt idx="197">
                  <c:v>-88.94764218350781</c:v>
                </c:pt>
                <c:pt idx="198">
                  <c:v>-88.930252053577703</c:v>
                </c:pt>
                <c:pt idx="199">
                  <c:v>-89.398816137670835</c:v>
                </c:pt>
                <c:pt idx="200">
                  <c:v>-89.599518043748901</c:v>
                </c:pt>
                <c:pt idx="201">
                  <c:v>-89.816305317658305</c:v>
                </c:pt>
                <c:pt idx="202">
                  <c:v>-89.991507427866665</c:v>
                </c:pt>
                <c:pt idx="203">
                  <c:v>-90.044497767142829</c:v>
                </c:pt>
                <c:pt idx="204">
                  <c:v>-88.573454958671647</c:v>
                </c:pt>
                <c:pt idx="205">
                  <c:v>-73.554988679394114</c:v>
                </c:pt>
                <c:pt idx="206">
                  <c:v>-60.950155880157226</c:v>
                </c:pt>
                <c:pt idx="207">
                  <c:v>-74.393781087013338</c:v>
                </c:pt>
                <c:pt idx="208">
                  <c:v>-53.599598929098043</c:v>
                </c:pt>
                <c:pt idx="209">
                  <c:v>-57.10296690722172</c:v>
                </c:pt>
                <c:pt idx="210">
                  <c:v>-33.765603052316436</c:v>
                </c:pt>
                <c:pt idx="211">
                  <c:v>-43.428627487777739</c:v>
                </c:pt>
                <c:pt idx="212">
                  <c:v>-35.081222238556769</c:v>
                </c:pt>
                <c:pt idx="213">
                  <c:v>-37.191646251080236</c:v>
                </c:pt>
                <c:pt idx="214">
                  <c:v>-33.450094128600171</c:v>
                </c:pt>
                <c:pt idx="215">
                  <c:v>-30.096356121395587</c:v>
                </c:pt>
                <c:pt idx="216">
                  <c:v>-24.950369407285329</c:v>
                </c:pt>
                <c:pt idx="217">
                  <c:v>-6.4978337683780119</c:v>
                </c:pt>
                <c:pt idx="218">
                  <c:v>-14.952795036262309</c:v>
                </c:pt>
                <c:pt idx="219">
                  <c:v>-5.713060291942579</c:v>
                </c:pt>
                <c:pt idx="220">
                  <c:v>-4.1433448130009269</c:v>
                </c:pt>
                <c:pt idx="221">
                  <c:v>-6.7291432354738356</c:v>
                </c:pt>
                <c:pt idx="222">
                  <c:v>-0.82363289067777234</c:v>
                </c:pt>
                <c:pt idx="223">
                  <c:v>-1.6807114006403618</c:v>
                </c:pt>
                <c:pt idx="224">
                  <c:v>-0.29833742625099013</c:v>
                </c:pt>
                <c:pt idx="225">
                  <c:v>-0.44522830895767679</c:v>
                </c:pt>
                <c:pt idx="226">
                  <c:v>-0.58705945853797326</c:v>
                </c:pt>
                <c:pt idx="227">
                  <c:v>-0.97359875077251745</c:v>
                </c:pt>
                <c:pt idx="228">
                  <c:v>-1.2624516272483797</c:v>
                </c:pt>
                <c:pt idx="229">
                  <c:v>-1.1686342675226289</c:v>
                </c:pt>
                <c:pt idx="230">
                  <c:v>-4.9091345644654503</c:v>
                </c:pt>
                <c:pt idx="231">
                  <c:v>-8.5088295414666106</c:v>
                </c:pt>
                <c:pt idx="232">
                  <c:v>-32.27962623796931</c:v>
                </c:pt>
                <c:pt idx="233">
                  <c:v>-63.161951463405302</c:v>
                </c:pt>
                <c:pt idx="234">
                  <c:v>-73.358112700358333</c:v>
                </c:pt>
                <c:pt idx="235">
                  <c:v>-83.357168805325344</c:v>
                </c:pt>
                <c:pt idx="236">
                  <c:v>-79.235045322881987</c:v>
                </c:pt>
                <c:pt idx="237">
                  <c:v>-63.474619620949568</c:v>
                </c:pt>
                <c:pt idx="238">
                  <c:v>-66.397376292276149</c:v>
                </c:pt>
                <c:pt idx="239">
                  <c:v>-93.865698970300514</c:v>
                </c:pt>
                <c:pt idx="240">
                  <c:v>-93.892621696932366</c:v>
                </c:pt>
                <c:pt idx="241">
                  <c:v>-90.378424006653489</c:v>
                </c:pt>
                <c:pt idx="242">
                  <c:v>-31.455739482409754</c:v>
                </c:pt>
                <c:pt idx="243">
                  <c:v>-46.991362201347584</c:v>
                </c:pt>
                <c:pt idx="244">
                  <c:v>-77.983768385038758</c:v>
                </c:pt>
                <c:pt idx="245">
                  <c:v>-95.707336266441246</c:v>
                </c:pt>
                <c:pt idx="246">
                  <c:v>-65.121456293441582</c:v>
                </c:pt>
                <c:pt idx="247">
                  <c:v>-69.388844662286047</c:v>
                </c:pt>
                <c:pt idx="248">
                  <c:v>-88.183231771014576</c:v>
                </c:pt>
                <c:pt idx="249">
                  <c:v>-69.049446469769535</c:v>
                </c:pt>
              </c:numCache>
            </c:numRef>
          </c:val>
        </c:ser>
        <c:marker val="1"/>
        <c:axId val="215291008"/>
        <c:axId val="215292544"/>
      </c:lineChart>
      <c:catAx>
        <c:axId val="215291008"/>
        <c:scaling>
          <c:orientation val="minMax"/>
        </c:scaling>
        <c:axPos val="b"/>
        <c:tickLblPos val="nextTo"/>
        <c:crossAx val="215292544"/>
        <c:crosses val="autoZero"/>
        <c:auto val="1"/>
        <c:lblAlgn val="ctr"/>
        <c:lblOffset val="100"/>
      </c:catAx>
      <c:valAx>
        <c:axId val="215292544"/>
        <c:scaling>
          <c:orientation val="minMax"/>
        </c:scaling>
        <c:axPos val="l"/>
        <c:majorGridlines/>
        <c:numFmt formatCode="General" sourceLinked="1"/>
        <c:tickLblPos val="nextTo"/>
        <c:crossAx val="2152910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ative_v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s"/>
      <sheetName val="Simulation"/>
      <sheetName val="Graph"/>
    </sheetNames>
    <sheetDataSet>
      <sheetData sheetId="0">
        <row r="4">
          <cell r="C4">
            <v>3.5400000000000001E-2</v>
          </cell>
          <cell r="H4">
            <v>15.811388300841896</v>
          </cell>
        </row>
        <row r="5">
          <cell r="C5">
            <v>3.5400000000000001E-2</v>
          </cell>
        </row>
        <row r="6">
          <cell r="C6">
            <v>0.38769999999999999</v>
          </cell>
        </row>
        <row r="7">
          <cell r="C7">
            <v>-0.71650000000000003</v>
          </cell>
        </row>
        <row r="8">
          <cell r="C8">
            <v>1.3252999999999999</v>
          </cell>
        </row>
        <row r="9">
          <cell r="C9">
            <v>0</v>
          </cell>
        </row>
        <row r="10">
          <cell r="C10">
            <v>0</v>
          </cell>
        </row>
        <row r="12">
          <cell r="C12">
            <v>100</v>
          </cell>
        </row>
      </sheetData>
      <sheetData sheetId="1">
        <row r="5">
          <cell r="U5">
            <v>-22.113442894996339</v>
          </cell>
          <cell r="AD5">
            <v>-22.113442894996339</v>
          </cell>
        </row>
        <row r="6">
          <cell r="U6">
            <v>-17.826702759951282</v>
          </cell>
          <cell r="Z6">
            <v>-20.552620707885112</v>
          </cell>
          <cell r="AD6">
            <v>-17.830173134419354</v>
          </cell>
        </row>
        <row r="7">
          <cell r="U7">
            <v>-3.9607132545337631</v>
          </cell>
          <cell r="Z7">
            <v>-22.257074132829644</v>
          </cell>
          <cell r="AD7">
            <v>-4.0182904986880548</v>
          </cell>
        </row>
        <row r="8">
          <cell r="U8">
            <v>-6.5393205869773823</v>
          </cell>
          <cell r="Z8">
            <v>-27.114794806235679</v>
          </cell>
          <cell r="AD8">
            <v>-6.5744531189049118</v>
          </cell>
        </row>
        <row r="9">
          <cell r="U9">
            <v>-11.937149506281964</v>
          </cell>
          <cell r="Z9">
            <v>-13.755427217563581</v>
          </cell>
          <cell r="AD9">
            <v>-11.939896157885766</v>
          </cell>
        </row>
        <row r="10">
          <cell r="U10">
            <v>-15.528838257379025</v>
          </cell>
          <cell r="Z10">
            <v>-14.147237527902263</v>
          </cell>
          <cell r="AD10">
            <v>-15.513797730970172</v>
          </cell>
        </row>
        <row r="11">
          <cell r="U11">
            <v>-22.660667102224615</v>
          </cell>
          <cell r="Z11">
            <v>-22.743617486325846</v>
          </cell>
          <cell r="AD11">
            <v>-22.66020200148763</v>
          </cell>
        </row>
        <row r="12">
          <cell r="U12">
            <v>-7.4093709080412182</v>
          </cell>
          <cell r="Z12">
            <v>-26.280193138712935</v>
          </cell>
          <cell r="AD12">
            <v>-7.4280614349411671</v>
          </cell>
        </row>
        <row r="13">
          <cell r="U13">
            <v>-12.482700813435265</v>
          </cell>
          <cell r="Z13">
            <v>-29.215826418206476</v>
          </cell>
          <cell r="AD13">
            <v>-12.496276079012105</v>
          </cell>
        </row>
        <row r="14">
          <cell r="U14">
            <v>-3.1533872300089651</v>
          </cell>
          <cell r="Z14">
            <v>-25.913509896105694</v>
          </cell>
          <cell r="AD14">
            <v>-3.1837912963369881</v>
          </cell>
        </row>
        <row r="15">
          <cell r="U15">
            <v>-5.8866145423175498</v>
          </cell>
          <cell r="Z15">
            <v>-24.866489947105542</v>
          </cell>
          <cell r="AD15">
            <v>-5.8922342964389518</v>
          </cell>
        </row>
        <row r="16">
          <cell r="U16">
            <v>7.9768328366278842</v>
          </cell>
          <cell r="Z16">
            <v>-28.843944256028252</v>
          </cell>
          <cell r="AD16">
            <v>7.9179847234136798</v>
          </cell>
        </row>
        <row r="17">
          <cell r="U17">
            <v>-24.187946221510423</v>
          </cell>
          <cell r="Z17">
            <v>-28.956030655278511</v>
          </cell>
          <cell r="AD17">
            <v>-24.184560259034654</v>
          </cell>
        </row>
        <row r="18">
          <cell r="U18">
            <v>-10.947011532353986</v>
          </cell>
          <cell r="Z18">
            <v>-25.443823682069979</v>
          </cell>
          <cell r="AD18">
            <v>-10.965237511707711</v>
          </cell>
        </row>
        <row r="19">
          <cell r="U19">
            <v>-15.898173165183856</v>
          </cell>
          <cell r="Z19">
            <v>-28.372927457076997</v>
          </cell>
          <cell r="AD19">
            <v>-15.896967616872159</v>
          </cell>
        </row>
        <row r="20">
          <cell r="U20">
            <v>-12.106499412404613</v>
          </cell>
          <cell r="Z20">
            <v>-22.767173330415556</v>
          </cell>
          <cell r="AD20">
            <v>-12.112594973263416</v>
          </cell>
        </row>
        <row r="21">
          <cell r="U21">
            <v>-24.660690726382658</v>
          </cell>
          <cell r="Z21">
            <v>-23.423999297268214</v>
          </cell>
          <cell r="AD21">
            <v>-24.656912157455103</v>
          </cell>
        </row>
        <row r="22">
          <cell r="U22">
            <v>-12.10309739915636</v>
          </cell>
          <cell r="Z22">
            <v>-25.234626182971901</v>
          </cell>
          <cell r="AD22">
            <v>-12.110070510733024</v>
          </cell>
        </row>
        <row r="23">
          <cell r="U23">
            <v>-13.013573175343531</v>
          </cell>
          <cell r="Z23">
            <v>-25.895890285999648</v>
          </cell>
          <cell r="AD23">
            <v>-13.020989112663644</v>
          </cell>
        </row>
        <row r="24">
          <cell r="U24">
            <v>-22.371391227969941</v>
          </cell>
          <cell r="Z24">
            <v>-24.629353910245616</v>
          </cell>
          <cell r="AD24">
            <v>-22.364561418894731</v>
          </cell>
        </row>
        <row r="25">
          <cell r="U25">
            <v>-21.114588558038264</v>
          </cell>
          <cell r="Z25">
            <v>-25.457077980775519</v>
          </cell>
          <cell r="AD25">
            <v>-21.107129803440927</v>
          </cell>
        </row>
        <row r="26">
          <cell r="U26">
            <v>-15.481511917107563</v>
          </cell>
          <cell r="Z26">
            <v>-18.946630811519636</v>
          </cell>
          <cell r="AD26">
            <v>-15.471837325876802</v>
          </cell>
        </row>
        <row r="27">
          <cell r="U27">
            <v>-25.242996658515942</v>
          </cell>
          <cell r="Z27">
            <v>-24.438105948996501</v>
          </cell>
          <cell r="AD27">
            <v>-25.238942496173799</v>
          </cell>
        </row>
        <row r="28">
          <cell r="U28">
            <v>-5.3772753860701243</v>
          </cell>
          <cell r="Z28">
            <v>-29.130548771490805</v>
          </cell>
          <cell r="AD28">
            <v>-5.422016447299395</v>
          </cell>
        </row>
        <row r="29">
          <cell r="U29">
            <v>7.8370561814395714</v>
          </cell>
          <cell r="Z29">
            <v>20.754358323501702</v>
          </cell>
          <cell r="AD29">
            <v>7.7174133179825919</v>
          </cell>
        </row>
        <row r="30">
          <cell r="U30">
            <v>-7.2445353932186194</v>
          </cell>
          <cell r="Z30">
            <v>-38.923627733595978</v>
          </cell>
          <cell r="AD30">
            <v>-7.2837522903805922</v>
          </cell>
        </row>
        <row r="31">
          <cell r="U31">
            <v>-7.0158920235491324</v>
          </cell>
          <cell r="Z31">
            <v>-31.063250047089806</v>
          </cell>
          <cell r="AD31">
            <v>-7.0602807498190625</v>
          </cell>
        </row>
        <row r="32">
          <cell r="U32">
            <v>-17.295244399244304</v>
          </cell>
          <cell r="Z32">
            <v>-26.644402305444164</v>
          </cell>
          <cell r="AD32">
            <v>-17.307240332386744</v>
          </cell>
        </row>
        <row r="33">
          <cell r="U33">
            <v>-15.01379831832827</v>
          </cell>
          <cell r="Z33">
            <v>-27.444650665842083</v>
          </cell>
          <cell r="AD33">
            <v>-15.019313179878887</v>
          </cell>
        </row>
        <row r="34">
          <cell r="U34">
            <v>-41.720231422985833</v>
          </cell>
          <cell r="Z34">
            <v>-34.554979769633661</v>
          </cell>
          <cell r="AD34">
            <v>-41.752693987605547</v>
          </cell>
        </row>
        <row r="35">
          <cell r="U35">
            <v>-41.466909001721206</v>
          </cell>
          <cell r="Z35">
            <v>-33.97790728792684</v>
          </cell>
          <cell r="AD35">
            <v>-41.503094463411934</v>
          </cell>
        </row>
        <row r="36">
          <cell r="U36">
            <v>-45.174456911606441</v>
          </cell>
          <cell r="Z36">
            <v>-35.807846314002354</v>
          </cell>
          <cell r="AD36">
            <v>-45.229942711665892</v>
          </cell>
        </row>
        <row r="37">
          <cell r="U37">
            <v>-43.604850523093319</v>
          </cell>
          <cell r="Z37">
            <v>-32.734480976831193</v>
          </cell>
          <cell r="AD37">
            <v>-43.636293946368632</v>
          </cell>
        </row>
        <row r="38">
          <cell r="U38">
            <v>-41.576964490756964</v>
          </cell>
          <cell r="Z38">
            <v>-72.772405277995176</v>
          </cell>
          <cell r="AD38">
            <v>-41.584389898098706</v>
          </cell>
        </row>
        <row r="39">
          <cell r="U39">
            <v>-48.860592604166243</v>
          </cell>
          <cell r="Z39">
            <v>-31.770577238063083</v>
          </cell>
          <cell r="AD39">
            <v>-48.886048643088316</v>
          </cell>
        </row>
        <row r="40">
          <cell r="U40">
            <v>-59.473911351688535</v>
          </cell>
          <cell r="Z40">
            <v>-38.449681702332356</v>
          </cell>
          <cell r="AD40">
            <v>-59.553987653643425</v>
          </cell>
        </row>
        <row r="41">
          <cell r="U41">
            <v>-65.699052933179914</v>
          </cell>
          <cell r="Z41">
            <v>-71.30139872829433</v>
          </cell>
          <cell r="AD41">
            <v>-65.780030181985737</v>
          </cell>
        </row>
        <row r="42">
          <cell r="U42">
            <v>-58.107669977767138</v>
          </cell>
          <cell r="Z42">
            <v>-35.498605226086525</v>
          </cell>
          <cell r="AD42">
            <v>-58.18077218009531</v>
          </cell>
        </row>
        <row r="43">
          <cell r="U43">
            <v>-55.700903870155202</v>
          </cell>
          <cell r="Z43">
            <v>-33.587635572168743</v>
          </cell>
          <cell r="AD43">
            <v>-55.757127974132366</v>
          </cell>
        </row>
        <row r="44">
          <cell r="U44">
            <v>-44.807610069359058</v>
          </cell>
          <cell r="Z44">
            <v>-31.866866769855928</v>
          </cell>
          <cell r="AD44">
            <v>-44.822536885520563</v>
          </cell>
        </row>
        <row r="45">
          <cell r="U45">
            <v>-55.447925188665245</v>
          </cell>
          <cell r="Z45">
            <v>-34.923675518168913</v>
          </cell>
          <cell r="AD45">
            <v>-55.50173820960687</v>
          </cell>
        </row>
        <row r="46">
          <cell r="U46">
            <v>-64.812247935639732</v>
          </cell>
          <cell r="Z46">
            <v>-56.0389840722938</v>
          </cell>
          <cell r="AD46">
            <v>-64.89080039771909</v>
          </cell>
        </row>
        <row r="47">
          <cell r="U47">
            <v>-63.951044596395207</v>
          </cell>
          <cell r="Z47">
            <v>-34.631931710902691</v>
          </cell>
          <cell r="AD47">
            <v>-64.022640324747684</v>
          </cell>
        </row>
        <row r="48">
          <cell r="U48">
            <v>-65.800096054782671</v>
          </cell>
          <cell r="Z48">
            <v>-43.846373953152614</v>
          </cell>
          <cell r="AD48">
            <v>-65.884740269888269</v>
          </cell>
        </row>
        <row r="49">
          <cell r="U49">
            <v>-52.633846066589989</v>
          </cell>
          <cell r="Z49">
            <v>-35.477608840102889</v>
          </cell>
          <cell r="AD49">
            <v>-52.669055795352648</v>
          </cell>
        </row>
        <row r="50">
          <cell r="U50">
            <v>-53.757557452858777</v>
          </cell>
          <cell r="Z50">
            <v>-34.908387784286838</v>
          </cell>
          <cell r="AD50">
            <v>-53.782959121633802</v>
          </cell>
        </row>
        <row r="51">
          <cell r="U51">
            <v>-49.477946362941267</v>
          </cell>
          <cell r="Z51">
            <v>-35.355503318406356</v>
          </cell>
          <cell r="AD51">
            <v>-49.490854545920357</v>
          </cell>
        </row>
        <row r="52">
          <cell r="U52">
            <v>-44.200197645902897</v>
          </cell>
          <cell r="Z52">
            <v>-72.950096274755424</v>
          </cell>
          <cell r="AD52">
            <v>-44.211532682165291</v>
          </cell>
        </row>
        <row r="53">
          <cell r="U53">
            <v>-49.676666540691336</v>
          </cell>
          <cell r="Z53">
            <v>-33.024343089022217</v>
          </cell>
          <cell r="AD53">
            <v>-49.7107637735213</v>
          </cell>
        </row>
        <row r="54">
          <cell r="U54">
            <v>-55.351115696920296</v>
          </cell>
          <cell r="Z54">
            <v>-73.064405157945359</v>
          </cell>
          <cell r="AD54">
            <v>-55.420088072161583</v>
          </cell>
        </row>
        <row r="55">
          <cell r="U55">
            <v>-48.387351913264915</v>
          </cell>
          <cell r="Z55">
            <v>-33.388155812315581</v>
          </cell>
          <cell r="AD55">
            <v>-48.43192094271825</v>
          </cell>
        </row>
        <row r="56">
          <cell r="U56">
            <v>-53.398442981519857</v>
          </cell>
          <cell r="Z56">
            <v>-34.027532240043783</v>
          </cell>
          <cell r="AD56">
            <v>-53.461542941509165</v>
          </cell>
        </row>
        <row r="57">
          <cell r="U57">
            <v>-52.933699316439515</v>
          </cell>
          <cell r="Z57">
            <v>-37.284377332120933</v>
          </cell>
          <cell r="AD57">
            <v>-52.99611988562426</v>
          </cell>
        </row>
        <row r="58">
          <cell r="U58">
            <v>-54.007852103694638</v>
          </cell>
          <cell r="Z58">
            <v>-58.3304281371054</v>
          </cell>
          <cell r="AD58">
            <v>-54.090377291882149</v>
          </cell>
        </row>
        <row r="59">
          <cell r="U59">
            <v>-56.561722905354053</v>
          </cell>
          <cell r="Z59">
            <v>-60.962777122515305</v>
          </cell>
          <cell r="AD59">
            <v>-56.660260928966075</v>
          </cell>
        </row>
        <row r="60">
          <cell r="U60">
            <v>-59.115543210292401</v>
          </cell>
          <cell r="Z60">
            <v>-75.428476779787133</v>
          </cell>
          <cell r="AD60">
            <v>-59.217263731014427</v>
          </cell>
        </row>
        <row r="61">
          <cell r="U61">
            <v>-45.642026344907109</v>
          </cell>
          <cell r="Z61">
            <v>-34.807002003425119</v>
          </cell>
          <cell r="AD61">
            <v>-45.671734780877095</v>
          </cell>
        </row>
        <row r="62">
          <cell r="U62">
            <v>-48.231978152844761</v>
          </cell>
          <cell r="Z62">
            <v>-34.879353070860503</v>
          </cell>
          <cell r="AD62">
            <v>-48.269991027820424</v>
          </cell>
        </row>
        <row r="63">
          <cell r="U63">
            <v>-49.569753358627359</v>
          </cell>
          <cell r="Z63">
            <v>-62.963745903264297</v>
          </cell>
          <cell r="AD63">
            <v>-49.609614875529338</v>
          </cell>
        </row>
        <row r="64">
          <cell r="U64">
            <v>-46.413932065870632</v>
          </cell>
          <cell r="Z64">
            <v>-37.401291563940369</v>
          </cell>
          <cell r="AD64">
            <v>-46.435845647761454</v>
          </cell>
        </row>
        <row r="65">
          <cell r="U65">
            <v>-62.15406064815749</v>
          </cell>
          <cell r="Z65">
            <v>-36.656973471576812</v>
          </cell>
          <cell r="AD65">
            <v>-62.231175064744519</v>
          </cell>
        </row>
        <row r="66">
          <cell r="U66">
            <v>-50.890623170872388</v>
          </cell>
          <cell r="Z66">
            <v>-38.862810705647014</v>
          </cell>
          <cell r="AD66">
            <v>-50.921734612316008</v>
          </cell>
        </row>
        <row r="67">
          <cell r="U67">
            <v>-62.708267966733551</v>
          </cell>
          <cell r="Z67">
            <v>-38.035706568298814</v>
          </cell>
          <cell r="AD67">
            <v>-62.797377064140463</v>
          </cell>
        </row>
        <row r="68">
          <cell r="U68">
            <v>-67.64008900335692</v>
          </cell>
          <cell r="Z68">
            <v>-47.229375764470959</v>
          </cell>
          <cell r="AD68">
            <v>-67.742772132587206</v>
          </cell>
        </row>
        <row r="69">
          <cell r="U69">
            <v>-72.278384931034608</v>
          </cell>
          <cell r="Z69">
            <v>-52.513649466619654</v>
          </cell>
          <cell r="AD69">
            <v>-72.370661172570351</v>
          </cell>
        </row>
        <row r="70">
          <cell r="U70">
            <v>-73.394659953646652</v>
          </cell>
          <cell r="Z70">
            <v>-50.430700007540423</v>
          </cell>
          <cell r="AD70">
            <v>-73.471241563198291</v>
          </cell>
        </row>
        <row r="71">
          <cell r="U71">
            <v>-73.428361521183703</v>
          </cell>
          <cell r="Z71">
            <v>-47.465312300265978</v>
          </cell>
          <cell r="AD71">
            <v>-73.508992954622855</v>
          </cell>
        </row>
        <row r="72">
          <cell r="U72">
            <v>-73.937122385247449</v>
          </cell>
          <cell r="Z72">
            <v>-49.301252610191931</v>
          </cell>
          <cell r="AD72">
            <v>-73.998883876643475</v>
          </cell>
        </row>
        <row r="73">
          <cell r="U73">
            <v>-73.635133604891521</v>
          </cell>
          <cell r="Z73">
            <v>-40.049970070593737</v>
          </cell>
          <cell r="AD73">
            <v>-73.721552425284713</v>
          </cell>
        </row>
        <row r="74">
          <cell r="U74">
            <v>-72.125235125142467</v>
          </cell>
          <cell r="Z74">
            <v>-64.438845630142794</v>
          </cell>
          <cell r="AD74">
            <v>-72.235767245525707</v>
          </cell>
        </row>
        <row r="75">
          <cell r="U75">
            <v>-71.800121236217066</v>
          </cell>
          <cell r="Z75">
            <v>-43.77844855817073</v>
          </cell>
          <cell r="AD75">
            <v>-71.925829041018346</v>
          </cell>
        </row>
        <row r="76">
          <cell r="U76">
            <v>-71.731715985820713</v>
          </cell>
          <cell r="Z76">
            <v>-76.362392073846109</v>
          </cell>
          <cell r="AD76">
            <v>-71.864983254486333</v>
          </cell>
        </row>
        <row r="77">
          <cell r="U77">
            <v>-73.139979286429565</v>
          </cell>
          <cell r="Z77">
            <v>-49.801738214331955</v>
          </cell>
          <cell r="AD77">
            <v>-73.26838110636136</v>
          </cell>
        </row>
        <row r="78">
          <cell r="U78">
            <v>-73.220867144182236</v>
          </cell>
          <cell r="Z78">
            <v>-51.409119956485739</v>
          </cell>
          <cell r="AD78">
            <v>-73.349933549225</v>
          </cell>
        </row>
        <row r="79">
          <cell r="U79">
            <v>-72.385123132807522</v>
          </cell>
          <cell r="Z79">
            <v>-57.660873490814161</v>
          </cell>
          <cell r="AD79">
            <v>-72.534473790375898</v>
          </cell>
        </row>
        <row r="80">
          <cell r="U80">
            <v>-71.955807649293632</v>
          </cell>
          <cell r="Z80">
            <v>-69.79085680905942</v>
          </cell>
          <cell r="AD80">
            <v>-72.120329779811911</v>
          </cell>
        </row>
        <row r="81">
          <cell r="U81">
            <v>-72.379288758460632</v>
          </cell>
          <cell r="Z81">
            <v>-65.627985593756861</v>
          </cell>
          <cell r="AD81">
            <v>-72.536118927705331</v>
          </cell>
        </row>
        <row r="82">
          <cell r="U82">
            <v>-71.56176046298674</v>
          </cell>
          <cell r="Z82">
            <v>-56.607220845174524</v>
          </cell>
          <cell r="AD82">
            <v>-71.734735946138343</v>
          </cell>
        </row>
        <row r="83">
          <cell r="U83">
            <v>-70.621572177708657</v>
          </cell>
          <cell r="Z83">
            <v>-77.032319724706667</v>
          </cell>
          <cell r="AD83">
            <v>-70.808554183246102</v>
          </cell>
        </row>
        <row r="84">
          <cell r="U84">
            <v>-70.79895313630324</v>
          </cell>
          <cell r="Z84">
            <v>-63.171992985641509</v>
          </cell>
          <cell r="AD84">
            <v>-70.982158478946076</v>
          </cell>
        </row>
        <row r="85">
          <cell r="U85">
            <v>-71.427916441643447</v>
          </cell>
          <cell r="Z85">
            <v>-76.874926578291166</v>
          </cell>
          <cell r="AD85">
            <v>-71.599817098881303</v>
          </cell>
        </row>
        <row r="86">
          <cell r="U86">
            <v>-71.382576499260225</v>
          </cell>
          <cell r="Z86">
            <v>-74.217235220753679</v>
          </cell>
          <cell r="AD86">
            <v>-71.552180159258725</v>
          </cell>
        </row>
        <row r="87">
          <cell r="U87">
            <v>-68.147447560628407</v>
          </cell>
          <cell r="Z87">
            <v>-44.217879684221671</v>
          </cell>
          <cell r="AD87">
            <v>-68.311459111654912</v>
          </cell>
        </row>
        <row r="88">
          <cell r="U88">
            <v>-67.05586837140541</v>
          </cell>
          <cell r="Z88">
            <v>-47.509207807030101</v>
          </cell>
          <cell r="AD88">
            <v>-67.210678800605606</v>
          </cell>
        </row>
        <row r="89">
          <cell r="U89">
            <v>-67.734919382555319</v>
          </cell>
          <cell r="Z89">
            <v>-59.398574765204543</v>
          </cell>
          <cell r="AD89">
            <v>-67.893573514646036</v>
          </cell>
        </row>
        <row r="90">
          <cell r="U90">
            <v>-66.13950432998891</v>
          </cell>
          <cell r="Z90">
            <v>-53.535365756637859</v>
          </cell>
          <cell r="AD90">
            <v>-66.294552259939579</v>
          </cell>
        </row>
        <row r="91">
          <cell r="U91">
            <v>-68.98426941802542</v>
          </cell>
          <cell r="Z91">
            <v>-44.225438733810861</v>
          </cell>
          <cell r="AD91">
            <v>-69.136937737743622</v>
          </cell>
        </row>
        <row r="92">
          <cell r="U92">
            <v>-63.914214136449026</v>
          </cell>
          <cell r="Z92">
            <v>-38.360653902812018</v>
          </cell>
          <cell r="AD92">
            <v>-64.057260162442731</v>
          </cell>
        </row>
        <row r="93">
          <cell r="U93">
            <v>-62.788461179866502</v>
          </cell>
          <cell r="Z93">
            <v>-42.489641880000462</v>
          </cell>
          <cell r="AD93">
            <v>-62.927870433898654</v>
          </cell>
        </row>
        <row r="94">
          <cell r="U94">
            <v>-55.609375547925652</v>
          </cell>
          <cell r="Z94">
            <v>-39.630435156058965</v>
          </cell>
          <cell r="AD94">
            <v>-55.710598904079639</v>
          </cell>
        </row>
        <row r="95">
          <cell r="U95">
            <v>-52.328203655733383</v>
          </cell>
          <cell r="Z95">
            <v>-40.480016652230937</v>
          </cell>
          <cell r="AD95">
            <v>-52.418120890609814</v>
          </cell>
        </row>
        <row r="96">
          <cell r="U96">
            <v>-56.184820916790819</v>
          </cell>
          <cell r="Z96">
            <v>-39.630412913526747</v>
          </cell>
          <cell r="AD96">
            <v>-56.286917552981322</v>
          </cell>
        </row>
        <row r="97">
          <cell r="U97">
            <v>-61.670566725758491</v>
          </cell>
          <cell r="Z97">
            <v>-61.640599579835239</v>
          </cell>
          <cell r="AD97">
            <v>-61.79779988076271</v>
          </cell>
        </row>
        <row r="98">
          <cell r="U98">
            <v>-65.552287649237201</v>
          </cell>
          <cell r="Z98">
            <v>-78.070169515139895</v>
          </cell>
          <cell r="AD98">
            <v>-65.683579429419396</v>
          </cell>
        </row>
        <row r="99">
          <cell r="U99">
            <v>-63.153519429322387</v>
          </cell>
          <cell r="Z99">
            <v>-41.14068625489675</v>
          </cell>
          <cell r="AD99">
            <v>-63.289808055875142</v>
          </cell>
        </row>
        <row r="100">
          <cell r="U100">
            <v>-54.560287110507339</v>
          </cell>
          <cell r="Z100">
            <v>-40.056306639960049</v>
          </cell>
          <cell r="AD100">
            <v>-54.661185008190472</v>
          </cell>
        </row>
        <row r="101">
          <cell r="U101">
            <v>-31.43075920827691</v>
          </cell>
          <cell r="Z101">
            <v>-33.14052739340935</v>
          </cell>
          <cell r="AD101">
            <v>-31.424055604128018</v>
          </cell>
        </row>
        <row r="102">
          <cell r="U102">
            <v>-37.967072708680156</v>
          </cell>
          <cell r="Z102">
            <v>-38.189957047947225</v>
          </cell>
          <cell r="AD102">
            <v>-37.988875318091516</v>
          </cell>
        </row>
        <row r="103">
          <cell r="U103">
            <v>-34.200428937372465</v>
          </cell>
          <cell r="Z103">
            <v>-33.216994540830349</v>
          </cell>
          <cell r="AD103">
            <v>-34.204461966066766</v>
          </cell>
        </row>
        <row r="104">
          <cell r="U104">
            <v>-43.287654920294798</v>
          </cell>
          <cell r="Z104">
            <v>-35.569061727907446</v>
          </cell>
          <cell r="AD104">
            <v>-43.328625536668511</v>
          </cell>
        </row>
        <row r="105">
          <cell r="U105">
            <v>-31.800213648131916</v>
          </cell>
          <cell r="Z105">
            <v>-35.462154405538499</v>
          </cell>
          <cell r="AD105">
            <v>-31.795905707568984</v>
          </cell>
        </row>
        <row r="106">
          <cell r="U106">
            <v>-38.810499460433419</v>
          </cell>
          <cell r="Z106">
            <v>-35.740914465917889</v>
          </cell>
          <cell r="AD106">
            <v>-38.834916432374257</v>
          </cell>
        </row>
        <row r="107">
          <cell r="U107">
            <v>-44.698308510482221</v>
          </cell>
          <cell r="Z107">
            <v>-60.151363510002042</v>
          </cell>
          <cell r="AD107">
            <v>-44.74415078400844</v>
          </cell>
        </row>
        <row r="108">
          <cell r="U108">
            <v>-52.474831741190002</v>
          </cell>
          <cell r="Z108">
            <v>-54.789212780887581</v>
          </cell>
          <cell r="AD108">
            <v>-52.573461794330584</v>
          </cell>
        </row>
        <row r="109">
          <cell r="U109">
            <v>-52.611345390746301</v>
          </cell>
          <cell r="Z109">
            <v>-39.189524562596233</v>
          </cell>
          <cell r="AD109">
            <v>-52.713058698449565</v>
          </cell>
        </row>
        <row r="110">
          <cell r="U110">
            <v>-66.134372323560058</v>
          </cell>
          <cell r="Z110">
            <v>-39.549655022714809</v>
          </cell>
          <cell r="AD110">
            <v>-66.31472413808693</v>
          </cell>
        </row>
        <row r="111">
          <cell r="U111">
            <v>-71.731092679769219</v>
          </cell>
          <cell r="Z111">
            <v>-51.062358938683062</v>
          </cell>
          <cell r="AD111">
            <v>-71.905408661637424</v>
          </cell>
        </row>
        <row r="112">
          <cell r="U112">
            <v>-70.957714340905753</v>
          </cell>
          <cell r="Z112">
            <v>-42.961135506780693</v>
          </cell>
          <cell r="AD112">
            <v>-71.133252601458608</v>
          </cell>
        </row>
        <row r="113">
          <cell r="U113">
            <v>-69.515117191045846</v>
          </cell>
          <cell r="Z113">
            <v>-80.09388126085264</v>
          </cell>
          <cell r="AD113">
            <v>-69.692177892694488</v>
          </cell>
        </row>
        <row r="114">
          <cell r="U114">
            <v>-69.694218401444658</v>
          </cell>
          <cell r="Z114">
            <v>-65.796819445714803</v>
          </cell>
          <cell r="AD114">
            <v>-69.861415885994049</v>
          </cell>
        </row>
        <row r="115">
          <cell r="U115">
            <v>-73.052455070589261</v>
          </cell>
          <cell r="Z115">
            <v>-52.076858722581107</v>
          </cell>
          <cell r="AD115">
            <v>-73.216464454268433</v>
          </cell>
        </row>
        <row r="116">
          <cell r="U116">
            <v>-73.815130028581919</v>
          </cell>
          <cell r="Z116">
            <v>-58.332441423747966</v>
          </cell>
          <cell r="AD116">
            <v>-73.980279785447252</v>
          </cell>
        </row>
        <row r="117">
          <cell r="U117">
            <v>-71.764967298222231</v>
          </cell>
          <cell r="Z117">
            <v>-51.158455213119971</v>
          </cell>
          <cell r="AD117">
            <v>-71.950323215746678</v>
          </cell>
        </row>
        <row r="118">
          <cell r="U118">
            <v>-67.381327694370015</v>
          </cell>
          <cell r="Z118">
            <v>-64.061324149160228</v>
          </cell>
          <cell r="AD118">
            <v>-67.570337406173181</v>
          </cell>
        </row>
        <row r="119">
          <cell r="U119">
            <v>-67.204897638459272</v>
          </cell>
          <cell r="Z119">
            <v>-46.18262398321842</v>
          </cell>
          <cell r="AD119">
            <v>-67.404082220885186</v>
          </cell>
        </row>
        <row r="120">
          <cell r="U120">
            <v>-66.123464684771648</v>
          </cell>
          <cell r="Z120">
            <v>-79.084062244030832</v>
          </cell>
          <cell r="AD120">
            <v>-66.329414131449965</v>
          </cell>
        </row>
        <row r="121">
          <cell r="U121">
            <v>-68.566741061921832</v>
          </cell>
          <cell r="Z121">
            <v>-52.959729655736076</v>
          </cell>
          <cell r="AD121">
            <v>-68.767342937890248</v>
          </cell>
        </row>
        <row r="122">
          <cell r="U122">
            <v>-68.146468897225489</v>
          </cell>
          <cell r="Z122">
            <v>-56.340927516294478</v>
          </cell>
          <cell r="AD122">
            <v>-68.345338692697084</v>
          </cell>
        </row>
        <row r="123">
          <cell r="U123">
            <v>-67.516000375597258</v>
          </cell>
          <cell r="Z123">
            <v>-81.100187661701881</v>
          </cell>
          <cell r="AD123">
            <v>-67.707353948168901</v>
          </cell>
        </row>
        <row r="124">
          <cell r="U124">
            <v>-73.210338385783373</v>
          </cell>
          <cell r="Z124">
            <v>-44.731595194934229</v>
          </cell>
          <cell r="AD124">
            <v>-73.405166484955615</v>
          </cell>
        </row>
        <row r="125">
          <cell r="U125">
            <v>-74.315933187886316</v>
          </cell>
          <cell r="Z125">
            <v>-50.625243024280842</v>
          </cell>
          <cell r="AD125">
            <v>-74.51224791925074</v>
          </cell>
        </row>
        <row r="126">
          <cell r="U126">
            <v>-73.392792188704192</v>
          </cell>
          <cell r="Z126">
            <v>-59.582870585684311</v>
          </cell>
          <cell r="AD126">
            <v>-73.59730685780292</v>
          </cell>
        </row>
        <row r="127">
          <cell r="U127">
            <v>-76.530380728205117</v>
          </cell>
          <cell r="Z127">
            <v>-47.819603548242569</v>
          </cell>
          <cell r="AD127">
            <v>-76.71036274335637</v>
          </cell>
        </row>
        <row r="128">
          <cell r="U128">
            <v>-78.657138700502045</v>
          </cell>
          <cell r="Z128">
            <v>-80.172875179648784</v>
          </cell>
          <cell r="AD128">
            <v>-78.798421810272274</v>
          </cell>
        </row>
        <row r="129">
          <cell r="U129">
            <v>-79.355617418721422</v>
          </cell>
          <cell r="Z129">
            <v>-68.301568473056619</v>
          </cell>
          <cell r="AD129">
            <v>-79.473349922937501</v>
          </cell>
        </row>
        <row r="130">
          <cell r="U130">
            <v>-79.937418091043128</v>
          </cell>
          <cell r="Z130">
            <v>-79.863604526723321</v>
          </cell>
          <cell r="AD130">
            <v>-80.034745451732405</v>
          </cell>
        </row>
        <row r="131">
          <cell r="U131">
            <v>-78.931275192745488</v>
          </cell>
          <cell r="Z131">
            <v>-47.304644216736612</v>
          </cell>
          <cell r="AD131">
            <v>-79.061502147318151</v>
          </cell>
        </row>
        <row r="132">
          <cell r="U132">
            <v>-79.503760590846994</v>
          </cell>
          <cell r="Z132">
            <v>-49.904851745003413</v>
          </cell>
          <cell r="AD132">
            <v>-79.61728458575972</v>
          </cell>
        </row>
        <row r="133">
          <cell r="U133">
            <v>-78.142994198926331</v>
          </cell>
          <cell r="Z133">
            <v>-49.795693773191786</v>
          </cell>
          <cell r="AD133">
            <v>-78.277642640371553</v>
          </cell>
        </row>
        <row r="134">
          <cell r="U134">
            <v>-79.022624516226387</v>
          </cell>
          <cell r="Z134">
            <v>-49.748605670373031</v>
          </cell>
          <cell r="AD134">
            <v>-79.145483946362063</v>
          </cell>
        </row>
        <row r="135">
          <cell r="U135">
            <v>-79.505400363511015</v>
          </cell>
          <cell r="Z135">
            <v>-80.926220021712368</v>
          </cell>
          <cell r="AD135">
            <v>-79.618200132019524</v>
          </cell>
        </row>
        <row r="136">
          <cell r="U136">
            <v>-76.589198945834184</v>
          </cell>
          <cell r="Z136">
            <v>-45.638048459092175</v>
          </cell>
          <cell r="AD136">
            <v>-76.736029458220045</v>
          </cell>
        </row>
        <row r="137">
          <cell r="U137">
            <v>-66.369050669802675</v>
          </cell>
          <cell r="Z137">
            <v>-47.633142930505457</v>
          </cell>
          <cell r="AD137">
            <v>-66.511191513519762</v>
          </cell>
        </row>
        <row r="138">
          <cell r="U138">
            <v>-54.052675134911318</v>
          </cell>
          <cell r="Z138">
            <v>-44.597606886566481</v>
          </cell>
          <cell r="AD138">
            <v>-54.127179273297415</v>
          </cell>
        </row>
        <row r="139">
          <cell r="U139">
            <v>-42.76218429247583</v>
          </cell>
          <cell r="Z139">
            <v>-39.067999532781464</v>
          </cell>
          <cell r="AD139">
            <v>-42.78328143374641</v>
          </cell>
        </row>
        <row r="140">
          <cell r="U140">
            <v>-14.0337286219033</v>
          </cell>
          <cell r="Z140">
            <v>-33.359141795344463</v>
          </cell>
          <cell r="AD140">
            <v>-14.016975848769622</v>
          </cell>
        </row>
        <row r="141">
          <cell r="U141">
            <v>1.3676953684002093</v>
          </cell>
          <cell r="Z141">
            <v>5.9612424243202184</v>
          </cell>
          <cell r="AD141">
            <v>1.3531973454734079</v>
          </cell>
        </row>
        <row r="142">
          <cell r="U142">
            <v>4.3851770124195717</v>
          </cell>
          <cell r="Z142">
            <v>-24.803926961570475</v>
          </cell>
          <cell r="AD142">
            <v>4.3669540679062848</v>
          </cell>
        </row>
        <row r="143">
          <cell r="U143">
            <v>3.9268061263628948</v>
          </cell>
          <cell r="Z143">
            <v>-23.425262397871919</v>
          </cell>
          <cell r="AD143">
            <v>3.9136724343213949</v>
          </cell>
        </row>
        <row r="144">
          <cell r="U144">
            <v>5.3470286940876308</v>
          </cell>
          <cell r="Z144">
            <v>-17.720940517568067</v>
          </cell>
          <cell r="AD144">
            <v>5.3250049704689051</v>
          </cell>
        </row>
        <row r="145">
          <cell r="U145">
            <v>-4.6368357023542659</v>
          </cell>
          <cell r="Z145">
            <v>-39.657789723976407</v>
          </cell>
          <cell r="AD145">
            <v>-4.6242146306310588</v>
          </cell>
        </row>
        <row r="146">
          <cell r="U146">
            <v>-18.9523589756908</v>
          </cell>
          <cell r="Z146">
            <v>-31.447654754894231</v>
          </cell>
          <cell r="AD146">
            <v>-18.929395109912747</v>
          </cell>
        </row>
        <row r="147">
          <cell r="U147">
            <v>-23.139898866282003</v>
          </cell>
          <cell r="Z147">
            <v>-33.700897014198326</v>
          </cell>
          <cell r="AD147">
            <v>-23.113759284609234</v>
          </cell>
        </row>
        <row r="148">
          <cell r="U148">
            <v>-36.981819450890519</v>
          </cell>
          <cell r="Z148">
            <v>-35.186589723824653</v>
          </cell>
          <cell r="AD148">
            <v>-36.979031381076489</v>
          </cell>
        </row>
        <row r="149">
          <cell r="U149">
            <v>-12.021753554722519</v>
          </cell>
          <cell r="Z149">
            <v>-40.014856210451349</v>
          </cell>
          <cell r="AD149">
            <v>-11.996429275713542</v>
          </cell>
        </row>
        <row r="150">
          <cell r="U150">
            <v>-4.145591391708205</v>
          </cell>
          <cell r="Z150">
            <v>-28.407286822122966</v>
          </cell>
          <cell r="AD150">
            <v>-4.1482958704519852</v>
          </cell>
        </row>
        <row r="151">
          <cell r="U151">
            <v>-11.48518510237977</v>
          </cell>
          <cell r="Z151">
            <v>-35.526900225253293</v>
          </cell>
          <cell r="AD151">
            <v>-11.453624830025436</v>
          </cell>
        </row>
        <row r="152">
          <cell r="U152">
            <v>-29.063336641741305</v>
          </cell>
          <cell r="Z152">
            <v>-31.550746424324977</v>
          </cell>
          <cell r="AD152">
            <v>-29.033679997709779</v>
          </cell>
        </row>
        <row r="153">
          <cell r="U153">
            <v>-28.004674784396201</v>
          </cell>
          <cell r="Z153">
            <v>-36.755509530856003</v>
          </cell>
          <cell r="AD153">
            <v>-27.972007850218102</v>
          </cell>
        </row>
        <row r="154">
          <cell r="U154">
            <v>-63.885111251668576</v>
          </cell>
          <cell r="Z154">
            <v>-42.399425612365214</v>
          </cell>
          <cell r="AD154">
            <v>-64.012840967376874</v>
          </cell>
        </row>
        <row r="155">
          <cell r="U155">
            <v>-68.37359303634058</v>
          </cell>
          <cell r="Z155">
            <v>-42.39979696964842</v>
          </cell>
          <cell r="AD155">
            <v>-68.52928676548396</v>
          </cell>
        </row>
        <row r="156">
          <cell r="U156">
            <v>-52.587913953051512</v>
          </cell>
          <cell r="Z156">
            <v>-40.392048531413479</v>
          </cell>
          <cell r="AD156">
            <v>-52.65350315022107</v>
          </cell>
        </row>
        <row r="157">
          <cell r="U157">
            <v>-70.905135468510224</v>
          </cell>
          <cell r="Z157">
            <v>-43.268325882127698</v>
          </cell>
          <cell r="AD157">
            <v>-71.077652974328714</v>
          </cell>
        </row>
        <row r="158">
          <cell r="U158">
            <v>-43.382040779843209</v>
          </cell>
          <cell r="Z158">
            <v>-43.679688693846252</v>
          </cell>
          <cell r="AD158">
            <v>-43.39922943149552</v>
          </cell>
        </row>
        <row r="159">
          <cell r="U159">
            <v>-52.612309945947736</v>
          </cell>
          <cell r="Z159">
            <v>-42.323443915199491</v>
          </cell>
          <cell r="AD159">
            <v>-52.682286864981144</v>
          </cell>
        </row>
        <row r="160">
          <cell r="U160">
            <v>-66.133970273628307</v>
          </cell>
          <cell r="Z160">
            <v>-53.321330537682869</v>
          </cell>
          <cell r="AD160">
            <v>-66.28773735250499</v>
          </cell>
        </row>
        <row r="161">
          <cell r="U161">
            <v>-62.43935371650096</v>
          </cell>
          <cell r="Z161">
            <v>-42.138070788403617</v>
          </cell>
          <cell r="AD161">
            <v>-62.573207282834709</v>
          </cell>
        </row>
        <row r="162">
          <cell r="U162">
            <v>-57.901072449194693</v>
          </cell>
          <cell r="Z162">
            <v>-85.525267018928787</v>
          </cell>
          <cell r="AD162">
            <v>-58.006224038497095</v>
          </cell>
        </row>
        <row r="163">
          <cell r="U163">
            <v>-9.8373236050551398</v>
          </cell>
          <cell r="Z163">
            <v>-43.643678691618618</v>
          </cell>
          <cell r="AD163">
            <v>-9.8009965504771017</v>
          </cell>
        </row>
        <row r="164">
          <cell r="U164">
            <v>-0.44998290895035531</v>
          </cell>
          <cell r="Z164">
            <v>-35.869348160522534</v>
          </cell>
          <cell r="AD164">
            <v>-0.44593507618978556</v>
          </cell>
        </row>
        <row r="165">
          <cell r="U165">
            <v>-1.9823980070201417</v>
          </cell>
          <cell r="Z165">
            <v>-38.45701168728602</v>
          </cell>
          <cell r="AD165">
            <v>-1.9664726742729708</v>
          </cell>
        </row>
        <row r="166">
          <cell r="U166">
            <v>-4.9930433034549075</v>
          </cell>
          <cell r="Z166">
            <v>6.4483416727308551</v>
          </cell>
          <cell r="AD166">
            <v>-4.9499249417780362</v>
          </cell>
        </row>
        <row r="167">
          <cell r="U167">
            <v>-9.738906847648547</v>
          </cell>
          <cell r="Z167">
            <v>7.9486812557444502</v>
          </cell>
          <cell r="AD167">
            <v>-9.6769546137078528</v>
          </cell>
        </row>
        <row r="168">
          <cell r="U168">
            <v>-3.7132095321424821</v>
          </cell>
          <cell r="Z168">
            <v>-34.782173749483576</v>
          </cell>
          <cell r="AD168">
            <v>-3.6796693846316586</v>
          </cell>
        </row>
        <row r="169">
          <cell r="U169">
            <v>-3.8659523329284111</v>
          </cell>
          <cell r="Z169">
            <v>-27.652284940441614</v>
          </cell>
          <cell r="AD169">
            <v>-3.8331014298112622</v>
          </cell>
        </row>
        <row r="170">
          <cell r="U170">
            <v>0.11805356066243888</v>
          </cell>
          <cell r="Z170">
            <v>-29.320742295025781</v>
          </cell>
          <cell r="AD170">
            <v>0.1190226053917911</v>
          </cell>
        </row>
        <row r="171">
          <cell r="U171">
            <v>0.95163749950297194</v>
          </cell>
          <cell r="Z171">
            <v>4.6596882363815908</v>
          </cell>
          <cell r="AD171">
            <v>0.93831897432407851</v>
          </cell>
        </row>
        <row r="172">
          <cell r="U172">
            <v>0.89986540864524378</v>
          </cell>
          <cell r="Z172">
            <v>-19.865388174756493</v>
          </cell>
          <cell r="AD172">
            <v>0.88651136083925119</v>
          </cell>
        </row>
        <row r="173">
          <cell r="U173">
            <v>0.11540396111336776</v>
          </cell>
          <cell r="Z173">
            <v>-29.844857241343089</v>
          </cell>
          <cell r="AD173">
            <v>0.10170727047467021</v>
          </cell>
        </row>
        <row r="174">
          <cell r="U174">
            <v>5.9164343512552085E-2</v>
          </cell>
          <cell r="Z174">
            <v>-31.869691811667003</v>
          </cell>
          <cell r="AD174">
            <v>4.564891925016866E-2</v>
          </cell>
        </row>
        <row r="175">
          <cell r="U175">
            <v>0.16852806524184982</v>
          </cell>
          <cell r="Z175">
            <v>2.0115489144765704</v>
          </cell>
          <cell r="AD175">
            <v>0.15467588378727892</v>
          </cell>
        </row>
        <row r="176">
          <cell r="U176">
            <v>0.30932706673608923</v>
          </cell>
          <cell r="Z176">
            <v>3.1089350549949613</v>
          </cell>
          <cell r="AD176">
            <v>0.29507151629328443</v>
          </cell>
        </row>
        <row r="177">
          <cell r="U177">
            <v>0.44852438050346599</v>
          </cell>
          <cell r="Z177">
            <v>-24.026615393227196</v>
          </cell>
          <cell r="AD177">
            <v>0.4414485984592631</v>
          </cell>
        </row>
        <row r="178">
          <cell r="U178">
            <v>0.40173010972463952</v>
          </cell>
          <cell r="Z178">
            <v>-32.107940986656835</v>
          </cell>
          <cell r="AD178">
            <v>0.39351571597107987</v>
          </cell>
        </row>
        <row r="179">
          <cell r="U179">
            <v>-7.7299108921478856</v>
          </cell>
          <cell r="Z179">
            <v>-42.943082974856651</v>
          </cell>
          <cell r="AD179">
            <v>-7.6627558359926455</v>
          </cell>
        </row>
        <row r="180">
          <cell r="U180">
            <v>-2.2318584235091272</v>
          </cell>
          <cell r="Z180">
            <v>-45.463103927220772</v>
          </cell>
          <cell r="AD180">
            <v>-2.209491816311921</v>
          </cell>
        </row>
        <row r="181">
          <cell r="U181">
            <v>-3.3366647385230124</v>
          </cell>
          <cell r="Z181">
            <v>-33.699989384484354</v>
          </cell>
          <cell r="AD181">
            <v>-3.3080992372072053</v>
          </cell>
        </row>
        <row r="182">
          <cell r="U182">
            <v>-2.8226148336877115</v>
          </cell>
          <cell r="Z182">
            <v>-10.388894618611921</v>
          </cell>
          <cell r="AD182">
            <v>-2.7948870334600024</v>
          </cell>
        </row>
        <row r="183">
          <cell r="U183">
            <v>-10.331745405808093</v>
          </cell>
          <cell r="Z183">
            <v>-36.901894464888102</v>
          </cell>
          <cell r="AD183">
            <v>-10.243598567509089</v>
          </cell>
        </row>
        <row r="184">
          <cell r="U184">
            <v>-3.1723822388512239</v>
          </cell>
          <cell r="Z184">
            <v>-40.921062064977995</v>
          </cell>
          <cell r="AD184">
            <v>-3.1315033732399815</v>
          </cell>
        </row>
        <row r="185">
          <cell r="U185">
            <v>-0.93897499380410432</v>
          </cell>
          <cell r="Z185">
            <v>2.7715635418076729</v>
          </cell>
          <cell r="AD185">
            <v>-0.92769075913789845</v>
          </cell>
        </row>
        <row r="186">
          <cell r="U186">
            <v>-2.730157907871964</v>
          </cell>
          <cell r="Z186">
            <v>-37.412090698446406</v>
          </cell>
          <cell r="AD186">
            <v>-2.6880348079006504</v>
          </cell>
        </row>
        <row r="187">
          <cell r="U187">
            <v>-0.86046859291629429</v>
          </cell>
          <cell r="Z187">
            <v>-35.964219785196967</v>
          </cell>
          <cell r="AD187">
            <v>-0.85309676160791792</v>
          </cell>
        </row>
        <row r="188">
          <cell r="U188">
            <v>-0.74654454143615556</v>
          </cell>
          <cell r="Z188">
            <v>-17.713858970461562</v>
          </cell>
          <cell r="AD188">
            <v>-0.74305501565473187</v>
          </cell>
        </row>
        <row r="189">
          <cell r="U189">
            <v>-5.0287220608753129</v>
          </cell>
          <cell r="Z189">
            <v>-40.971423445762952</v>
          </cell>
          <cell r="AD189">
            <v>-4.9591373355269948</v>
          </cell>
        </row>
        <row r="190">
          <cell r="U190">
            <v>-23.172756598495557</v>
          </cell>
          <cell r="Z190">
            <v>5.6625015069340421</v>
          </cell>
          <cell r="AD190">
            <v>-23.052017690473704</v>
          </cell>
        </row>
        <row r="191">
          <cell r="U191">
            <v>-7.38504217359948</v>
          </cell>
          <cell r="Z191">
            <v>-45.571258333079726</v>
          </cell>
          <cell r="AD191">
            <v>-7.2923115189247056</v>
          </cell>
        </row>
        <row r="192">
          <cell r="U192">
            <v>-1.5066492737975175</v>
          </cell>
          <cell r="Z192">
            <v>-16.86541616718646</v>
          </cell>
          <cell r="AD192">
            <v>-1.5009204031270702</v>
          </cell>
        </row>
        <row r="193">
          <cell r="U193">
            <v>-1.8292015335152345</v>
          </cell>
          <cell r="Z193">
            <v>-17.083518429347759</v>
          </cell>
          <cell r="AD193">
            <v>-1.8355524317516978</v>
          </cell>
        </row>
        <row r="194">
          <cell r="U194">
            <v>-2.4957717922788891</v>
          </cell>
          <cell r="Z194">
            <v>-0.19602640159830287</v>
          </cell>
          <cell r="AD194">
            <v>-2.5028399864900659</v>
          </cell>
        </row>
        <row r="195">
          <cell r="U195">
            <v>-2.94587853512766</v>
          </cell>
          <cell r="Z195">
            <v>-1.9101569107658201</v>
          </cell>
          <cell r="AD195">
            <v>-2.9529012982964864</v>
          </cell>
        </row>
        <row r="196">
          <cell r="U196">
            <v>-2.1299250251488715</v>
          </cell>
          <cell r="Z196">
            <v>-38.431916339972858</v>
          </cell>
          <cell r="AD196">
            <v>-2.1361193307876998</v>
          </cell>
        </row>
        <row r="197">
          <cell r="U197">
            <v>-2.2704842185215295</v>
          </cell>
          <cell r="Z197">
            <v>2.1314154197745765</v>
          </cell>
          <cell r="AD197">
            <v>-2.2510742469720011</v>
          </cell>
        </row>
        <row r="198">
          <cell r="U198">
            <v>-15.972782404770618</v>
          </cell>
          <cell r="Z198">
            <v>-28.424804348452767</v>
          </cell>
          <cell r="AD198">
            <v>-15.824104376423856</v>
          </cell>
        </row>
        <row r="199">
          <cell r="U199">
            <v>-13.680095140737174</v>
          </cell>
          <cell r="Z199">
            <v>-46.088241173816911</v>
          </cell>
          <cell r="AD199">
            <v>-13.542750133466726</v>
          </cell>
        </row>
        <row r="200">
          <cell r="U200">
            <v>-27.353041503927589</v>
          </cell>
          <cell r="Z200">
            <v>-42.07780349442681</v>
          </cell>
          <cell r="AD200">
            <v>-27.218857992564857</v>
          </cell>
        </row>
        <row r="201">
          <cell r="U201">
            <v>-27.606397923625419</v>
          </cell>
          <cell r="Z201">
            <v>-40.779219888225974</v>
          </cell>
          <cell r="AD201">
            <v>-27.483132449425693</v>
          </cell>
        </row>
        <row r="202">
          <cell r="U202">
            <v>-15.706615919641182</v>
          </cell>
          <cell r="Z202">
            <v>-35.007689150377871</v>
          </cell>
          <cell r="AD202">
            <v>-15.57684582000166</v>
          </cell>
        </row>
        <row r="203">
          <cell r="U203">
            <v>-10.284740151472413</v>
          </cell>
          <cell r="Z203">
            <v>-9.4570621426854693</v>
          </cell>
          <cell r="AD203">
            <v>-10.183992404270089</v>
          </cell>
        </row>
        <row r="204">
          <cell r="U204">
            <v>-75.970908494764359</v>
          </cell>
          <cell r="Z204">
            <v>-54.318292790306316</v>
          </cell>
          <cell r="AD204">
            <v>-76.173026184204971</v>
          </cell>
        </row>
        <row r="205">
          <cell r="U205">
            <v>-79.980138283247584</v>
          </cell>
          <cell r="Z205">
            <v>-53.750687509871803</v>
          </cell>
          <cell r="AD205">
            <v>-80.205128737840113</v>
          </cell>
        </row>
        <row r="206">
          <cell r="U206">
            <v>-85.230239711039317</v>
          </cell>
          <cell r="Z206">
            <v>-94.690910102230234</v>
          </cell>
          <cell r="AD206">
            <v>-85.469853760879133</v>
          </cell>
        </row>
        <row r="207">
          <cell r="U207">
            <v>-74.386530237757057</v>
          </cell>
          <cell r="Z207">
            <v>-54.151753537672356</v>
          </cell>
          <cell r="AD207">
            <v>-74.581518595895147</v>
          </cell>
        </row>
        <row r="208">
          <cell r="U208">
            <v>-45.807548842775745</v>
          </cell>
          <cell r="Z208">
            <v>-46.378837170398782</v>
          </cell>
          <cell r="AD208">
            <v>-45.779014648911982</v>
          </cell>
        </row>
        <row r="209">
          <cell r="U209">
            <v>-31.856557542122069</v>
          </cell>
          <cell r="Z209">
            <v>-41.958119427186396</v>
          </cell>
          <cell r="AD209">
            <v>-31.747762592080704</v>
          </cell>
        </row>
        <row r="210">
          <cell r="U210">
            <v>-35.859374531142016</v>
          </cell>
          <cell r="Z210">
            <v>-44.708884124052382</v>
          </cell>
          <cell r="AD210">
            <v>-35.76404360166508</v>
          </cell>
        </row>
        <row r="211">
          <cell r="U211">
            <v>-87.82246504272652</v>
          </cell>
          <cell r="Z211">
            <v>-55.158685272360742</v>
          </cell>
          <cell r="AD211">
            <v>-88.079229716921674</v>
          </cell>
        </row>
        <row r="212">
          <cell r="U212">
            <v>-99.702644551699549</v>
          </cell>
          <cell r="Z212">
            <v>-97.291777391204988</v>
          </cell>
          <cell r="AD212">
            <v>-99.758013402900445</v>
          </cell>
        </row>
        <row r="213">
          <cell r="U213">
            <v>-99.578247986306238</v>
          </cell>
          <cell r="Z213">
            <v>-58.144035007051137</v>
          </cell>
          <cell r="AD213">
            <v>-99.67256112616748</v>
          </cell>
        </row>
        <row r="214">
          <cell r="U214">
            <v>-99.870283203169663</v>
          </cell>
          <cell r="Z214">
            <v>-79.322762372085776</v>
          </cell>
          <cell r="AD214">
            <v>-99.955874885997289</v>
          </cell>
        </row>
        <row r="215">
          <cell r="U215">
            <v>-98.03440499807671</v>
          </cell>
          <cell r="Z215">
            <v>-67.101008399500273</v>
          </cell>
          <cell r="AD215">
            <v>-98.207842924642677</v>
          </cell>
        </row>
        <row r="216">
          <cell r="U216">
            <v>-100.41779670383697</v>
          </cell>
          <cell r="Z216">
            <v>-62.216115961165002</v>
          </cell>
          <cell r="AD216">
            <v>-100.48661722586894</v>
          </cell>
        </row>
        <row r="217">
          <cell r="U217">
            <v>-100.6717765866298</v>
          </cell>
          <cell r="Z217">
            <v>-76.111269302240842</v>
          </cell>
          <cell r="AD217">
            <v>-100.7273120946913</v>
          </cell>
        </row>
        <row r="218">
          <cell r="U218">
            <v>-99.267356537323863</v>
          </cell>
          <cell r="Z218">
            <v>-64.631732918224074</v>
          </cell>
          <cell r="AD218">
            <v>-99.421898618076114</v>
          </cell>
        </row>
        <row r="219">
          <cell r="U219">
            <v>-100.98550298783012</v>
          </cell>
          <cell r="Z219">
            <v>-62.979456334158165</v>
          </cell>
          <cell r="AD219">
            <v>-101.05819506161924</v>
          </cell>
        </row>
        <row r="220">
          <cell r="U220">
            <v>-101.08129269171418</v>
          </cell>
          <cell r="Z220">
            <v>-73.250203253876208</v>
          </cell>
          <cell r="AD220">
            <v>-101.16486068766746</v>
          </cell>
        </row>
        <row r="221">
          <cell r="U221">
            <v>-101.32418309464762</v>
          </cell>
          <cell r="Z221">
            <v>-73.180758294435748</v>
          </cell>
          <cell r="AD221">
            <v>-101.34757997549535</v>
          </cell>
        </row>
        <row r="222">
          <cell r="U222">
            <v>-101.1719852303752</v>
          </cell>
          <cell r="Z222">
            <v>-60.662364116330949</v>
          </cell>
          <cell r="AD222">
            <v>-101.2784724710968</v>
          </cell>
        </row>
        <row r="223">
          <cell r="U223">
            <v>-101.39405048719027</v>
          </cell>
          <cell r="Z223">
            <v>-62.235829435094352</v>
          </cell>
          <cell r="AD223">
            <v>-101.40558238362256</v>
          </cell>
        </row>
        <row r="224">
          <cell r="U224">
            <v>-101.49284190852039</v>
          </cell>
          <cell r="Z224">
            <v>-69.960587650330822</v>
          </cell>
          <cell r="AD224">
            <v>-101.50299003359312</v>
          </cell>
        </row>
        <row r="225">
          <cell r="U225">
            <v>-101.90009925625208</v>
          </cell>
          <cell r="Z225">
            <v>-98.211651865201858</v>
          </cell>
          <cell r="AD225">
            <v>-101.91219591413416</v>
          </cell>
        </row>
        <row r="226">
          <cell r="U226">
            <v>-101.71617023028483</v>
          </cell>
          <cell r="Z226">
            <v>-88.848542615492832</v>
          </cell>
          <cell r="AD226">
            <v>-101.72471111123306</v>
          </cell>
        </row>
        <row r="227">
          <cell r="U227">
            <v>-102.29640619284648</v>
          </cell>
          <cell r="Z227">
            <v>-81.654695874264803</v>
          </cell>
          <cell r="AD227">
            <v>-102.30736622943378</v>
          </cell>
        </row>
        <row r="228">
          <cell r="U228">
            <v>-102.72402514027254</v>
          </cell>
          <cell r="Z228">
            <v>-100.55196156411789</v>
          </cell>
          <cell r="AD228">
            <v>-102.73805636618069</v>
          </cell>
        </row>
        <row r="229">
          <cell r="U229">
            <v>-102.6102064227136</v>
          </cell>
          <cell r="Z229">
            <v>-89.616221381433647</v>
          </cell>
          <cell r="AD229">
            <v>-102.61946207434043</v>
          </cell>
        </row>
        <row r="230">
          <cell r="U230">
            <v>-103.51897186479046</v>
          </cell>
          <cell r="Z230">
            <v>-65.976532204893843</v>
          </cell>
          <cell r="AD230">
            <v>-103.56901073045321</v>
          </cell>
        </row>
        <row r="231">
          <cell r="U231">
            <v>-103.73059728751223</v>
          </cell>
          <cell r="Z231">
            <v>-70.612596972720965</v>
          </cell>
          <cell r="AD231">
            <v>-103.78675378568137</v>
          </cell>
        </row>
        <row r="232">
          <cell r="U232">
            <v>-104.01937241318518</v>
          </cell>
          <cell r="Z232">
            <v>-101.91540239720892</v>
          </cell>
          <cell r="AD232">
            <v>-104.06534853598667</v>
          </cell>
        </row>
        <row r="233">
          <cell r="U233">
            <v>-104.02566720747336</v>
          </cell>
          <cell r="Z233">
            <v>-92.278694992737442</v>
          </cell>
          <cell r="AD233">
            <v>-104.03981939975257</v>
          </cell>
        </row>
        <row r="234">
          <cell r="U234">
            <v>-104.37083760671143</v>
          </cell>
          <cell r="Z234">
            <v>-66.593028810214832</v>
          </cell>
          <cell r="AD234">
            <v>-104.44121148654858</v>
          </cell>
        </row>
        <row r="235">
          <cell r="U235">
            <v>-102.48113097615894</v>
          </cell>
          <cell r="Z235">
            <v>-93.70127389702283</v>
          </cell>
          <cell r="AD235">
            <v>-102.65794319667474</v>
          </cell>
        </row>
        <row r="236">
          <cell r="U236">
            <v>-105.09365121856072</v>
          </cell>
          <cell r="Z236">
            <v>-69.096956482546645</v>
          </cell>
          <cell r="AD236">
            <v>-105.13864014145594</v>
          </cell>
        </row>
        <row r="237">
          <cell r="U237">
            <v>-98.77817216958266</v>
          </cell>
          <cell r="Z237">
            <v>-61.029451172181467</v>
          </cell>
          <cell r="AD237">
            <v>-99.037248359437086</v>
          </cell>
        </row>
        <row r="238">
          <cell r="U238">
            <v>-105.48615226723207</v>
          </cell>
          <cell r="Z238">
            <v>-64.404219096739794</v>
          </cell>
          <cell r="AD238">
            <v>-105.5604469489892</v>
          </cell>
        </row>
        <row r="239">
          <cell r="U239">
            <v>-105.81687523519504</v>
          </cell>
          <cell r="Z239">
            <v>-103.31992241911786</v>
          </cell>
          <cell r="AD239">
            <v>-105.82479054684465</v>
          </cell>
        </row>
        <row r="240">
          <cell r="U240">
            <v>-106.28888530893875</v>
          </cell>
          <cell r="Z240">
            <v>-76.244318045008569</v>
          </cell>
          <cell r="AD240">
            <v>-106.30281317777278</v>
          </cell>
        </row>
        <row r="241">
          <cell r="U241">
            <v>-104.75051987139564</v>
          </cell>
          <cell r="Z241">
            <v>-74.64213843702484</v>
          </cell>
          <cell r="AD241">
            <v>-104.90840509549543</v>
          </cell>
        </row>
        <row r="242">
          <cell r="U242">
            <v>-106.39637465518445</v>
          </cell>
          <cell r="Z242">
            <v>-69.63415336637145</v>
          </cell>
          <cell r="AD242">
            <v>-106.49223512457593</v>
          </cell>
        </row>
        <row r="243">
          <cell r="U243">
            <v>-102.87469336260193</v>
          </cell>
          <cell r="Z243">
            <v>-73.175220389511836</v>
          </cell>
          <cell r="AD243">
            <v>-103.10018412894961</v>
          </cell>
        </row>
        <row r="244">
          <cell r="U244">
            <v>-101.39858325853551</v>
          </cell>
          <cell r="Z244">
            <v>-84.507010472728211</v>
          </cell>
          <cell r="AD244">
            <v>-101.65471289601805</v>
          </cell>
        </row>
        <row r="245">
          <cell r="U245">
            <v>-19.000255425994638</v>
          </cell>
          <cell r="Z245">
            <v>-52.517374432445287</v>
          </cell>
          <cell r="AD245">
            <v>-18.800492731238194</v>
          </cell>
        </row>
        <row r="246">
          <cell r="U246">
            <v>-13.636585792151433</v>
          </cell>
          <cell r="Z246">
            <v>-47.535278699836319</v>
          </cell>
          <cell r="AD246">
            <v>-13.573066585188917</v>
          </cell>
        </row>
        <row r="247">
          <cell r="U247">
            <v>-13.455138937348451</v>
          </cell>
          <cell r="Z247">
            <v>-22.274273842649706</v>
          </cell>
          <cell r="AD247">
            <v>-13.463284887516359</v>
          </cell>
        </row>
        <row r="248">
          <cell r="U248">
            <v>-13.411742306390575</v>
          </cell>
          <cell r="Z248">
            <v>-45.502244833232112</v>
          </cell>
          <cell r="AD248">
            <v>-13.417609539806069</v>
          </cell>
        </row>
        <row r="249">
          <cell r="U249">
            <v>-14.865470279167971</v>
          </cell>
          <cell r="Z249">
            <v>-40.614170603063357</v>
          </cell>
          <cell r="AD249">
            <v>-14.873622582309213</v>
          </cell>
        </row>
        <row r="250">
          <cell r="U250">
            <v>-15.268334098373753</v>
          </cell>
          <cell r="Z250">
            <v>-30.267396508375732</v>
          </cell>
          <cell r="AD250">
            <v>-15.276486401515008</v>
          </cell>
        </row>
        <row r="251">
          <cell r="U251">
            <v>-15.818792487220531</v>
          </cell>
          <cell r="Z251">
            <v>-14.26777297684416</v>
          </cell>
          <cell r="AD251">
            <v>-15.826944790361786</v>
          </cell>
        </row>
        <row r="252">
          <cell r="U252">
            <v>-15.896752792150576</v>
          </cell>
          <cell r="Z252">
            <v>-19.794511728737575</v>
          </cell>
          <cell r="AD252">
            <v>-15.904905095291831</v>
          </cell>
        </row>
        <row r="253">
          <cell r="U253">
            <v>-16.157288191929222</v>
          </cell>
          <cell r="Z253">
            <v>-14.562707281857673</v>
          </cell>
          <cell r="AD253">
            <v>-16.165440495070477</v>
          </cell>
        </row>
        <row r="254">
          <cell r="U254">
            <v>-16.326225665685921</v>
          </cell>
          <cell r="Z254">
            <v>-14.800061175198602</v>
          </cell>
          <cell r="AD254">
            <v>-16.334377968827177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12"/>
  <sheetViews>
    <sheetView workbookViewId="0">
      <selection activeCell="C11" sqref="C11"/>
    </sheetView>
  </sheetViews>
  <sheetFormatPr defaultRowHeight="15"/>
  <cols>
    <col min="3" max="3" width="7.7109375" bestFit="1" customWidth="1"/>
    <col min="4" max="4" width="9.28515625" customWidth="1"/>
  </cols>
  <sheetData>
    <row r="2" spans="2:8" ht="18.75">
      <c r="B2" s="1" t="s">
        <v>0</v>
      </c>
      <c r="H2" s="2"/>
    </row>
    <row r="3" spans="2:8" ht="15.75">
      <c r="B3" s="3" t="s">
        <v>1</v>
      </c>
      <c r="C3" s="4">
        <v>1.7399999999999999E-2</v>
      </c>
      <c r="D3" t="s">
        <v>2</v>
      </c>
    </row>
    <row r="4" spans="2:8" ht="15.7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>
      <c r="B5" s="3" t="s">
        <v>6</v>
      </c>
      <c r="C5" s="4">
        <f>C4</f>
        <v>3.5400000000000001E-2</v>
      </c>
    </row>
    <row r="6" spans="2:8" ht="15.75">
      <c r="B6" s="3" t="s">
        <v>7</v>
      </c>
      <c r="C6" s="4">
        <v>0.38769999999999999</v>
      </c>
      <c r="D6" t="s">
        <v>8</v>
      </c>
    </row>
    <row r="7" spans="2:8" ht="15.75">
      <c r="B7" s="5" t="s">
        <v>9</v>
      </c>
      <c r="C7" s="4">
        <v>-0.71650000000000003</v>
      </c>
    </row>
    <row r="8" spans="2:8" ht="15.75">
      <c r="B8" s="3" t="s">
        <v>10</v>
      </c>
      <c r="C8" s="4">
        <v>1.3252999999999999</v>
      </c>
      <c r="D8" t="s">
        <v>11</v>
      </c>
    </row>
    <row r="9" spans="2:8" ht="15.75">
      <c r="B9" s="3" t="s">
        <v>12</v>
      </c>
      <c r="C9" s="4">
        <v>0</v>
      </c>
    </row>
    <row r="10" spans="2:8" ht="15.75">
      <c r="B10" s="3" t="s">
        <v>13</v>
      </c>
      <c r="C10" s="4">
        <v>0</v>
      </c>
    </row>
    <row r="11" spans="2:8" ht="15.75">
      <c r="B11" s="3" t="s">
        <v>14</v>
      </c>
      <c r="C11" s="4">
        <v>100</v>
      </c>
    </row>
    <row r="12" spans="2:8" ht="15.7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D254"/>
  <sheetViews>
    <sheetView tabSelected="1" topLeftCell="M1" workbookViewId="0">
      <pane ySplit="3" topLeftCell="A4" activePane="bottomLeft" state="frozen"/>
      <selection pane="bottomLeft" activeCell="AD256" sqref="AD256"/>
    </sheetView>
  </sheetViews>
  <sheetFormatPr defaultRowHeight="15"/>
  <cols>
    <col min="1" max="1" width="17.5703125" bestFit="1" customWidth="1"/>
    <col min="8" max="8" width="9.7109375" bestFit="1" customWidth="1"/>
    <col min="9" max="9" width="9.85546875" bestFit="1" customWidth="1"/>
    <col min="14" max="14" width="13.5703125" customWidth="1"/>
    <col min="15" max="15" width="9.42578125" customWidth="1"/>
    <col min="17" max="17" width="12.5703125" customWidth="1"/>
    <col min="22" max="22" width="12" customWidth="1"/>
  </cols>
  <sheetData>
    <row r="1" spans="1:30">
      <c r="A1" s="8"/>
      <c r="B1" s="8"/>
      <c r="C1" s="8"/>
      <c r="G1" s="24" t="s">
        <v>16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</row>
    <row r="2" spans="1:30">
      <c r="A2" s="8"/>
      <c r="B2" s="8"/>
      <c r="C2" s="8"/>
      <c r="G2" s="24" t="s">
        <v>17</v>
      </c>
      <c r="H2" s="24"/>
      <c r="I2" s="24"/>
      <c r="J2" s="24"/>
      <c r="K2" s="24"/>
      <c r="L2" s="24"/>
      <c r="M2" s="24"/>
      <c r="N2" s="24" t="s">
        <v>18</v>
      </c>
      <c r="O2" s="24"/>
      <c r="P2" s="24"/>
      <c r="Q2" s="9" t="s">
        <v>19</v>
      </c>
      <c r="R2" s="24" t="s">
        <v>20</v>
      </c>
      <c r="S2" s="24"/>
      <c r="T2" s="24"/>
      <c r="U2" s="24"/>
      <c r="V2" s="24" t="s">
        <v>21</v>
      </c>
      <c r="W2" s="24"/>
      <c r="X2" s="24"/>
      <c r="Y2" s="24"/>
      <c r="Z2" s="24"/>
      <c r="AA2" s="24" t="s">
        <v>22</v>
      </c>
      <c r="AB2" s="24"/>
      <c r="AC2" s="24"/>
      <c r="AD2" s="24"/>
    </row>
    <row r="3" spans="1:30" ht="4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>
      <c r="A4" s="11" t="s">
        <v>44</v>
      </c>
      <c r="B4" s="11" t="s">
        <v>45</v>
      </c>
      <c r="C4" s="13" t="s">
        <v>46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>
      <c r="A5" s="11" t="s">
        <v>45</v>
      </c>
      <c r="B5" s="18">
        <v>1</v>
      </c>
      <c r="C5" s="18"/>
      <c r="G5" s="19">
        <v>250</v>
      </c>
      <c r="H5" s="19">
        <f ca="1">RAND()</f>
        <v>0.51190463226672378</v>
      </c>
      <c r="I5" s="19">
        <f ca="1">RAND()</f>
        <v>0.53817690620352743</v>
      </c>
      <c r="J5" s="19">
        <f ca="1">SQRT(-2*LN(H5))*COS(2*PI()*I5)</f>
        <v>-1.1241185625551406</v>
      </c>
      <c r="K5" s="19">
        <f ca="1">SQRT(-2*LN(H5))*SIN(2*PI()*I5)</f>
        <v>-0.27493877520519139</v>
      </c>
      <c r="L5" s="19">
        <f t="array" aca="1" ref="L5:M5" ca="1">MMULT(J5:K5,TRANSPOSE($B$10:$C$11))</f>
        <v>-1.1241185625551406</v>
      </c>
      <c r="M5" s="19">
        <f ca="1"/>
        <v>0.61363720957961465</v>
      </c>
      <c r="N5" s="20">
        <f>Variance_T0</f>
        <v>3.5400000000000001E-2</v>
      </c>
      <c r="O5" s="20">
        <v>0</v>
      </c>
      <c r="P5" s="19">
        <v>100</v>
      </c>
      <c r="Q5" s="19">
        <f>HCTrans(P5,Strike,RiskFreeRate,Dividend,Variance_T0*AnnualVarConvtr,(Simulation!G5)/250,0.5,Variance_Avg*AnnualVarConvtr,Lambda,SQRT(Simulation!N5),Rho,1,"Call")</f>
        <v>28.818569228825197</v>
      </c>
      <c r="R5" s="19">
        <f>BSvol(1,P5,Strike,Q5,Dividend,RiskFreeRate,G5/250)</f>
        <v>0.73884103340948371</v>
      </c>
      <c r="S5" s="19">
        <f t="shared" ref="S5" si="0">BSdelta(1,P5,Strike,R5/AnnualVarConvtr,Dividend,RiskFreeRate,G5/250)</f>
        <v>0.50932012123821535</v>
      </c>
      <c r="T5" s="19">
        <f>(S5)*P5</f>
        <v>50.932012123821536</v>
      </c>
      <c r="U5" s="19">
        <f>Q5-T5</f>
        <v>-22.113442894996339</v>
      </c>
      <c r="V5" s="21">
        <f>(O5-O4)^2</f>
        <v>0</v>
      </c>
      <c r="W5">
        <f>SQRT(V5)</f>
        <v>0</v>
      </c>
      <c r="X5">
        <v>0</v>
      </c>
      <c r="AA5">
        <f>$R$5</f>
        <v>0.73884103340948371</v>
      </c>
      <c r="AB5">
        <f t="shared" ref="AB5" si="1">BSdelta(1,P5,Strike,AA5/AnnualVarConvtr,Dividend,RiskFreeRate,G5/250)</f>
        <v>0.50932012123821535</v>
      </c>
      <c r="AC5">
        <f>AB5*P5</f>
        <v>50.932012123821536</v>
      </c>
      <c r="AD5">
        <f>Q5-AC5</f>
        <v>-22.113442894996339</v>
      </c>
    </row>
    <row r="6" spans="1:30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2">RAND()</f>
        <v>0.47848548249992739</v>
      </c>
      <c r="I6" s="19">
        <f t="shared" ca="1" si="2"/>
        <v>0.54550215593248819</v>
      </c>
      <c r="J6" s="19">
        <f t="shared" ref="J6:J69" ca="1" si="3">SQRT(-2*LN(H6))*COS(2*PI()*I6)</f>
        <v>-1.1649049676715837</v>
      </c>
      <c r="K6" s="19">
        <f t="shared" ref="K6:K69" ca="1" si="4">SQRT(-2*LN(H6))*SIN(2*PI()*I6)</f>
        <v>-0.34242551394279608</v>
      </c>
      <c r="L6" s="19">
        <f t="array" aca="1" ref="L6:M6" ca="1">MMULT(J6:K6,TRANSPOSE($B$10:$C$11))</f>
        <v>-1.1649049676715837</v>
      </c>
      <c r="M6" s="19">
        <f ca="1"/>
        <v>0.59578279106576126</v>
      </c>
      <c r="N6" s="20">
        <f t="shared" ref="N6" ca="1" si="5">GetVariance(N5,Variance_Avg,Lambda,Eta,M6,"Daily")</f>
        <v>3.8051667078841084E-2</v>
      </c>
      <c r="O6" s="20">
        <f t="shared" ref="O6" ca="1" si="6">GetStockReturns(0,RiskFreeRate,N6,L6,"Daily")</f>
        <v>-1.437167333221465E-2</v>
      </c>
      <c r="P6" s="19">
        <f ca="1">P5*EXP(O6)</f>
        <v>98.573110620454258</v>
      </c>
      <c r="Q6" s="19">
        <f ca="1">HCTrans(P6,Strike,RiskFreeRate,Dividend,Variance_T0*AnnualVarConvtr,(Simulation!G6)/250,0.5,Variance_Avg*AnnualVarConvtr,Lambda,SQRT(Simulation!N6),Rho,1,"Call")</f>
        <v>27.820387161925382</v>
      </c>
      <c r="R6" s="19">
        <f t="shared" ref="R6" ca="1" si="7">BSvol(1,P6,Strike,Q6,Dividend,RiskFreeRate,G6/250)</f>
        <v>0.73803991069336305</v>
      </c>
      <c r="S6" s="19">
        <f t="shared" ref="S6" ca="1" si="8">BSdelta(1,P6,Strike,R6/AnnualVarConvtr,Dividend,RiskFreeRate,G6/250)</f>
        <v>0.38773900830643804</v>
      </c>
      <c r="T6" s="19">
        <f ca="1">(S6-S5)*P6</f>
        <v>-11.984628494382028</v>
      </c>
      <c r="U6" s="19">
        <f ca="1">(Q6-Q5)+U5-T6</f>
        <v>-11.126996467514127</v>
      </c>
      <c r="V6" s="21">
        <f ca="1">(O6-O5)^2</f>
        <v>2.0654499436788972E-4</v>
      </c>
      <c r="W6">
        <f ca="1">SQRT(V6)</f>
        <v>1.437167333221465E-2</v>
      </c>
      <c r="X6" s="22">
        <f t="shared" ref="X6" ca="1" si="9">BSdelta(1,P6,Strike,W6*AnnualVarConvtr,Dividend,RiskFreeRate,G6/250)</f>
        <v>0.51994604354587237</v>
      </c>
      <c r="Y6" s="22">
        <f ca="1">X6*P6</f>
        <v>51.252698867114802</v>
      </c>
      <c r="Z6" s="22">
        <f ca="1">Q6-Y6</f>
        <v>-23.43231170518942</v>
      </c>
      <c r="AA6">
        <f t="shared" ref="AA6:AA69" si="10">$R$5</f>
        <v>0.73884103340948371</v>
      </c>
      <c r="AB6">
        <f t="shared" ref="AB6" ca="1" si="11">BSdelta(1,P6,Strike,AA6/AnnualVarConvtr,Dividend,RiskFreeRate,G6/250)</f>
        <v>0.38787683289578501</v>
      </c>
      <c r="AC6">
        <f ca="1">(AB6-AB5)*P6</f>
        <v>-11.971042695890109</v>
      </c>
      <c r="AD6">
        <f ca="1">(Q6-Q5)+AD5-AC6</f>
        <v>-11.140582266006046</v>
      </c>
    </row>
    <row r="7" spans="1:30">
      <c r="G7" s="19">
        <v>248</v>
      </c>
      <c r="H7" s="19">
        <f t="shared" ca="1" si="2"/>
        <v>6.1738229332406469E-3</v>
      </c>
      <c r="I7" s="19">
        <f t="shared" ca="1" si="2"/>
        <v>0.90053749249373105</v>
      </c>
      <c r="J7" s="19">
        <f t="shared" ca="1" si="3"/>
        <v>2.5869259451442517</v>
      </c>
      <c r="K7" s="19">
        <f t="shared" ca="1" si="4"/>
        <v>-1.8661961900649544</v>
      </c>
      <c r="L7" s="19">
        <f t="array" aca="1" ref="L7:M7" ca="1">MMULT(J7:K7,TRANSPOSE($B$10:$C$11))</f>
        <v>2.5869259451442517</v>
      </c>
      <c r="M7" s="19">
        <f ca="1"/>
        <v>-3.1553668117874376</v>
      </c>
      <c r="N7" s="20">
        <f t="shared" ref="N7" ca="1" si="12">GetVariance(N6,Variance_Avg,Lambda,Eta,M7,"Daily")</f>
        <v>2.4291303525746672E-2</v>
      </c>
      <c r="O7" s="20">
        <f t="shared" ref="O7" ca="1" si="13">GetStockReturns(0,RiskFreeRate,N7,L7,"Daily")</f>
        <v>2.5499954323695909E-2</v>
      </c>
      <c r="P7" s="19">
        <f t="shared" ref="P7:P10" ca="1" si="14">P6*EXP(O7)</f>
        <v>101.11904306360124</v>
      </c>
      <c r="Q7" s="19">
        <f ca="1">HCTrans(P7,Strike,RiskFreeRate,Dividend,Variance_T0*AnnualVarConvtr,(Simulation!G7)/250,0.5,Variance_Avg*AnnualVarConvtr,Lambda,SQRT(Simulation!N7),Rho,1,"Call")</f>
        <v>29.507303180927607</v>
      </c>
      <c r="R7" s="19">
        <f t="shared" ref="R7" ca="1" si="15">BSvol(1,P7,Strike,Q7,Dividend,RiskFreeRate,G7/250)</f>
        <v>0.74087174249306553</v>
      </c>
      <c r="S7" s="19">
        <f t="shared" ref="S7" ca="1" si="16">BSdelta(1,P7,Strike,R7/AnnualVarConvtr,Dividend,RiskFreeRate,G7/250)</f>
        <v>0.60325661364839056</v>
      </c>
      <c r="T7" s="19">
        <f ca="1">(S7-S6)*P7</f>
        <v>21.792934015537114</v>
      </c>
      <c r="U7" s="19">
        <f ca="1">(Q7-Q6)+U6-T7</f>
        <v>-31.233014464049013</v>
      </c>
      <c r="V7" s="21">
        <f t="shared" ref="V7:V70" ca="1" si="17">(O7-O6)^2</f>
        <v>1.5897466919315715E-3</v>
      </c>
      <c r="W7">
        <f t="shared" ref="W7:W70" ca="1" si="18">SQRT(V7)</f>
        <v>3.9871627655910555E-2</v>
      </c>
      <c r="X7" s="22">
        <f t="shared" ref="X7" ca="1" si="19">BSdelta(1,P7,Strike,W7*AnnualVarConvtr,Dividend,RiskFreeRate,G7/250)</f>
        <v>0.62993173578501827</v>
      </c>
      <c r="Y7" s="22">
        <f ca="1">(X7-X6)*P7</f>
        <v>11.121647949910185</v>
      </c>
      <c r="Z7" s="22">
        <f ca="1">(Q7-Q6)+Z6-Y7</f>
        <v>-32.867043636097378</v>
      </c>
      <c r="AA7">
        <f t="shared" si="10"/>
        <v>0.73884103340948371</v>
      </c>
      <c r="AB7">
        <f t="shared" ref="AB7" ca="1" si="20">BSdelta(1,P7,Strike,AA7/AnnualVarConvtr,Dividend,RiskFreeRate,G7/250)</f>
        <v>0.60348459248382991</v>
      </c>
      <c r="AC7">
        <f t="shared" ref="AC7:AC70" ca="1" si="21">(AB7-AB6)*P7</f>
        <v>21.802050326630095</v>
      </c>
      <c r="AD7">
        <f t="shared" ref="AD7:AD70" ca="1" si="22">(Q7-Q6)+AD6-AC7</f>
        <v>-31.255716573633915</v>
      </c>
    </row>
    <row r="8" spans="1:30">
      <c r="G8" s="19">
        <v>247</v>
      </c>
      <c r="H8" s="19">
        <f t="shared" ca="1" si="2"/>
        <v>0.37065110595989315</v>
      </c>
      <c r="I8" s="19">
        <f t="shared" ca="1" si="2"/>
        <v>0.73800373674451158</v>
      </c>
      <c r="J8" s="19">
        <f t="shared" ca="1" si="3"/>
        <v>-0.10609465555758658</v>
      </c>
      <c r="K8" s="19">
        <f t="shared" ca="1" si="4"/>
        <v>-1.4048957513467006</v>
      </c>
      <c r="L8" s="19">
        <f t="array" aca="1" ref="L8:M8" ca="1">MMULT(J8:K8,TRANSPOSE($B$10:$C$11))</f>
        <v>-0.10609465555758658</v>
      </c>
      <c r="M8" s="19">
        <f ca="1"/>
        <v>-0.90402032010662714</v>
      </c>
      <c r="N8" s="20">
        <f t="shared" ref="N8" ca="1" si="23">GetVariance(N7,Variance_Avg,Lambda,Eta,M8,"Daily")</f>
        <v>2.0867872354742235E-2</v>
      </c>
      <c r="O8" s="20">
        <f t="shared" ref="O8" ca="1" si="24">GetStockReturns(0,RiskFreeRate,N8,L8,"Daily")</f>
        <v>-9.6930976655974462E-4</v>
      </c>
      <c r="P8" s="19">
        <f t="shared" ca="1" si="14"/>
        <v>101.02107487600563</v>
      </c>
      <c r="Q8" s="19">
        <f ca="1">HCTrans(P8,Strike,RiskFreeRate,Dividend,Variance_T0*AnnualVarConvtr,(Simulation!G8)/250,0.5,Variance_Avg*AnnualVarConvtr,Lambda,SQRT(Simulation!N8),Rho,1,"Call")</f>
        <v>29.408963484733206</v>
      </c>
      <c r="R8" s="19">
        <f t="shared" ref="R8" ca="1" si="25">BSvol(1,P8,Strike,Q8,Dividend,RiskFreeRate,G8/250)</f>
        <v>0.74143717390748076</v>
      </c>
      <c r="S8" s="19">
        <f t="shared" ref="S8" ca="1" si="26">BSdelta(1,P8,Strike,R8/AnnualVarConvtr,Dividend,RiskFreeRate,G8/250)</f>
        <v>0.5953232854921513</v>
      </c>
      <c r="T8" s="19">
        <f t="shared" ref="T8:T71" ca="1" si="27">(S8-S7)*P8</f>
        <v>-0.80143333768737002</v>
      </c>
      <c r="U8" s="19">
        <f t="shared" ref="U8:U71" ca="1" si="28">(Q8-Q7)+U7-T8</f>
        <v>-30.529920822556043</v>
      </c>
      <c r="V8" s="21">
        <f t="shared" ca="1" si="17"/>
        <v>7.0062194147969738E-4</v>
      </c>
      <c r="W8">
        <f t="shared" ca="1" si="18"/>
        <v>2.6469264090255653E-2</v>
      </c>
      <c r="X8" s="22">
        <f t="shared" ref="X8" ca="1" si="29">BSdelta(1,P8,Strike,W8*AnnualVarConvtr,Dividend,RiskFreeRate,G8/250)</f>
        <v>0.59189383600000989</v>
      </c>
      <c r="Y8" s="22">
        <f t="shared" ref="Y8:Y71" ca="1" si="30">(X8-X7)*P8</f>
        <v>-3.8426295223073299</v>
      </c>
      <c r="Z8" s="22">
        <f t="shared" ref="Z8:Z71" ca="1" si="31">(Q8-Q7)+Z7-Y8</f>
        <v>-29.122753809984449</v>
      </c>
      <c r="AA8">
        <f t="shared" si="10"/>
        <v>0.73884103340948371</v>
      </c>
      <c r="AB8">
        <f t="shared" ref="AB8" ca="1" si="32">BSdelta(1,P8,Strike,AA8/AnnualVarConvtr,Dividend,RiskFreeRate,G8/250)</f>
        <v>0.59558840889193809</v>
      </c>
      <c r="AC8">
        <f t="shared" ca="1" si="21"/>
        <v>-0.79768095387119009</v>
      </c>
      <c r="AD8">
        <f t="shared" ca="1" si="22"/>
        <v>-30.556375315957126</v>
      </c>
    </row>
    <row r="9" spans="1:30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2"/>
        <v>0.13613820162316426</v>
      </c>
      <c r="I9" s="19">
        <f t="shared" ca="1" si="2"/>
        <v>9.5055666226931956E-2</v>
      </c>
      <c r="J9" s="19">
        <f t="shared" ca="1" si="3"/>
        <v>1.6513204217968462</v>
      </c>
      <c r="K9" s="19">
        <f t="shared" ca="1" si="4"/>
        <v>1.1230807211315914</v>
      </c>
      <c r="L9" s="19">
        <f t="array" aca="1" ref="L9:M9" ca="1">MMULT(J9:K9,TRANSPOSE($B$10:$C$11))</f>
        <v>1.6513204217968462</v>
      </c>
      <c r="M9" s="19">
        <f ca="1"/>
        <v>-0.39972446862660604</v>
      </c>
      <c r="N9" s="20">
        <f t="shared" ref="N9" ca="1" si="33">GetVariance(N8,Variance_Avg,Lambda,Eta,M9,"Daily")</f>
        <v>1.9402738174031344E-2</v>
      </c>
      <c r="O9" s="20">
        <f t="shared" ref="O9" ca="1" si="34">GetStockReturns(0,RiskFreeRate,N9,L9,"Daily")</f>
        <v>1.4547650510301944E-2</v>
      </c>
      <c r="P9" s="19">
        <f t="shared" ca="1" si="14"/>
        <v>102.50143594740548</v>
      </c>
      <c r="Q9" s="19">
        <f ca="1">HCTrans(P9,Strike,RiskFreeRate,Dividend,Variance_T0*AnnualVarConvtr,(Simulation!G9)/250,0.5,Variance_Avg*AnnualVarConvtr,Lambda,SQRT(Simulation!N9),Rho,1,"Call")</f>
        <v>30.341126741545025</v>
      </c>
      <c r="R9" s="19">
        <f t="shared" ref="R9" ca="1" si="35">BSvol(1,P9,Strike,Q9,Dividend,RiskFreeRate,G9/250)</f>
        <v>0.74203887750798103</v>
      </c>
      <c r="S9" s="19">
        <f t="shared" ref="S9" ca="1" si="36">BSdelta(1,P9,Strike,R9/AnnualVarConvtr,Dividend,RiskFreeRate,G9/250)</f>
        <v>0.71020686788856402</v>
      </c>
      <c r="T9" s="19">
        <f t="shared" ca="1" si="27"/>
        <v>11.775732162414378</v>
      </c>
      <c r="U9" s="19">
        <f t="shared" ca="1" si="28"/>
        <v>-41.373489728158603</v>
      </c>
      <c r="V9" s="21">
        <f t="shared" ca="1" si="17"/>
        <v>2.4077605623370354E-4</v>
      </c>
      <c r="W9">
        <f t="shared" ca="1" si="18"/>
        <v>1.5516960276861688E-2</v>
      </c>
      <c r="X9" s="22">
        <f t="shared" ref="X9" ca="1" si="37">BSdelta(1,P9,Strike,W9*AnnualVarConvtr,Dividend,RiskFreeRate,G9/250)</f>
        <v>0.58831166831189541</v>
      </c>
      <c r="Y9" s="22">
        <f t="shared" ca="1" si="30"/>
        <v>-0.36717733183613188</v>
      </c>
      <c r="Z9" s="22">
        <f t="shared" ca="1" si="31"/>
        <v>-27.823413221336498</v>
      </c>
      <c r="AA9">
        <f t="shared" si="10"/>
        <v>0.73884103340948371</v>
      </c>
      <c r="AB9">
        <f t="shared" ref="AB9" ca="1" si="38">BSdelta(1,P9,Strike,AA9/AnnualVarConvtr,Dividend,RiskFreeRate,G9/250)</f>
        <v>0.71095810160022599</v>
      </c>
      <c r="AC9">
        <f t="shared" ca="1" si="21"/>
        <v>11.825559167410425</v>
      </c>
      <c r="AD9">
        <f t="shared" ca="1" si="22"/>
        <v>-41.449771226555733</v>
      </c>
    </row>
    <row r="10" spans="1:30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2"/>
        <v>3.4633320607385443E-2</v>
      </c>
      <c r="I10" s="19">
        <f t="shared" ca="1" si="2"/>
        <v>0.31702971618644749</v>
      </c>
      <c r="J10" s="19">
        <f t="shared" ca="1" si="3"/>
        <v>-1.060244613787809</v>
      </c>
      <c r="K10" s="19">
        <f t="shared" ca="1" si="4"/>
        <v>2.3668036320996588</v>
      </c>
      <c r="L10" s="19">
        <f t="array" aca="1" ref="L10:M10" ca="1">MMULT(J10:K10,TRANSPOSE($B$10:$C$11))</f>
        <v>-1.060244613787809</v>
      </c>
      <c r="M10" s="19">
        <f ca="1"/>
        <v>2.4107169272611859</v>
      </c>
      <c r="N10" s="20">
        <f t="shared" ref="N10" ca="1" si="39">GetVariance(N9,Variance_Avg,Lambda,Eta,M10,"Daily")</f>
        <v>2.8444634958491765E-2</v>
      </c>
      <c r="O10" s="20">
        <f t="shared" ref="O10" ca="1" si="40">GetStockReturns(0,RiskFreeRate,N10,L10,"Daily")</f>
        <v>-1.1309313753744728E-2</v>
      </c>
      <c r="P10" s="19">
        <f t="shared" ca="1" si="14"/>
        <v>101.348745403368</v>
      </c>
      <c r="Q10" s="19">
        <f ca="1">HCTrans(P10,Strike,RiskFreeRate,Dividend,Variance_T0*AnnualVarConvtr,(Simulation!G10)/250,0.5,Variance_Avg*AnnualVarConvtr,Lambda,SQRT(Simulation!N10),Rho,1,"Call")</f>
        <v>29.469235968663611</v>
      </c>
      <c r="R10" s="19">
        <f t="shared" ref="R10" ca="1" si="41">BSvol(1,P10,Strike,Q10,Dividend,RiskFreeRate,G10/250)</f>
        <v>0.74035009752902425</v>
      </c>
      <c r="S10" s="19">
        <f t="shared" ref="S10" ca="1" si="42">BSdelta(1,P10,Strike,R10/AnnualVarConvtr,Dividend,RiskFreeRate,G10/250)</f>
        <v>0.62255684661900768</v>
      </c>
      <c r="T10" s="19">
        <f t="shared" ca="1" si="27"/>
        <v>-8.8832196902480565</v>
      </c>
      <c r="U10" s="19">
        <f t="shared" ca="1" si="28"/>
        <v>-33.362160810791963</v>
      </c>
      <c r="V10" s="21">
        <f t="shared" ca="1" si="17"/>
        <v>6.6858260095218648E-4</v>
      </c>
      <c r="W10">
        <f t="shared" ca="1" si="18"/>
        <v>2.585696426404667E-2</v>
      </c>
      <c r="X10" s="22">
        <f t="shared" ref="X10" ca="1" si="43">BSdelta(1,P10,Strike,W10*AnnualVarConvtr,Dividend,RiskFreeRate,G10/250)</f>
        <v>0.59307606478181629</v>
      </c>
      <c r="Y10" s="22">
        <f t="shared" ca="1" si="30"/>
        <v>0.48286560483071694</v>
      </c>
      <c r="Z10" s="22">
        <f t="shared" ca="1" si="31"/>
        <v>-29.17816959904863</v>
      </c>
      <c r="AA10">
        <f t="shared" si="10"/>
        <v>0.73884103340948371</v>
      </c>
      <c r="AB10">
        <f t="shared" ref="AB10" ca="1" si="44">BSdelta(1,P10,Strike,AA10/AnnualVarConvtr,Dividend,RiskFreeRate,G10/250)</f>
        <v>0.622763183915225</v>
      </c>
      <c r="AC10">
        <f t="shared" ca="1" si="21"/>
        <v>-8.9384442583281629</v>
      </c>
      <c r="AD10">
        <f t="shared" ca="1" si="22"/>
        <v>-33.383217741108986</v>
      </c>
    </row>
    <row r="11" spans="1:30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2"/>
        <v>0.58917548434044531</v>
      </c>
      <c r="I11" s="19">
        <f t="shared" ca="1" si="2"/>
        <v>0.8295553248865597</v>
      </c>
      <c r="J11" s="19">
        <f t="shared" ca="1" si="3"/>
        <v>0.49302185028802969</v>
      </c>
      <c r="K11" s="19">
        <f t="shared" ca="1" si="4"/>
        <v>-0.90276899726573745</v>
      </c>
      <c r="L11" s="19">
        <f t="array" aca="1" ref="L11:M11" ca="1">MMULT(J11:K11,TRANSPOSE($B$10:$C$11))</f>
        <v>0.49302185028802969</v>
      </c>
      <c r="M11" s="19">
        <f ca="1"/>
        <v>-0.98301015468318875</v>
      </c>
      <c r="N11" s="20">
        <f>Variance_T0</f>
        <v>3.5400000000000001E-2</v>
      </c>
      <c r="O11" s="20">
        <v>0</v>
      </c>
      <c r="P11" s="19">
        <v>100</v>
      </c>
      <c r="Q11" s="19">
        <f>HCTrans(P11,Strike,RiskFreeRate,Dividend,Variance_T0*AnnualVarConvtr,(Simulation!G11)/250,0.5,Variance_Avg*AnnualVarConvtr,Lambda,SQRT(Simulation!N11),Rho,1,"Call")</f>
        <v>28.491037320110792</v>
      </c>
      <c r="R11" s="19">
        <f t="shared" ref="R11" si="45">BSvol(1,P11,Strike,Q11,Dividend,RiskFreeRate,G11/250)</f>
        <v>0.73897996809207434</v>
      </c>
      <c r="S11" s="19">
        <f t="shared" ref="S11" si="46">BSdelta(1,P11,Strike,R11/AnnualVarConvtr,Dividend,RiskFreeRate,G11/250)</f>
        <v>0.50920935179396687</v>
      </c>
      <c r="T11" s="19">
        <f t="shared" ca="1" si="27"/>
        <v>-11.33474948250408</v>
      </c>
      <c r="U11" s="19">
        <f t="shared" ca="1" si="28"/>
        <v>-23.005609976840702</v>
      </c>
      <c r="V11" s="21">
        <f t="shared" ca="1" si="17"/>
        <v>1.2790057758063967E-4</v>
      </c>
      <c r="W11">
        <f t="shared" ca="1" si="18"/>
        <v>1.1309313753744728E-2</v>
      </c>
      <c r="X11" s="22">
        <f t="shared" ref="X11" ca="1" si="47">BSdelta(1,P11,Strike,W11*AnnualVarConvtr,Dividend,RiskFreeRate,G11/250)</f>
        <v>0.53519223158841922</v>
      </c>
      <c r="Y11" s="22">
        <f t="shared" ca="1" si="30"/>
        <v>-5.7883833193397072</v>
      </c>
      <c r="Z11" s="22">
        <f t="shared" ca="1" si="31"/>
        <v>-24.367984928261741</v>
      </c>
      <c r="AA11">
        <f t="shared" si="10"/>
        <v>0.73884103340948371</v>
      </c>
      <c r="AB11">
        <f t="shared" ref="AB11" si="48">BSdelta(1,P11,Strike,AA11/AnnualVarConvtr,Dividend,RiskFreeRate,G11/250)</f>
        <v>0.50920762066296743</v>
      </c>
      <c r="AC11">
        <f t="shared" ca="1" si="21"/>
        <v>-11.355556325225757</v>
      </c>
      <c r="AD11">
        <f t="shared" ca="1" si="22"/>
        <v>-23.00586006443605</v>
      </c>
    </row>
    <row r="12" spans="1:30">
      <c r="G12" s="19">
        <v>243</v>
      </c>
      <c r="H12" s="19">
        <f t="shared" ca="1" si="2"/>
        <v>0.97870270978470553</v>
      </c>
      <c r="I12" s="19">
        <f t="shared" ca="1" si="2"/>
        <v>0.26316732340780602</v>
      </c>
      <c r="J12" s="19">
        <f t="shared" ca="1" si="3"/>
        <v>-1.7147156168697181E-2</v>
      </c>
      <c r="K12" s="19">
        <f t="shared" ca="1" si="4"/>
        <v>0.20678654362690643</v>
      </c>
      <c r="L12" s="19">
        <f t="array" aca="1" ref="L12:M12" ca="1">MMULT(J12:K12,TRANSPOSE($B$10:$C$11))</f>
        <v>-1.7147156168697181E-2</v>
      </c>
      <c r="M12" s="19">
        <f ca="1"/>
        <v>0.15653756089119444</v>
      </c>
      <c r="N12" s="20">
        <f t="shared" ref="N12" ca="1" si="49">GetVariance(N11,Variance_Avg,Lambda,Eta,M12,"Daily")</f>
        <v>3.597555282581523E-2</v>
      </c>
      <c r="O12" s="20">
        <f t="shared" ref="O12" ca="1" si="50">GetStockReturns(0,RiskFreeRate,N12,L12,"Daily")</f>
        <v>-2.0569599557333909E-4</v>
      </c>
      <c r="P12" s="19">
        <f t="shared" ref="P12:P16" ca="1" si="51">P11*EXP(O12)</f>
        <v>99.979432515839747</v>
      </c>
      <c r="Q12" s="19">
        <f ca="1">HCTrans(P12,Strike,RiskFreeRate,Dividend,Variance_T0*AnnualVarConvtr,(Simulation!G12)/250,0.5,Variance_Avg*AnnualVarConvtr,Lambda,SQRT(Simulation!N12),Rho,1,"Call")</f>
        <v>28.419592372922878</v>
      </c>
      <c r="R12" s="19">
        <f t="shared" ref="R12" ca="1" si="52">BSvol(1,P12,Strike,Q12,Dividend,RiskFreeRate,G12/250)</f>
        <v>0.73891646266050626</v>
      </c>
      <c r="S12" s="19">
        <f t="shared" ref="S12" ca="1" si="53">BSdelta(1,P12,Strike,R12/AnnualVarConvtr,Dividend,RiskFreeRate,G12/250)</f>
        <v>0.50740900596499983</v>
      </c>
      <c r="T12" s="19">
        <f t="shared" ca="1" si="27"/>
        <v>-0.17999755431238401</v>
      </c>
      <c r="U12" s="19">
        <f t="shared" ca="1" si="28"/>
        <v>-22.897057369716233</v>
      </c>
      <c r="V12" s="21">
        <f t="shared" ca="1" si="17"/>
        <v>4.2310842594907135E-8</v>
      </c>
      <c r="W12">
        <f t="shared" ca="1" si="18"/>
        <v>2.0569599557333909E-4</v>
      </c>
      <c r="X12" s="22">
        <f t="shared" ref="X12" ca="1" si="54">BSdelta(1,P12,Strike,W12*AnnualVarConvtr,Dividend,RiskFreeRate,G12/250)</f>
        <v>0.47506370159146638</v>
      </c>
      <c r="Y12" s="22">
        <f t="shared" ca="1" si="30"/>
        <v>-6.0116163071069924</v>
      </c>
      <c r="Z12" s="22">
        <f t="shared" ca="1" si="31"/>
        <v>-18.427813568342664</v>
      </c>
      <c r="AA12">
        <f t="shared" si="10"/>
        <v>0.73884103340948371</v>
      </c>
      <c r="AB12">
        <f t="shared" ref="AB12" ca="1" si="55">BSdelta(1,P12,Strike,AA12/AnnualVarConvtr,Dividend,RiskFreeRate,G12/250)</f>
        <v>0.50740788615470089</v>
      </c>
      <c r="AC12">
        <f t="shared" ca="1" si="21"/>
        <v>-0.17993643481566229</v>
      </c>
      <c r="AD12">
        <f t="shared" ca="1" si="22"/>
        <v>-22.897368576808301</v>
      </c>
    </row>
    <row r="13" spans="1:30">
      <c r="G13" s="19">
        <v>242</v>
      </c>
      <c r="H13" s="19">
        <f t="shared" ca="1" si="2"/>
        <v>0.45225858917751349</v>
      </c>
      <c r="I13" s="19">
        <f t="shared" ca="1" si="2"/>
        <v>0.89984488317645051</v>
      </c>
      <c r="J13" s="19">
        <f t="shared" ca="1" si="3"/>
        <v>1.0184473518090869</v>
      </c>
      <c r="K13" s="19">
        <f t="shared" ca="1" si="4"/>
        <v>-0.74146295737949197</v>
      </c>
      <c r="L13" s="19">
        <f t="array" aca="1" ref="L13:M13" ca="1">MMULT(J13:K13,TRANSPOSE($B$10:$C$11))</f>
        <v>1.0184473518090869</v>
      </c>
      <c r="M13" s="19">
        <f ca="1"/>
        <v>-1.246952515343692</v>
      </c>
      <c r="N13" s="20">
        <f t="shared" ref="N13" ca="1" si="56">GetVariance(N12,Variance_Avg,Lambda,Eta,M13,"Daily")</f>
        <v>3.0256556280072476E-2</v>
      </c>
      <c r="O13" s="20">
        <f t="shared" ref="O13" ca="1" si="57">GetStockReturns(0,RiskFreeRate,N13,L13,"Daily")</f>
        <v>1.1204134845230324E-2</v>
      </c>
      <c r="P13" s="19">
        <f t="shared" ca="1" si="51"/>
        <v>101.10591440281578</v>
      </c>
      <c r="Q13" s="19">
        <f ca="1">HCTrans(P13,Strike,RiskFreeRate,Dividend,Variance_T0*AnnualVarConvtr,(Simulation!G13)/250,0.5,Variance_Avg*AnnualVarConvtr,Lambda,SQRT(Simulation!N13),Rho,1,"Call")</f>
        <v>29.13285470138193</v>
      </c>
      <c r="R13" s="19">
        <f t="shared" ref="R13" ca="1" si="58">BSvol(1,P13,Strike,Q13,Dividend,RiskFreeRate,G13/250)</f>
        <v>0.74008308674638079</v>
      </c>
      <c r="S13" s="19">
        <f t="shared" ref="S13" ca="1" si="59">BSdelta(1,P13,Strike,R13/AnnualVarConvtr,Dividend,RiskFreeRate,G13/250)</f>
        <v>0.60328249207473172</v>
      </c>
      <c r="T13" s="19">
        <f t="shared" ca="1" si="27"/>
        <v>9.6933764801101017</v>
      </c>
      <c r="U13" s="19">
        <f t="shared" ca="1" si="28"/>
        <v>-31.877171521367281</v>
      </c>
      <c r="V13" s="21">
        <f t="shared" ca="1" si="17"/>
        <v>1.3018423981575445E-4</v>
      </c>
      <c r="W13">
        <f t="shared" ca="1" si="18"/>
        <v>1.1409830840803664E-2</v>
      </c>
      <c r="X13" s="22">
        <f t="shared" ref="X13" ca="1" si="60">BSdelta(1,P13,Strike,W13*AnnualVarConvtr,Dividend,RiskFreeRate,G13/250)</f>
        <v>0.5598986761835133</v>
      </c>
      <c r="Y13" s="22">
        <f t="shared" ca="1" si="30"/>
        <v>8.577317679468548</v>
      </c>
      <c r="Z13" s="22">
        <f t="shared" ca="1" si="31"/>
        <v>-26.291868919352162</v>
      </c>
      <c r="AA13">
        <f t="shared" si="10"/>
        <v>0.73884103340948371</v>
      </c>
      <c r="AB13">
        <f t="shared" ref="AB13" ca="1" si="61">BSdelta(1,P13,Strike,AA13/AnnualVarConvtr,Dividend,RiskFreeRate,G13/250)</f>
        <v>0.60342236067487176</v>
      </c>
      <c r="AC13">
        <f t="shared" ca="1" si="21"/>
        <v>9.7076312422677322</v>
      </c>
      <c r="AD13">
        <f t="shared" ca="1" si="22"/>
        <v>-31.891737490616983</v>
      </c>
    </row>
    <row r="14" spans="1:30">
      <c r="A14" s="1" t="s">
        <v>48</v>
      </c>
      <c r="B14">
        <f ca="1">CORREL(L5:L254,M5:M254)</f>
        <v>-0.71989506897586342</v>
      </c>
      <c r="G14" s="19">
        <v>241</v>
      </c>
      <c r="H14" s="19">
        <f t="shared" ca="1" si="2"/>
        <v>0.78096028236141901</v>
      </c>
      <c r="I14" s="19">
        <f t="shared" ca="1" si="2"/>
        <v>0.37870516223641904</v>
      </c>
      <c r="J14" s="19">
        <f t="shared" ca="1" si="3"/>
        <v>-0.50866296357896679</v>
      </c>
      <c r="K14" s="19">
        <f t="shared" ca="1" si="4"/>
        <v>0.48551411931697752</v>
      </c>
      <c r="L14" s="19">
        <f t="array" aca="1" ref="L14:M14" ca="1">MMULT(J14:K14,TRANSPOSE($B$10:$C$11))</f>
        <v>-0.50866296357896679</v>
      </c>
      <c r="M14" s="19">
        <f ca="1"/>
        <v>0.70314539570169965</v>
      </c>
      <c r="N14" s="20">
        <f t="shared" ref="N14" ca="1" si="62">GetVariance(N13,Variance_Avg,Lambda,Eta,M14,"Daily")</f>
        <v>3.3206856452820163E-2</v>
      </c>
      <c r="O14" s="20">
        <f t="shared" ref="O14" ca="1" si="63">GetStockReturns(0,RiskFreeRate,N14,L14,"Daily")</f>
        <v>-5.862380395069638E-3</v>
      </c>
      <c r="P14" s="19">
        <f t="shared" ca="1" si="51"/>
        <v>100.51492706125991</v>
      </c>
      <c r="Q14" s="19">
        <f ca="1">HCTrans(P14,Strike,RiskFreeRate,Dividend,Variance_T0*AnnualVarConvtr,(Simulation!G14)/250,0.5,Variance_Avg*AnnualVarConvtr,Lambda,SQRT(Simulation!N14),Rho,1,"Call")</f>
        <v>28.67363832638803</v>
      </c>
      <c r="R14" s="19">
        <f t="shared" ref="R14" ca="1" si="64">BSvol(1,P14,Strike,Q14,Dividend,RiskFreeRate,G14/250)</f>
        <v>0.73951388187740696</v>
      </c>
      <c r="S14" s="19">
        <f t="shared" ref="S14" ca="1" si="65">BSdelta(1,P14,Strike,R14/AnnualVarConvtr,Dividend,RiskFreeRate,G14/250)</f>
        <v>0.55361709612345245</v>
      </c>
      <c r="T14" s="19">
        <f t="shared" ca="1" si="27"/>
        <v>-4.9921136515114304</v>
      </c>
      <c r="U14" s="19">
        <f t="shared" ca="1" si="28"/>
        <v>-27.34427424484975</v>
      </c>
      <c r="V14" s="21">
        <f t="shared" ca="1" si="17"/>
        <v>2.9126594244739082E-4</v>
      </c>
      <c r="W14">
        <f t="shared" ca="1" si="18"/>
        <v>1.7066515240299961E-2</v>
      </c>
      <c r="X14" s="22">
        <f t="shared" ref="X14" ca="1" si="66">BSdelta(1,P14,Strike,W14*AnnualVarConvtr,Dividend,RiskFreeRate,G14/250)</f>
        <v>0.56035024182006077</v>
      </c>
      <c r="Y14" s="22">
        <f t="shared" ca="1" si="30"/>
        <v>4.5389087020940203E-2</v>
      </c>
      <c r="Z14" s="22">
        <f t="shared" ca="1" si="31"/>
        <v>-26.796474381367002</v>
      </c>
      <c r="AA14">
        <f t="shared" si="10"/>
        <v>0.73884103340948371</v>
      </c>
      <c r="AB14">
        <f t="shared" ref="AB14" ca="1" si="67">BSdelta(1,P14,Strike,AA14/AnnualVarConvtr,Dividend,RiskFreeRate,G14/250)</f>
        <v>0.55364910373059961</v>
      </c>
      <c r="AC14">
        <f t="shared" ca="1" si="21"/>
        <v>-5.0029552913548629</v>
      </c>
      <c r="AD14">
        <f t="shared" ca="1" si="22"/>
        <v>-27.347998574256021</v>
      </c>
    </row>
    <row r="15" spans="1:30">
      <c r="G15" s="19">
        <v>240</v>
      </c>
      <c r="H15" s="19">
        <f t="shared" ca="1" si="2"/>
        <v>0.83286356856496724</v>
      </c>
      <c r="I15" s="19">
        <f t="shared" ca="1" si="2"/>
        <v>0.16609875534057394</v>
      </c>
      <c r="J15" s="19">
        <f t="shared" ca="1" si="3"/>
        <v>0.30426197995879245</v>
      </c>
      <c r="K15" s="19">
        <f t="shared" ca="1" si="4"/>
        <v>0.52268108295660409</v>
      </c>
      <c r="L15" s="19">
        <f t="array" aca="1" ref="L15:M15" ca="1">MMULT(J15:K15,TRANSPOSE($B$10:$C$11))</f>
        <v>0.30426197995879245</v>
      </c>
      <c r="M15" s="19">
        <f ca="1"/>
        <v>0.14661186771608981</v>
      </c>
      <c r="N15" s="20">
        <f t="shared" ref="N15" ca="1" si="68">GetVariance(N14,Variance_Avg,Lambda,Eta,M15,"Daily")</f>
        <v>3.372650422167512E-2</v>
      </c>
      <c r="O15" s="20">
        <f t="shared" ref="O15" ca="1" si="69">GetStockReturns(0,RiskFreeRate,N15,L15,"Daily")</f>
        <v>3.533973975668485E-3</v>
      </c>
      <c r="P15" s="19">
        <f t="shared" ca="1" si="51"/>
        <v>100.87077260175502</v>
      </c>
      <c r="Q15" s="19">
        <f ca="1">HCTrans(P15,Strike,RiskFreeRate,Dividend,Variance_T0*AnnualVarConvtr,(Simulation!G15)/250,0.5,Variance_Avg*AnnualVarConvtr,Lambda,SQRT(Simulation!N15),Rho,1,"Call")</f>
        <v>28.848740246081945</v>
      </c>
      <c r="R15" s="19">
        <f t="shared" ref="R15" ca="1" si="70">BSvol(1,P15,Strike,Q15,Dividend,RiskFreeRate,G15/250)</f>
        <v>0.73956992876670846</v>
      </c>
      <c r="S15" s="19">
        <f t="shared" ref="S15" ca="1" si="71">BSdelta(1,P15,Strike,R15/AnnualVarConvtr,Dividend,RiskFreeRate,G15/250)</f>
        <v>0.58398354637183325</v>
      </c>
      <c r="T15" s="19">
        <f t="shared" ca="1" si="27"/>
        <v>3.0630872977269274</v>
      </c>
      <c r="U15" s="19">
        <f t="shared" ca="1" si="28"/>
        <v>-30.232259622882761</v>
      </c>
      <c r="V15" s="21">
        <f t="shared" ca="1" si="17"/>
        <v>8.8291475460489433E-5</v>
      </c>
      <c r="W15">
        <f t="shared" ca="1" si="18"/>
        <v>9.3963543707381234E-3</v>
      </c>
      <c r="X15" s="22">
        <f t="shared" ref="X15" ca="1" si="72">BSdelta(1,P15,Strike,W15*AnnualVarConvtr,Dividend,RiskFreeRate,G15/250)</f>
        <v>0.55264389223294785</v>
      </c>
      <c r="Y15" s="22">
        <f t="shared" ca="1" si="30"/>
        <v>-0.77734543679129553</v>
      </c>
      <c r="Z15" s="22">
        <f t="shared" ca="1" si="31"/>
        <v>-25.84402702488179</v>
      </c>
      <c r="AA15">
        <f t="shared" si="10"/>
        <v>0.73884103340948371</v>
      </c>
      <c r="AB15">
        <f t="shared" ref="AB15" ca="1" si="73">BSdelta(1,P15,Strike,AA15/AnnualVarConvtr,Dividend,RiskFreeRate,G15/250)</f>
        <v>0.5840475360189562</v>
      </c>
      <c r="AC15">
        <f t="shared" ca="1" si="21"/>
        <v>3.0663133508086653</v>
      </c>
      <c r="AD15">
        <f t="shared" ca="1" si="22"/>
        <v>-30.239210005370772</v>
      </c>
    </row>
    <row r="16" spans="1:30">
      <c r="G16" s="19">
        <v>239</v>
      </c>
      <c r="H16" s="19">
        <f t="shared" ca="1" si="2"/>
        <v>0.2563404360084931</v>
      </c>
      <c r="I16" s="19">
        <f t="shared" ca="1" si="2"/>
        <v>0.58139303169599854</v>
      </c>
      <c r="J16" s="19">
        <f t="shared" ca="1" si="3"/>
        <v>-1.4388926935027571</v>
      </c>
      <c r="K16" s="19">
        <f t="shared" ca="1" si="4"/>
        <v>-0.80751817078617694</v>
      </c>
      <c r="L16" s="19">
        <f t="array" aca="1" ref="L16:M16" ca="1">MMULT(J16:K16,TRANSPOSE($B$10:$C$11))</f>
        <v>-1.4388926935027571</v>
      </c>
      <c r="M16" s="19">
        <f ca="1"/>
        <v>0.46765236293423074</v>
      </c>
      <c r="N16" s="20">
        <f t="shared" ref="N16" ca="1" si="74">GetVariance(N15,Variance_Avg,Lambda,Eta,M16,"Daily")</f>
        <v>3.5723822079026843E-2</v>
      </c>
      <c r="O16" s="20">
        <f t="shared" ref="O16" ca="1" si="75">GetStockReturns(0,RiskFreeRate,N16,L16,"Daily")</f>
        <v>-1.7200353074351592E-2</v>
      </c>
      <c r="P16" s="19">
        <f t="shared" ca="1" si="51"/>
        <v>99.150595930788484</v>
      </c>
      <c r="Q16" s="19">
        <f ca="1">HCTrans(P16,Strike,RiskFreeRate,Dividend,Variance_T0*AnnualVarConvtr,(Simulation!G16)/250,0.5,Variance_Avg*AnnualVarConvtr,Lambda,SQRT(Simulation!N16),Rho,1,"Call")</f>
        <v>27.660649388927368</v>
      </c>
      <c r="R16" s="19">
        <f t="shared" ref="R16" ca="1" si="76">BSvol(1,P16,Strike,Q16,Dividend,RiskFreeRate,G16/250)</f>
        <v>0.73878940218256706</v>
      </c>
      <c r="S16" s="19">
        <f t="shared" ref="S16" ca="1" si="77">BSdelta(1,P16,Strike,R16/AnnualVarConvtr,Dividend,RiskFreeRate,G16/250)</f>
        <v>0.43491477352739771</v>
      </c>
      <c r="T16" s="19">
        <f t="shared" ca="1" si="27"/>
        <v>-14.780257662197123</v>
      </c>
      <c r="U16" s="19">
        <f t="shared" ca="1" si="28"/>
        <v>-16.640092817840216</v>
      </c>
      <c r="V16" s="21">
        <f t="shared" ca="1" si="17"/>
        <v>4.2991231821719436E-4</v>
      </c>
      <c r="W16">
        <f t="shared" ca="1" si="18"/>
        <v>2.0734327050020079E-2</v>
      </c>
      <c r="X16" s="22">
        <f t="shared" ref="X16" ca="1" si="78">BSdelta(1,P16,Strike,W16*AnnualVarConvtr,Dividend,RiskFreeRate,G16/250)</f>
        <v>0.55316448856858647</v>
      </c>
      <c r="Y16" s="22">
        <f t="shared" ca="1" si="30"/>
        <v>5.1617436917953188E-2</v>
      </c>
      <c r="Z16" s="22">
        <f t="shared" ca="1" si="31"/>
        <v>-27.083735318954322</v>
      </c>
      <c r="AA16">
        <f t="shared" si="10"/>
        <v>0.73884103340948371</v>
      </c>
      <c r="AB16">
        <f t="shared" ref="AB16" ca="1" si="79">BSdelta(1,P16,Strike,AA16/AnnualVarConvtr,Dividend,RiskFreeRate,G16/250)</f>
        <v>0.4349205379197707</v>
      </c>
      <c r="AC16">
        <f t="shared" ca="1" si="21"/>
        <v>-14.786030730903803</v>
      </c>
      <c r="AD16">
        <f t="shared" ca="1" si="22"/>
        <v>-16.641270131621546</v>
      </c>
    </row>
    <row r="17" spans="7:30">
      <c r="G17" s="19">
        <v>238</v>
      </c>
      <c r="H17" s="19">
        <f t="shared" ca="1" si="2"/>
        <v>0.83603017144345304</v>
      </c>
      <c r="I17" s="19">
        <f t="shared" ca="1" si="2"/>
        <v>0.59839562142952496</v>
      </c>
      <c r="J17" s="19">
        <f t="shared" ca="1" si="3"/>
        <v>-0.48770389828397864</v>
      </c>
      <c r="K17" s="19">
        <f t="shared" ca="1" si="4"/>
        <v>-0.34688046962783309</v>
      </c>
      <c r="L17" s="19">
        <f t="array" aca="1" ref="L17:M17" ca="1">MMULT(J17:K17,TRANSPOSE($B$10:$C$11))</f>
        <v>-0.48770389828397864</v>
      </c>
      <c r="M17" s="19">
        <f ca="1"/>
        <v>0.10746050527118206</v>
      </c>
      <c r="N17" s="20">
        <f>Variance_T0</f>
        <v>3.5400000000000001E-2</v>
      </c>
      <c r="O17" s="20">
        <v>0</v>
      </c>
      <c r="P17" s="19">
        <v>100</v>
      </c>
      <c r="Q17" s="19">
        <f>HCTrans(P17,Strike,RiskFreeRate,Dividend,Variance_T0*AnnualVarConvtr,(Simulation!G17)/250,0.5,Variance_Avg*AnnualVarConvtr,Lambda,SQRT(Simulation!N17),Rho,1,"Call")</f>
        <v>28.158834341318808</v>
      </c>
      <c r="R17" s="19">
        <f t="shared" ref="R17" si="80">BSvol(1,P17,Strike,Q17,Dividend,RiskFreeRate,G17/250)</f>
        <v>0.73912183603733961</v>
      </c>
      <c r="S17" s="19">
        <f t="shared" ref="S17" si="81">BSdelta(1,P17,Strike,R17/AnnualVarConvtr,Dividend,RiskFreeRate,G17/250)</f>
        <v>0.50909718297022433</v>
      </c>
      <c r="T17" s="19">
        <f t="shared" ca="1" si="27"/>
        <v>7.4182409442826618</v>
      </c>
      <c r="U17" s="19">
        <f t="shared" ca="1" si="28"/>
        <v>-23.560148809731437</v>
      </c>
      <c r="V17" s="21">
        <f t="shared" ca="1" si="17"/>
        <v>2.9585214588235626E-4</v>
      </c>
      <c r="W17">
        <f t="shared" ca="1" si="18"/>
        <v>1.7200353074351592E-2</v>
      </c>
      <c r="X17" s="22">
        <f t="shared" ref="X17" ca="1" si="82">BSdelta(1,P17,Strike,W17*AnnualVarConvtr,Dividend,RiskFreeRate,G17/250)</f>
        <v>0.55277560768205047</v>
      </c>
      <c r="Y17" s="22">
        <f t="shared" ca="1" si="30"/>
        <v>-3.8888088653599162E-2</v>
      </c>
      <c r="Z17" s="22">
        <f t="shared" ca="1" si="31"/>
        <v>-26.546662277909281</v>
      </c>
      <c r="AA17">
        <f t="shared" si="10"/>
        <v>0.73884103340948371</v>
      </c>
      <c r="AB17">
        <f t="shared" ref="AB17" si="83">BSdelta(1,P17,Strike,AA17/AnnualVarConvtr,Dividend,RiskFreeRate,G17/250)</f>
        <v>0.5090937274231232</v>
      </c>
      <c r="AC17">
        <f t="shared" ca="1" si="21"/>
        <v>7.4173189503352503</v>
      </c>
      <c r="AD17">
        <f t="shared" ca="1" si="22"/>
        <v>-23.560404129565356</v>
      </c>
    </row>
    <row r="18" spans="7:30">
      <c r="G18" s="19">
        <v>237</v>
      </c>
      <c r="H18" s="19">
        <f t="shared" ca="1" si="2"/>
        <v>0.20267145517277552</v>
      </c>
      <c r="I18" s="19">
        <f t="shared" ca="1" si="2"/>
        <v>0.58529723234224651</v>
      </c>
      <c r="J18" s="19">
        <f t="shared" ca="1" si="3"/>
        <v>-1.5361964590247346</v>
      </c>
      <c r="K18" s="19">
        <f t="shared" ca="1" si="4"/>
        <v>-0.91238070793489523</v>
      </c>
      <c r="L18" s="19">
        <f t="array" aca="1" ref="L18:M18" ca="1">MMULT(J18:K18,TRANSPOSE($B$10:$C$11))</f>
        <v>-1.5361964590247346</v>
      </c>
      <c r="M18" s="19">
        <f ca="1"/>
        <v>0.46421975865093645</v>
      </c>
      <c r="N18" s="20">
        <f t="shared" ref="N18" ca="1" si="84">GetVariance(N17,Variance_Avg,Lambda,Eta,M18,"Daily")</f>
        <v>3.742374337339948E-2</v>
      </c>
      <c r="O18" s="20">
        <f t="shared" ref="O18" ca="1" si="85">GetStockReturns(0,RiskFreeRate,N18,L18,"Daily")</f>
        <v>-1.8795347886898867E-2</v>
      </c>
      <c r="P18" s="19">
        <f t="shared" ref="P18:P20" ca="1" si="86">P17*EXP(O18)</f>
        <v>98.138018322113808</v>
      </c>
      <c r="Q18" s="19">
        <f ca="1">HCTrans(P18,Strike,RiskFreeRate,Dividend,Variance_T0*AnnualVarConvtr,(Simulation!G18)/250,0.5,Variance_Avg*AnnualVarConvtr,Lambda,SQRT(Simulation!N18),Rho,1,"Call")</f>
        <v>26.887980691252622</v>
      </c>
      <c r="R18" s="19">
        <f t="shared" ref="R18" ca="1" si="87">BSvol(1,P18,Strike,Q18,Dividend,RiskFreeRate,G18/250)</f>
        <v>0.73827261255739574</v>
      </c>
      <c r="S18" s="19">
        <f t="shared" ref="S18" ca="1" si="88">BSdelta(1,P18,Strike,R18/AnnualVarConvtr,Dividend,RiskFreeRate,G18/250)</f>
        <v>0.34801080930526362</v>
      </c>
      <c r="T18" s="19">
        <f t="shared" ca="1" si="27"/>
        <v>-15.808697490174785</v>
      </c>
      <c r="U18" s="19">
        <f t="shared" ca="1" si="28"/>
        <v>-9.022304969622839</v>
      </c>
      <c r="V18" s="21">
        <f t="shared" ca="1" si="17"/>
        <v>3.5326510218955371E-4</v>
      </c>
      <c r="W18">
        <f t="shared" ca="1" si="18"/>
        <v>1.8795347886898867E-2</v>
      </c>
      <c r="X18" s="22">
        <f t="shared" ref="X18" ca="1" si="89">BSdelta(1,P18,Strike,W18*AnnualVarConvtr,Dividend,RiskFreeRate,G18/250)</f>
        <v>0.53176937605953423</v>
      </c>
      <c r="Y18" s="22">
        <f t="shared" ca="1" si="30"/>
        <v>-2.0615099438490661</v>
      </c>
      <c r="Z18" s="22">
        <f t="shared" ca="1" si="31"/>
        <v>-25.7560059841264</v>
      </c>
      <c r="AA18">
        <f t="shared" si="10"/>
        <v>0.73884103340948371</v>
      </c>
      <c r="AB18">
        <f t="shared" ref="AB18" ca="1" si="90">BSdelta(1,P18,Strike,AA18/AnnualVarConvtr,Dividend,RiskFreeRate,G18/250)</f>
        <v>0.34813485261064503</v>
      </c>
      <c r="AC18">
        <f t="shared" ca="1" si="21"/>
        <v>-15.796185005453806</v>
      </c>
      <c r="AD18">
        <f t="shared" ca="1" si="22"/>
        <v>-9.0350727741777366</v>
      </c>
    </row>
    <row r="19" spans="7:30">
      <c r="G19" s="19">
        <v>236</v>
      </c>
      <c r="H19" s="19">
        <f t="shared" ca="1" si="2"/>
        <v>0.70142500264260343</v>
      </c>
      <c r="I19" s="19">
        <f t="shared" ca="1" si="2"/>
        <v>0.11310592084684989</v>
      </c>
      <c r="J19" s="19">
        <f t="shared" ca="1" si="3"/>
        <v>0.63831869819227616</v>
      </c>
      <c r="K19" s="19">
        <f t="shared" ca="1" si="4"/>
        <v>0.54939223677282112</v>
      </c>
      <c r="L19" s="19">
        <f t="array" aca="1" ref="L19:M19" ca="1">MMULT(J19:K19,TRANSPOSE($B$10:$C$11))</f>
        <v>0.63831869819227616</v>
      </c>
      <c r="M19" s="19">
        <f ca="1"/>
        <v>-7.4106414801291542E-2</v>
      </c>
      <c r="N19" s="20">
        <f t="shared" ref="N19" ca="1" si="91">GetVariance(N18,Variance_Avg,Lambda,Eta,M19,"Daily")</f>
        <v>3.6912005101347269E-2</v>
      </c>
      <c r="O19" s="20">
        <f t="shared" ref="O19" ca="1" si="92">GetStockReturns(0,RiskFreeRate,N19,L19,"Daily")</f>
        <v>7.7562425306888956E-3</v>
      </c>
      <c r="P19" s="19">
        <f t="shared" ca="1" si="86"/>
        <v>98.902160197709406</v>
      </c>
      <c r="Q19" s="19">
        <f ca="1">HCTrans(P19,Strike,RiskFreeRate,Dividend,Variance_T0*AnnualVarConvtr,(Simulation!G19)/250,0.5,Variance_Avg*AnnualVarConvtr,Lambda,SQRT(Simulation!N19),Rho,1,"Call")</f>
        <v>27.327246921305345</v>
      </c>
      <c r="R19" s="19">
        <f t="shared" ref="R19" ca="1" si="93">BSvol(1,P19,Strike,Q19,Dividend,RiskFreeRate,G19/250)</f>
        <v>0.73861455616848659</v>
      </c>
      <c r="S19" s="19">
        <f t="shared" ref="S19" ca="1" si="94">BSdelta(1,P19,Strike,R19/AnnualVarConvtr,Dividend,RiskFreeRate,G19/250)</f>
        <v>0.41273045536885655</v>
      </c>
      <c r="T19" s="19">
        <f t="shared" ca="1" si="27"/>
        <v>6.4009128029205211</v>
      </c>
      <c r="U19" s="19">
        <f t="shared" ca="1" si="28"/>
        <v>-14.983951542490637</v>
      </c>
      <c r="V19" s="21">
        <f t="shared" ca="1" si="17"/>
        <v>7.0498695370333831E-4</v>
      </c>
      <c r="W19">
        <f t="shared" ca="1" si="18"/>
        <v>2.6551590417587763E-2</v>
      </c>
      <c r="X19" s="22">
        <f t="shared" ref="X19" ca="1" si="95">BSdelta(1,P19,Strike,W19*AnnualVarConvtr,Dividend,RiskFreeRate,G19/250)</f>
        <v>0.57019982468786679</v>
      </c>
      <c r="Y19" s="22">
        <f t="shared" ca="1" si="30"/>
        <v>3.8008543867091884</v>
      </c>
      <c r="Z19" s="22">
        <f t="shared" ca="1" si="31"/>
        <v>-29.117594140782863</v>
      </c>
      <c r="AA19">
        <f t="shared" si="10"/>
        <v>0.73884103340948371</v>
      </c>
      <c r="AB19">
        <f t="shared" ref="AB19" ca="1" si="96">BSdelta(1,P19,Strike,AA19/AnnualVarConvtr,Dividend,RiskFreeRate,G19/250)</f>
        <v>0.41276219338949915</v>
      </c>
      <c r="AC19">
        <f t="shared" ca="1" si="21"/>
        <v>6.3917836108621886</v>
      </c>
      <c r="AD19">
        <f t="shared" ca="1" si="22"/>
        <v>-14.987590154987203</v>
      </c>
    </row>
    <row r="20" spans="7:30">
      <c r="G20" s="19">
        <v>235</v>
      </c>
      <c r="H20" s="19">
        <f t="shared" ca="1" si="2"/>
        <v>0.26175910877016983</v>
      </c>
      <c r="I20" s="19">
        <f t="shared" ca="1" si="2"/>
        <v>0.3623680814927317</v>
      </c>
      <c r="J20" s="19">
        <f t="shared" ca="1" si="3"/>
        <v>-1.0622911344314445</v>
      </c>
      <c r="K20" s="19">
        <f t="shared" ca="1" si="4"/>
        <v>1.2458727087364625</v>
      </c>
      <c r="L20" s="19">
        <f t="array" aca="1" ref="L20:M20" ca="1">MMULT(J20:K20,TRANSPOSE($B$10:$C$11))</f>
        <v>-1.0622911344314445</v>
      </c>
      <c r="M20" s="19">
        <f ca="1"/>
        <v>1.6302363168837339</v>
      </c>
      <c r="N20" s="20">
        <f t="shared" ref="N20" ca="1" si="97">GetVariance(N19,Variance_Avg,Lambda,Eta,M20,"Daily")</f>
        <v>4.483313783380876E-2</v>
      </c>
      <c r="O20" s="20">
        <f t="shared" ref="O20" ca="1" si="98">GetStockReturns(0,RiskFreeRate,N20,L20,"Daily")</f>
        <v>-1.4225682796060856E-2</v>
      </c>
      <c r="P20" s="19">
        <f t="shared" ca="1" si="86"/>
        <v>97.505169570665529</v>
      </c>
      <c r="Q20" s="19">
        <f ca="1">HCTrans(P20,Strike,RiskFreeRate,Dividend,Variance_T0*AnnualVarConvtr,(Simulation!G20)/250,0.5,Variance_Avg*AnnualVarConvtr,Lambda,SQRT(Simulation!N20),Rho,1,"Call")</f>
        <v>26.335087965812946</v>
      </c>
      <c r="R20" s="19">
        <f t="shared" ref="R20" ca="1" si="99">BSvol(1,P20,Strike,Q20,Dividend,RiskFreeRate,G20/250)</f>
        <v>0.73707920809429339</v>
      </c>
      <c r="S20" s="19">
        <f t="shared" ref="S20" ca="1" si="100">BSdelta(1,P20,Strike,R20/AnnualVarConvtr,Dividend,RiskFreeRate,G20/250)</f>
        <v>0.29584240105084381</v>
      </c>
      <c r="T20" s="19">
        <f t="shared" ca="1" si="27"/>
        <v>-11.397189557062996</v>
      </c>
      <c r="U20" s="19">
        <f t="shared" ca="1" si="28"/>
        <v>-4.5789209409200406</v>
      </c>
      <c r="V20" s="21">
        <f t="shared" ca="1" si="17"/>
        <v>4.832050410708022E-4</v>
      </c>
      <c r="W20">
        <f t="shared" ca="1" si="18"/>
        <v>2.1981925326749752E-2</v>
      </c>
      <c r="X20" s="22">
        <f t="shared" ref="X20" ca="1" si="101">BSdelta(1,P20,Strike,W20*AnnualVarConvtr,Dividend,RiskFreeRate,G20/250)</f>
        <v>0.5372521273063755</v>
      </c>
      <c r="Y20" s="22">
        <f t="shared" ca="1" si="30"/>
        <v>-3.2125708201452801</v>
      </c>
      <c r="Z20" s="22">
        <f t="shared" ca="1" si="31"/>
        <v>-26.897182276129982</v>
      </c>
      <c r="AA20">
        <f t="shared" si="10"/>
        <v>0.73884103340948371</v>
      </c>
      <c r="AB20">
        <f t="shared" ref="AB20" ca="1" si="102">BSdelta(1,P20,Strike,AA20/AnnualVarConvtr,Dividend,RiskFreeRate,G20/250)</f>
        <v>0.29632176462869519</v>
      </c>
      <c r="AC20">
        <f t="shared" ca="1" si="21"/>
        <v>-11.35354375120319</v>
      </c>
      <c r="AD20">
        <f t="shared" ca="1" si="22"/>
        <v>-4.6262053592764119</v>
      </c>
    </row>
    <row r="21" spans="7:30">
      <c r="G21" s="19">
        <v>234</v>
      </c>
      <c r="H21" s="19">
        <f t="shared" ca="1" si="2"/>
        <v>0.514409861257487</v>
      </c>
      <c r="I21" s="19">
        <f t="shared" ca="1" si="2"/>
        <v>0.40077211593804707</v>
      </c>
      <c r="J21" s="19">
        <f t="shared" ca="1" si="3"/>
        <v>-0.93609487290606819</v>
      </c>
      <c r="K21" s="19">
        <f t="shared" ca="1" si="4"/>
        <v>0.67319852984794615</v>
      </c>
      <c r="L21" s="19">
        <f t="array" aca="1" ref="L21:M21" ca="1">MMULT(J21:K21,TRANSPOSE($B$10:$C$11))</f>
        <v>-0.93609487290606819</v>
      </c>
      <c r="M21" s="19">
        <f ca="1"/>
        <v>1.1403265807661636</v>
      </c>
      <c r="N21" s="20">
        <f>Variance_T0</f>
        <v>3.5400000000000001E-2</v>
      </c>
      <c r="O21" s="20">
        <v>0</v>
      </c>
      <c r="P21" s="19">
        <v>100</v>
      </c>
      <c r="Q21" s="19">
        <f>HCTrans(P21,Strike,RiskFreeRate,Dividend,Variance_T0*AnnualVarConvtr,(Simulation!G21)/250,0.5,Variance_Avg*AnnualVarConvtr,Lambda,SQRT(Simulation!N21),Rho,1,"Call")</f>
        <v>27.9346844035923</v>
      </c>
      <c r="R21" s="19">
        <f t="shared" ref="R21" si="103">BSvol(1,P21,Strike,Q21,Dividend,RiskFreeRate,G21/250)</f>
        <v>0.73921807915145876</v>
      </c>
      <c r="S21" s="19">
        <f t="shared" ref="S21" si="104">BSdelta(1,P21,Strike,R21/AnnualVarConvtr,Dividend,RiskFreeRate,G21/250)</f>
        <v>0.50902159963563676</v>
      </c>
      <c r="T21" s="19">
        <f t="shared" ca="1" si="27"/>
        <v>21.317919858479296</v>
      </c>
      <c r="U21" s="19">
        <f t="shared" ca="1" si="28"/>
        <v>-24.297244361619981</v>
      </c>
      <c r="V21" s="21">
        <f t="shared" ca="1" si="17"/>
        <v>2.0237005101414181E-4</v>
      </c>
      <c r="W21">
        <f t="shared" ca="1" si="18"/>
        <v>1.4225682796060856E-2</v>
      </c>
      <c r="X21" s="22">
        <f t="shared" ref="X21" ca="1" si="105">BSdelta(1,P21,Strike,W21*AnnualVarConvtr,Dividend,RiskFreeRate,G21/250)</f>
        <v>0.54332163965161717</v>
      </c>
      <c r="Y21" s="22">
        <f t="shared" ca="1" si="30"/>
        <v>0.60695123452416677</v>
      </c>
      <c r="Z21" s="22">
        <f t="shared" ca="1" si="31"/>
        <v>-25.904537072874795</v>
      </c>
      <c r="AA21">
        <f t="shared" si="10"/>
        <v>0.73884103340948371</v>
      </c>
      <c r="AB21">
        <f t="shared" ref="AB21" si="106">BSdelta(1,P21,Strike,AA21/AnnualVarConvtr,Dividend,RiskFreeRate,G21/250)</f>
        <v>0.5090169988603378</v>
      </c>
      <c r="AC21">
        <f t="shared" ca="1" si="21"/>
        <v>21.269523423164259</v>
      </c>
      <c r="AD21">
        <f t="shared" ca="1" si="22"/>
        <v>-24.296132344661316</v>
      </c>
    </row>
    <row r="22" spans="7:30">
      <c r="G22" s="19">
        <v>233</v>
      </c>
      <c r="H22" s="19">
        <f t="shared" ca="1" si="2"/>
        <v>0.75550378851817701</v>
      </c>
      <c r="I22" s="19">
        <f t="shared" ca="1" si="2"/>
        <v>0.69457518281494579</v>
      </c>
      <c r="J22" s="19">
        <f t="shared" ca="1" si="3"/>
        <v>-0.25553559422542016</v>
      </c>
      <c r="K22" s="19">
        <f t="shared" ca="1" si="4"/>
        <v>-0.70387678288162447</v>
      </c>
      <c r="L22" s="19">
        <f t="array" aca="1" ref="L22:M22" ca="1">MMULT(J22:K22,TRANSPOSE($B$10:$C$11))</f>
        <v>-0.25553559422542016</v>
      </c>
      <c r="M22" s="19">
        <f ca="1"/>
        <v>-0.30792410436751583</v>
      </c>
      <c r="N22" s="20">
        <f t="shared" ref="N22" ca="1" si="107">GetVariance(N21,Variance_Avg,Lambda,Eta,M22,"Daily")</f>
        <v>3.3843343089600908E-2</v>
      </c>
      <c r="O22" s="20">
        <f ca="1">GetStockReturns(0,RiskFreeRate,N22,L22,"Daily")</f>
        <v>-2.9731582570038675E-3</v>
      </c>
      <c r="P22" s="19">
        <f ca="1">P21*EXP(O22)</f>
        <v>99.703125720097091</v>
      </c>
      <c r="Q22" s="19">
        <f ca="1">HCTrans(P22,Strike,RiskFreeRate,Dividend,Variance_T0*AnnualVarConvtr,(Simulation!G22)/250,0.5,Variance_Avg*AnnualVarConvtr,Lambda,SQRT(Simulation!N22),Rho,1,"Call")</f>
        <v>27.69322946389957</v>
      </c>
      <c r="R22" s="19">
        <f t="shared" ref="R22" ca="1" si="108">BSvol(1,P22,Strike,Q22,Dividend,RiskFreeRate,G22/250)</f>
        <v>0.73936741646549786</v>
      </c>
      <c r="S22" s="19">
        <f t="shared" ref="S22" ca="1" si="109">BSdelta(1,P22,Strike,R22/AnnualVarConvtr,Dividend,RiskFreeRate,G22/250)</f>
        <v>0.48273606001431313</v>
      </c>
      <c r="T22" s="19">
        <f t="shared" ca="1" si="27"/>
        <v>-2.6207504614854229</v>
      </c>
      <c r="U22" s="19">
        <f t="shared" ca="1" si="28"/>
        <v>-21.917948839827289</v>
      </c>
      <c r="V22" s="21">
        <f t="shared" ca="1" si="17"/>
        <v>8.8396700211902748E-6</v>
      </c>
      <c r="W22">
        <f t="shared" ca="1" si="18"/>
        <v>2.9731582570038675E-3</v>
      </c>
      <c r="X22" s="22">
        <f t="shared" ref="X22" ca="1" si="110">BSdelta(1,P22,Strike,W22*AnnualVarConvtr,Dividend,RiskFreeRate,G22/250)</f>
        <v>0.48292229816134846</v>
      </c>
      <c r="Y22" s="22">
        <f t="shared" ca="1" si="30"/>
        <v>-6.0220031380153376</v>
      </c>
      <c r="Z22" s="22">
        <f t="shared" ca="1" si="31"/>
        <v>-20.12398887455219</v>
      </c>
      <c r="AA22">
        <f t="shared" si="10"/>
        <v>0.73884103340948371</v>
      </c>
      <c r="AB22">
        <f t="shared" ref="AB22" ca="1" si="111">BSdelta(1,P22,Strike,AA22/AnnualVarConvtr,Dividend,RiskFreeRate,G22/250)</f>
        <v>0.48271095375113138</v>
      </c>
      <c r="AC22">
        <f t="shared" ca="1" si="21"/>
        <v>-2.6227949227217531</v>
      </c>
      <c r="AD22">
        <f t="shared" ca="1" si="22"/>
        <v>-21.914792361632294</v>
      </c>
    </row>
    <row r="23" spans="7:30">
      <c r="G23" s="19">
        <v>232</v>
      </c>
      <c r="H23" s="19">
        <f t="shared" ca="1" si="2"/>
        <v>0.92816305510383246</v>
      </c>
      <c r="I23" s="19">
        <f t="shared" ca="1" si="2"/>
        <v>0.9941948104326479</v>
      </c>
      <c r="J23" s="19">
        <f t="shared" ca="1" si="3"/>
        <v>0.38587230751599222</v>
      </c>
      <c r="K23" s="19">
        <f t="shared" ca="1" si="4"/>
        <v>-1.4080969121721555E-2</v>
      </c>
      <c r="L23" s="19">
        <f t="array" aca="1" ref="L23:M23" ca="1">MMULT(J23:K23,TRANSPOSE($B$10:$C$11))</f>
        <v>0.38587230751599222</v>
      </c>
      <c r="M23" s="19">
        <f ca="1"/>
        <v>-0.28630021062803612</v>
      </c>
      <c r="N23" s="20">
        <f t="shared" ref="N23" ca="1" si="112">GetVariance(N22,Variance_Avg,Lambda,Eta,M23,"Daily")</f>
        <v>3.2422135319691354E-2</v>
      </c>
      <c r="O23" s="20">
        <f t="shared" ref="O23" ca="1" si="113">GetStockReturns(0,RiskFreeRate,N23,L23,"Daily")</f>
        <v>4.3943476758740415E-3</v>
      </c>
      <c r="P23" s="19">
        <f t="shared" ref="P23:P26" ca="1" si="114">P22*EXP(O23)</f>
        <v>100.14221997871371</v>
      </c>
      <c r="Q23" s="19">
        <f ca="1">HCTrans(P23,Strike,RiskFreeRate,Dividend,Variance_T0*AnnualVarConvtr,(Simulation!G23)/250,0.5,Variance_Avg*AnnualVarConvtr,Lambda,SQRT(Simulation!N23),Rho,1,"Call")</f>
        <v>27.929215179741732</v>
      </c>
      <c r="R23" s="19">
        <f t="shared" ref="R23" ca="1" si="115">BSvol(1,P23,Strike,Q23,Dividend,RiskFreeRate,G23/250)</f>
        <v>0.73972337648941722</v>
      </c>
      <c r="S23" s="19">
        <f t="shared" ref="S23" ca="1" si="116">BSdelta(1,P23,Strike,R23/AnnualVarConvtr,Dividend,RiskFreeRate,G23/250)</f>
        <v>0.52155959829154741</v>
      </c>
      <c r="T23" s="19">
        <f t="shared" ca="1" si="27"/>
        <v>3.8878753105108075</v>
      </c>
      <c r="U23" s="19">
        <f t="shared" ca="1" si="28"/>
        <v>-25.569838434495935</v>
      </c>
      <c r="V23" s="21">
        <f t="shared" ca="1" si="17"/>
        <v>5.4280143670991183E-5</v>
      </c>
      <c r="W23">
        <f t="shared" ca="1" si="18"/>
        <v>7.3675059328779085E-3</v>
      </c>
      <c r="X23" s="22">
        <f t="shared" ref="X23" ca="1" si="117">BSdelta(1,P23,Strike,W23*AnnualVarConvtr,Dividend,RiskFreeRate,G23/250)</f>
        <v>0.52741513826462572</v>
      </c>
      <c r="Y23" s="22">
        <f t="shared" ca="1" si="30"/>
        <v>4.4556117811001261</v>
      </c>
      <c r="Z23" s="22">
        <f t="shared" ca="1" si="31"/>
        <v>-24.343614939810152</v>
      </c>
      <c r="AA23">
        <f t="shared" si="10"/>
        <v>0.73884103340948371</v>
      </c>
      <c r="AB23">
        <f t="shared" ref="AB23" ca="1" si="118">BSdelta(1,P23,Strike,AA23/AnnualVarConvtr,Dividend,RiskFreeRate,G23/250)</f>
        <v>0.5215638925201429</v>
      </c>
      <c r="AC23">
        <f t="shared" ca="1" si="21"/>
        <v>3.8908195410258464</v>
      </c>
      <c r="AD23">
        <f t="shared" ca="1" si="22"/>
        <v>-25.569626186815977</v>
      </c>
    </row>
    <row r="24" spans="7:30">
      <c r="G24" s="19">
        <v>231</v>
      </c>
      <c r="H24" s="19">
        <f t="shared" ca="1" si="2"/>
        <v>0.4128760600448802</v>
      </c>
      <c r="I24" s="19">
        <f t="shared" ca="1" si="2"/>
        <v>0.2997108469504095</v>
      </c>
      <c r="J24" s="19">
        <f t="shared" ca="1" si="3"/>
        <v>-0.4087303065568233</v>
      </c>
      <c r="K24" s="19">
        <f t="shared" ca="1" si="4"/>
        <v>1.265762691861122</v>
      </c>
      <c r="L24" s="19">
        <f t="array" aca="1" ref="L24:M24" ca="1">MMULT(J24:K24,TRANSPOSE($B$10:$C$11))</f>
        <v>-0.4087303065568233</v>
      </c>
      <c r="M24" s="19">
        <f ca="1"/>
        <v>1.1758349791862408</v>
      </c>
      <c r="N24" s="20">
        <f t="shared" ref="N24" ca="1" si="119">GetVariance(N23,Variance_Avg,Lambda,Eta,M24,"Daily")</f>
        <v>3.7686930302334533E-2</v>
      </c>
      <c r="O24" s="20">
        <f t="shared" ref="O24" ca="1" si="120">GetStockReturns(0,RiskFreeRate,N24,L24,"Daily")</f>
        <v>-5.0183646914612086E-3</v>
      </c>
      <c r="P24" s="19">
        <f t="shared" ca="1" si="114"/>
        <v>99.640928681164098</v>
      </c>
      <c r="Q24" s="19">
        <f ca="1">HCTrans(P24,Strike,RiskFreeRate,Dividend,Variance_T0*AnnualVarConvtr,(Simulation!G24)/250,0.5,Variance_Avg*AnnualVarConvtr,Lambda,SQRT(Simulation!N24),Rho,1,"Call")</f>
        <v>27.520876624011507</v>
      </c>
      <c r="R24" s="19">
        <f t="shared" ref="R24" ca="1" si="121">BSvol(1,P24,Strike,Q24,Dividend,RiskFreeRate,G24/250)</f>
        <v>0.7388680546481633</v>
      </c>
      <c r="S24" s="19">
        <f t="shared" ref="S24" ca="1" si="122">BSdelta(1,P24,Strike,R24/AnnualVarConvtr,Dividend,RiskFreeRate,G24/250)</f>
        <v>0.47702517509395548</v>
      </c>
      <c r="T24" s="19">
        <f t="shared" ca="1" si="27"/>
        <v>-4.4374512856880379</v>
      </c>
      <c r="U24" s="19">
        <f t="shared" ca="1" si="28"/>
        <v>-21.540725704538122</v>
      </c>
      <c r="V24" s="21">
        <f t="shared" ca="1" si="17"/>
        <v>8.8599154110185954E-5</v>
      </c>
      <c r="W24">
        <f t="shared" ca="1" si="18"/>
        <v>9.4127123673352492E-3</v>
      </c>
      <c r="X24" s="22">
        <f t="shared" ref="X24" ca="1" si="123">BSdelta(1,P24,Strike,W24*AnnualVarConvtr,Dividend,RiskFreeRate,G24/250)</f>
        <v>0.51849872148986365</v>
      </c>
      <c r="Y24" s="22">
        <f t="shared" ca="1" si="30"/>
        <v>-0.88844004794560272</v>
      </c>
      <c r="Z24" s="22">
        <f t="shared" ca="1" si="31"/>
        <v>-23.863513447594773</v>
      </c>
      <c r="AA24">
        <f t="shared" si="10"/>
        <v>0.73884103340948371</v>
      </c>
      <c r="AB24">
        <f t="shared" ref="AB24" ca="1" si="124">BSdelta(1,P24,Strike,AA24/AnnualVarConvtr,Dividend,RiskFreeRate,G24/250)</f>
        <v>0.47702368149066243</v>
      </c>
      <c r="AC24">
        <f t="shared" ca="1" si="21"/>
        <v>-4.4380279906324622</v>
      </c>
      <c r="AD24">
        <f t="shared" ca="1" si="22"/>
        <v>-21.539936751913739</v>
      </c>
    </row>
    <row r="25" spans="7:30">
      <c r="G25" s="19">
        <v>230</v>
      </c>
      <c r="H25" s="19">
        <f t="shared" ca="1" si="2"/>
        <v>0.46138006147031607</v>
      </c>
      <c r="I25" s="19">
        <f t="shared" ca="1" si="2"/>
        <v>0.35161518546739856</v>
      </c>
      <c r="J25" s="19">
        <f t="shared" ca="1" si="3"/>
        <v>-0.74126813883369647</v>
      </c>
      <c r="K25" s="19">
        <f t="shared" ca="1" si="4"/>
        <v>0.99879319227034491</v>
      </c>
      <c r="L25" s="19">
        <f t="array" aca="1" ref="L25:M25" ca="1">MMULT(J25:K25,TRANSPOSE($B$10:$C$11))</f>
        <v>-0.74126813883369647</v>
      </c>
      <c r="M25" s="19">
        <f ca="1"/>
        <v>1.2278638593173989</v>
      </c>
      <c r="N25" s="20">
        <f t="shared" ref="N25" ca="1" si="125">GetVariance(N24,Variance_Avg,Lambda,Eta,M25,"Daily")</f>
        <v>4.359593572844285E-2</v>
      </c>
      <c r="O25" s="20">
        <f t="shared" ref="O25" ca="1" si="126">GetStockReturns(0,RiskFreeRate,N25,L25,"Daily")</f>
        <v>-9.7887746627426976E-3</v>
      </c>
      <c r="P25" s="19">
        <f t="shared" ca="1" si="114"/>
        <v>98.670324346947012</v>
      </c>
      <c r="Q25" s="19">
        <f ca="1">HCTrans(P25,Strike,RiskFreeRate,Dividend,Variance_T0*AnnualVarConvtr,(Simulation!G25)/250,0.5,Variance_Avg*AnnualVarConvtr,Lambda,SQRT(Simulation!N25),Rho,1,"Call")</f>
        <v>26.809418981731852</v>
      </c>
      <c r="R25" s="19">
        <f t="shared" ref="R25" ca="1" si="127">BSvol(1,P25,Strike,Q25,Dividend,RiskFreeRate,G25/250)</f>
        <v>0.73778720461814129</v>
      </c>
      <c r="S25" s="19">
        <f t="shared" ref="S25" ca="1" si="128">BSdelta(1,P25,Strike,R25/AnnualVarConvtr,Dividend,RiskFreeRate,G25/250)</f>
        <v>0.39100274547806524</v>
      </c>
      <c r="T25" s="19">
        <f t="shared" ca="1" si="27"/>
        <v>-8.4878610313123097</v>
      </c>
      <c r="U25" s="19">
        <f t="shared" ca="1" si="28"/>
        <v>-13.764322315505467</v>
      </c>
      <c r="V25" s="21">
        <f t="shared" ca="1" si="17"/>
        <v>2.2756811294101856E-5</v>
      </c>
      <c r="W25">
        <f t="shared" ca="1" si="18"/>
        <v>4.770409971281489E-3</v>
      </c>
      <c r="X25" s="22">
        <f t="shared" ref="X25" ca="1" si="129">BSdelta(1,P25,Strike,W25*AnnualVarConvtr,Dividend,RiskFreeRate,G25/250)</f>
        <v>0.44083551729937909</v>
      </c>
      <c r="Y25" s="22">
        <f t="shared" ca="1" si="30"/>
        <v>-7.6630535472982855</v>
      </c>
      <c r="Z25" s="22">
        <f t="shared" ca="1" si="31"/>
        <v>-16.911917542576141</v>
      </c>
      <c r="AA25">
        <f t="shared" si="10"/>
        <v>0.73884103340948371</v>
      </c>
      <c r="AB25">
        <f t="shared" ref="AB25" ca="1" si="130">BSdelta(1,P25,Strike,AA25/AnnualVarConvtr,Dividend,RiskFreeRate,G25/250)</f>
        <v>0.39117882322040942</v>
      </c>
      <c r="AC25">
        <f t="shared" ca="1" si="21"/>
        <v>-8.4703400090435608</v>
      </c>
      <c r="AD25">
        <f t="shared" ca="1" si="22"/>
        <v>-13.781054385149833</v>
      </c>
    </row>
    <row r="26" spans="7:30">
      <c r="G26" s="19">
        <v>229</v>
      </c>
      <c r="H26" s="19">
        <f t="shared" ca="1" si="2"/>
        <v>0.98106037122641898</v>
      </c>
      <c r="I26" s="19">
        <f t="shared" ca="1" si="2"/>
        <v>0.8039454186209376</v>
      </c>
      <c r="J26" s="19">
        <f t="shared" ca="1" si="3"/>
        <v>6.502196409391571E-2</v>
      </c>
      <c r="K26" s="19">
        <f t="shared" ca="1" si="4"/>
        <v>-0.18443076157277788</v>
      </c>
      <c r="L26" s="19">
        <f t="array" aca="1" ref="L26:M26" ca="1">MMULT(J26:K26,TRANSPOSE($B$10:$C$11))</f>
        <v>6.502196409391571E-2</v>
      </c>
      <c r="M26" s="19">
        <f ca="1"/>
        <v>-0.17524475579191037</v>
      </c>
      <c r="N26" s="20">
        <f t="shared" ref="N26" ca="1" si="131">GetVariance(N25,Variance_Avg,Lambda,Eta,M26,"Daily")</f>
        <v>4.2509582883565517E-2</v>
      </c>
      <c r="O26" s="20">
        <f t="shared" ref="O26" ca="1" si="132">GetStockReturns(0,RiskFreeRate,N26,L26,"Daily")</f>
        <v>8.4787826289343721E-4</v>
      </c>
      <c r="P26" s="19">
        <f t="shared" ca="1" si="114"/>
        <v>98.754020247106595</v>
      </c>
      <c r="Q26" s="19">
        <f ca="1">HCTrans(P26,Strike,RiskFreeRate,Dividend,Variance_T0*AnnualVarConvtr,(Simulation!G26)/250,0.5,Variance_Avg*AnnualVarConvtr,Lambda,SQRT(Simulation!N26),Rho,1,"Call")</f>
        <v>26.811947556237058</v>
      </c>
      <c r="R26" s="19">
        <f t="shared" ref="R26" ca="1" si="133">BSvol(1,P26,Strike,Q26,Dividend,RiskFreeRate,G26/250)</f>
        <v>0.73798455426506304</v>
      </c>
      <c r="S26" s="19">
        <f t="shared" ref="S26" ca="1" si="134">BSdelta(1,P26,Strike,R26/AnnualVarConvtr,Dividend,RiskFreeRate,G26/250)</f>
        <v>0.39807193698912102</v>
      </c>
      <c r="T26" s="19">
        <f t="shared" ca="1" si="27"/>
        <v>0.6981110816134769</v>
      </c>
      <c r="U26" s="19">
        <f t="shared" ca="1" si="28"/>
        <v>-14.459904822613739</v>
      </c>
      <c r="V26" s="21">
        <f t="shared" ca="1" si="17"/>
        <v>1.1313838546044376E-4</v>
      </c>
      <c r="W26">
        <f t="shared" ca="1" si="18"/>
        <v>1.0636652925636135E-2</v>
      </c>
      <c r="X26" s="22">
        <f t="shared" ref="X26" ca="1" si="135">BSdelta(1,P26,Strike,W26*AnnualVarConvtr,Dividend,RiskFreeRate,G26/250)</f>
        <v>0.50103172885722536</v>
      </c>
      <c r="Y26" s="22">
        <f t="shared" ca="1" si="30"/>
        <v>5.9446178949826622</v>
      </c>
      <c r="Z26" s="22">
        <f t="shared" ca="1" si="31"/>
        <v>-22.854006863053598</v>
      </c>
      <c r="AA26">
        <f t="shared" si="10"/>
        <v>0.73884103340948371</v>
      </c>
      <c r="AB26">
        <f t="shared" ref="AB26" ca="1" si="136">BSdelta(1,P26,Strike,AA26/AnnualVarConvtr,Dividend,RiskFreeRate,G26/250)</f>
        <v>0.39820748707217946</v>
      </c>
      <c r="AC26">
        <f t="shared" ca="1" si="21"/>
        <v>0.69410881232780419</v>
      </c>
      <c r="AD26">
        <f t="shared" ca="1" si="22"/>
        <v>-14.472634622972432</v>
      </c>
    </row>
    <row r="27" spans="7:30">
      <c r="G27" s="19">
        <v>228</v>
      </c>
      <c r="H27" s="19">
        <f t="shared" ca="1" si="2"/>
        <v>0.7650745056890651</v>
      </c>
      <c r="I27" s="19">
        <f t="shared" ca="1" si="2"/>
        <v>2.2312686263653569E-2</v>
      </c>
      <c r="J27" s="19">
        <f t="shared" ca="1" si="3"/>
        <v>0.72464240576925865</v>
      </c>
      <c r="K27" s="19">
        <f t="shared" ca="1" si="4"/>
        <v>0.10226190611235658</v>
      </c>
      <c r="L27" s="19">
        <f t="array" aca="1" ref="L27:M27" ca="1">MMULT(J27:K27,TRANSPOSE($B$10:$C$11))</f>
        <v>0.72464240576925865</v>
      </c>
      <c r="M27" s="19">
        <f ca="1"/>
        <v>-0.44786969809417881</v>
      </c>
      <c r="N27" s="20">
        <f>Variance_T0</f>
        <v>3.5400000000000001E-2</v>
      </c>
      <c r="O27" s="20">
        <v>0</v>
      </c>
      <c r="P27" s="19">
        <v>100</v>
      </c>
      <c r="Q27" s="19">
        <f>HCTrans(P27,Strike,RiskFreeRate,Dividend,Variance_T0*AnnualVarConvtr,(Simulation!G27)/250,0.5,Variance_Avg*AnnualVarConvtr,Lambda,SQRT(Simulation!N27),Rho,1,"Call")</f>
        <v>27.594300563581456</v>
      </c>
      <c r="R27" s="19">
        <f t="shared" ref="R27" si="137">BSvol(1,P27,Strike,Q27,Dividend,RiskFreeRate,G27/250)</f>
        <v>0.73936499412369816</v>
      </c>
      <c r="S27" s="19">
        <f t="shared" ref="S27" si="138">BSdelta(1,P27,Strike,R27/AnnualVarConvtr,Dividend,RiskFreeRate,G27/250)</f>
        <v>0.50890697604473378</v>
      </c>
      <c r="T27" s="19">
        <f t="shared" ca="1" si="27"/>
        <v>11.083503905561276</v>
      </c>
      <c r="U27" s="19">
        <f t="shared" ca="1" si="28"/>
        <v>-24.761055720830619</v>
      </c>
      <c r="V27" s="21">
        <f t="shared" ca="1" si="17"/>
        <v>7.1889754868719265E-7</v>
      </c>
      <c r="W27">
        <f t="shared" ca="1" si="18"/>
        <v>8.4787826289343721E-4</v>
      </c>
      <c r="X27" s="22">
        <f t="shared" ref="X27" ca="1" si="139">BSdelta(1,P27,Strike,W27*AnnualVarConvtr,Dividend,RiskFreeRate,G27/250)</f>
        <v>0.50255374793823204</v>
      </c>
      <c r="Y27" s="22">
        <f t="shared" ca="1" si="30"/>
        <v>0.15220190810066869</v>
      </c>
      <c r="Z27" s="22">
        <f t="shared" ca="1" si="31"/>
        <v>-22.223855763809869</v>
      </c>
      <c r="AA27">
        <f t="shared" si="10"/>
        <v>0.73884103340948371</v>
      </c>
      <c r="AB27">
        <f t="shared" ref="AB27" si="140">BSdelta(1,P27,Strike,AA27/AnnualVarConvtr,Dividend,RiskFreeRate,G27/250)</f>
        <v>0.50890066504695364</v>
      </c>
      <c r="AC27">
        <f t="shared" ca="1" si="21"/>
        <v>11.069317797477417</v>
      </c>
      <c r="AD27">
        <f t="shared" ca="1" si="22"/>
        <v>-24.759599413105452</v>
      </c>
    </row>
    <row r="28" spans="7:30">
      <c r="G28" s="19">
        <v>227</v>
      </c>
      <c r="H28" s="19">
        <f t="shared" ca="1" si="2"/>
        <v>7.0848131467116549E-2</v>
      </c>
      <c r="I28" s="19">
        <f t="shared" ca="1" si="2"/>
        <v>0.23330308267833688</v>
      </c>
      <c r="J28" s="19">
        <f t="shared" ca="1" si="3"/>
        <v>0.24095113156891132</v>
      </c>
      <c r="K28" s="19">
        <f t="shared" ca="1" si="4"/>
        <v>2.2883128992222153</v>
      </c>
      <c r="L28" s="19">
        <f t="array" aca="1" ref="L28:M28" ca="1">MMULT(J28:K28,TRANSPOSE($B$10:$C$11))</f>
        <v>0.24095113156891132</v>
      </c>
      <c r="M28" s="19">
        <f ca="1"/>
        <v>1.4236560536682115</v>
      </c>
      <c r="N28" s="20">
        <f t="shared" ref="N28" ca="1" si="141">GetVariance(N27,Variance_Avg,Lambda,Eta,M28,"Daily")</f>
        <v>4.212232947778894E-2</v>
      </c>
      <c r="O28" s="20">
        <f t="shared" ref="O28" ca="1" si="142">GetStockReturns(0,RiskFreeRate,N28,L28,"Daily")</f>
        <v>3.127628459426659E-3</v>
      </c>
      <c r="P28" s="19">
        <f t="shared" ref="P28:P91" ca="1" si="143">P27*EXP(O28)</f>
        <v>100.31325245924143</v>
      </c>
      <c r="Q28" s="19">
        <f ca="1">HCTrans(P28,Strike,RiskFreeRate,Dividend,Variance_T0*AnnualVarConvtr,(Simulation!G28)/250,0.5,Variance_Avg*AnnualVarConvtr,Lambda,SQRT(Simulation!N28),Rho,1,"Call")</f>
        <v>27.709658294209831</v>
      </c>
      <c r="R28" s="19">
        <f t="shared" ref="R28" ca="1" si="144">BSvol(1,P28,Strike,Q28,Dividend,RiskFreeRate,G28/250)</f>
        <v>0.73862321210145898</v>
      </c>
      <c r="S28" s="19">
        <f t="shared" ref="S28" ca="1" si="145">BSdelta(1,P28,Strike,R28/AnnualVarConvtr,Dividend,RiskFreeRate,G28/250)</f>
        <v>0.53685705805389772</v>
      </c>
      <c r="T28" s="19">
        <f t="shared" ca="1" si="27"/>
        <v>2.8037636328417634</v>
      </c>
      <c r="U28" s="19">
        <f t="shared" ca="1" si="28"/>
        <v>-27.449461623044009</v>
      </c>
      <c r="V28" s="21">
        <f t="shared" ca="1" si="17"/>
        <v>9.7820597802155768E-6</v>
      </c>
      <c r="W28">
        <f t="shared" ca="1" si="18"/>
        <v>3.127628459426659E-3</v>
      </c>
      <c r="X28" s="22">
        <f t="shared" ref="X28" ca="1" si="146">BSdelta(1,P28,Strike,W28*AnnualVarConvtr,Dividend,RiskFreeRate,G28/250)</f>
        <v>0.53582999718447666</v>
      </c>
      <c r="Y28" s="22">
        <f t="shared" ca="1" si="30"/>
        <v>3.3380487915351784</v>
      </c>
      <c r="Z28" s="22">
        <f t="shared" ca="1" si="31"/>
        <v>-25.446546824716673</v>
      </c>
      <c r="AA28">
        <f t="shared" si="10"/>
        <v>0.73884103340948371</v>
      </c>
      <c r="AB28">
        <f t="shared" ref="AB28" ca="1" si="147">BSdelta(1,P28,Strike,AA28/AnnualVarConvtr,Dividend,RiskFreeRate,G28/250)</f>
        <v>0.53685143688503711</v>
      </c>
      <c r="AC28">
        <f t="shared" ca="1" si="21"/>
        <v>2.8038328318243235</v>
      </c>
      <c r="AD28">
        <f t="shared" ca="1" si="22"/>
        <v>-27.4480745143014</v>
      </c>
    </row>
    <row r="29" spans="7:30">
      <c r="G29" s="19">
        <v>226</v>
      </c>
      <c r="H29" s="19">
        <f t="shared" ca="1" si="2"/>
        <v>0.39637342522627117</v>
      </c>
      <c r="I29" s="19">
        <f t="shared" ca="1" si="2"/>
        <v>0.37057557370610938</v>
      </c>
      <c r="J29" s="19">
        <f t="shared" ca="1" si="3"/>
        <v>-0.93486566348468436</v>
      </c>
      <c r="K29" s="19">
        <f t="shared" ca="1" si="4"/>
        <v>0.98834367978883819</v>
      </c>
      <c r="L29" s="19">
        <f t="array" aca="1" ref="L29:M29" ca="1">MMULT(J29:K29,TRANSPOSE($B$10:$C$11))</f>
        <v>-0.93486566348468436</v>
      </c>
      <c r="M29" s="19">
        <f ca="1"/>
        <v>1.3592870407119679</v>
      </c>
      <c r="N29" s="20">
        <f t="shared" ref="N29" ca="1" si="148">GetVariance(N28,Variance_Avg,Lambda,Eta,M29,"Daily")</f>
        <v>4.9054689858077219E-2</v>
      </c>
      <c r="O29" s="20">
        <f t="shared" ref="O29" ca="1" si="149">GetStockReturns(0,RiskFreeRate,N29,L29,"Daily")</f>
        <v>-1.3095421204823422E-2</v>
      </c>
      <c r="P29" s="19">
        <f t="shared" ca="1" si="143"/>
        <v>99.008172104973184</v>
      </c>
      <c r="Q29" s="19">
        <f ca="1">HCTrans(P29,Strike,RiskFreeRate,Dividend,Variance_T0*AnnualVarConvtr,(Simulation!G29)/250,0.5,Variance_Avg*AnnualVarConvtr,Lambda,SQRT(Simulation!N29),Rho,1,"Call")</f>
        <v>26.776386439946123</v>
      </c>
      <c r="R29" s="19">
        <f t="shared" ref="R29" ca="1" si="150">BSvol(1,P29,Strike,Q29,Dividend,RiskFreeRate,G29/250)</f>
        <v>0.73733589491777385</v>
      </c>
      <c r="S29" s="19">
        <f t="shared" ref="S29" ca="1" si="151">BSdelta(1,P29,Strike,R29/AnnualVarConvtr,Dividend,RiskFreeRate,G29/250)</f>
        <v>0.41970712431214519</v>
      </c>
      <c r="T29" s="19">
        <f t="shared" ca="1" si="27"/>
        <v>-11.59880080198964</v>
      </c>
      <c r="U29" s="19">
        <f t="shared" ca="1" si="28"/>
        <v>-16.783932675318077</v>
      </c>
      <c r="V29" s="21">
        <f t="shared" ca="1" si="17"/>
        <v>2.6318734040872471E-4</v>
      </c>
      <c r="W29">
        <f t="shared" ca="1" si="18"/>
        <v>1.6223049664250082E-2</v>
      </c>
      <c r="X29" s="22">
        <f t="shared" ref="X29" ca="1" si="152">BSdelta(1,P29,Strike,W29*AnnualVarConvtr,Dividend,RiskFreeRate,G29/250)</f>
        <v>0.53230774786685042</v>
      </c>
      <c r="Y29" s="22">
        <f t="shared" ca="1" si="30"/>
        <v>-0.34873146663616272</v>
      </c>
      <c r="Z29" s="22">
        <f t="shared" ca="1" si="31"/>
        <v>-26.031087212344218</v>
      </c>
      <c r="AA29">
        <f t="shared" si="10"/>
        <v>0.73884103340948371</v>
      </c>
      <c r="AB29">
        <f t="shared" ref="AB29" ca="1" si="153">BSdelta(1,P29,Strike,AA29/AnnualVarConvtr,Dividend,RiskFreeRate,G29/250)</f>
        <v>0.41990381511240848</v>
      </c>
      <c r="AC29">
        <f t="shared" ca="1" si="21"/>
        <v>-11.578770263731725</v>
      </c>
      <c r="AD29">
        <f t="shared" ca="1" si="22"/>
        <v>-16.802576104833385</v>
      </c>
    </row>
    <row r="30" spans="7:30">
      <c r="G30" s="19">
        <v>225</v>
      </c>
      <c r="H30" s="19">
        <f t="shared" ca="1" si="2"/>
        <v>0.45033932744522875</v>
      </c>
      <c r="I30" s="19">
        <f t="shared" ca="1" si="2"/>
        <v>0.24551632814122204</v>
      </c>
      <c r="J30" s="19">
        <f t="shared" ca="1" si="3"/>
        <v>3.5579981075896001E-2</v>
      </c>
      <c r="K30" s="19">
        <f t="shared" ca="1" si="4"/>
        <v>1.262632925170923</v>
      </c>
      <c r="L30" s="19">
        <f t="array" aca="1" ref="L30:M30" ca="1">MMULT(J30:K30,TRANSPOSE($B$10:$C$11))</f>
        <v>3.5579981075896001E-2</v>
      </c>
      <c r="M30" s="19">
        <f ca="1"/>
        <v>0.85530337325541805</v>
      </c>
      <c r="N30" s="20">
        <f t="shared" ref="N30" ca="1" si="154">GetVariance(N29,Variance_Avg,Lambda,Eta,M30,"Daily")</f>
        <v>5.3586957299837416E-2</v>
      </c>
      <c r="O30" s="20">
        <f t="shared" ref="O30" ca="1" si="155">GetStockReturns(0,RiskFreeRate,N30,L30,"Daily")</f>
        <v>5.2091307393395143E-4</v>
      </c>
      <c r="P30" s="19">
        <f t="shared" ca="1" si="143"/>
        <v>99.05976019153681</v>
      </c>
      <c r="Q30" s="19">
        <f ca="1">HCTrans(P30,Strike,RiskFreeRate,Dividend,Variance_T0*AnnualVarConvtr,(Simulation!G30)/250,0.5,Variance_Avg*AnnualVarConvtr,Lambda,SQRT(Simulation!N30),Rho,1,"Call")</f>
        <v>26.733673076775261</v>
      </c>
      <c r="R30" s="19">
        <f t="shared" ref="R30" ca="1" si="156">BSvol(1,P30,Strike,Q30,Dividend,RiskFreeRate,G30/250)</f>
        <v>0.73684689671448533</v>
      </c>
      <c r="S30" s="19">
        <f t="shared" ref="S30" ca="1" si="157">BSdelta(1,P30,Strike,R30/AnnualVarConvtr,Dividend,RiskFreeRate,G30/250)</f>
        <v>0.42403849379377567</v>
      </c>
      <c r="T30" s="19">
        <f t="shared" ca="1" si="27"/>
        <v>0.42906442215125717</v>
      </c>
      <c r="U30" s="19">
        <f t="shared" ca="1" si="28"/>
        <v>-17.255710460640195</v>
      </c>
      <c r="V30" s="21">
        <f t="shared" ca="1" si="17"/>
        <v>1.8540455919086304E-4</v>
      </c>
      <c r="W30">
        <f t="shared" ca="1" si="18"/>
        <v>1.3616334278757372E-2</v>
      </c>
      <c r="X30" s="22">
        <f t="shared" ref="X30" ca="1" si="158">BSdelta(1,P30,Strike,W30*AnnualVarConvtr,Dividend,RiskFreeRate,G30/250)</f>
        <v>0.52227724535871123</v>
      </c>
      <c r="Y30" s="22">
        <f t="shared" ca="1" si="30"/>
        <v>-0.99361917305687708</v>
      </c>
      <c r="Z30" s="22">
        <f t="shared" ca="1" si="31"/>
        <v>-25.080181402458201</v>
      </c>
      <c r="AA30">
        <f t="shared" si="10"/>
        <v>0.73884103340948371</v>
      </c>
      <c r="AB30">
        <f t="shared" ref="AB30" ca="1" si="159">BSdelta(1,P30,Strike,AA30/AnnualVarConvtr,Dividend,RiskFreeRate,G30/250)</f>
        <v>0.42428783530647496</v>
      </c>
      <c r="AC30">
        <f t="shared" ca="1" si="21"/>
        <v>0.43427998909907956</v>
      </c>
      <c r="AD30">
        <f t="shared" ca="1" si="22"/>
        <v>-17.279569457103324</v>
      </c>
    </row>
    <row r="31" spans="7:30">
      <c r="G31" s="19">
        <v>224</v>
      </c>
      <c r="H31" s="19">
        <f t="shared" ref="H31:I94" ca="1" si="160">RAND()</f>
        <v>0.68882292615245277</v>
      </c>
      <c r="I31" s="19">
        <f t="shared" ca="1" si="160"/>
        <v>0.99893608598867645</v>
      </c>
      <c r="J31" s="19">
        <f t="shared" ca="1" si="3"/>
        <v>0.86342849707437597</v>
      </c>
      <c r="K31" s="19">
        <f t="shared" ca="1" si="4"/>
        <v>-5.7719059258242019E-3</v>
      </c>
      <c r="L31" s="19">
        <f t="array" aca="1" ref="L31:M31" ca="1">MMULT(J31:K31,TRANSPOSE($B$10:$C$11))</f>
        <v>0.86342849707437597</v>
      </c>
      <c r="M31" s="19">
        <f ca="1"/>
        <v>-0.62267292522005679</v>
      </c>
      <c r="N31" s="20">
        <f t="shared" ref="N31" ca="1" si="161">GetVariance(N30,Variance_Avg,Lambda,Eta,M31,"Daily")</f>
        <v>4.986411525582532E-2</v>
      </c>
      <c r="O31" s="20">
        <f t="shared" ref="O31" ca="1" si="162">GetStockReturns(0,RiskFreeRate,N31,L31,"Daily")</f>
        <v>1.2194119108746499E-2</v>
      </c>
      <c r="P31" s="19">
        <f t="shared" ca="1" si="143"/>
        <v>100.27510165576392</v>
      </c>
      <c r="Q31" s="19">
        <f ca="1">HCTrans(P31,Strike,RiskFreeRate,Dividend,Variance_T0*AnnualVarConvtr,(Simulation!G31)/250,0.5,Variance_Avg*AnnualVarConvtr,Lambda,SQRT(Simulation!N31),Rho,1,"Call")</f>
        <v>27.479680146830717</v>
      </c>
      <c r="R31" s="19">
        <f t="shared" ref="R31" ca="1" si="163">BSvol(1,P31,Strike,Q31,Dividend,RiskFreeRate,G31/250)</f>
        <v>0.73777140702336008</v>
      </c>
      <c r="S31" s="19">
        <f t="shared" ref="S31" ca="1" si="164">BSdelta(1,P31,Strike,R31/AnnualVarConvtr,Dividend,RiskFreeRate,G31/250)</f>
        <v>0.53358466216711842</v>
      </c>
      <c r="T31" s="19">
        <f t="shared" ca="1" si="27"/>
        <v>10.984753169636374</v>
      </c>
      <c r="U31" s="19">
        <f t="shared" ca="1" si="28"/>
        <v>-27.494456560221114</v>
      </c>
      <c r="V31" s="21">
        <f t="shared" ca="1" si="17"/>
        <v>1.3626373913118407E-4</v>
      </c>
      <c r="W31">
        <f t="shared" ca="1" si="18"/>
        <v>1.1673206034812547E-2</v>
      </c>
      <c r="X31" s="22">
        <f t="shared" ref="X31" ca="1" si="165">BSdelta(1,P31,Strike,W31*AnnualVarConvtr,Dividend,RiskFreeRate,G31/250)</f>
        <v>0.54104985401061123</v>
      </c>
      <c r="Y31" s="22">
        <f t="shared" ca="1" si="30"/>
        <v>1.8824252409131459</v>
      </c>
      <c r="Z31" s="22">
        <f t="shared" ca="1" si="31"/>
        <v>-26.216599573315893</v>
      </c>
      <c r="AA31">
        <f t="shared" si="10"/>
        <v>0.73884103340948371</v>
      </c>
      <c r="AB31">
        <f t="shared" ref="AB31" ca="1" si="166">BSdelta(1,P31,Strike,AA31/AnnualVarConvtr,Dividend,RiskFreeRate,G31/250)</f>
        <v>0.53356159352361843</v>
      </c>
      <c r="AC31">
        <f t="shared" ca="1" si="21"/>
        <v>10.95743721353143</v>
      </c>
      <c r="AD31">
        <f t="shared" ca="1" si="22"/>
        <v>-27.4909996005793</v>
      </c>
    </row>
    <row r="32" spans="7:30">
      <c r="G32" s="19">
        <v>223</v>
      </c>
      <c r="H32" s="19">
        <f t="shared" ca="1" si="160"/>
        <v>0.85648847756246305</v>
      </c>
      <c r="I32" s="19">
        <f t="shared" ca="1" si="160"/>
        <v>0.14174515804489785</v>
      </c>
      <c r="J32" s="19">
        <f t="shared" ca="1" si="3"/>
        <v>0.35008063511456367</v>
      </c>
      <c r="K32" s="19">
        <f t="shared" ca="1" si="4"/>
        <v>0.43274978613706805</v>
      </c>
      <c r="L32" s="19">
        <f t="array" aca="1" ref="L32:M32" ca="1">MMULT(J32:K32,TRANSPOSE($B$10:$C$11))</f>
        <v>0.35008063511456367</v>
      </c>
      <c r="M32" s="19">
        <f ca="1"/>
        <v>5.104788952847622E-2</v>
      </c>
      <c r="N32" s="20">
        <f t="shared" ref="N32" ca="1" si="167">GetVariance(N31,Variance_Avg,Lambda,Eta,M32,"Daily")</f>
        <v>4.9917028683476014E-2</v>
      </c>
      <c r="O32" s="20">
        <f t="shared" ref="O32" ca="1" si="168">GetStockReturns(0,RiskFreeRate,N32,L32,"Daily")</f>
        <v>4.9467782986570216E-3</v>
      </c>
      <c r="P32" s="19">
        <f t="shared" ca="1" si="143"/>
        <v>100.77236927482694</v>
      </c>
      <c r="Q32" s="19">
        <f ca="1">HCTrans(P32,Strike,RiskFreeRate,Dividend,Variance_T0*AnnualVarConvtr,(Simulation!G32)/250,0.5,Variance_Avg*AnnualVarConvtr,Lambda,SQRT(Simulation!N32),Rho,1,"Call")</f>
        <v>27.746233757297759</v>
      </c>
      <c r="R32" s="19">
        <f t="shared" ref="R32" ca="1" si="169">BSvol(1,P32,Strike,Q32,Dividend,RiskFreeRate,G32/250)</f>
        <v>0.73798054483605513</v>
      </c>
      <c r="S32" s="19">
        <f t="shared" ref="S32" ca="1" si="170">BSdelta(1,P32,Strike,R32/AnnualVarConvtr,Dividend,RiskFreeRate,G32/250)</f>
        <v>0.57792233905710666</v>
      </c>
      <c r="T32" s="19">
        <f t="shared" ca="1" si="27"/>
        <v>4.4680127483458554</v>
      </c>
      <c r="U32" s="19">
        <f t="shared" ca="1" si="28"/>
        <v>-31.695915698099927</v>
      </c>
      <c r="V32" s="21">
        <f t="shared" ca="1" si="17"/>
        <v>5.2523948817588407E-5</v>
      </c>
      <c r="W32">
        <f t="shared" ca="1" si="18"/>
        <v>7.2473408100894778E-3</v>
      </c>
      <c r="X32" s="22">
        <f t="shared" ref="X32" ca="1" si="171">BSdelta(1,P32,Strike,W32*AnnualVarConvtr,Dividend,RiskFreeRate,G32/250)</f>
        <v>0.54981943277178791</v>
      </c>
      <c r="Y32" s="22">
        <f t="shared" ca="1" si="30"/>
        <v>0.88373122930597547</v>
      </c>
      <c r="Z32" s="22">
        <f t="shared" ca="1" si="31"/>
        <v>-26.833777192154827</v>
      </c>
      <c r="AA32">
        <f t="shared" si="10"/>
        <v>0.73884103340948371</v>
      </c>
      <c r="AB32">
        <f t="shared" ref="AB32" ca="1" si="172">BSdelta(1,P32,Strike,AA32/AnnualVarConvtr,Dividend,RiskFreeRate,G32/250)</f>
        <v>0.57785285012315402</v>
      </c>
      <c r="AC32">
        <f t="shared" ca="1" si="21"/>
        <v>4.4633348656945167</v>
      </c>
      <c r="AD32">
        <f t="shared" ca="1" si="22"/>
        <v>-31.687780855806775</v>
      </c>
    </row>
    <row r="33" spans="7:30">
      <c r="G33" s="19">
        <v>222</v>
      </c>
      <c r="H33" s="19">
        <f t="shared" ca="1" si="160"/>
        <v>0.18961715839571469</v>
      </c>
      <c r="I33" s="19">
        <f t="shared" ca="1" si="160"/>
        <v>0.31456528179007925</v>
      </c>
      <c r="J33" s="19">
        <f t="shared" ca="1" si="3"/>
        <v>-0.71966262813413862</v>
      </c>
      <c r="K33" s="19">
        <f t="shared" ca="1" si="4"/>
        <v>1.6755841048552229</v>
      </c>
      <c r="L33" s="19">
        <f t="array" aca="1" ref="L33:M33" ca="1">MMULT(J33:K33,TRANSPOSE($B$10:$C$11))</f>
        <v>-0.71966262813413862</v>
      </c>
      <c r="M33" s="19">
        <f ca="1"/>
        <v>1.6845041150545568</v>
      </c>
      <c r="N33" s="20">
        <f t="shared" ref="N33" ca="1" si="173">GetVariance(N32,Variance_Avg,Lambda,Eta,M33,"Daily")</f>
        <v>5.9344587434220018E-2</v>
      </c>
      <c r="O33" s="20">
        <f t="shared" ref="O33" ca="1" si="174">GetStockReturns(0,RiskFreeRate,N33,L33,"Daily")</f>
        <v>-1.1087905187338428E-2</v>
      </c>
      <c r="P33" s="19">
        <f t="shared" ca="1" si="143"/>
        <v>99.661186527474342</v>
      </c>
      <c r="Q33" s="19">
        <f ca="1">HCTrans(P33,Strike,RiskFreeRate,Dividend,Variance_T0*AnnualVarConvtr,(Simulation!G33)/250,0.5,Variance_Avg*AnnualVarConvtr,Lambda,SQRT(Simulation!N33),Rho,1,"Call")</f>
        <v>26.928206276883344</v>
      </c>
      <c r="R33" s="19">
        <f t="shared" ref="R33" ca="1" si="175">BSvol(1,P33,Strike,Q33,Dividend,RiskFreeRate,G33/250)</f>
        <v>0.73653474666917296</v>
      </c>
      <c r="S33" s="19">
        <f t="shared" ref="S33" ca="1" si="176">BSdelta(1,P33,Strike,R33/AnnualVarConvtr,Dividend,RiskFreeRate,G33/250)</f>
        <v>0.47792285825491287</v>
      </c>
      <c r="T33" s="19">
        <f t="shared" ca="1" si="27"/>
        <v>-9.9660669088780249</v>
      </c>
      <c r="U33" s="19">
        <f t="shared" ca="1" si="28"/>
        <v>-22.547876269636312</v>
      </c>
      <c r="V33" s="21">
        <f t="shared" ca="1" si="17"/>
        <v>2.5711107449605518E-4</v>
      </c>
      <c r="W33">
        <f t="shared" ca="1" si="18"/>
        <v>1.603468348599545E-2</v>
      </c>
      <c r="X33" s="22">
        <f t="shared" ref="X33" ca="1" si="177">BSdelta(1,P33,Strike,W33*AnnualVarConvtr,Dividend,RiskFreeRate,G33/250)</f>
        <v>0.54191130925953779</v>
      </c>
      <c r="Y33" s="22">
        <f t="shared" ca="1" si="30"/>
        <v>-0.7881329724366648</v>
      </c>
      <c r="Z33" s="22">
        <f t="shared" ca="1" si="31"/>
        <v>-26.863671700132578</v>
      </c>
      <c r="AA33">
        <f t="shared" si="10"/>
        <v>0.73884103340948371</v>
      </c>
      <c r="AB33">
        <f t="shared" ref="AB33" ca="1" si="178">BSdelta(1,P33,Strike,AA33/AnnualVarConvtr,Dividend,RiskFreeRate,G33/250)</f>
        <v>0.47804636836825143</v>
      </c>
      <c r="AC33">
        <f t="shared" ca="1" si="21"/>
        <v>-9.9468323948263109</v>
      </c>
      <c r="AD33">
        <f t="shared" ca="1" si="22"/>
        <v>-22.558975941394884</v>
      </c>
    </row>
    <row r="34" spans="7:30">
      <c r="G34" s="19">
        <v>221</v>
      </c>
      <c r="H34" s="19">
        <f t="shared" ca="1" si="160"/>
        <v>0.77042315266888917</v>
      </c>
      <c r="I34" s="19">
        <f t="shared" ca="1" si="160"/>
        <v>0.35429963802531317</v>
      </c>
      <c r="J34" s="19">
        <f t="shared" ca="1" si="3"/>
        <v>-0.44015047444422517</v>
      </c>
      <c r="K34" s="19">
        <f t="shared" ca="1" si="4"/>
        <v>0.57262404085707552</v>
      </c>
      <c r="L34" s="19">
        <f t="array" aca="1" ref="L34:M34" ca="1">MMULT(J34:K34,TRANSPOSE($B$10:$C$11))</f>
        <v>-0.44015047444422517</v>
      </c>
      <c r="M34" s="19">
        <f ca="1"/>
        <v>0.71482295403040752</v>
      </c>
      <c r="N34" s="20">
        <f t="shared" ref="N34" ca="1" si="179">GetVariance(N33,Variance_Avg,Lambda,Eta,M34,"Daily")</f>
        <v>6.3414017816959115E-2</v>
      </c>
      <c r="O34" s="20">
        <f t="shared" ref="O34" ca="1" si="180">GetStockReturns(0,RiskFreeRate,N34,L34,"Daily")</f>
        <v>-7.0100934121067248E-3</v>
      </c>
      <c r="P34" s="19">
        <f t="shared" ca="1" si="143"/>
        <v>98.964995333987247</v>
      </c>
      <c r="Q34" s="19">
        <f ca="1">HCTrans(P34,Strike,RiskFreeRate,Dividend,Variance_T0*AnnualVarConvtr,(Simulation!G34)/250,0.5,Variance_Avg*AnnualVarConvtr,Lambda,SQRT(Simulation!N34),Rho,1,"Call")</f>
        <v>26.405182217710532</v>
      </c>
      <c r="R34" s="19">
        <f t="shared" ref="R34" ca="1" si="181">BSvol(1,P34,Strike,Q34,Dividend,RiskFreeRate,G34/250)</f>
        <v>0.7358357038905895</v>
      </c>
      <c r="S34" s="19">
        <f t="shared" ref="S34" ca="1" si="182">BSdelta(1,P34,Strike,R34/AnnualVarConvtr,Dividend,RiskFreeRate,G34/250)</f>
        <v>0.41453478015309042</v>
      </c>
      <c r="T34" s="19">
        <f t="shared" ca="1" si="27"/>
        <v>-6.2732008535772783</v>
      </c>
      <c r="U34" s="19">
        <f t="shared" ca="1" si="28"/>
        <v>-16.797699475231845</v>
      </c>
      <c r="V34" s="21">
        <f t="shared" ca="1" si="17"/>
        <v>1.6628548874218334E-5</v>
      </c>
      <c r="W34">
        <f t="shared" ca="1" si="18"/>
        <v>4.0778117752317032E-3</v>
      </c>
      <c r="X34" s="22">
        <f t="shared" ref="X34" ca="1" si="183">BSdelta(1,P34,Strike,W34*AnnualVarConvtr,Dividend,RiskFreeRate,G34/250)</f>
        <v>0.44381142755758263</v>
      </c>
      <c r="Y34" s="22">
        <f t="shared" ca="1" si="30"/>
        <v>-9.7084543348986934</v>
      </c>
      <c r="Z34" s="22">
        <f t="shared" ca="1" si="31"/>
        <v>-17.678241424406696</v>
      </c>
      <c r="AA34">
        <f t="shared" si="10"/>
        <v>0.73884103340948371</v>
      </c>
      <c r="AB34">
        <f t="shared" ref="AB34" ca="1" si="184">BSdelta(1,P34,Strike,AA34/AnnualVarConvtr,Dividend,RiskFreeRate,G34/250)</f>
        <v>0.41494661076565287</v>
      </c>
      <c r="AC34">
        <f t="shared" ca="1" si="21"/>
        <v>-6.2446672167168931</v>
      </c>
      <c r="AD34">
        <f t="shared" ca="1" si="22"/>
        <v>-16.837332783850805</v>
      </c>
    </row>
    <row r="35" spans="7:30">
      <c r="G35" s="19">
        <v>220</v>
      </c>
      <c r="H35" s="19">
        <f t="shared" ca="1" si="160"/>
        <v>0.79008818042756435</v>
      </c>
      <c r="I35" s="19">
        <f t="shared" ca="1" si="160"/>
        <v>0.93496600615574144</v>
      </c>
      <c r="J35" s="19">
        <f t="shared" ca="1" si="3"/>
        <v>0.62993965646558525</v>
      </c>
      <c r="K35" s="19">
        <f t="shared" ca="1" si="4"/>
        <v>-0.2727589909126083</v>
      </c>
      <c r="L35" s="19">
        <f t="array" aca="1" ref="L35:M35" ca="1">MMULT(J35:K35,TRANSPOSE($B$10:$C$11))</f>
        <v>0.62993965646558525</v>
      </c>
      <c r="M35" s="19">
        <f ca="1"/>
        <v>-0.64162491496433038</v>
      </c>
      <c r="N35" s="20">
        <f t="shared" ref="N35" ca="1" si="185">GetVariance(N34,Variance_Avg,Lambda,Eta,M35,"Daily")</f>
        <v>5.9215214343271837E-2</v>
      </c>
      <c r="O35" s="20">
        <f t="shared" ref="O35" ca="1" si="186">GetStockReturns(0,RiskFreeRate,N35,L35,"Daily")</f>
        <v>9.694950538658452E-3</v>
      </c>
      <c r="P35" s="19">
        <f t="shared" ca="1" si="143"/>
        <v>99.929122097775746</v>
      </c>
      <c r="Q35" s="19">
        <f ca="1">HCTrans(P35,Strike,RiskFreeRate,Dividend,Variance_T0*AnnualVarConvtr,(Simulation!G35)/250,0.5,Variance_Avg*AnnualVarConvtr,Lambda,SQRT(Simulation!N35),Rho,1,"Call")</f>
        <v>26.987243951829456</v>
      </c>
      <c r="R35" s="19">
        <f t="shared" ref="R35" ca="1" si="187">BSvol(1,P35,Strike,Q35,Dividend,RiskFreeRate,G35/250)</f>
        <v>0.73672477504564404</v>
      </c>
      <c r="S35" s="19">
        <f t="shared" ref="S35" ca="1" si="188">BSdelta(1,P35,Strike,R35/AnnualVarConvtr,Dividend,RiskFreeRate,G35/250)</f>
        <v>0.50224738696475657</v>
      </c>
      <c r="T35" s="19">
        <f t="shared" ca="1" si="27"/>
        <v>8.7650437955971832</v>
      </c>
      <c r="U35" s="19">
        <f t="shared" ca="1" si="28"/>
        <v>-24.980681536710104</v>
      </c>
      <c r="V35" s="21">
        <f t="shared" ca="1" si="17"/>
        <v>2.7905849339699627E-4</v>
      </c>
      <c r="W35">
        <f t="shared" ca="1" si="18"/>
        <v>1.6705043950765178E-2</v>
      </c>
      <c r="X35" s="22">
        <f t="shared" ref="X35" ca="1" si="189">BSdelta(1,P35,Strike,W35*AnnualVarConvtr,Dividend,RiskFreeRate,G35/250)</f>
        <v>0.54816491466138062</v>
      </c>
      <c r="Y35" s="22">
        <f t="shared" ca="1" si="30"/>
        <v>10.427952354124097</v>
      </c>
      <c r="Z35" s="22">
        <f t="shared" ca="1" si="31"/>
        <v>-27.524132044411871</v>
      </c>
      <c r="AA35">
        <f t="shared" si="10"/>
        <v>0.73884103340948371</v>
      </c>
      <c r="AB35">
        <f t="shared" ref="AB35" ca="1" si="190">BSdelta(1,P35,Strike,AA35/AnnualVarConvtr,Dividend,RiskFreeRate,G35/250)</f>
        <v>0.5022909672021254</v>
      </c>
      <c r="AC35">
        <f t="shared" ca="1" si="21"/>
        <v>8.7282448588919088</v>
      </c>
      <c r="AD35">
        <f t="shared" ca="1" si="22"/>
        <v>-24.98351590862379</v>
      </c>
    </row>
    <row r="36" spans="7:30">
      <c r="G36" s="19">
        <v>219</v>
      </c>
      <c r="H36" s="19">
        <f t="shared" ca="1" si="160"/>
        <v>0.11711799115009125</v>
      </c>
      <c r="I36" s="19">
        <f t="shared" ca="1" si="160"/>
        <v>0.27188428813391963</v>
      </c>
      <c r="J36" s="19">
        <f t="shared" ca="1" si="3"/>
        <v>-0.2838757808942281</v>
      </c>
      <c r="K36" s="19">
        <f t="shared" ca="1" si="4"/>
        <v>2.0514778339005071</v>
      </c>
      <c r="L36" s="19">
        <f t="array" aca="1" ref="L36:M36" ca="1">MMULT(J36:K36,TRANSPOSE($B$10:$C$11))</f>
        <v>-0.2838757808942281</v>
      </c>
      <c r="M36" s="19">
        <f ca="1"/>
        <v>1.6344814521036746</v>
      </c>
      <c r="N36" s="20">
        <f t="shared" ref="N36" ca="1" si="191">GetVariance(N35,Variance_Avg,Lambda,Eta,M36,"Daily")</f>
        <v>6.909286057798579E-2</v>
      </c>
      <c r="O36" s="20">
        <f t="shared" ref="O36" ca="1" si="192">GetStockReturns(0,RiskFreeRate,N36,L36,"Daily")</f>
        <v>-4.7192710800720971E-3</v>
      </c>
      <c r="P36" s="19">
        <f t="shared" ca="1" si="143"/>
        <v>99.458640520049101</v>
      </c>
      <c r="Q36" s="19">
        <f ca="1">HCTrans(P36,Strike,RiskFreeRate,Dividend,Variance_T0*AnnualVarConvtr,(Simulation!G36)/250,0.5,Variance_Avg*AnnualVarConvtr,Lambda,SQRT(Simulation!N36),Rho,1,"Call")</f>
        <v>26.588126966991283</v>
      </c>
      <c r="R36" s="19">
        <f t="shared" ref="R36" ca="1" si="193">BSvol(1,P36,Strike,Q36,Dividend,RiskFreeRate,G36/250)</f>
        <v>0.73552427723853153</v>
      </c>
      <c r="S36" s="19">
        <f t="shared" ref="S36" ca="1" si="194">BSdelta(1,P36,Strike,R36/AnnualVarConvtr,Dividend,RiskFreeRate,G36/250)</f>
        <v>0.4590183699889997</v>
      </c>
      <c r="T36" s="19">
        <f t="shared" ca="1" si="27"/>
        <v>-4.299499259426903</v>
      </c>
      <c r="U36" s="19">
        <f t="shared" ca="1" si="28"/>
        <v>-21.080299262121375</v>
      </c>
      <c r="V36" s="21">
        <f t="shared" ca="1" si="17"/>
        <v>2.0776978487387914E-4</v>
      </c>
      <c r="W36">
        <f t="shared" ca="1" si="18"/>
        <v>1.4414221618730549E-2</v>
      </c>
      <c r="X36" s="22">
        <f t="shared" ref="X36" ca="1" si="195">BSdelta(1,P36,Strike,W36*AnnualVarConvtr,Dividend,RiskFreeRate,G36/250)</f>
        <v>0.53236160138323807</v>
      </c>
      <c r="Y36" s="22">
        <f t="shared" ca="1" si="30"/>
        <v>-1.5717760543564987</v>
      </c>
      <c r="Z36" s="22">
        <f t="shared" ca="1" si="31"/>
        <v>-26.351472974893547</v>
      </c>
      <c r="AA36">
        <f t="shared" si="10"/>
        <v>0.73884103340948371</v>
      </c>
      <c r="AB36">
        <f t="shared" ref="AB36" ca="1" si="196">BSdelta(1,P36,Strike,AA36/AnnualVarConvtr,Dividend,RiskFreeRate,G36/250)</f>
        <v>0.45927943976081387</v>
      </c>
      <c r="AC36">
        <f t="shared" ca="1" si="21"/>
        <v>-4.2778680460036318</v>
      </c>
      <c r="AD36">
        <f t="shared" ca="1" si="22"/>
        <v>-21.10476484745833</v>
      </c>
    </row>
    <row r="37" spans="7:30">
      <c r="G37" s="19">
        <v>218</v>
      </c>
      <c r="H37" s="19">
        <f t="shared" ca="1" si="160"/>
        <v>0.31849731218861033</v>
      </c>
      <c r="I37" s="19">
        <f t="shared" ca="1" si="160"/>
        <v>1.4526981391237648E-2</v>
      </c>
      <c r="J37" s="19">
        <f t="shared" ca="1" si="3"/>
        <v>1.5064100047162132</v>
      </c>
      <c r="K37" s="19">
        <f t="shared" ca="1" si="4"/>
        <v>0.1378817741344589</v>
      </c>
      <c r="L37" s="19">
        <f t="array" aca="1" ref="L37:M37" ca="1">MMULT(J37:K37,TRANSPOSE($B$10:$C$11))</f>
        <v>1.5064100047162132</v>
      </c>
      <c r="M37" s="19">
        <f ca="1"/>
        <v>-0.98315822261232599</v>
      </c>
      <c r="N37" s="20">
        <f t="shared" ref="N37" ca="1" si="197">GetVariance(N36,Variance_Avg,Lambda,Eta,M37,"Daily")</f>
        <v>6.2572488898501769E-2</v>
      </c>
      <c r="O37" s="20">
        <f t="shared" ref="O37" ca="1" si="198">GetStockReturns(0,RiskFreeRate,N37,L37,"Daily")</f>
        <v>2.3832242098210329E-2</v>
      </c>
      <c r="P37" s="19">
        <f t="shared" ca="1" si="143"/>
        <v>101.85743369253977</v>
      </c>
      <c r="Q37" s="19">
        <f ca="1">HCTrans(P37,Strike,RiskFreeRate,Dividend,Variance_T0*AnnualVarConvtr,(Simulation!G37)/250,0.5,Variance_Avg*AnnualVarConvtr,Lambda,SQRT(Simulation!N37),Rho,1,"Call")</f>
        <v>28.120263750479538</v>
      </c>
      <c r="R37" s="19">
        <f t="shared" ref="R37" ca="1" si="199">BSvol(1,P37,Strike,Q37,Dividend,RiskFreeRate,G37/250)</f>
        <v>0.73724319844541608</v>
      </c>
      <c r="S37" s="19">
        <f t="shared" ref="S37" ca="1" si="200">BSdelta(1,P37,Strike,R37/AnnualVarConvtr,Dividend,RiskFreeRate,G37/250)</f>
        <v>0.67164159641582555</v>
      </c>
      <c r="T37" s="19">
        <f t="shared" ca="1" si="27"/>
        <v>21.657256187264284</v>
      </c>
      <c r="U37" s="19">
        <f t="shared" ca="1" si="28"/>
        <v>-41.205418665897405</v>
      </c>
      <c r="V37" s="21">
        <f t="shared" ca="1" si="17"/>
        <v>8.1518890476963497E-4</v>
      </c>
      <c r="W37">
        <f t="shared" ca="1" si="18"/>
        <v>2.8551513178282424E-2</v>
      </c>
      <c r="X37" s="22">
        <f t="shared" ref="X37" ca="1" si="201">BSdelta(1,P37,Strike,W37*AnnualVarConvtr,Dividend,RiskFreeRate,G37/250)</f>
        <v>0.60042061972481331</v>
      </c>
      <c r="Y37" s="22">
        <f t="shared" ca="1" si="30"/>
        <v>6.9323169479063482</v>
      </c>
      <c r="Z37" s="22">
        <f t="shared" ca="1" si="31"/>
        <v>-31.751653139311639</v>
      </c>
      <c r="AA37">
        <f t="shared" si="10"/>
        <v>0.73884103340948371</v>
      </c>
      <c r="AB37">
        <f t="shared" ref="AB37" ca="1" si="202">BSdelta(1,P37,Strike,AA37/AnnualVarConvtr,Dividend,RiskFreeRate,G37/250)</f>
        <v>0.67132821341544635</v>
      </c>
      <c r="AC37">
        <f t="shared" ca="1" si="21"/>
        <v>21.598743902111103</v>
      </c>
      <c r="AD37">
        <f t="shared" ca="1" si="22"/>
        <v>-41.171371966081182</v>
      </c>
    </row>
    <row r="38" spans="7:30">
      <c r="G38" s="19">
        <v>217</v>
      </c>
      <c r="H38" s="19">
        <f t="shared" ca="1" si="160"/>
        <v>7.5626978106529741E-2</v>
      </c>
      <c r="I38" s="19">
        <f t="shared" ca="1" si="160"/>
        <v>0.14496416005812929</v>
      </c>
      <c r="J38" s="19">
        <f t="shared" ca="1" si="3"/>
        <v>1.3931854407186028</v>
      </c>
      <c r="K38" s="19">
        <f t="shared" ca="1" si="4"/>
        <v>1.7952489354279042</v>
      </c>
      <c r="L38" s="19">
        <f t="array" aca="1" ref="L38:M38" ca="1">MMULT(J38:K38,TRANSPOSE($B$10:$C$11))</f>
        <v>1.3931854407186028</v>
      </c>
      <c r="M38" s="19">
        <f ca="1"/>
        <v>0.2541251148160979</v>
      </c>
      <c r="N38" s="20">
        <f t="shared" ref="N38" ca="1" si="203">GetVariance(N37,Variance_Avg,Lambda,Eta,M38,"Daily")</f>
        <v>6.3846547052079414E-2</v>
      </c>
      <c r="O38" s="20">
        <f t="shared" ref="O38" ca="1" si="204">GetStockReturns(0,RiskFreeRate,N38,L38,"Daily")</f>
        <v>2.2264227461874533E-2</v>
      </c>
      <c r="P38" s="19">
        <f t="shared" ca="1" si="143"/>
        <v>104.15064431933128</v>
      </c>
      <c r="Q38" s="19">
        <f ca="1">HCTrans(P38,Strike,RiskFreeRate,Dividend,Variance_T0*AnnualVarConvtr,(Simulation!G38)/250,0.5,Variance_Avg*AnnualVarConvtr,Lambda,SQRT(Simulation!N38),Rho,1,"Call")</f>
        <v>29.582596722372386</v>
      </c>
      <c r="R38" s="19">
        <f t="shared" ref="R38" ca="1" si="205">BSvol(1,P38,Strike,Q38,Dividend,RiskFreeRate,G38/250)</f>
        <v>0.73810434996522256</v>
      </c>
      <c r="S38" s="19">
        <f t="shared" ref="S38" ca="1" si="206">BSdelta(1,P38,Strike,R38/AnnualVarConvtr,Dividend,RiskFreeRate,G38/250)</f>
        <v>0.83067146672988112</v>
      </c>
      <c r="T38" s="19">
        <f t="shared" ca="1" si="27"/>
        <v>16.563063459228584</v>
      </c>
      <c r="U38" s="19">
        <f t="shared" ca="1" si="28"/>
        <v>-56.306149153233136</v>
      </c>
      <c r="V38" s="21">
        <f t="shared" ca="1" si="17"/>
        <v>2.4586698997632788E-6</v>
      </c>
      <c r="W38">
        <f t="shared" ca="1" si="18"/>
        <v>1.5680146363357961E-3</v>
      </c>
      <c r="X38" s="22">
        <f t="shared" ref="X38" ca="1" si="207">BSdelta(1,P38,Strike,W38*AnnualVarConvtr,Dividend,RiskFreeRate,G38/250)</f>
        <v>0.96181978589648098</v>
      </c>
      <c r="Y38" s="22">
        <f t="shared" ca="1" si="30"/>
        <v>37.639956013248259</v>
      </c>
      <c r="Z38" s="22">
        <f t="shared" ca="1" si="31"/>
        <v>-67.929276180667046</v>
      </c>
      <c r="AA38">
        <f t="shared" si="10"/>
        <v>0.73884103340948371</v>
      </c>
      <c r="AB38">
        <f t="shared" ref="AB38" ca="1" si="208">BSdelta(1,P38,Strike,AA38/AnnualVarConvtr,Dividend,RiskFreeRate,G38/250)</f>
        <v>0.8304415097965514</v>
      </c>
      <c r="AC38">
        <f t="shared" ca="1" si="21"/>
        <v>16.571752337864812</v>
      </c>
      <c r="AD38">
        <f t="shared" ca="1" si="22"/>
        <v>-56.280791332053141</v>
      </c>
    </row>
    <row r="39" spans="7:30">
      <c r="G39" s="19">
        <v>216</v>
      </c>
      <c r="H39" s="19">
        <f t="shared" ca="1" si="160"/>
        <v>0.15898609852288215</v>
      </c>
      <c r="I39" s="19">
        <f t="shared" ca="1" si="160"/>
        <v>0.23443327708872097</v>
      </c>
      <c r="J39" s="19">
        <f t="shared" ca="1" si="3"/>
        <v>0.18727637577946288</v>
      </c>
      <c r="K39" s="19">
        <f t="shared" ca="1" si="4"/>
        <v>1.9086132613996696</v>
      </c>
      <c r="L39" s="19">
        <f t="array" aca="1" ref="L39:M39" ca="1">MMULT(J39:K39,TRANSPOSE($B$10:$C$11))</f>
        <v>0.18727637577946288</v>
      </c>
      <c r="M39" s="19">
        <f ca="1"/>
        <v>1.1972404502610137</v>
      </c>
      <c r="N39" s="20">
        <f t="shared" ref="N39" ca="1" si="209">GetVariance(N38,Variance_Avg,Lambda,Eta,M39,"Daily")</f>
        <v>7.11787019129696E-2</v>
      </c>
      <c r="O39" s="20">
        <f t="shared" ref="O39" ca="1" si="210">GetStockReturns(0,RiskFreeRate,N39,L39,"Daily")</f>
        <v>3.1600068468073035E-3</v>
      </c>
      <c r="P39" s="19">
        <f t="shared" ca="1" si="143"/>
        <v>104.4802816222435</v>
      </c>
      <c r="Q39" s="19">
        <f ca="1">HCTrans(P39,Strike,RiskFreeRate,Dividend,Variance_T0*AnnualVarConvtr,(Simulation!G39)/250,0.5,Variance_Avg*AnnualVarConvtr,Lambda,SQRT(Simulation!N39),Rho,1,"Call")</f>
        <v>29.722014729375871</v>
      </c>
      <c r="R39" s="19">
        <f t="shared" ref="R39" ca="1" si="211">BSvol(1,P39,Strike,Q39,Dividend,RiskFreeRate,G39/250)</f>
        <v>0.73764413304124021</v>
      </c>
      <c r="S39" s="19">
        <f t="shared" ref="S39" ca="1" si="212">BSdelta(1,P39,Strike,R39/AnnualVarConvtr,Dividend,RiskFreeRate,G39/250)</f>
        <v>0.84905201383187812</v>
      </c>
      <c r="T39" s="19">
        <f t="shared" ca="1" si="27"/>
        <v>1.9204047375875573</v>
      </c>
      <c r="U39" s="19">
        <f t="shared" ca="1" si="28"/>
        <v>-58.087135883817211</v>
      </c>
      <c r="V39" s="21">
        <f t="shared" ca="1" si="17"/>
        <v>3.6497124530915966E-4</v>
      </c>
      <c r="W39">
        <f t="shared" ca="1" si="18"/>
        <v>1.9104220615067228E-2</v>
      </c>
      <c r="X39" s="22">
        <f t="shared" ref="X39" ca="1" si="213">BSdelta(1,P39,Strike,W39*AnnualVarConvtr,Dividend,RiskFreeRate,G39/250)</f>
        <v>0.61657003384978126</v>
      </c>
      <c r="Y39" s="22">
        <f t="shared" ca="1" si="30"/>
        <v>-36.071791323848927</v>
      </c>
      <c r="Z39" s="22">
        <f t="shared" ca="1" si="31"/>
        <v>-31.718066849814633</v>
      </c>
      <c r="AA39">
        <f t="shared" si="10"/>
        <v>0.73884103340948371</v>
      </c>
      <c r="AB39">
        <f t="shared" ref="AB39" ca="1" si="214">BSdelta(1,P39,Strike,AA39/AnnualVarConvtr,Dividend,RiskFreeRate,G39/250)</f>
        <v>0.84867658603588736</v>
      </c>
      <c r="AC39">
        <f t="shared" ca="1" si="21"/>
        <v>1.9052059008889015</v>
      </c>
      <c r="AD39">
        <f t="shared" ca="1" si="22"/>
        <v>-58.046579225938558</v>
      </c>
    </row>
    <row r="40" spans="7:30">
      <c r="G40" s="19">
        <v>215</v>
      </c>
      <c r="H40" s="19">
        <f t="shared" ca="1" si="160"/>
        <v>4.7467038572466258E-2</v>
      </c>
      <c r="I40" s="19">
        <f t="shared" ca="1" si="160"/>
        <v>8.7890851841624817E-2</v>
      </c>
      <c r="J40" s="19">
        <f t="shared" ca="1" si="3"/>
        <v>2.1019042069824883</v>
      </c>
      <c r="K40" s="19">
        <f t="shared" ca="1" si="4"/>
        <v>1.2951595160007365</v>
      </c>
      <c r="L40" s="19">
        <f t="array" aca="1" ref="L40:M40" ca="1">MMULT(J40:K40,TRANSPOSE($B$10:$C$11))</f>
        <v>2.1019042069824883</v>
      </c>
      <c r="M40" s="19">
        <f ca="1"/>
        <v>-0.60252780471857725</v>
      </c>
      <c r="N40" s="20">
        <f t="shared" ref="N40" ca="1" si="215">GetVariance(N39,Variance_Avg,Lambda,Eta,M40,"Daily")</f>
        <v>6.6951640785041663E-2</v>
      </c>
      <c r="O40" s="20">
        <f t="shared" ref="O40" ca="1" si="216">GetStockReturns(0,RiskFreeRate,N40,L40,"Daily")</f>
        <v>3.4397234523306001E-2</v>
      </c>
      <c r="P40" s="19">
        <f t="shared" ca="1" si="143"/>
        <v>108.13663814830332</v>
      </c>
      <c r="Q40" s="19">
        <f ca="1">HCTrans(P40,Strike,RiskFreeRate,Dividend,Variance_T0*AnnualVarConvtr,(Simulation!G40)/250,0.5,Variance_Avg*AnnualVarConvtr,Lambda,SQRT(Simulation!N40),Rho,1,"Call")</f>
        <v>32.168113216367615</v>
      </c>
      <c r="R40" s="19">
        <f t="shared" ref="R40" ca="1" si="217">BSvol(1,P40,Strike,Q40,Dividend,RiskFreeRate,G40/250)</f>
        <v>0.73954984795168355</v>
      </c>
      <c r="S40" s="19">
        <f t="shared" ref="S40" ca="1" si="218">BSdelta(1,P40,Strike,R40/AnnualVarConvtr,Dividend,RiskFreeRate,G40/250)</f>
        <v>0.9660089667178029</v>
      </c>
      <c r="T40" s="19">
        <f t="shared" ca="1" si="27"/>
        <v>12.647331693153408</v>
      </c>
      <c r="U40" s="19">
        <f t="shared" ca="1" si="28"/>
        <v>-68.288369089978872</v>
      </c>
      <c r="V40" s="21">
        <f t="shared" ca="1" si="17"/>
        <v>9.7576439291341616E-4</v>
      </c>
      <c r="W40">
        <f t="shared" ca="1" si="18"/>
        <v>3.1237227676498697E-2</v>
      </c>
      <c r="X40" s="22">
        <f t="shared" ref="X40" ca="1" si="219">BSdelta(1,P40,Strike,W40*AnnualVarConvtr,Dividend,RiskFreeRate,G40/250)</f>
        <v>0.65534858331798673</v>
      </c>
      <c r="Y40" s="22">
        <f t="shared" ca="1" si="30"/>
        <v>4.1933819717594147</v>
      </c>
      <c r="Z40" s="22">
        <f t="shared" ca="1" si="31"/>
        <v>-33.465350334582304</v>
      </c>
      <c r="AA40">
        <f t="shared" si="10"/>
        <v>0.73884103340948371</v>
      </c>
      <c r="AB40">
        <f t="shared" ref="AB40" ca="1" si="220">BSdelta(1,P40,Strike,AA40/AnnualVarConvtr,Dividend,RiskFreeRate,G40/250)</f>
        <v>0.96613771171736174</v>
      </c>
      <c r="AC40">
        <f t="shared" ca="1" si="21"/>
        <v>12.701851244309973</v>
      </c>
      <c r="AD40">
        <f t="shared" ca="1" si="22"/>
        <v>-68.302331983256792</v>
      </c>
    </row>
    <row r="41" spans="7:30">
      <c r="G41" s="19">
        <v>214</v>
      </c>
      <c r="H41" s="19">
        <f t="shared" ca="1" si="160"/>
        <v>0.55527330927424789</v>
      </c>
      <c r="I41" s="19">
        <f t="shared" ca="1" si="160"/>
        <v>0.60108416636404494</v>
      </c>
      <c r="J41" s="19">
        <f t="shared" ca="1" si="3"/>
        <v>-0.87318304693130711</v>
      </c>
      <c r="K41" s="19">
        <f t="shared" ca="1" si="4"/>
        <v>-0.64353790965580182</v>
      </c>
      <c r="L41" s="19">
        <f t="array" aca="1" ref="L41:M41" ca="1">MMULT(J41:K41,TRANSPOSE($B$10:$C$11))</f>
        <v>-0.87318304693130711</v>
      </c>
      <c r="M41" s="19">
        <f ca="1"/>
        <v>0.1767119145644051</v>
      </c>
      <c r="N41" s="20">
        <f t="shared" ref="N41" ca="1" si="221">GetVariance(N40,Variance_Avg,Lambda,Eta,M41,"Daily")</f>
        <v>6.775993371767132E-2</v>
      </c>
      <c r="O41" s="20">
        <f t="shared" ref="O41" ca="1" si="222">GetStockReturns(0,RiskFreeRate,N41,L41,"Daily")</f>
        <v>-1.4375460878258048E-2</v>
      </c>
      <c r="P41" s="19">
        <f t="shared" ca="1" si="143"/>
        <v>106.5932442155824</v>
      </c>
      <c r="Q41" s="19">
        <f ca="1">HCTrans(P41,Strike,RiskFreeRate,Dividend,Variance_T0*AnnualVarConvtr,(Simulation!G41)/250,0.5,Variance_Avg*AnnualVarConvtr,Lambda,SQRT(Simulation!N41),Rho,1,"Call")</f>
        <v>31.045259615589828</v>
      </c>
      <c r="R41" s="19">
        <f t="shared" ref="R41" ca="1" si="223">BSvol(1,P41,Strike,Q41,Dividend,RiskFreeRate,G41/250)</f>
        <v>0.73889757779008591</v>
      </c>
      <c r="S41" s="19">
        <f t="shared" ref="S41" ca="1" si="224">BSdelta(1,P41,Strike,R41/AnnualVarConvtr,Dividend,RiskFreeRate,G41/250)</f>
        <v>0.93298228591623822</v>
      </c>
      <c r="T41" s="19">
        <f t="shared" ca="1" si="27"/>
        <v>-3.5204210523112707</v>
      </c>
      <c r="U41" s="19">
        <f t="shared" ca="1" si="28"/>
        <v>-65.890801638445396</v>
      </c>
      <c r="V41" s="21">
        <f t="shared" ca="1" si="17"/>
        <v>2.3787758167337471E-3</v>
      </c>
      <c r="W41">
        <f t="shared" ca="1" si="18"/>
        <v>4.8772695401564051E-2</v>
      </c>
      <c r="X41" s="22">
        <f t="shared" ref="X41" ca="1" si="225">BSdelta(1,P41,Strike,W41*AnnualVarConvtr,Dividend,RiskFreeRate,G41/250)</f>
        <v>0.67228516725962406</v>
      </c>
      <c r="Y41" s="22">
        <f t="shared" ca="1" si="30"/>
        <v>1.805325428268659</v>
      </c>
      <c r="Z41" s="22">
        <f t="shared" ca="1" si="31"/>
        <v>-36.393529363628751</v>
      </c>
      <c r="AA41">
        <f t="shared" si="10"/>
        <v>0.73884103340948371</v>
      </c>
      <c r="AB41">
        <f t="shared" ref="AB41" ca="1" si="226">BSdelta(1,P41,Strike,AA41/AnnualVarConvtr,Dividend,RiskFreeRate,G41/250)</f>
        <v>0.93299674341755567</v>
      </c>
      <c r="AC41">
        <f t="shared" ca="1" si="21"/>
        <v>-3.5326033275221023</v>
      </c>
      <c r="AD41">
        <f t="shared" ca="1" si="22"/>
        <v>-65.892582256512483</v>
      </c>
    </row>
    <row r="42" spans="7:30">
      <c r="G42" s="19">
        <v>213</v>
      </c>
      <c r="H42" s="19">
        <f t="shared" ca="1" si="160"/>
        <v>0.74518590223226777</v>
      </c>
      <c r="I42" s="19">
        <f t="shared" ca="1" si="160"/>
        <v>0.65060356867138025</v>
      </c>
      <c r="J42" s="19">
        <f t="shared" ca="1" si="3"/>
        <v>-0.44845735884958471</v>
      </c>
      <c r="K42" s="19">
        <f t="shared" ca="1" si="4"/>
        <v>-0.62219700606794992</v>
      </c>
      <c r="L42" s="19">
        <f t="array" aca="1" ref="L42:M42" ca="1">MMULT(J42:K42,TRANSPOSE($B$10:$C$11))</f>
        <v>-0.44845735884958471</v>
      </c>
      <c r="M42" s="19">
        <f ca="1"/>
        <v>-0.11271690208579632</v>
      </c>
      <c r="N42" s="20">
        <f t="shared" ref="N42" ca="1" si="227">GetVariance(N41,Variance_Avg,Lambda,Eta,M42,"Daily")</f>
        <v>6.6720534490672903E-2</v>
      </c>
      <c r="O42" s="20">
        <f t="shared" ref="O42" ca="1" si="228">GetStockReturns(0,RiskFreeRate,N42,L42,"Daily")</f>
        <v>-7.3262360743088237E-3</v>
      </c>
      <c r="P42" s="19">
        <f t="shared" ca="1" si="143"/>
        <v>105.81517060020063</v>
      </c>
      <c r="Q42" s="19">
        <f ca="1">HCTrans(P42,Strike,RiskFreeRate,Dividend,Variance_T0*AnnualVarConvtr,(Simulation!G42)/250,0.5,Variance_Avg*AnnualVarConvtr,Lambda,SQRT(Simulation!N42),Rho,1,"Call")</f>
        <v>30.458040679149931</v>
      </c>
      <c r="R42" s="19">
        <f t="shared" ref="R42" ca="1" si="229">BSvol(1,P42,Strike,Q42,Dividend,RiskFreeRate,G42/250)</f>
        <v>0.7386996180886366</v>
      </c>
      <c r="S42" s="19">
        <f t="shared" ref="S42" ca="1" si="230">BSdelta(1,P42,Strike,R42/AnnualVarConvtr,Dividend,RiskFreeRate,G42/250)</f>
        <v>0.90861774838726861</v>
      </c>
      <c r="T42" s="19">
        <f t="shared" ca="1" si="27"/>
        <v>-2.5781376952229098</v>
      </c>
      <c r="U42" s="19">
        <f t="shared" ca="1" si="28"/>
        <v>-63.899882879662385</v>
      </c>
      <c r="V42" s="21">
        <f t="shared" ca="1" si="17"/>
        <v>4.9691570336612975E-5</v>
      </c>
      <c r="W42">
        <f t="shared" ca="1" si="18"/>
        <v>7.0492248039492238E-3</v>
      </c>
      <c r="X42" s="22">
        <f t="shared" ref="X42" ca="1" si="231">BSdelta(1,P42,Strike,W42*AnnualVarConvtr,Dividend,RiskFreeRate,G42/250)</f>
        <v>0.72603130496070911</v>
      </c>
      <c r="Y42" s="22">
        <f t="shared" ca="1" si="30"/>
        <v>5.6871567299421892</v>
      </c>
      <c r="Z42" s="22">
        <f t="shared" ca="1" si="31"/>
        <v>-42.667905030010836</v>
      </c>
      <c r="AA42">
        <f t="shared" si="10"/>
        <v>0.73884103340948371</v>
      </c>
      <c r="AB42">
        <f t="shared" ref="AB42" ca="1" si="232">BSdelta(1,P42,Strike,AA42/AnnualVarConvtr,Dividend,RiskFreeRate,G42/250)</f>
        <v>0.908577216345821</v>
      </c>
      <c r="AC42">
        <f t="shared" ca="1" si="21"/>
        <v>-2.5839564230718217</v>
      </c>
      <c r="AD42">
        <f t="shared" ca="1" si="22"/>
        <v>-63.895844769880554</v>
      </c>
    </row>
    <row r="43" spans="7:30">
      <c r="G43" s="19">
        <v>212</v>
      </c>
      <c r="H43" s="19">
        <f t="shared" ca="1" si="160"/>
        <v>0.86338881286928881</v>
      </c>
      <c r="I43" s="19">
        <f t="shared" ca="1" si="160"/>
        <v>0.85648365297746309</v>
      </c>
      <c r="J43" s="19">
        <f t="shared" ca="1" si="3"/>
        <v>0.33618276688603727</v>
      </c>
      <c r="K43" s="19">
        <f t="shared" ca="1" si="4"/>
        <v>-0.42516050295163305</v>
      </c>
      <c r="L43" s="19">
        <f t="array" aca="1" ref="L43:M43" ca="1">MMULT(J43:K43,TRANSPOSE($B$10:$C$11))</f>
        <v>0.33618276688603727</v>
      </c>
      <c r="M43" s="19">
        <f ca="1"/>
        <v>-0.53746143107924649</v>
      </c>
      <c r="N43" s="20">
        <f t="shared" ref="N43" ca="1" si="233">GetVariance(N42,Variance_Avg,Lambda,Eta,M43,"Daily")</f>
        <v>6.3043502114306163E-2</v>
      </c>
      <c r="O43" s="20">
        <f t="shared" ref="O43" ca="1" si="234">GetStockReturns(0,RiskFreeRate,N43,L43,"Daily")</f>
        <v>5.3385781936293435E-3</v>
      </c>
      <c r="P43" s="19">
        <f t="shared" ca="1" si="143"/>
        <v>106.38158373768395</v>
      </c>
      <c r="Q43" s="19">
        <f ca="1">HCTrans(P43,Strike,RiskFreeRate,Dividend,Variance_T0*AnnualVarConvtr,(Simulation!G43)/250,0.5,Variance_Avg*AnnualVarConvtr,Lambda,SQRT(Simulation!N43),Rho,1,"Call")</f>
        <v>30.793360887338523</v>
      </c>
      <c r="R43" s="19">
        <f t="shared" ref="R43" ca="1" si="235">BSvol(1,P43,Strike,Q43,Dividend,RiskFreeRate,G43/250)</f>
        <v>0.7392694769165703</v>
      </c>
      <c r="S43" s="19">
        <f t="shared" ref="S43" ca="1" si="236">BSdelta(1,P43,Strike,R43/AnnualVarConvtr,Dividend,RiskFreeRate,G43/250)</f>
        <v>0.9276244374737368</v>
      </c>
      <c r="T43" s="19">
        <f t="shared" ca="1" si="27"/>
        <v>2.0219616866282393</v>
      </c>
      <c r="U43" s="19">
        <f t="shared" ca="1" si="28"/>
        <v>-65.586524358102039</v>
      </c>
      <c r="V43" s="21">
        <f t="shared" ca="1" si="17"/>
        <v>1.6039752044137021E-4</v>
      </c>
      <c r="W43">
        <f t="shared" ca="1" si="18"/>
        <v>1.2664814267938168E-2</v>
      </c>
      <c r="X43" s="22">
        <f t="shared" ref="X43" ca="1" si="237">BSdelta(1,P43,Strike,W43*AnnualVarConvtr,Dividend,RiskFreeRate,G43/250)</f>
        <v>0.66555631597611309</v>
      </c>
      <c r="Y43" s="22">
        <f t="shared" ca="1" si="30"/>
        <v>-6.4334251047003166</v>
      </c>
      <c r="Z43" s="22">
        <f t="shared" ca="1" si="31"/>
        <v>-35.899159717121925</v>
      </c>
      <c r="AA43">
        <f t="shared" si="10"/>
        <v>0.73884103340948371</v>
      </c>
      <c r="AB43">
        <f t="shared" ref="AB43" ca="1" si="238">BSdelta(1,P43,Strike,AA43/AnnualVarConvtr,Dividend,RiskFreeRate,G43/250)</f>
        <v>0.92773742387871849</v>
      </c>
      <c r="AC43">
        <f t="shared" ca="1" si="21"/>
        <v>2.0382932220923369</v>
      </c>
      <c r="AD43">
        <f t="shared" ca="1" si="22"/>
        <v>-65.598817783784298</v>
      </c>
    </row>
    <row r="44" spans="7:30">
      <c r="G44" s="19">
        <v>211</v>
      </c>
      <c r="H44" s="19">
        <f t="shared" ca="1" si="160"/>
        <v>0.24227316983652725</v>
      </c>
      <c r="I44" s="19">
        <f t="shared" ca="1" si="160"/>
        <v>0.32423508592056294</v>
      </c>
      <c r="J44" s="19">
        <f t="shared" ca="1" si="3"/>
        <v>-0.75723614502461423</v>
      </c>
      <c r="K44" s="19">
        <f t="shared" ca="1" si="4"/>
        <v>1.503985437960746</v>
      </c>
      <c r="L44" s="19">
        <f t="array" aca="1" ref="L44:M44" ca="1">MMULT(J44:K44,TRANSPOSE($B$10:$C$11))</f>
        <v>-0.75723614502461423</v>
      </c>
      <c r="M44" s="19">
        <f ca="1"/>
        <v>1.5917205249903597</v>
      </c>
      <c r="N44" s="20">
        <f t="shared" ref="N44" ca="1" si="239">GetVariance(N43,Variance_Avg,Lambda,Eta,M44,"Daily")</f>
        <v>7.2927171848744254E-2</v>
      </c>
      <c r="O44" s="20">
        <f t="shared" ref="O44" ca="1" si="240">GetStockReturns(0,RiskFreeRate,N44,L44,"Daily")</f>
        <v>-1.2933200709820644E-2</v>
      </c>
      <c r="P44" s="19">
        <f t="shared" ca="1" si="143"/>
        <v>105.01458823146245</v>
      </c>
      <c r="Q44" s="19">
        <f ca="1">HCTrans(P44,Strike,RiskFreeRate,Dividend,Variance_T0*AnnualVarConvtr,(Simulation!G44)/250,0.5,Variance_Avg*AnnualVarConvtr,Lambda,SQRT(Simulation!N44),Rho,1,"Call")</f>
        <v>29.777509623901452</v>
      </c>
      <c r="R44" s="19">
        <f t="shared" ref="R44" ca="1" si="241">BSvol(1,P44,Strike,Q44,Dividend,RiskFreeRate,G44/250)</f>
        <v>0.73793728172574091</v>
      </c>
      <c r="S44" s="19">
        <f t="shared" ref="S44" ca="1" si="242">BSdelta(1,P44,Strike,R44/AnnualVarConvtr,Dividend,RiskFreeRate,G44/250)</f>
        <v>0.87750370435825453</v>
      </c>
      <c r="T44" s="19">
        <f t="shared" ca="1" si="27"/>
        <v>-5.2634081499813945</v>
      </c>
      <c r="U44" s="19">
        <f t="shared" ca="1" si="28"/>
        <v>-61.338967471557716</v>
      </c>
      <c r="V44" s="21">
        <f t="shared" ca="1" si="17"/>
        <v>3.3385790429656001E-4</v>
      </c>
      <c r="W44">
        <f t="shared" ca="1" si="18"/>
        <v>1.8271778903449987E-2</v>
      </c>
      <c r="X44" s="22">
        <f t="shared" ref="X44" ca="1" si="243">BSdelta(1,P44,Strike,W44*AnnualVarConvtr,Dividend,RiskFreeRate,G44/250)</f>
        <v>0.62439993122057702</v>
      </c>
      <c r="Y44" s="22">
        <f t="shared" ca="1" si="30"/>
        <v>-4.3220207981982588</v>
      </c>
      <c r="Z44" s="22">
        <f t="shared" ca="1" si="31"/>
        <v>-32.592990182360737</v>
      </c>
      <c r="AA44">
        <f t="shared" si="10"/>
        <v>0.73884103340948371</v>
      </c>
      <c r="AB44">
        <f t="shared" ref="AB44" ca="1" si="244">BSdelta(1,P44,Strike,AA44/AnnualVarConvtr,Dividend,RiskFreeRate,G44/250)</f>
        <v>0.87722550892044215</v>
      </c>
      <c r="AC44">
        <f t="shared" ca="1" si="21"/>
        <v>-5.3044879501260382</v>
      </c>
      <c r="AD44">
        <f t="shared" ca="1" si="22"/>
        <v>-61.310181097095331</v>
      </c>
    </row>
    <row r="45" spans="7:30">
      <c r="G45" s="19">
        <v>210</v>
      </c>
      <c r="H45" s="19">
        <f t="shared" ca="1" si="160"/>
        <v>0.2854136602743047</v>
      </c>
      <c r="I45" s="19">
        <f t="shared" ca="1" si="160"/>
        <v>0.51298662759997926</v>
      </c>
      <c r="J45" s="19">
        <f t="shared" ca="1" si="3"/>
        <v>-1.5782814387433453</v>
      </c>
      <c r="K45" s="19">
        <f t="shared" ca="1" si="4"/>
        <v>-0.12907022533417623</v>
      </c>
      <c r="L45" s="19">
        <f t="array" aca="1" ref="L45:M45" ca="1">MMULT(J45:K45,TRANSPOSE($B$10:$C$11))</f>
        <v>-1.5782814387433453</v>
      </c>
      <c r="M45" s="19">
        <f ca="1"/>
        <v>1.0408009277905292</v>
      </c>
      <c r="N45" s="20">
        <f t="shared" ref="N45" ca="1" si="245">GetVariance(N44,Variance_Avg,Lambda,Eta,M45,"Daily")</f>
        <v>7.9632635792487139E-2</v>
      </c>
      <c r="O45" s="20">
        <f t="shared" ref="O45" ca="1" si="246">GetStockReturns(0,RiskFreeRate,N45,L45,"Daily")</f>
        <v>-2.8168258016828696E-2</v>
      </c>
      <c r="P45" s="19">
        <f t="shared" ca="1" si="143"/>
        <v>102.09778372477109</v>
      </c>
      <c r="Q45" s="19">
        <f ca="1">HCTrans(P45,Strike,RiskFreeRate,Dividend,Variance_T0*AnnualVarConvtr,(Simulation!G45)/250,0.5,Variance_Avg*AnnualVarConvtr,Lambda,SQRT(Simulation!N45),Rho,1,"Call")</f>
        <v>27.750560269093683</v>
      </c>
      <c r="R45" s="19">
        <f t="shared" ref="R45" ca="1" si="247">BSvol(1,P45,Strike,Q45,Dividend,RiskFreeRate,G45/250)</f>
        <v>0.73609359829114773</v>
      </c>
      <c r="S45" s="19">
        <f t="shared" ref="S45" ca="1" si="248">BSdelta(1,P45,Strike,R45/AnnualVarConvtr,Dividend,RiskFreeRate,G45/250)</f>
        <v>0.69423839403098131</v>
      </c>
      <c r="T45" s="19">
        <f t="shared" ca="1" si="27"/>
        <v>-18.710982018046998</v>
      </c>
      <c r="U45" s="19">
        <f t="shared" ca="1" si="28"/>
        <v>-44.654934808318487</v>
      </c>
      <c r="V45" s="21">
        <f t="shared" ca="1" si="17"/>
        <v>2.3210697114781946E-4</v>
      </c>
      <c r="W45">
        <f t="shared" ca="1" si="18"/>
        <v>1.5235057307008052E-2</v>
      </c>
      <c r="X45" s="22">
        <f t="shared" ref="X45" ca="1" si="249">BSdelta(1,P45,Strike,W45*AnnualVarConvtr,Dividend,RiskFreeRate,G45/250)</f>
        <v>0.58098883321037686</v>
      </c>
      <c r="Y45" s="22">
        <f t="shared" ca="1" si="30"/>
        <v>-4.4321768959002563</v>
      </c>
      <c r="Z45" s="22">
        <f t="shared" ca="1" si="31"/>
        <v>-30.18776264126825</v>
      </c>
      <c r="AA45">
        <f t="shared" si="10"/>
        <v>0.73884103340948371</v>
      </c>
      <c r="AB45">
        <f t="shared" ref="AB45" ca="1" si="250">BSdelta(1,P45,Strike,AA45/AnnualVarConvtr,Dividend,RiskFreeRate,G45/250)</f>
        <v>0.69363157846288959</v>
      </c>
      <c r="AC45">
        <f t="shared" ca="1" si="21"/>
        <v>-18.744533405035867</v>
      </c>
      <c r="AD45">
        <f t="shared" ca="1" si="22"/>
        <v>-44.592597046867233</v>
      </c>
    </row>
    <row r="46" spans="7:30">
      <c r="G46" s="19">
        <v>209</v>
      </c>
      <c r="H46" s="19">
        <f t="shared" ca="1" si="160"/>
        <v>0.39975738928609728</v>
      </c>
      <c r="I46" s="19">
        <f t="shared" ca="1" si="160"/>
        <v>0.48121434620739922</v>
      </c>
      <c r="J46" s="19">
        <f t="shared" ca="1" si="3"/>
        <v>-1.3447546043301304</v>
      </c>
      <c r="K46" s="19">
        <f t="shared" ca="1" si="4"/>
        <v>0.15946767532731054</v>
      </c>
      <c r="L46" s="19">
        <f t="array" aca="1" ref="L46:M46" ca="1">MMULT(J46:K46,TRANSPOSE($B$10:$C$11))</f>
        <v>-1.3447546043301304</v>
      </c>
      <c r="M46" s="19">
        <f ca="1"/>
        <v>1.0747592657963883</v>
      </c>
      <c r="N46" s="20">
        <f t="shared" ref="N46" ca="1" si="251">GetVariance(N45,Variance_Avg,Lambda,Eta,M46,"Daily")</f>
        <v>8.6858203154609612E-2</v>
      </c>
      <c r="O46" s="20">
        <f t="shared" ref="O46" ca="1" si="252">GetStockReturns(0,RiskFreeRate,N46,L46,"Daily")</f>
        <v>-2.5065620267274293E-2</v>
      </c>
      <c r="P46" s="19">
        <f t="shared" ca="1" si="143"/>
        <v>99.570446409207406</v>
      </c>
      <c r="Q46" s="19">
        <f ca="1">HCTrans(P46,Strike,RiskFreeRate,Dividend,Variance_T0*AnnualVarConvtr,(Simulation!G46)/250,0.5,Variance_Avg*AnnualVarConvtr,Lambda,SQRT(Simulation!N46),Rho,1,"Call")</f>
        <v>26.017967335928134</v>
      </c>
      <c r="R46" s="19">
        <f t="shared" ref="R46" ca="1" si="253">BSvol(1,P46,Strike,Q46,Dividend,RiskFreeRate,G46/250)</f>
        <v>0.73426141444302018</v>
      </c>
      <c r="S46" s="19">
        <f t="shared" ref="S46" ca="1" si="254">BSdelta(1,P46,Strike,R46/AnnualVarConvtr,Dividend,RiskFreeRate,G46/250)</f>
        <v>0.46805759899768928</v>
      </c>
      <c r="T46" s="19">
        <f t="shared" ca="1" si="27"/>
        <v>-22.520922730654327</v>
      </c>
      <c r="U46" s="19">
        <f t="shared" ca="1" si="28"/>
        <v>-23.866605010829709</v>
      </c>
      <c r="V46" s="21">
        <f t="shared" ca="1" si="17"/>
        <v>9.6263610049600113E-6</v>
      </c>
      <c r="W46">
        <f t="shared" ca="1" si="18"/>
        <v>3.102637749554403E-3</v>
      </c>
      <c r="X46" s="22">
        <f t="shared" ref="X46" ca="1" si="255">BSdelta(1,P46,Strike,W46*AnnualVarConvtr,Dividend,RiskFreeRate,G46/250)</f>
        <v>0.47068601401029664</v>
      </c>
      <c r="Y46" s="22">
        <f t="shared" ca="1" si="30"/>
        <v>-10.982900947946082</v>
      </c>
      <c r="Z46" s="22">
        <f t="shared" ca="1" si="31"/>
        <v>-20.937454626487717</v>
      </c>
      <c r="AA46">
        <f t="shared" si="10"/>
        <v>0.73884103340948371</v>
      </c>
      <c r="AB46">
        <f t="shared" ref="AB46" ca="1" si="256">BSdelta(1,P46,Strike,AA46/AnnualVarConvtr,Dividend,RiskFreeRate,G46/250)</f>
        <v>0.46836016127994184</v>
      </c>
      <c r="AC46">
        <f t="shared" ca="1" si="21"/>
        <v>-22.430375572140903</v>
      </c>
      <c r="AD46">
        <f t="shared" ca="1" si="22"/>
        <v>-23.894814407891879</v>
      </c>
    </row>
    <row r="47" spans="7:30">
      <c r="G47" s="19">
        <v>208</v>
      </c>
      <c r="H47" s="19">
        <f t="shared" ca="1" si="160"/>
        <v>4.5568992016962184E-2</v>
      </c>
      <c r="I47" s="19">
        <f t="shared" ca="1" si="160"/>
        <v>9.0539113381570502E-2</v>
      </c>
      <c r="J47" s="19">
        <f t="shared" ca="1" si="3"/>
        <v>2.0939428062130223</v>
      </c>
      <c r="K47" s="19">
        <f t="shared" ca="1" si="4"/>
        <v>1.3388275135720786</v>
      </c>
      <c r="L47" s="19">
        <f t="array" aca="1" ref="L47:M47" ca="1">MMULT(J47:K47,TRANSPOSE($B$10:$C$11))</f>
        <v>2.0939428062130223</v>
      </c>
      <c r="M47" s="19">
        <f ca="1"/>
        <v>-0.56636122965695168</v>
      </c>
      <c r="N47" s="20">
        <f t="shared" ref="N47" ca="1" si="257">GetVariance(N46,Variance_Avg,Lambda,Eta,M47,"Daily")</f>
        <v>8.2390476567332324E-2</v>
      </c>
      <c r="O47" s="20">
        <f t="shared" ref="O47" ca="1" si="258">GetStockReturns(0,RiskFreeRate,N47,L47,"Daily")</f>
        <v>3.8013102645674646E-2</v>
      </c>
      <c r="P47" s="19">
        <f t="shared" ca="1" si="143"/>
        <v>103.42828773222706</v>
      </c>
      <c r="Q47" s="19">
        <f ca="1">HCTrans(P47,Strike,RiskFreeRate,Dividend,Variance_T0*AnnualVarConvtr,(Simulation!G47)/250,0.5,Variance_Avg*AnnualVarConvtr,Lambda,SQRT(Simulation!N47),Rho,1,"Call")</f>
        <v>28.505266754816915</v>
      </c>
      <c r="R47" s="19">
        <f t="shared" ref="R47" ca="1" si="259">BSvol(1,P47,Strike,Q47,Dividend,RiskFreeRate,G47/250)</f>
        <v>0.73657862365883509</v>
      </c>
      <c r="S47" s="19">
        <f t="shared" ref="S47" ca="1" si="260">BSdelta(1,P47,Strike,R47/AnnualVarConvtr,Dividend,RiskFreeRate,G47/250)</f>
        <v>0.79232808369641505</v>
      </c>
      <c r="T47" s="19">
        <f t="shared" ca="1" si="27"/>
        <v>33.538740994488542</v>
      </c>
      <c r="U47" s="19">
        <f t="shared" ca="1" si="28"/>
        <v>-54.918046586429469</v>
      </c>
      <c r="V47" s="21">
        <f t="shared" ca="1" si="17"/>
        <v>3.9789252843285897E-3</v>
      </c>
      <c r="W47">
        <f t="shared" ca="1" si="18"/>
        <v>6.3078722912948942E-2</v>
      </c>
      <c r="X47" s="22">
        <f t="shared" ref="X47" ca="1" si="261">BSdelta(1,P47,Strike,W47*AnnualVarConvtr,Dividend,RiskFreeRate,G47/250)</f>
        <v>0.6886120727131898</v>
      </c>
      <c r="Y47" s="22">
        <f t="shared" ca="1" si="30"/>
        <v>22.53971910387304</v>
      </c>
      <c r="Z47" s="22">
        <f t="shared" ca="1" si="31"/>
        <v>-40.989874311471979</v>
      </c>
      <c r="AA47">
        <f t="shared" si="10"/>
        <v>0.73884103340948371</v>
      </c>
      <c r="AB47">
        <f t="shared" ref="AB47" ca="1" si="262">BSdelta(1,P47,Strike,AA47/AnnualVarConvtr,Dividend,RiskFreeRate,G47/250)</f>
        <v>0.79165062839700573</v>
      </c>
      <c r="AC47">
        <f t="shared" ca="1" si="21"/>
        <v>33.437379454069777</v>
      </c>
      <c r="AD47">
        <f t="shared" ca="1" si="22"/>
        <v>-54.844894443072874</v>
      </c>
    </row>
    <row r="48" spans="7:30">
      <c r="G48" s="19">
        <v>207</v>
      </c>
      <c r="H48" s="19">
        <f t="shared" ca="1" si="160"/>
        <v>0.38773481559752376</v>
      </c>
      <c r="I48" s="19">
        <f t="shared" ca="1" si="160"/>
        <v>8.5068202202225329E-2</v>
      </c>
      <c r="J48" s="19">
        <f t="shared" ca="1" si="3"/>
        <v>1.1845469782938969</v>
      </c>
      <c r="K48" s="19">
        <f t="shared" ca="1" si="4"/>
        <v>0.70122445206901618</v>
      </c>
      <c r="L48" s="19">
        <f t="array" aca="1" ref="L48:M48" ca="1">MMULT(J48:K48,TRANSPOSE($B$10:$C$11))</f>
        <v>1.1845469782938969</v>
      </c>
      <c r="M48" s="19">
        <f ca="1"/>
        <v>-0.35956278405437869</v>
      </c>
      <c r="N48" s="20">
        <f t="shared" ref="N48" ca="1" si="263">GetVariance(N47,Variance_Avg,Lambda,Eta,M48,"Daily")</f>
        <v>7.9479801895309107E-2</v>
      </c>
      <c r="O48" s="20">
        <f t="shared" ref="O48" ca="1" si="264">GetStockReturns(0,RiskFreeRate,N48,L48,"Daily")</f>
        <v>2.1120815015443412E-2</v>
      </c>
      <c r="P48" s="19">
        <f t="shared" ca="1" si="143"/>
        <v>105.6360098405071</v>
      </c>
      <c r="Q48" s="19">
        <f ca="1">HCTrans(P48,Strike,RiskFreeRate,Dividend,Variance_T0*AnnualVarConvtr,(Simulation!G48)/250,0.5,Variance_Avg*AnnualVarConvtr,Lambda,SQRT(Simulation!N48),Rho,1,"Call")</f>
        <v>29.936989662511891</v>
      </c>
      <c r="R48" s="19">
        <f t="shared" ref="R48" ca="1" si="265">BSvol(1,P48,Strike,Q48,Dividend,RiskFreeRate,G48/250)</f>
        <v>0.73787830473425531</v>
      </c>
      <c r="S48" s="19">
        <f t="shared" ref="S48" ca="1" si="266">BSdelta(1,P48,Strike,R48/AnnualVarConvtr,Dividend,RiskFreeRate,G48/250)</f>
        <v>0.90530681451446893</v>
      </c>
      <c r="T48" s="19">
        <f t="shared" ca="1" si="27"/>
        <v>11.934622320463943</v>
      </c>
      <c r="U48" s="19">
        <f t="shared" ca="1" si="28"/>
        <v>-65.420945999198437</v>
      </c>
      <c r="V48" s="21">
        <f t="shared" ca="1" si="17"/>
        <v>2.8534938138246316E-4</v>
      </c>
      <c r="W48">
        <f t="shared" ca="1" si="18"/>
        <v>1.6892287630231234E-2</v>
      </c>
      <c r="X48" s="22">
        <f t="shared" ref="X48" ca="1" si="267">BSdelta(1,P48,Strike,W48*AnnualVarConvtr,Dividend,RiskFreeRate,G48/250)</f>
        <v>0.63574871268876199</v>
      </c>
      <c r="Y48" s="22">
        <f t="shared" ca="1" si="30"/>
        <v>-5.5842744197427265</v>
      </c>
      <c r="Z48" s="22">
        <f t="shared" ca="1" si="31"/>
        <v>-33.973876984034277</v>
      </c>
      <c r="AA48">
        <f t="shared" si="10"/>
        <v>0.73884103340948371</v>
      </c>
      <c r="AB48">
        <f t="shared" ref="AB48" ca="1" si="268">BSdelta(1,P48,Strike,AA48/AnnualVarConvtr,Dividend,RiskFreeRate,G48/250)</f>
        <v>0.90502749954347927</v>
      </c>
      <c r="AC48">
        <f t="shared" ca="1" si="21"/>
        <v>11.976680276114784</v>
      </c>
      <c r="AD48">
        <f t="shared" ca="1" si="22"/>
        <v>-65.38985181149269</v>
      </c>
    </row>
    <row r="49" spans="7:30">
      <c r="G49" s="19">
        <v>206</v>
      </c>
      <c r="H49" s="19">
        <f t="shared" ca="1" si="160"/>
        <v>0.59848619792451441</v>
      </c>
      <c r="I49" s="19">
        <f t="shared" ca="1" si="160"/>
        <v>8.939601937427355E-2</v>
      </c>
      <c r="J49" s="19">
        <f t="shared" ca="1" si="3"/>
        <v>0.85758119151864098</v>
      </c>
      <c r="K49" s="19">
        <f t="shared" ca="1" si="4"/>
        <v>0.53968336149760487</v>
      </c>
      <c r="L49" s="19">
        <f t="array" aca="1" ref="L49:M49" ca="1">MMULT(J49:K49,TRANSPOSE($B$10:$C$11))</f>
        <v>0.85758119151864098</v>
      </c>
      <c r="M49" s="19">
        <f ca="1"/>
        <v>-0.2379807773330237</v>
      </c>
      <c r="N49" s="20">
        <f t="shared" ref="N49" ca="1" si="269">GetVariance(N48,Variance_Avg,Lambda,Eta,M49,"Daily")</f>
        <v>7.745921337010292E-2</v>
      </c>
      <c r="O49" s="20">
        <f t="shared" ref="O49" ca="1" si="270">GetStockReturns(0,RiskFreeRate,N49,L49,"Daily")</f>
        <v>1.5095301243789256E-2</v>
      </c>
      <c r="P49" s="19">
        <f t="shared" ca="1" si="143"/>
        <v>107.24271355997179</v>
      </c>
      <c r="Q49" s="19">
        <f ca="1">HCTrans(P49,Strike,RiskFreeRate,Dividend,Variance_T0*AnnualVarConvtr,(Simulation!G49)/250,0.5,Variance_Avg*AnnualVarConvtr,Lambda,SQRT(Simulation!N49),Rho,1,"Call")</f>
        <v>30.976167675838738</v>
      </c>
      <c r="R49" s="19">
        <f t="shared" ref="R49" ca="1" si="271">BSvol(1,P49,Strike,Q49,Dividend,RiskFreeRate,G49/250)</f>
        <v>0.73879537991790045</v>
      </c>
      <c r="S49" s="19">
        <f t="shared" ref="S49" ca="1" si="272">BSdelta(1,P49,Strike,R49/AnnualVarConvtr,Dividend,RiskFreeRate,G49/250)</f>
        <v>0.95251971276416814</v>
      </c>
      <c r="T49" s="19">
        <f t="shared" ca="1" si="27"/>
        <v>5.0632393233285855</v>
      </c>
      <c r="U49" s="19">
        <f t="shared" ca="1" si="28"/>
        <v>-69.445007309200179</v>
      </c>
      <c r="V49" s="21">
        <f t="shared" ca="1" si="17"/>
        <v>3.6306816212393884E-5</v>
      </c>
      <c r="W49">
        <f t="shared" ca="1" si="18"/>
        <v>6.0255137716541552E-3</v>
      </c>
      <c r="X49" s="22">
        <f t="shared" ref="X49" ca="1" si="273">BSdelta(1,P49,Strike,W49*AnnualVarConvtr,Dividend,RiskFreeRate,G49/250)</f>
        <v>0.80283209078337148</v>
      </c>
      <c r="Y49" s="22">
        <f t="shared" ca="1" si="30"/>
        <v>17.91847485763267</v>
      </c>
      <c r="Z49" s="22">
        <f t="shared" ca="1" si="31"/>
        <v>-50.853173828340104</v>
      </c>
      <c r="AA49">
        <f t="shared" si="10"/>
        <v>0.73884103340948371</v>
      </c>
      <c r="AB49">
        <f t="shared" ref="AB49" ca="1" si="274">BSdelta(1,P49,Strike,AA49/AnnualVarConvtr,Dividend,RiskFreeRate,G49/250)</f>
        <v>0.95250976085485095</v>
      </c>
      <c r="AC49">
        <f t="shared" ca="1" si="21"/>
        <v>5.0921265489951635</v>
      </c>
      <c r="AD49">
        <f t="shared" ca="1" si="22"/>
        <v>-69.442800347161011</v>
      </c>
    </row>
    <row r="50" spans="7:30">
      <c r="G50" s="19">
        <v>205</v>
      </c>
      <c r="H50" s="19">
        <f t="shared" ca="1" si="160"/>
        <v>0.12470252696318429</v>
      </c>
      <c r="I50" s="19">
        <f t="shared" ca="1" si="160"/>
        <v>0.65731676009912254</v>
      </c>
      <c r="J50" s="19">
        <f t="shared" ca="1" si="3"/>
        <v>-1.1222449587024617</v>
      </c>
      <c r="K50" s="19">
        <f t="shared" ca="1" si="4"/>
        <v>-1.7041756297371646</v>
      </c>
      <c r="L50" s="19">
        <f t="array" aca="1" ref="L50:M50" ca="1">MMULT(J50:K50,TRANSPOSE($B$10:$C$11))</f>
        <v>-1.1222449587024617</v>
      </c>
      <c r="M50" s="19">
        <f ca="1"/>
        <v>-0.38472240776541555</v>
      </c>
      <c r="N50" s="20">
        <f t="shared" ref="N50" ca="1" si="275">GetVariance(N49,Variance_Avg,Lambda,Eta,M50,"Daily")</f>
        <v>7.4482698868843941E-2</v>
      </c>
      <c r="O50" s="20">
        <f t="shared" ref="O50" ca="1" si="276">GetStockReturns(0,RiskFreeRate,N50,L50,"Daily")</f>
        <v>-1.9370702057268881E-2</v>
      </c>
      <c r="P50" s="19">
        <f t="shared" ca="1" si="143"/>
        <v>105.18533764672239</v>
      </c>
      <c r="Q50" s="19">
        <f ca="1">HCTrans(P50,Strike,RiskFreeRate,Dividend,Variance_T0*AnnualVarConvtr,(Simulation!G50)/250,0.5,Variance_Avg*AnnualVarConvtr,Lambda,SQRT(Simulation!N50),Rho,1,"Call")</f>
        <v>29.523170382499259</v>
      </c>
      <c r="R50" s="19">
        <f t="shared" ref="R50" ca="1" si="277">BSvol(1,P50,Strike,Q50,Dividend,RiskFreeRate,G50/250)</f>
        <v>0.73814543225637563</v>
      </c>
      <c r="S50" s="19">
        <f t="shared" ref="S50" ca="1" si="278">BSdelta(1,P50,Strike,R50/AnnualVarConvtr,Dividend,RiskFreeRate,G50/250)</f>
        <v>0.88819422666031711</v>
      </c>
      <c r="T50" s="19">
        <f t="shared" ca="1" si="27"/>
        <v>-6.7660979751231194</v>
      </c>
      <c r="U50" s="19">
        <f t="shared" ca="1" si="28"/>
        <v>-64.131906627416541</v>
      </c>
      <c r="V50" s="21">
        <f t="shared" ca="1" si="17"/>
        <v>1.1879053835485505E-3</v>
      </c>
      <c r="W50">
        <f t="shared" ca="1" si="18"/>
        <v>3.4466003301058139E-2</v>
      </c>
      <c r="X50" s="22">
        <f t="shared" ref="X50" ca="1" si="279">BSdelta(1,P50,Strike,W50*AnnualVarConvtr,Dividend,RiskFreeRate,G50/250)</f>
        <v>0.63652394337046991</v>
      </c>
      <c r="Y50" s="22">
        <f t="shared" ca="1" si="30"/>
        <v>-17.493178639026933</v>
      </c>
      <c r="Z50" s="22">
        <f t="shared" ca="1" si="31"/>
        <v>-34.812992482652646</v>
      </c>
      <c r="AA50">
        <f t="shared" si="10"/>
        <v>0.73884103340948371</v>
      </c>
      <c r="AB50">
        <f t="shared" ref="AB50" ca="1" si="280">BSdelta(1,P50,Strike,AA50/AnnualVarConvtr,Dividend,RiskFreeRate,G50/250)</f>
        <v>0.88798368926548177</v>
      </c>
      <c r="AC50">
        <f t="shared" ca="1" si="21"/>
        <v>-6.787196627144378</v>
      </c>
      <c r="AD50">
        <f t="shared" ca="1" si="22"/>
        <v>-64.108601013356108</v>
      </c>
    </row>
    <row r="51" spans="7:30">
      <c r="G51" s="19">
        <v>204</v>
      </c>
      <c r="H51" s="19">
        <f t="shared" ca="1" si="160"/>
        <v>0.23197417138541199</v>
      </c>
      <c r="I51" s="19">
        <f t="shared" ca="1" si="160"/>
        <v>0.36405475023373235</v>
      </c>
      <c r="J51" s="19">
        <f t="shared" ca="1" si="3"/>
        <v>-1.1228515277060953</v>
      </c>
      <c r="K51" s="19">
        <f t="shared" ca="1" si="4"/>
        <v>1.2889774762289952</v>
      </c>
      <c r="L51" s="19">
        <f t="array" aca="1" ref="L51:M51" ca="1">MMULT(J51:K51,TRANSPOSE($B$10:$C$11))</f>
        <v>-1.1228515277060953</v>
      </c>
      <c r="M51" s="19">
        <f ca="1"/>
        <v>1.7036971680428943</v>
      </c>
      <c r="N51" s="20">
        <f t="shared" ref="N51" ca="1" si="281">GetVariance(N50,Variance_Avg,Lambda,Eta,M51,"Daily")</f>
        <v>8.5962571099321233E-2</v>
      </c>
      <c r="O51" s="20">
        <f t="shared" ref="O51" ca="1" si="282">GetStockReturns(0,RiskFreeRate,N51,L51,"Daily")</f>
        <v>-2.0821260998301214E-2</v>
      </c>
      <c r="P51" s="19">
        <f t="shared" ca="1" si="143"/>
        <v>103.01788908747442</v>
      </c>
      <c r="Q51" s="19">
        <f ca="1">HCTrans(P51,Strike,RiskFreeRate,Dividend,Variance_T0*AnnualVarConvtr,(Simulation!G51)/250,0.5,Variance_Avg*AnnualVarConvtr,Lambda,SQRT(Simulation!N51),Rho,1,"Call")</f>
        <v>27.979958994596771</v>
      </c>
      <c r="R51" s="19">
        <f t="shared" ref="R51" ca="1" si="283">BSvol(1,P51,Strike,Q51,Dividend,RiskFreeRate,G51/250)</f>
        <v>0.73627332558606984</v>
      </c>
      <c r="S51" s="19">
        <f t="shared" ref="S51" ca="1" si="284">BSdelta(1,P51,Strike,R51/AnnualVarConvtr,Dividend,RiskFreeRate,G51/250)</f>
        <v>0.76665193568653844</v>
      </c>
      <c r="T51" s="19">
        <f t="shared" ca="1" si="27"/>
        <v>-12.521030250974274</v>
      </c>
      <c r="U51" s="19">
        <f t="shared" ca="1" si="28"/>
        <v>-53.154087764344752</v>
      </c>
      <c r="V51" s="21">
        <f t="shared" ca="1" si="17"/>
        <v>2.1041212414088435E-6</v>
      </c>
      <c r="W51">
        <f t="shared" ca="1" si="18"/>
        <v>1.450558941032333E-3</v>
      </c>
      <c r="X51" s="22">
        <f t="shared" ref="X51" ca="1" si="285">BSdelta(1,P51,Strike,W51*AnnualVarConvtr,Dividend,RiskFreeRate,G51/250)</f>
        <v>0.92583473182449549</v>
      </c>
      <c r="Y51" s="22">
        <f t="shared" ca="1" si="30"/>
        <v>29.80418671676658</v>
      </c>
      <c r="Z51" s="22">
        <f t="shared" ca="1" si="31"/>
        <v>-66.160390587321714</v>
      </c>
      <c r="AA51">
        <f t="shared" si="10"/>
        <v>0.73884103340948371</v>
      </c>
      <c r="AB51">
        <f t="shared" ref="AB51" ca="1" si="286">BSdelta(1,P51,Strike,AA51/AnnualVarConvtr,Dividend,RiskFreeRate,G51/250)</f>
        <v>0.76592182184988489</v>
      </c>
      <c r="AC51">
        <f t="shared" ca="1" si="21"/>
        <v>-12.574555919229967</v>
      </c>
      <c r="AD51">
        <f t="shared" ca="1" si="22"/>
        <v>-53.077256482028631</v>
      </c>
    </row>
    <row r="52" spans="7:30">
      <c r="G52" s="19">
        <v>203</v>
      </c>
      <c r="H52" s="19">
        <f t="shared" ca="1" si="160"/>
        <v>0.2269336143085392</v>
      </c>
      <c r="I52" s="19">
        <f t="shared" ca="1" si="160"/>
        <v>0.89791417597935297</v>
      </c>
      <c r="J52" s="19">
        <f t="shared" ca="1" si="3"/>
        <v>1.379954986082274</v>
      </c>
      <c r="K52" s="19">
        <f t="shared" ca="1" si="4"/>
        <v>-1.0304949009532487</v>
      </c>
      <c r="L52" s="19">
        <f t="array" aca="1" ref="L52:M52" ca="1">MMULT(J52:K52,TRANSPOSE($B$10:$C$11))</f>
        <v>1.379954986082274</v>
      </c>
      <c r="M52" s="19">
        <f ca="1"/>
        <v>-1.707597688121524</v>
      </c>
      <c r="N52" s="20">
        <f t="shared" ref="N52" ca="1" si="287">GetVariance(N51,Variance_Avg,Lambda,Eta,M52,"Daily")</f>
        <v>7.3706249373197946E-2</v>
      </c>
      <c r="O52" s="20">
        <f t="shared" ref="O52" ca="1" si="288">GetStockReturns(0,RiskFreeRate,N52,L52,"Daily")</f>
        <v>2.3694473980928207E-2</v>
      </c>
      <c r="P52" s="19">
        <f t="shared" ca="1" si="143"/>
        <v>105.48799211158989</v>
      </c>
      <c r="Q52" s="19">
        <f ca="1">HCTrans(P52,Strike,RiskFreeRate,Dividend,Variance_T0*AnnualVarConvtr,(Simulation!G52)/250,0.5,Variance_Avg*AnnualVarConvtr,Lambda,SQRT(Simulation!N52),Rho,1,"Call")</f>
        <v>29.606390411654985</v>
      </c>
      <c r="R52" s="19">
        <f t="shared" ref="R52" ca="1" si="289">BSvol(1,P52,Strike,Q52,Dividend,RiskFreeRate,G52/250)</f>
        <v>0.73842691119678749</v>
      </c>
      <c r="S52" s="19">
        <f t="shared" ref="S52" ca="1" si="290">BSdelta(1,P52,Strike,R52/AnnualVarConvtr,Dividend,RiskFreeRate,G52/250)</f>
        <v>0.90157484517426811</v>
      </c>
      <c r="T52" s="19">
        <f t="shared" ca="1" si="27"/>
        <v>14.232746811714383</v>
      </c>
      <c r="U52" s="19">
        <f t="shared" ca="1" si="28"/>
        <v>-65.760403159000916</v>
      </c>
      <c r="V52" s="21">
        <f t="shared" ca="1" si="17"/>
        <v>1.9816506607409899E-3</v>
      </c>
      <c r="W52">
        <f t="shared" ca="1" si="18"/>
        <v>4.4515734979229421E-2</v>
      </c>
      <c r="X52" s="22">
        <f t="shared" ref="X52" ca="1" si="291">BSdelta(1,P52,Strike,W52*AnnualVarConvtr,Dividend,RiskFreeRate,G52/250)</f>
        <v>0.65592318617476486</v>
      </c>
      <c r="Y52" s="22">
        <f t="shared" ca="1" si="30"/>
        <v>-28.472426998325819</v>
      </c>
      <c r="Z52" s="22">
        <f t="shared" ca="1" si="31"/>
        <v>-36.061532171937685</v>
      </c>
      <c r="AA52">
        <f t="shared" si="10"/>
        <v>0.73884103340948371</v>
      </c>
      <c r="AB52">
        <f t="shared" ref="AB52" ca="1" si="292">BSdelta(1,P52,Strike,AA52/AnnualVarConvtr,Dividend,RiskFreeRate,G52/250)</f>
        <v>0.90145339794172485</v>
      </c>
      <c r="AC52">
        <f t="shared" ca="1" si="21"/>
        <v>14.296953829647359</v>
      </c>
      <c r="AD52">
        <f t="shared" ca="1" si="22"/>
        <v>-65.747778894617781</v>
      </c>
    </row>
    <row r="53" spans="7:30">
      <c r="G53" s="19">
        <v>202</v>
      </c>
      <c r="H53" s="19">
        <f t="shared" ca="1" si="160"/>
        <v>0.58884396684680174</v>
      </c>
      <c r="I53" s="19">
        <f t="shared" ca="1" si="160"/>
        <v>0.39229545082544615</v>
      </c>
      <c r="J53" s="19">
        <f t="shared" ca="1" si="3"/>
        <v>-0.80236682223071665</v>
      </c>
      <c r="K53" s="19">
        <f t="shared" ca="1" si="4"/>
        <v>0.64451188304403895</v>
      </c>
      <c r="L53" s="19">
        <f t="array" aca="1" ref="L53:M53" ca="1">MMULT(J53:K53,TRANSPOSE($B$10:$C$11))</f>
        <v>-0.80236682223071665</v>
      </c>
      <c r="M53" s="19">
        <f ca="1"/>
        <v>1.0244989979531249</v>
      </c>
      <c r="N53" s="20">
        <f t="shared" ref="N53" ca="1" si="293">GetVariance(N52,Variance_Avg,Lambda,Eta,M53,"Daily")</f>
        <v>8.0330715794319052E-2</v>
      </c>
      <c r="O53" s="20">
        <f t="shared" ref="O53" ca="1" si="294">GetStockReturns(0,RiskFreeRate,N53,L53,"Daily")</f>
        <v>-1.4382811094790001E-2</v>
      </c>
      <c r="P53" s="19">
        <f t="shared" ca="1" si="143"/>
        <v>103.98163702621868</v>
      </c>
      <c r="Q53" s="19">
        <f ca="1">HCTrans(P53,Strike,RiskFreeRate,Dividend,Variance_T0*AnnualVarConvtr,(Simulation!G53)/250,0.5,Variance_Avg*AnnualVarConvtr,Lambda,SQRT(Simulation!N53),Rho,1,"Call")</f>
        <v>28.514863476729886</v>
      </c>
      <c r="R53" s="19">
        <f t="shared" ref="R53" ca="1" si="295">BSvol(1,P53,Strike,Q53,Dividend,RiskFreeRate,G53/250)</f>
        <v>0.73727077045658418</v>
      </c>
      <c r="S53" s="19">
        <f t="shared" ref="S53" ca="1" si="296">BSdelta(1,P53,Strike,R53/AnnualVarConvtr,Dividend,RiskFreeRate,G53/250)</f>
        <v>0.82957295949803966</v>
      </c>
      <c r="T53" s="19">
        <f t="shared" ca="1" si="27"/>
        <v>-7.4868739415888808</v>
      </c>
      <c r="U53" s="19">
        <f t="shared" ca="1" si="28"/>
        <v>-59.365056152337132</v>
      </c>
      <c r="V53" s="21">
        <f t="shared" ca="1" si="17"/>
        <v>1.4498796387375128E-3</v>
      </c>
      <c r="W53">
        <f t="shared" ca="1" si="18"/>
        <v>3.8077285075718212E-2</v>
      </c>
      <c r="X53" s="22">
        <f t="shared" ref="X53" ca="1" si="297">BSdelta(1,P53,Strike,W53*AnnualVarConvtr,Dividend,RiskFreeRate,G53/250)</f>
        <v>0.63410155796360823</v>
      </c>
      <c r="Y53" s="22">
        <f t="shared" ca="1" si="30"/>
        <v>-2.2690486239735823</v>
      </c>
      <c r="Z53" s="22">
        <f t="shared" ca="1" si="31"/>
        <v>-34.884010482889202</v>
      </c>
      <c r="AA53">
        <f t="shared" si="10"/>
        <v>0.73884103340948371</v>
      </c>
      <c r="AB53">
        <f t="shared" ref="AB53" ca="1" si="298">BSdelta(1,P53,Strike,AA53/AnnualVarConvtr,Dividend,RiskFreeRate,G53/250)</f>
        <v>0.82908202735073155</v>
      </c>
      <c r="AC53">
        <f t="shared" ca="1" si="21"/>
        <v>-7.5252935878826221</v>
      </c>
      <c r="AD53">
        <f t="shared" ca="1" si="22"/>
        <v>-59.314012241660258</v>
      </c>
    </row>
    <row r="54" spans="7:30">
      <c r="G54" s="19">
        <v>201</v>
      </c>
      <c r="H54" s="19">
        <f t="shared" ca="1" si="160"/>
        <v>0.88848226080142312</v>
      </c>
      <c r="I54" s="19">
        <f t="shared" ca="1" si="160"/>
        <v>0.91758014980706126</v>
      </c>
      <c r="J54" s="19">
        <f t="shared" ca="1" si="3"/>
        <v>0.4225309856821442</v>
      </c>
      <c r="K54" s="19">
        <f t="shared" ca="1" si="4"/>
        <v>-0.24072548676536532</v>
      </c>
      <c r="L54" s="19">
        <f t="array" aca="1" ref="L54:M54" ca="1">MMULT(J54:K54,TRANSPOSE($B$10:$C$11))</f>
        <v>0.4225309856821442</v>
      </c>
      <c r="M54" s="19">
        <f ca="1"/>
        <v>-0.47067044336458824</v>
      </c>
      <c r="N54" s="20">
        <f t="shared" ref="N54" ca="1" si="299">GetVariance(N53,Variance_Avg,Lambda,Eta,M54,"Daily")</f>
        <v>7.6704493775408306E-2</v>
      </c>
      <c r="O54" s="20">
        <f t="shared" ref="O54" ca="1" si="300">GetStockReturns(0,RiskFreeRate,N54,L54,"Daily")</f>
        <v>7.4011458469185141E-3</v>
      </c>
      <c r="P54" s="19">
        <f t="shared" ca="1" si="143"/>
        <v>104.75407522515361</v>
      </c>
      <c r="Q54" s="19">
        <f ca="1">HCTrans(P54,Strike,RiskFreeRate,Dividend,Variance_T0*AnnualVarConvtr,(Simulation!G54)/250,0.5,Variance_Avg*AnnualVarConvtr,Lambda,SQRT(Simulation!N54),Rho,1,"Call")</f>
        <v>28.980279095724825</v>
      </c>
      <c r="R54" s="19">
        <f t="shared" ref="R54" ca="1" si="301">BSvol(1,P54,Strike,Q54,Dividend,RiskFreeRate,G54/250)</f>
        <v>0.73795481736459978</v>
      </c>
      <c r="S54" s="19">
        <f t="shared" ref="S54" ca="1" si="302">BSdelta(1,P54,Strike,R54/AnnualVarConvtr,Dividend,RiskFreeRate,G54/250)</f>
        <v>0.87091935672291831</v>
      </c>
      <c r="T54" s="19">
        <f t="shared" ca="1" si="27"/>
        <v>4.3312036051840206</v>
      </c>
      <c r="U54" s="19">
        <f t="shared" ca="1" si="28"/>
        <v>-63.230844138526216</v>
      </c>
      <c r="V54" s="21">
        <f t="shared" ca="1" si="17"/>
        <v>4.7454078003821069E-4</v>
      </c>
      <c r="W54">
        <f t="shared" ca="1" si="18"/>
        <v>2.1783956941708517E-2</v>
      </c>
      <c r="X54" s="22">
        <f t="shared" ref="X54" ca="1" si="303">BSdelta(1,P54,Strike,W54*AnnualVarConvtr,Dividend,RiskFreeRate,G54/250)</f>
        <v>0.61974312774264551</v>
      </c>
      <c r="Y54" s="22">
        <f t="shared" ca="1" si="30"/>
        <v>-1.5041040794818483</v>
      </c>
      <c r="Z54" s="22">
        <f t="shared" ca="1" si="31"/>
        <v>-32.914490784412415</v>
      </c>
      <c r="AA54">
        <f t="shared" si="10"/>
        <v>0.73884103340948371</v>
      </c>
      <c r="AB54">
        <f t="shared" ref="AB54" ca="1" si="304">BSdelta(1,P54,Strike,AA54/AnnualVarConvtr,Dividend,RiskFreeRate,G54/250)</f>
        <v>0.8706442163922582</v>
      </c>
      <c r="AC54">
        <f t="shared" ca="1" si="21"/>
        <v>4.3538086773781375</v>
      </c>
      <c r="AD54">
        <f t="shared" ca="1" si="22"/>
        <v>-63.202405300043459</v>
      </c>
    </row>
    <row r="55" spans="7:30">
      <c r="G55" s="19">
        <v>200</v>
      </c>
      <c r="H55" s="19">
        <f t="shared" ca="1" si="160"/>
        <v>0.92916406989285361</v>
      </c>
      <c r="I55" s="19">
        <f t="shared" ca="1" si="160"/>
        <v>0.71037181882153022</v>
      </c>
      <c r="J55" s="19">
        <f t="shared" ca="1" si="3"/>
        <v>-9.4461990537660467E-2</v>
      </c>
      <c r="K55" s="19">
        <f t="shared" ca="1" si="4"/>
        <v>-0.37150615820402727</v>
      </c>
      <c r="L55" s="19">
        <f t="array" aca="1" ref="L55:M55" ca="1">MMULT(J55:K55,TRANSPOSE($B$10:$C$11))</f>
        <v>-9.4461990537660467E-2</v>
      </c>
      <c r="M55" s="19">
        <f ca="1"/>
        <v>-0.19147588409509275</v>
      </c>
      <c r="N55" s="20">
        <f t="shared" ref="N55" ca="1" si="305">GetVariance(N54,Variance_Avg,Lambda,Eta,M55,"Daily")</f>
        <v>7.5040409842945299E-2</v>
      </c>
      <c r="O55" s="20">
        <f t="shared" ref="O55" ca="1" si="306">GetStockReturns(0,RiskFreeRate,N55,L55,"Daily")</f>
        <v>-1.6365703822174738E-3</v>
      </c>
      <c r="P55" s="19">
        <f t="shared" ca="1" si="143"/>
        <v>104.58277801642572</v>
      </c>
      <c r="Q55" s="19">
        <f ca="1">HCTrans(P55,Strike,RiskFreeRate,Dividend,Variance_T0*AnnualVarConvtr,(Simulation!G55)/250,0.5,Variance_Avg*AnnualVarConvtr,Lambda,SQRT(Simulation!N55),Rho,1,"Call")</f>
        <v>28.807776036230237</v>
      </c>
      <c r="R55" s="19">
        <f t="shared" ref="R55" ca="1" si="307">BSvol(1,P55,Strike,Q55,Dividend,RiskFreeRate,G55/250)</f>
        <v>0.73804982505139993</v>
      </c>
      <c r="S55" s="19">
        <f t="shared" ref="S55" ca="1" si="308">BSdelta(1,P55,Strike,R55/AnnualVarConvtr,Dividend,RiskFreeRate,G55/250)</f>
        <v>0.86305041654901249</v>
      </c>
      <c r="T55" s="19">
        <f t="shared" ca="1" si="27"/>
        <v>-0.82295562343212736</v>
      </c>
      <c r="U55" s="19">
        <f t="shared" ca="1" si="28"/>
        <v>-62.580391574588674</v>
      </c>
      <c r="V55" s="21">
        <f t="shared" ca="1" si="17"/>
        <v>8.1680314638388007E-5</v>
      </c>
      <c r="W55">
        <f t="shared" ca="1" si="18"/>
        <v>9.0377162291359874E-3</v>
      </c>
      <c r="X55" s="22">
        <f t="shared" ref="X55" ca="1" si="309">BSdelta(1,P55,Strike,W55*AnnualVarConvtr,Dividend,RiskFreeRate,G55/250)</f>
        <v>0.66074146543588685</v>
      </c>
      <c r="Y55" s="22">
        <f t="shared" ca="1" si="30"/>
        <v>4.2877200500147197</v>
      </c>
      <c r="Z55" s="22">
        <f t="shared" ca="1" si="31"/>
        <v>-37.374713893921722</v>
      </c>
      <c r="AA55">
        <f t="shared" si="10"/>
        <v>0.73884103340948371</v>
      </c>
      <c r="AB55">
        <f t="shared" ref="AB55" ca="1" si="310">BSdelta(1,P55,Strike,AA55/AnnualVarConvtr,Dividend,RiskFreeRate,G55/250)</f>
        <v>0.86280317038723375</v>
      </c>
      <c r="AC55">
        <f t="shared" ca="1" si="21"/>
        <v>-0.82003837376005306</v>
      </c>
      <c r="AD55">
        <f t="shared" ca="1" si="22"/>
        <v>-62.554869985777991</v>
      </c>
    </row>
    <row r="56" spans="7:30">
      <c r="G56" s="19">
        <v>199</v>
      </c>
      <c r="H56" s="19">
        <f t="shared" ca="1" si="160"/>
        <v>0.85924634487355878</v>
      </c>
      <c r="I56" s="19">
        <f t="shared" ca="1" si="160"/>
        <v>0.61151619771586319</v>
      </c>
      <c r="J56" s="19">
        <f t="shared" ca="1" si="3"/>
        <v>-0.42104768239027945</v>
      </c>
      <c r="K56" s="19">
        <f t="shared" ca="1" si="4"/>
        <v>-0.35513107916630487</v>
      </c>
      <c r="L56" s="19">
        <f t="array" aca="1" ref="L56:M56" ca="1">MMULT(J56:K56,TRANSPOSE($B$10:$C$11))</f>
        <v>-0.42104768239027945</v>
      </c>
      <c r="M56" s="19">
        <f ca="1"/>
        <v>5.3945807873646834E-2</v>
      </c>
      <c r="N56" s="20">
        <f t="shared" ref="N56" ca="1" si="311">GetVariance(N55,Variance_Avg,Lambda,Eta,M56,"Daily")</f>
        <v>7.504274660275087E-2</v>
      </c>
      <c r="O56" s="20">
        <f t="shared" ref="O56" ca="1" si="312">GetStockReturns(0,RiskFreeRate,N56,L56,"Daily")</f>
        <v>-7.2948377584144703E-3</v>
      </c>
      <c r="P56" s="19">
        <f t="shared" ca="1" si="143"/>
        <v>103.82263953280039</v>
      </c>
      <c r="Q56" s="19">
        <f ca="1">HCTrans(P56,Strike,RiskFreeRate,Dividend,Variance_T0*AnnualVarConvtr,(Simulation!G56)/250,0.5,Variance_Avg*AnnualVarConvtr,Lambda,SQRT(Simulation!N56),Rho,1,"Call")</f>
        <v>28.237800834742231</v>
      </c>
      <c r="R56" s="19">
        <f t="shared" ref="R56" ca="1" si="313">BSvol(1,P56,Strike,Q56,Dividend,RiskFreeRate,G56/250)</f>
        <v>0.73774736863039814</v>
      </c>
      <c r="S56" s="19">
        <f t="shared" ref="S56" ca="1" si="314">BSdelta(1,P56,Strike,R56/AnnualVarConvtr,Dividend,RiskFreeRate,G56/250)</f>
        <v>0.82172673569058308</v>
      </c>
      <c r="T56" s="19">
        <f t="shared" ca="1" si="27"/>
        <v>-4.2903336219332004</v>
      </c>
      <c r="U56" s="19">
        <f t="shared" ca="1" si="28"/>
        <v>-58.86003315414348</v>
      </c>
      <c r="V56" s="21">
        <f t="shared" ca="1" si="17"/>
        <v>3.2015989700535248E-5</v>
      </c>
      <c r="W56">
        <f t="shared" ca="1" si="18"/>
        <v>5.658267376196997E-3</v>
      </c>
      <c r="X56" s="22">
        <f t="shared" ref="X56" ca="1" si="315">BSdelta(1,P56,Strike,W56*AnnualVarConvtr,Dividend,RiskFreeRate,G56/250)</f>
        <v>0.69493661597872758</v>
      </c>
      <c r="Y56" s="22">
        <f t="shared" ca="1" si="30"/>
        <v>3.5502307885791962</v>
      </c>
      <c r="Z56" s="22">
        <f t="shared" ca="1" si="31"/>
        <v>-41.494919883988928</v>
      </c>
      <c r="AA56">
        <f t="shared" si="10"/>
        <v>0.73884103340948371</v>
      </c>
      <c r="AB56">
        <f t="shared" ref="AB56" ca="1" si="316">BSdelta(1,P56,Strike,AA56/AnnualVarConvtr,Dividend,RiskFreeRate,G56/250)</f>
        <v>0.82138667372387952</v>
      </c>
      <c r="AC56">
        <f t="shared" ca="1" si="21"/>
        <v>-4.2999700037908566</v>
      </c>
      <c r="AD56">
        <f t="shared" ca="1" si="22"/>
        <v>-58.824875183475143</v>
      </c>
    </row>
    <row r="57" spans="7:30">
      <c r="G57" s="19">
        <v>198</v>
      </c>
      <c r="H57" s="19">
        <f t="shared" ca="1" si="160"/>
        <v>0.57685006862582089</v>
      </c>
      <c r="I57" s="19">
        <f t="shared" ca="1" si="160"/>
        <v>0.55868120255656351</v>
      </c>
      <c r="J57" s="19">
        <f t="shared" ca="1" si="3"/>
        <v>-0.97847730347374406</v>
      </c>
      <c r="K57" s="19">
        <f t="shared" ca="1" si="4"/>
        <v>-0.37805813292595292</v>
      </c>
      <c r="L57" s="19">
        <f t="array" aca="1" ref="L57:M57" ca="1">MMULT(J57:K57,TRANSPOSE($B$10:$C$11))</f>
        <v>-0.97847730347374406</v>
      </c>
      <c r="M57" s="19">
        <f ca="1"/>
        <v>0.4373505146348296</v>
      </c>
      <c r="N57" s="20">
        <f t="shared" ref="N57" ca="1" si="317">GetVariance(N56,Variance_Avg,Lambda,Eta,M57,"Daily")</f>
        <v>7.7648747983181901E-2</v>
      </c>
      <c r="O57" s="20">
        <f t="shared" ref="O57" ca="1" si="318">GetStockReturns(0,RiskFreeRate,N57,L57,"Daily")</f>
        <v>-1.7244395734418695E-2</v>
      </c>
      <c r="P57" s="19">
        <f t="shared" ca="1" si="143"/>
        <v>102.04762932562095</v>
      </c>
      <c r="Q57" s="19">
        <f ca="1">HCTrans(P57,Strike,RiskFreeRate,Dividend,Variance_T0*AnnualVarConvtr,(Simulation!G57)/250,0.5,Variance_Avg*AnnualVarConvtr,Lambda,SQRT(Simulation!N57),Rho,1,"Call")</f>
        <v>26.99510282381334</v>
      </c>
      <c r="R57" s="19">
        <f t="shared" ref="R57" ca="1" si="319">BSvol(1,P57,Strike,Q57,Dividend,RiskFreeRate,G57/250)</f>
        <v>0.73675090922546338</v>
      </c>
      <c r="S57" s="19">
        <f t="shared" ref="S57" ca="1" si="320">BSdelta(1,P57,Strike,R57/AnnualVarConvtr,Dividend,RiskFreeRate,G57/250)</f>
        <v>0.69481022085953126</v>
      </c>
      <c r="T57" s="19">
        <f t="shared" ca="1" si="27"/>
        <v>-12.951529460778849</v>
      </c>
      <c r="U57" s="19">
        <f t="shared" ca="1" si="28"/>
        <v>-47.15120170429352</v>
      </c>
      <c r="V57" s="21">
        <f t="shared" ca="1" si="17"/>
        <v>9.8993703917869285E-5</v>
      </c>
      <c r="W57">
        <f t="shared" ca="1" si="18"/>
        <v>9.9495579760042249E-3</v>
      </c>
      <c r="X57" s="22">
        <f t="shared" ref="X57" ca="1" si="321">BSdelta(1,P57,Strike,W57*AnnualVarConvtr,Dividend,RiskFreeRate,G57/250)</f>
        <v>0.58503077513404311</v>
      </c>
      <c r="Y57" s="22">
        <f t="shared" ca="1" si="30"/>
        <v>-11.215630507239052</v>
      </c>
      <c r="Z57" s="22">
        <f t="shared" ca="1" si="31"/>
        <v>-31.521987387678767</v>
      </c>
      <c r="AA57">
        <f t="shared" si="10"/>
        <v>0.73884103340948371</v>
      </c>
      <c r="AB57">
        <f t="shared" ref="AB57" ca="1" si="322">BSdelta(1,P57,Strike,AA57/AnnualVarConvtr,Dividend,RiskFreeRate,G57/250)</f>
        <v>0.69434618495351541</v>
      </c>
      <c r="AC57">
        <f t="shared" ca="1" si="21"/>
        <v>-12.964180707383827</v>
      </c>
      <c r="AD57">
        <f t="shared" ca="1" si="22"/>
        <v>-47.103392487020209</v>
      </c>
    </row>
    <row r="58" spans="7:30">
      <c r="G58" s="19">
        <v>197</v>
      </c>
      <c r="H58" s="19">
        <f t="shared" ca="1" si="160"/>
        <v>0.29552923726483282</v>
      </c>
      <c r="I58" s="19">
        <f t="shared" ca="1" si="160"/>
        <v>0.21518385477682234</v>
      </c>
      <c r="J58" s="19">
        <f t="shared" ca="1" si="3"/>
        <v>0.33884870129989209</v>
      </c>
      <c r="K58" s="19">
        <f t="shared" ca="1" si="4"/>
        <v>1.5241904632751879</v>
      </c>
      <c r="L58" s="19">
        <f t="array" aca="1" ref="L58:M58" ca="1">MMULT(J58:K58,TRANSPOSE($B$10:$C$11))</f>
        <v>0.33884870129989209</v>
      </c>
      <c r="M58" s="19">
        <f ca="1"/>
        <v>0.82047049743834255</v>
      </c>
      <c r="N58" s="20">
        <f t="shared" ref="N58" ca="1" si="323">GetVariance(N57,Variance_Avg,Lambda,Eta,M58,"Daily")</f>
        <v>8.298169040813011E-2</v>
      </c>
      <c r="O58" s="20">
        <f t="shared" ref="O58" ca="1" si="324">GetStockReturns(0,RiskFreeRate,N58,L58,"Daily")</f>
        <v>6.1734361382001094E-3</v>
      </c>
      <c r="P58" s="19">
        <f t="shared" ca="1" si="143"/>
        <v>102.6795624407</v>
      </c>
      <c r="Q58" s="19">
        <f ca="1">HCTrans(P58,Strike,RiskFreeRate,Dividend,Variance_T0*AnnualVarConvtr,(Simulation!G58)/250,0.5,Variance_Avg*AnnualVarConvtr,Lambda,SQRT(Simulation!N58),Rho,1,"Call")</f>
        <v>27.334290810659766</v>
      </c>
      <c r="R58" s="19">
        <f t="shared" ref="R58" ca="1" si="325">BSvol(1,P58,Strike,Q58,Dividend,RiskFreeRate,G58/250)</f>
        <v>0.73666376369444009</v>
      </c>
      <c r="S58" s="19">
        <f t="shared" ref="S58" ca="1" si="326">BSdelta(1,P58,Strike,R58/AnnualVarConvtr,Dividend,RiskFreeRate,G58/250)</f>
        <v>0.7453862805839373</v>
      </c>
      <c r="T58" s="19">
        <f t="shared" ca="1" si="27"/>
        <v>5.1931276824767227</v>
      </c>
      <c r="U58" s="19">
        <f t="shared" ca="1" si="28"/>
        <v>-52.005141399923815</v>
      </c>
      <c r="V58" s="21">
        <f t="shared" ca="1" si="17"/>
        <v>5.4839484961424106E-4</v>
      </c>
      <c r="W58">
        <f t="shared" ca="1" si="18"/>
        <v>2.3417831872618804E-2</v>
      </c>
      <c r="X58" s="22">
        <f t="shared" ref="X58" ca="1" si="327">BSdelta(1,P58,Strike,W58*AnnualVarConvtr,Dividend,RiskFreeRate,G58/250)</f>
        <v>0.59669167872103379</v>
      </c>
      <c r="Y58" s="22">
        <f t="shared" ca="1" si="30"/>
        <v>1.1973364779753919</v>
      </c>
      <c r="Z58" s="22">
        <f t="shared" ca="1" si="31"/>
        <v>-32.380135878807735</v>
      </c>
      <c r="AA58">
        <f t="shared" si="10"/>
        <v>0.73884103340948371</v>
      </c>
      <c r="AB58">
        <f t="shared" ref="AB58" ca="1" si="328">BSdelta(1,P58,Strike,AA58/AnnualVarConvtr,Dividend,RiskFreeRate,G58/250)</f>
        <v>0.74480101039291968</v>
      </c>
      <c r="AC58">
        <f t="shared" ca="1" si="21"/>
        <v>5.1806793991399296</v>
      </c>
      <c r="AD58">
        <f t="shared" ca="1" si="22"/>
        <v>-51.944883899313709</v>
      </c>
    </row>
    <row r="59" spans="7:30">
      <c r="G59" s="19">
        <v>196</v>
      </c>
      <c r="H59" s="19">
        <f t="shared" ca="1" si="160"/>
        <v>0.46626899592886883</v>
      </c>
      <c r="I59" s="19">
        <f t="shared" ca="1" si="160"/>
        <v>8.34469706963894E-2</v>
      </c>
      <c r="J59" s="19">
        <f t="shared" ca="1" si="3"/>
        <v>1.069366576397218</v>
      </c>
      <c r="K59" s="19">
        <f t="shared" ca="1" si="4"/>
        <v>0.61841754431402685</v>
      </c>
      <c r="L59" s="19">
        <f t="array" aca="1" ref="L59:M59" ca="1">MMULT(J59:K59,TRANSPOSE($B$10:$C$11))</f>
        <v>1.069366576397218</v>
      </c>
      <c r="M59" s="19">
        <f ca="1"/>
        <v>-0.33480105601882154</v>
      </c>
      <c r="N59" s="20">
        <f t="shared" ref="N59" ca="1" si="329">GetVariance(N58,Variance_Avg,Lambda,Eta,M59,"Daily")</f>
        <v>8.0231136869286443E-2</v>
      </c>
      <c r="O59" s="20">
        <f t="shared" ref="O59" ca="1" si="330">GetStockReturns(0,RiskFreeRate,N59,L59,"Daily")</f>
        <v>1.9157025380728696E-2</v>
      </c>
      <c r="P59" s="19">
        <f t="shared" ca="1" si="143"/>
        <v>104.66555958666973</v>
      </c>
      <c r="Q59" s="19">
        <f ca="1">HCTrans(P59,Strike,RiskFreeRate,Dividend,Variance_T0*AnnualVarConvtr,(Simulation!G59)/250,0.5,Variance_Avg*AnnualVarConvtr,Lambda,SQRT(Simulation!N59),Rho,1,"Call")</f>
        <v>28.600016655002818</v>
      </c>
      <c r="R59" s="19">
        <f t="shared" ref="R59" ca="1" si="331">BSvol(1,P59,Strike,Q59,Dividend,RiskFreeRate,G59/250)</f>
        <v>0.73787378528743364</v>
      </c>
      <c r="S59" s="19">
        <f t="shared" ref="S59" ca="1" si="332">BSdelta(1,P59,Strike,R59/AnnualVarConvtr,Dividend,RiskFreeRate,G59/250)</f>
        <v>0.86953925133365717</v>
      </c>
      <c r="T59" s="19">
        <f t="shared" ca="1" si="27"/>
        <v>12.994540157866869</v>
      </c>
      <c r="U59" s="19">
        <f t="shared" ca="1" si="28"/>
        <v>-63.733955713447628</v>
      </c>
      <c r="V59" s="21">
        <f t="shared" ca="1" si="17"/>
        <v>1.6857358961870405E-4</v>
      </c>
      <c r="W59">
        <f t="shared" ca="1" si="18"/>
        <v>1.2983589242528588E-2</v>
      </c>
      <c r="X59" s="22">
        <f t="shared" ref="X59" ca="1" si="333">BSdelta(1,P59,Strike,W59*AnnualVarConvtr,Dividend,RiskFreeRate,G59/250)</f>
        <v>0.63373081729486991</v>
      </c>
      <c r="Y59" s="22">
        <f t="shared" ca="1" si="30"/>
        <v>3.8767221654387614</v>
      </c>
      <c r="Z59" s="22">
        <f t="shared" ca="1" si="31"/>
        <v>-34.991132199903447</v>
      </c>
      <c r="AA59">
        <f t="shared" si="10"/>
        <v>0.73884103340948371</v>
      </c>
      <c r="AB59">
        <f t="shared" ref="AB59" ca="1" si="334">BSdelta(1,P59,Strike,AA59/AnnualVarConvtr,Dividend,RiskFreeRate,G59/250)</f>
        <v>0.86923838444354207</v>
      </c>
      <c r="AC59">
        <f t="shared" ca="1" si="21"/>
        <v>13.024307388504127</v>
      </c>
      <c r="AD59">
        <f t="shared" ca="1" si="22"/>
        <v>-63.703465443474784</v>
      </c>
    </row>
    <row r="60" spans="7:30">
      <c r="G60" s="19">
        <v>195</v>
      </c>
      <c r="H60" s="19">
        <f t="shared" ca="1" si="160"/>
        <v>0.58200860004288035</v>
      </c>
      <c r="I60" s="19">
        <f t="shared" ca="1" si="160"/>
        <v>0.95419743713600891</v>
      </c>
      <c r="J60" s="19">
        <f t="shared" ca="1" si="3"/>
        <v>0.99766290642796829</v>
      </c>
      <c r="K60" s="19">
        <f t="shared" ca="1" si="4"/>
        <v>-0.29531141942953426</v>
      </c>
      <c r="L60" s="19">
        <f t="array" aca="1" ref="L60:M60" ca="1">MMULT(J60:K60,TRANSPOSE($B$10:$C$11))</f>
        <v>0.99766290642796829</v>
      </c>
      <c r="M60" s="19">
        <f ca="1"/>
        <v>-0.92083090657408562</v>
      </c>
      <c r="N60" s="20">
        <f t="shared" ref="N60" ca="1" si="335">GetVariance(N59,Variance_Avg,Lambda,Eta,M60,"Daily")</f>
        <v>7.3575081060087158E-2</v>
      </c>
      <c r="O60" s="20">
        <f t="shared" ref="O60" ca="1" si="336">GetStockReturns(0,RiskFreeRate,N60,L60,"Daily")</f>
        <v>1.7115090327501484E-2</v>
      </c>
      <c r="P60" s="19">
        <f t="shared" ca="1" si="143"/>
        <v>106.47233757320831</v>
      </c>
      <c r="Q60" s="19">
        <f ca="1">HCTrans(P60,Strike,RiskFreeRate,Dividend,Variance_T0*AnnualVarConvtr,(Simulation!G60)/250,0.5,Variance_Avg*AnnualVarConvtr,Lambda,SQRT(Simulation!N60),Rho,1,"Call")</f>
        <v>29.772297033895754</v>
      </c>
      <c r="R60" s="19">
        <f t="shared" ref="R60" ca="1" si="337">BSvol(1,P60,Strike,Q60,Dividend,RiskFreeRate,G60/250)</f>
        <v>0.73923028021083326</v>
      </c>
      <c r="S60" s="19">
        <f t="shared" ref="S60" ca="1" si="338">BSdelta(1,P60,Strike,R60/AnnualVarConvtr,Dividend,RiskFreeRate,G60/250)</f>
        <v>0.93815817858571315</v>
      </c>
      <c r="T60" s="19">
        <f t="shared" ca="1" si="27"/>
        <v>7.3060175862923273</v>
      </c>
      <c r="U60" s="19">
        <f t="shared" ca="1" si="28"/>
        <v>-69.86769292084702</v>
      </c>
      <c r="V60" s="21">
        <f t="shared" ca="1" si="17"/>
        <v>4.1694987615980194E-6</v>
      </c>
      <c r="W60">
        <f t="shared" ca="1" si="18"/>
        <v>2.0419350532272125E-3</v>
      </c>
      <c r="X60" s="22">
        <f t="shared" ref="X60" ca="1" si="339">BSdelta(1,P60,Strike,W60*AnnualVarConvtr,Dividend,RiskFreeRate,G60/250)</f>
        <v>0.98657522933109409</v>
      </c>
      <c r="Y60" s="22">
        <f t="shared" ca="1" si="30"/>
        <v>37.568169349141066</v>
      </c>
      <c r="Z60" s="22">
        <f t="shared" ca="1" si="31"/>
        <v>-71.38702117015157</v>
      </c>
      <c r="AA60">
        <f t="shared" si="10"/>
        <v>0.73884103340948371</v>
      </c>
      <c r="AB60">
        <f t="shared" ref="AB60" ca="1" si="340">BSdelta(1,P60,Strike,AA60/AnnualVarConvtr,Dividend,RiskFreeRate,G60/250)</f>
        <v>0.9382543942563073</v>
      </c>
      <c r="AC60">
        <f t="shared" ca="1" si="21"/>
        <v>7.3482958947405965</v>
      </c>
      <c r="AD60">
        <f t="shared" ca="1" si="22"/>
        <v>-69.87948095932245</v>
      </c>
    </row>
    <row r="61" spans="7:30">
      <c r="G61" s="19">
        <v>194</v>
      </c>
      <c r="H61" s="19">
        <f t="shared" ca="1" si="160"/>
        <v>0.90216199215367476</v>
      </c>
      <c r="I61" s="19">
        <f t="shared" ca="1" si="160"/>
        <v>0.76593900739307896</v>
      </c>
      <c r="J61" s="19">
        <f t="shared" ca="1" si="3"/>
        <v>4.5369782010453913E-2</v>
      </c>
      <c r="K61" s="19">
        <f t="shared" ca="1" si="4"/>
        <v>-0.45151295506621358</v>
      </c>
      <c r="L61" s="19">
        <f t="array" aca="1" ref="L61:M61" ca="1">MMULT(J61:K61,TRANSPOSE($B$10:$C$11))</f>
        <v>4.5369782010453913E-2</v>
      </c>
      <c r="M61" s="19">
        <f ca="1"/>
        <v>-0.34747705783609856</v>
      </c>
      <c r="N61" s="20">
        <f t="shared" ref="N61" ca="1" si="341">GetVariance(N60,Variance_Avg,Lambda,Eta,M61,"Daily")</f>
        <v>7.0929452274827304E-2</v>
      </c>
      <c r="O61" s="20">
        <f t="shared" ref="O61" ca="1" si="342">GetStockReturns(0,RiskFreeRate,N61,L61,"Daily")</f>
        <v>7.6420520503789802E-4</v>
      </c>
      <c r="P61" s="19">
        <f t="shared" ca="1" si="143"/>
        <v>106.55373538612905</v>
      </c>
      <c r="Q61" s="19">
        <f ca="1">HCTrans(P61,Strike,RiskFreeRate,Dividend,Variance_T0*AnnualVarConvtr,(Simulation!G61)/250,0.5,Variance_Avg*AnnualVarConvtr,Lambda,SQRT(Simulation!N61),Rho,1,"Call")</f>
        <v>29.77041271698522</v>
      </c>
      <c r="R61" s="19">
        <f t="shared" ref="R61" ca="1" si="343">BSvol(1,P61,Strike,Q61,Dividend,RiskFreeRate,G61/250)</f>
        <v>0.73949959945949328</v>
      </c>
      <c r="S61" s="19">
        <f t="shared" ref="S61" ca="1" si="344">BSdelta(1,P61,Strike,R61/AnnualVarConvtr,Dividend,RiskFreeRate,G61/250)</f>
        <v>0.94077969345212087</v>
      </c>
      <c r="T61" s="19">
        <f t="shared" ca="1" si="27"/>
        <v>0.27933220138601106</v>
      </c>
      <c r="U61" s="19">
        <f t="shared" ca="1" si="28"/>
        <v>-70.148909439143566</v>
      </c>
      <c r="V61" s="21">
        <f t="shared" ca="1" si="17"/>
        <v>2.6735144428800106E-4</v>
      </c>
      <c r="W61">
        <f t="shared" ca="1" si="18"/>
        <v>1.6350885122463587E-2</v>
      </c>
      <c r="X61" s="22">
        <f t="shared" ref="X61" ca="1" si="345">BSdelta(1,P61,Strike,W61*AnnualVarConvtr,Dividend,RiskFreeRate,G61/250)</f>
        <v>0.65269417779361028</v>
      </c>
      <c r="Y61" s="22">
        <f t="shared" ca="1" si="30"/>
        <v>-35.576273215967568</v>
      </c>
      <c r="Z61" s="22">
        <f t="shared" ca="1" si="31"/>
        <v>-35.812632271094536</v>
      </c>
      <c r="AA61">
        <f t="shared" si="10"/>
        <v>0.73884103340948371</v>
      </c>
      <c r="AB61">
        <f t="shared" ref="AB61" ca="1" si="346">BSdelta(1,P61,Strike,AA61/AnnualVarConvtr,Dividend,RiskFreeRate,G61/250)</f>
        <v>0.94093929058052561</v>
      </c>
      <c r="AC61">
        <f t="shared" ca="1" si="21"/>
        <v>0.28608573246994845</v>
      </c>
      <c r="AD61">
        <f t="shared" ca="1" si="22"/>
        <v>-70.167451008702926</v>
      </c>
    </row>
    <row r="62" spans="7:30">
      <c r="G62" s="19">
        <v>193</v>
      </c>
      <c r="H62" s="19">
        <f t="shared" ca="1" si="160"/>
        <v>0.56609730008497317</v>
      </c>
      <c r="I62" s="19">
        <f t="shared" ca="1" si="160"/>
        <v>0.99053456244799265</v>
      </c>
      <c r="J62" s="19">
        <f t="shared" ca="1" si="3"/>
        <v>1.0648747679318489</v>
      </c>
      <c r="K62" s="19">
        <f t="shared" ca="1" si="4"/>
        <v>-6.3406176153374655E-2</v>
      </c>
      <c r="L62" s="19">
        <f t="array" aca="1" ref="L62:M62" ca="1">MMULT(J62:K62,TRANSPOSE($B$10:$C$11))</f>
        <v>1.0648747679318489</v>
      </c>
      <c r="M62" s="19">
        <f ca="1"/>
        <v>-0.8072141012188031</v>
      </c>
      <c r="N62" s="20">
        <f t="shared" ref="N62" ca="1" si="347">GetVariance(N61,Variance_Avg,Lambda,Eta,M62,"Daily")</f>
        <v>6.541731161048292E-2</v>
      </c>
      <c r="O62" s="20">
        <f t="shared" ref="O62" ca="1" si="348">GetStockReturns(0,RiskFreeRate,N62,L62,"Daily")</f>
        <v>1.7225620638109181E-2</v>
      </c>
      <c r="P62" s="19">
        <f t="shared" ca="1" si="143"/>
        <v>108.40508919072485</v>
      </c>
      <c r="Q62" s="19">
        <f ca="1">HCTrans(P62,Strike,RiskFreeRate,Dividend,Variance_T0*AnnualVarConvtr,(Simulation!G62)/250,0.5,Variance_Avg*AnnualVarConvtr,Lambda,SQRT(Simulation!N62),Rho,1,"Call")</f>
        <v>30.984368657426472</v>
      </c>
      <c r="R62" s="19">
        <f t="shared" ref="R62" ca="1" si="349">BSvol(1,P62,Strike,Q62,Dividend,RiskFreeRate,G62/250)</f>
        <v>0.74071128942537123</v>
      </c>
      <c r="S62" s="19">
        <f t="shared" ref="S62" ca="1" si="350">BSdelta(1,P62,Strike,R62/AnnualVarConvtr,Dividend,RiskFreeRate,G62/250)</f>
        <v>0.97622031340162885</v>
      </c>
      <c r="T62" s="19">
        <f t="shared" ca="1" si="27"/>
        <v>3.8419435666009951</v>
      </c>
      <c r="U62" s="19">
        <f t="shared" ca="1" si="28"/>
        <v>-72.776897065303302</v>
      </c>
      <c r="V62" s="21">
        <f t="shared" ca="1" si="17"/>
        <v>2.7097819806015742E-4</v>
      </c>
      <c r="W62">
        <f t="shared" ca="1" si="18"/>
        <v>1.6461415433071284E-2</v>
      </c>
      <c r="X62" s="22">
        <f t="shared" ref="X62" ca="1" si="351">BSdelta(1,P62,Strike,W62*AnnualVarConvtr,Dividend,RiskFreeRate,G62/250)</f>
        <v>0.67983819677034463</v>
      </c>
      <c r="Y62" s="22">
        <f t="shared" ca="1" si="30"/>
        <v>2.9425497981676152</v>
      </c>
      <c r="Z62" s="22">
        <f t="shared" ca="1" si="31"/>
        <v>-37.541226128820895</v>
      </c>
      <c r="AA62">
        <f t="shared" si="10"/>
        <v>0.73884103340948371</v>
      </c>
      <c r="AB62">
        <f t="shared" ref="AB62" ca="1" si="352">BSdelta(1,P62,Strike,AA62/AnnualVarConvtr,Dividend,RiskFreeRate,G62/250)</f>
        <v>0.97649420526229336</v>
      </c>
      <c r="AC62">
        <f t="shared" ca="1" si="21"/>
        <v>3.8543336972456452</v>
      </c>
      <c r="AD62">
        <f t="shared" ca="1" si="22"/>
        <v>-72.807828765507324</v>
      </c>
    </row>
    <row r="63" spans="7:30">
      <c r="G63" s="19">
        <v>192</v>
      </c>
      <c r="H63" s="19">
        <f t="shared" ca="1" si="160"/>
        <v>0.12513339489026976</v>
      </c>
      <c r="I63" s="19">
        <f t="shared" ca="1" si="160"/>
        <v>0.72224980290774887</v>
      </c>
      <c r="J63" s="19">
        <f t="shared" ca="1" si="3"/>
        <v>-0.35368784562123695</v>
      </c>
      <c r="K63" s="19">
        <f t="shared" ca="1" si="4"/>
        <v>-2.0078981077221512</v>
      </c>
      <c r="L63" s="19">
        <f t="array" aca="1" ref="L63:M63" ca="1">MMULT(J63:K63,TRANSPOSE($B$10:$C$11))</f>
        <v>-0.35368784562123695</v>
      </c>
      <c r="M63" s="19">
        <f ca="1"/>
        <v>-1.1472664592793222</v>
      </c>
      <c r="N63" s="20">
        <f t="shared" ref="N63" ca="1" si="353">GetVariance(N62,Variance_Avg,Lambda,Eta,M63,"Daily")</f>
        <v>5.8110621857805703E-2</v>
      </c>
      <c r="O63" s="20">
        <f t="shared" ref="O63" ca="1" si="354">GetStockReturns(0,RiskFreeRate,N63,L63,"Daily")</f>
        <v>-5.3923477616437373E-3</v>
      </c>
      <c r="P63" s="19">
        <f t="shared" ca="1" si="143"/>
        <v>107.82210449143555</v>
      </c>
      <c r="Q63" s="19">
        <f ca="1">HCTrans(P63,Strike,RiskFreeRate,Dividend,Variance_T0*AnnualVarConvtr,(Simulation!G63)/250,0.5,Variance_Avg*AnnualVarConvtr,Lambda,SQRT(Simulation!N63),Rho,1,"Call")</f>
        <v>30.537533907512071</v>
      </c>
      <c r="R63" s="19">
        <f t="shared" ref="R63" ca="1" si="355">BSvol(1,P63,Strike,Q63,Dividend,RiskFreeRate,G63/250)</f>
        <v>0.74102669488008388</v>
      </c>
      <c r="S63" s="19">
        <f t="shared" ref="S63" ca="1" si="356">BSdelta(1,P63,Strike,R63/AnnualVarConvtr,Dividend,RiskFreeRate,G63/250)</f>
        <v>0.96814558284009666</v>
      </c>
      <c r="T63" s="19">
        <f t="shared" ca="1" si="27"/>
        <v>-0.87063444234571119</v>
      </c>
      <c r="U63" s="19">
        <f t="shared" ca="1" si="28"/>
        <v>-72.353097372871986</v>
      </c>
      <c r="V63" s="21">
        <f t="shared" ca="1" si="17"/>
        <v>5.1157249453222156E-4</v>
      </c>
      <c r="W63">
        <f t="shared" ca="1" si="18"/>
        <v>2.2617968399752917E-2</v>
      </c>
      <c r="X63" s="22">
        <f t="shared" ref="X63" ca="1" si="357">BSdelta(1,P63,Strike,W63*AnnualVarConvtr,Dividend,RiskFreeRate,G63/250)</f>
        <v>0.65431882003634911</v>
      </c>
      <c r="Y63" s="22">
        <f t="shared" ca="1" si="30"/>
        <v>-2.7515529047691736</v>
      </c>
      <c r="Z63" s="22">
        <f t="shared" ca="1" si="31"/>
        <v>-35.236507973966127</v>
      </c>
      <c r="AA63">
        <f t="shared" si="10"/>
        <v>0.73884103340948371</v>
      </c>
      <c r="AB63">
        <f t="shared" ref="AB63" ca="1" si="358">BSdelta(1,P63,Strike,AA63/AnnualVarConvtr,Dividend,RiskFreeRate,G63/250)</f>
        <v>0.96852722246091849</v>
      </c>
      <c r="AC63">
        <f t="shared" ca="1" si="21"/>
        <v>-0.85901685209131085</v>
      </c>
      <c r="AD63">
        <f t="shared" ca="1" si="22"/>
        <v>-72.39564666333041</v>
      </c>
    </row>
    <row r="64" spans="7:30">
      <c r="G64" s="19">
        <v>191</v>
      </c>
      <c r="H64" s="19">
        <f t="shared" ca="1" si="160"/>
        <v>0.74319788254443875</v>
      </c>
      <c r="I64" s="19">
        <f t="shared" ca="1" si="160"/>
        <v>2.9837644692554122E-2</v>
      </c>
      <c r="J64" s="19">
        <f t="shared" ca="1" si="3"/>
        <v>0.75694542139447996</v>
      </c>
      <c r="K64" s="19">
        <f t="shared" ca="1" si="4"/>
        <v>0.14359495191342506</v>
      </c>
      <c r="L64" s="19">
        <f t="array" aca="1" ref="L64:M64" ca="1">MMULT(J64:K64,TRANSPOSE($B$10:$C$11))</f>
        <v>0.75694542139447996</v>
      </c>
      <c r="M64" s="19">
        <f ca="1"/>
        <v>-0.44218140959318403</v>
      </c>
      <c r="N64" s="20">
        <f t="shared" ref="N64" ca="1" si="359">GetVariance(N63,Variance_Avg,Lambda,Eta,M64,"Daily")</f>
        <v>5.5255616774306536E-2</v>
      </c>
      <c r="O64" s="20">
        <f t="shared" ref="O64" ca="1" si="360">GetStockReturns(0,RiskFreeRate,N64,L64,"Daily")</f>
        <v>1.1253374643881216E-2</v>
      </c>
      <c r="P64" s="19">
        <f t="shared" ca="1" si="143"/>
        <v>109.04231992170646</v>
      </c>
      <c r="Q64" s="19">
        <f ca="1">HCTrans(P64,Strike,RiskFreeRate,Dividend,Variance_T0*AnnualVarConvtr,(Simulation!G64)/250,0.5,Variance_Avg*AnnualVarConvtr,Lambda,SQRT(Simulation!N64),Rho,1,"Call")</f>
        <v>31.317222206831559</v>
      </c>
      <c r="R64" s="19">
        <f t="shared" ref="R64" ca="1" si="361">BSvol(1,P64,Strike,Q64,Dividend,RiskFreeRate,G64/250)</f>
        <v>0.74173689415601252</v>
      </c>
      <c r="S64" s="19">
        <f t="shared" ref="S64" ca="1" si="362">BSdelta(1,P64,Strike,R64/AnnualVarConvtr,Dividend,RiskFreeRate,G64/250)</f>
        <v>0.98348248492645951</v>
      </c>
      <c r="T64" s="19">
        <f t="shared" ca="1" si="27"/>
        <v>1.6723713839090648</v>
      </c>
      <c r="U64" s="19">
        <f t="shared" ca="1" si="28"/>
        <v>-73.245780457461564</v>
      </c>
      <c r="V64" s="21">
        <f t="shared" ca="1" si="17"/>
        <v>2.770800744017954E-4</v>
      </c>
      <c r="W64">
        <f t="shared" ca="1" si="18"/>
        <v>1.6645722405524952E-2</v>
      </c>
      <c r="X64" s="22">
        <f t="shared" ref="X64" ca="1" si="363">BSdelta(1,P64,Strike,W64*AnnualVarConvtr,Dividend,RiskFreeRate,G64/250)</f>
        <v>0.68839933927337649</v>
      </c>
      <c r="Y64" s="22">
        <f t="shared" ca="1" si="30"/>
        <v>3.7162188817418103</v>
      </c>
      <c r="Z64" s="22">
        <f t="shared" ca="1" si="31"/>
        <v>-38.173038556388448</v>
      </c>
      <c r="AA64">
        <f t="shared" si="10"/>
        <v>0.73884103340948371</v>
      </c>
      <c r="AB64">
        <f t="shared" ref="AB64" ca="1" si="364">BSdelta(1,P64,Strike,AA64/AnnualVarConvtr,Dividend,RiskFreeRate,G64/250)</f>
        <v>0.98381662913721524</v>
      </c>
      <c r="AC64">
        <f t="shared" ca="1" si="21"/>
        <v>1.6671923742098245</v>
      </c>
      <c r="AD64">
        <f t="shared" ca="1" si="22"/>
        <v>-73.283150738220741</v>
      </c>
    </row>
    <row r="65" spans="7:30">
      <c r="G65" s="19">
        <v>190</v>
      </c>
      <c r="H65" s="19">
        <f t="shared" ca="1" si="160"/>
        <v>0.90811803760159515</v>
      </c>
      <c r="I65" s="19">
        <f t="shared" ca="1" si="160"/>
        <v>0.14845907342933362</v>
      </c>
      <c r="J65" s="19">
        <f t="shared" ca="1" si="3"/>
        <v>0.26149188702836595</v>
      </c>
      <c r="K65" s="19">
        <f t="shared" ca="1" si="4"/>
        <v>0.35268089820787102</v>
      </c>
      <c r="L65" s="19">
        <f t="array" aca="1" ref="L65:M65" ca="1">MMULT(J65:K65,TRANSPOSE($B$10:$C$11))</f>
        <v>0.26149188702836595</v>
      </c>
      <c r="M65" s="19">
        <f ca="1"/>
        <v>5.8666704895121047E-2</v>
      </c>
      <c r="N65" s="20">
        <f t="shared" ref="N65" ca="1" si="365">GetVariance(N64,Variance_Avg,Lambda,Eta,M65,"Daily")</f>
        <v>5.5338711359345823E-2</v>
      </c>
      <c r="O65" s="20">
        <f t="shared" ref="O65" ca="1" si="366">GetStockReturns(0,RiskFreeRate,N65,L65,"Daily")</f>
        <v>3.890475956324716E-3</v>
      </c>
      <c r="P65" s="19">
        <f t="shared" ca="1" si="143"/>
        <v>109.46737273833919</v>
      </c>
      <c r="Q65" s="19">
        <f ca="1">HCTrans(P65,Strike,RiskFreeRate,Dividend,Variance_T0*AnnualVarConvtr,(Simulation!G65)/250,0.5,Variance_Avg*AnnualVarConvtr,Lambda,SQRT(Simulation!N65),Rho,1,"Call")</f>
        <v>31.545239640739467</v>
      </c>
      <c r="R65" s="19">
        <f t="shared" ref="R65" ca="1" si="367">BSvol(1,P65,Strike,Q65,Dividend,RiskFreeRate,G65/250)</f>
        <v>0.74193303798141352</v>
      </c>
      <c r="S65" s="19">
        <f t="shared" ref="S65" ca="1" si="368">BSdelta(1,P65,Strike,R65/AnnualVarConvtr,Dividend,RiskFreeRate,G65/250)</f>
        <v>0.98718267697561846</v>
      </c>
      <c r="T65" s="19">
        <f t="shared" ca="1" si="27"/>
        <v>0.40505030224872141</v>
      </c>
      <c r="U65" s="19">
        <f t="shared" ca="1" si="28"/>
        <v>-73.42281332580238</v>
      </c>
      <c r="V65" s="21">
        <f t="shared" ca="1" si="17"/>
        <v>5.4212277083221217E-5</v>
      </c>
      <c r="W65">
        <f t="shared" ca="1" si="18"/>
        <v>7.3628986875564992E-3</v>
      </c>
      <c r="X65" s="22">
        <f t="shared" ref="X65" ca="1" si="369">BSdelta(1,P65,Strike,W65*AnnualVarConvtr,Dividend,RiskFreeRate,G65/250)</f>
        <v>0.82690977642236707</v>
      </c>
      <c r="Y65" s="22">
        <f t="shared" ca="1" si="30"/>
        <v>15.162373651538855</v>
      </c>
      <c r="Z65" s="22">
        <f t="shared" ca="1" si="31"/>
        <v>-53.107394774019397</v>
      </c>
      <c r="AA65">
        <f t="shared" si="10"/>
        <v>0.73884103340948371</v>
      </c>
      <c r="AB65">
        <f t="shared" ref="AB65" ca="1" si="370">BSdelta(1,P65,Strike,AA65/AnnualVarConvtr,Dividend,RiskFreeRate,G65/250)</f>
        <v>0.98748278343166174</v>
      </c>
      <c r="AC65">
        <f t="shared" ca="1" si="21"/>
        <v>0.40132427866643794</v>
      </c>
      <c r="AD65">
        <f t="shared" ca="1" si="22"/>
        <v>-73.456457582979269</v>
      </c>
    </row>
    <row r="66" spans="7:30">
      <c r="G66" s="19">
        <v>189</v>
      </c>
      <c r="H66" s="19">
        <f t="shared" ca="1" si="160"/>
        <v>0.85925752986772075</v>
      </c>
      <c r="I66" s="19">
        <f t="shared" ca="1" si="160"/>
        <v>0.68948965238005044</v>
      </c>
      <c r="J66" s="19">
        <f t="shared" ca="1" si="3"/>
        <v>-0.20440162325501782</v>
      </c>
      <c r="K66" s="19">
        <f t="shared" ca="1" si="4"/>
        <v>-0.51146180344849357</v>
      </c>
      <c r="L66" s="19">
        <f t="array" aca="1" ref="L66:M66" ca="1">MMULT(J66:K66,TRANSPOSE($B$10:$C$11))</f>
        <v>-0.20440162325501782</v>
      </c>
      <c r="M66" s="19">
        <f ca="1"/>
        <v>-0.21033538873538485</v>
      </c>
      <c r="N66" s="20">
        <f t="shared" ref="N66" ca="1" si="371">GetVariance(N65,Variance_Avg,Lambda,Eta,M66,"Daily")</f>
        <v>5.387609428100127E-2</v>
      </c>
      <c r="O66" s="20">
        <f t="shared" ref="O66" ca="1" si="372">GetStockReturns(0,RiskFreeRate,N66,L66,"Daily")</f>
        <v>-3.0006295939078139E-3</v>
      </c>
      <c r="P66" s="19">
        <f t="shared" ca="1" si="143"/>
        <v>109.13939401754834</v>
      </c>
      <c r="Q66" s="19">
        <f ca="1">HCTrans(P66,Strike,RiskFreeRate,Dividend,Variance_T0*AnnualVarConvtr,(Simulation!G66)/250,0.5,Variance_Avg*AnnualVarConvtr,Lambda,SQRT(Simulation!N66),Rho,1,"Call")</f>
        <v>31.256758883708414</v>
      </c>
      <c r="R66" s="19">
        <f t="shared" ref="R66" ca="1" si="373">BSvol(1,P66,Strike,Q66,Dividend,RiskFreeRate,G66/250)</f>
        <v>0.74194941578472251</v>
      </c>
      <c r="S66" s="19">
        <f t="shared" ref="S66" ca="1" si="374">BSdelta(1,P66,Strike,R66/AnnualVarConvtr,Dividend,RiskFreeRate,G66/250)</f>
        <v>0.98476391287099141</v>
      </c>
      <c r="T66" s="19">
        <f t="shared" ca="1" si="27"/>
        <v>-0.26398244865039378</v>
      </c>
      <c r="U66" s="19">
        <f t="shared" ca="1" si="28"/>
        <v>-73.447311634183038</v>
      </c>
      <c r="V66" s="21">
        <f t="shared" ca="1" si="17"/>
        <v>4.7487335704445573E-5</v>
      </c>
      <c r="W66">
        <f t="shared" ca="1" si="18"/>
        <v>6.8911055502325295E-3</v>
      </c>
      <c r="X66" s="22">
        <f t="shared" ref="X66" ca="1" si="375">BSdelta(1,P66,Strike,W66*AnnualVarConvtr,Dividend,RiskFreeRate,G66/250)</f>
        <v>0.83410391664140382</v>
      </c>
      <c r="Y66" s="22">
        <f t="shared" ca="1" si="30"/>
        <v>0.78516410398294323</v>
      </c>
      <c r="Z66" s="22">
        <f t="shared" ca="1" si="31"/>
        <v>-54.181039635033393</v>
      </c>
      <c r="AA66">
        <f t="shared" si="10"/>
        <v>0.73884103340948371</v>
      </c>
      <c r="AB66">
        <f t="shared" ref="AB66" ca="1" si="376">BSdelta(1,P66,Strike,AA66/AnnualVarConvtr,Dividend,RiskFreeRate,G66/250)</f>
        <v>0.98510346197331122</v>
      </c>
      <c r="AC66">
        <f t="shared" ca="1" si="21"/>
        <v>-0.2596777021373245</v>
      </c>
      <c r="AD66">
        <f t="shared" ca="1" si="22"/>
        <v>-73.485260637872997</v>
      </c>
    </row>
    <row r="67" spans="7:30">
      <c r="G67" s="19">
        <v>188</v>
      </c>
      <c r="H67" s="19">
        <f t="shared" ca="1" si="160"/>
        <v>0.46344281783381369</v>
      </c>
      <c r="I67" s="19">
        <f t="shared" ca="1" si="160"/>
        <v>0.38841182945331454</v>
      </c>
      <c r="J67" s="19">
        <f t="shared" ca="1" si="3"/>
        <v>-0.94766947099907317</v>
      </c>
      <c r="K67" s="19">
        <f t="shared" ca="1" si="4"/>
        <v>0.80004194743085766</v>
      </c>
      <c r="L67" s="19">
        <f t="array" aca="1" ref="L67:M67" ca="1">MMULT(J67:K67,TRANSPOSE($B$10:$C$11))</f>
        <v>-0.94766947099907317</v>
      </c>
      <c r="M67" s="19">
        <f ca="1"/>
        <v>1.2371041110267078</v>
      </c>
      <c r="N67" s="20">
        <f t="shared" ref="N67" ca="1" si="377">GetVariance(N66,Variance_Avg,Lambda,Eta,M67,"Daily")</f>
        <v>6.0898809085206798E-2</v>
      </c>
      <c r="O67" s="20">
        <f t="shared" ref="O67" ca="1" si="378">GetStockReturns(0,RiskFreeRate,N67,L67,"Daily")</f>
        <v>-1.4790787095454347E-2</v>
      </c>
      <c r="P67" s="19">
        <f t="shared" ca="1" si="143"/>
        <v>107.53701590588818</v>
      </c>
      <c r="Q67" s="19">
        <f ca="1">HCTrans(P67,Strike,RiskFreeRate,Dividend,Variance_T0*AnnualVarConvtr,(Simulation!G67)/250,0.5,Variance_Avg*AnnualVarConvtr,Lambda,SQRT(Simulation!N67),Rho,1,"Call")</f>
        <v>30.076505893037805</v>
      </c>
      <c r="R67" s="19">
        <f t="shared" ref="R67" ca="1" si="379">BSvol(1,P67,Strike,Q67,Dividend,RiskFreeRate,G67/250)</f>
        <v>0.74088471617406948</v>
      </c>
      <c r="S67" s="19">
        <f t="shared" ref="S67" ca="1" si="380">BSdelta(1,P67,Strike,R67/AnnualVarConvtr,Dividend,RiskFreeRate,G67/250)</f>
        <v>0.96474312680010677</v>
      </c>
      <c r="T67" s="19">
        <f t="shared" ca="1" si="27"/>
        <v>-2.1529755901531065</v>
      </c>
      <c r="U67" s="19">
        <f t="shared" ca="1" si="28"/>
        <v>-72.474589034700543</v>
      </c>
      <c r="V67" s="21">
        <f t="shared" ca="1" si="17"/>
        <v>1.3900781391127398E-4</v>
      </c>
      <c r="W67">
        <f t="shared" ca="1" si="18"/>
        <v>1.1790157501546532E-2</v>
      </c>
      <c r="X67" s="22">
        <f t="shared" ref="X67" ca="1" si="381">BSdelta(1,P67,Strike,W67*AnnualVarConvtr,Dividend,RiskFreeRate,G67/250)</f>
        <v>0.70205696945908258</v>
      </c>
      <c r="Y67" s="22">
        <f t="shared" ca="1" si="30"/>
        <v>-14.199934659469255</v>
      </c>
      <c r="Z67" s="22">
        <f t="shared" ca="1" si="31"/>
        <v>-41.161357966234746</v>
      </c>
      <c r="AA67">
        <f t="shared" si="10"/>
        <v>0.73884103340948371</v>
      </c>
      <c r="AB67">
        <f t="shared" ref="AB67" ca="1" si="382">BSdelta(1,P67,Strike,AA67/AnnualVarConvtr,Dividend,RiskFreeRate,G67/250)</f>
        <v>0.96512160884012843</v>
      </c>
      <c r="AC67">
        <f t="shared" ca="1" si="21"/>
        <v>-2.1487888582121997</v>
      </c>
      <c r="AD67">
        <f t="shared" ca="1" si="22"/>
        <v>-72.516724770331408</v>
      </c>
    </row>
    <row r="68" spans="7:30">
      <c r="G68" s="19">
        <v>187</v>
      </c>
      <c r="H68" s="19">
        <f t="shared" ca="1" si="160"/>
        <v>0.58630594094920263</v>
      </c>
      <c r="I68" s="19">
        <f t="shared" ca="1" si="160"/>
        <v>0.94345564548051564</v>
      </c>
      <c r="J68" s="19">
        <f t="shared" ca="1" si="3"/>
        <v>0.96882361463265432</v>
      </c>
      <c r="K68" s="19">
        <f t="shared" ca="1" si="4"/>
        <v>-0.35945498738315301</v>
      </c>
      <c r="L68" s="19">
        <f t="array" aca="1" ref="L68:M68" ca="1">MMULT(J68:K68,TRANSPOSE($B$10:$C$11))</f>
        <v>0.96882361463265432</v>
      </c>
      <c r="M68" s="19">
        <f ca="1"/>
        <v>-0.94491327899948452</v>
      </c>
      <c r="N68" s="20">
        <f t="shared" ref="N68" ca="1" si="383">GetVariance(N67,Variance_Avg,Lambda,Eta,M68,"Daily")</f>
        <v>5.5029820290705966E-2</v>
      </c>
      <c r="O68" s="20">
        <f t="shared" ref="O68" ca="1" si="384">GetStockReturns(0,RiskFreeRate,N68,L68,"Daily")</f>
        <v>1.4373871530264695E-2</v>
      </c>
      <c r="P68" s="19">
        <f t="shared" ca="1" si="143"/>
        <v>109.09390158931673</v>
      </c>
      <c r="Q68" s="19">
        <f ca="1">HCTrans(P68,Strike,RiskFreeRate,Dividend,Variance_T0*AnnualVarConvtr,(Simulation!G68)/250,0.5,Variance_Avg*AnnualVarConvtr,Lambda,SQRT(Simulation!N68),Rho,1,"Call")</f>
        <v>31.091395126228775</v>
      </c>
      <c r="R68" s="19">
        <f t="shared" ref="R68" ca="1" si="385">BSvol(1,P68,Strike,Q68,Dividend,RiskFreeRate,G68/250)</f>
        <v>0.74193734167597436</v>
      </c>
      <c r="S68" s="19">
        <f t="shared" ref="S68" ca="1" si="386">BSdelta(1,P68,Strike,R68/AnnualVarConvtr,Dividend,RiskFreeRate,G68/250)</f>
        <v>0.98480552831369095</v>
      </c>
      <c r="T68" s="19">
        <f t="shared" ca="1" si="27"/>
        <v>2.1886856563683117</v>
      </c>
      <c r="U68" s="19">
        <f t="shared" ca="1" si="28"/>
        <v>-73.648385457877879</v>
      </c>
      <c r="V68" s="21">
        <f t="shared" ca="1" si="17"/>
        <v>8.5057731275472808E-4</v>
      </c>
      <c r="W68">
        <f t="shared" ca="1" si="18"/>
        <v>2.9164658625719042E-2</v>
      </c>
      <c r="X68" s="22">
        <f t="shared" ref="X68" ca="1" si="387">BSdelta(1,P68,Strike,W68*AnnualVarConvtr,Dividend,RiskFreeRate,G68/250)</f>
        <v>0.66189877418053755</v>
      </c>
      <c r="Y68" s="22">
        <f t="shared" ca="1" si="30"/>
        <v>-4.3810142037221551</v>
      </c>
      <c r="Z68" s="22">
        <f t="shared" ca="1" si="31"/>
        <v>-35.765454529321623</v>
      </c>
      <c r="AA68">
        <f t="shared" si="10"/>
        <v>0.73884103340948371</v>
      </c>
      <c r="AB68">
        <f t="shared" ref="AB68" ca="1" si="388">BSdelta(1,P68,Strike,AA68/AnnualVarConvtr,Dividend,RiskFreeRate,G68/250)</f>
        <v>0.98514318068201623</v>
      </c>
      <c r="AC68">
        <f t="shared" ca="1" si="21"/>
        <v>2.1842313881823423</v>
      </c>
      <c r="AD68">
        <f t="shared" ca="1" si="22"/>
        <v>-73.686066925322777</v>
      </c>
    </row>
    <row r="69" spans="7:30">
      <c r="G69" s="19">
        <v>186</v>
      </c>
      <c r="H69" s="19">
        <f t="shared" ca="1" si="160"/>
        <v>0.11821112803092482</v>
      </c>
      <c r="I69" s="19">
        <f t="shared" ca="1" si="160"/>
        <v>0.38487514582857529</v>
      </c>
      <c r="J69" s="19">
        <f t="shared" ca="1" si="3"/>
        <v>-1.5490580580188948</v>
      </c>
      <c r="K69" s="19">
        <f t="shared" ca="1" si="4"/>
        <v>1.3678396098280197</v>
      </c>
      <c r="L69" s="19">
        <f t="array" aca="1" ref="L69:M69" ca="1">MMULT(J69:K69,TRANSPOSE($B$10:$C$11))</f>
        <v>-1.5490580580188948</v>
      </c>
      <c r="M69" s="19">
        <f ca="1"/>
        <v>2.0640873534059878</v>
      </c>
      <c r="N69" s="20">
        <f t="shared" ref="N69" ca="1" si="389">GetVariance(N68,Variance_Avg,Lambda,Eta,M69,"Daily")</f>
        <v>6.7288635695797253E-2</v>
      </c>
      <c r="O69" s="20">
        <f t="shared" ref="O69" ca="1" si="390">GetStockReturns(0,RiskFreeRate,N69,L69,"Daily")</f>
        <v>-2.5413738236614473E-2</v>
      </c>
      <c r="P69" s="19">
        <f t="shared" ca="1" si="143"/>
        <v>106.35635076862442</v>
      </c>
      <c r="Q69" s="19">
        <f ca="1">HCTrans(P69,Strike,RiskFreeRate,Dividend,Variance_T0*AnnualVarConvtr,(Simulation!G69)/250,0.5,Variance_Avg*AnnualVarConvtr,Lambda,SQRT(Simulation!N69),Rho,1,"Call")</f>
        <v>29.129571378930322</v>
      </c>
      <c r="R69" s="19">
        <f t="shared" ref="R69" ca="1" si="391">BSvol(1,P69,Strike,Q69,Dividend,RiskFreeRate,G69/250)</f>
        <v>0.74003115364113414</v>
      </c>
      <c r="S69" s="19">
        <f t="shared" ref="S69" ca="1" si="392">BSdelta(1,P69,Strike,R69/AnnualVarConvtr,Dividend,RiskFreeRate,G69/250)</f>
        <v>0.93902795106195858</v>
      </c>
      <c r="T69" s="19">
        <f t="shared" ca="1" si="27"/>
        <v>-4.8687360635230501</v>
      </c>
      <c r="U69" s="19">
        <f t="shared" ca="1" si="28"/>
        <v>-70.741473141653287</v>
      </c>
      <c r="V69" s="21">
        <f t="shared" ca="1" si="17"/>
        <v>1.5830538909614583E-3</v>
      </c>
      <c r="W69">
        <f t="shared" ca="1" si="18"/>
        <v>3.9787609766879166E-2</v>
      </c>
      <c r="X69" s="22">
        <f t="shared" ref="X69" ca="1" si="393">BSdelta(1,P69,Strike,W69*AnnualVarConvtr,Dividend,RiskFreeRate,G69/250)</f>
        <v>0.64983779118521467</v>
      </c>
      <c r="Y69" s="22">
        <f t="shared" ca="1" si="30"/>
        <v>-1.2827621380649745</v>
      </c>
      <c r="Z69" s="22">
        <f t="shared" ca="1" si="31"/>
        <v>-36.444516138555102</v>
      </c>
      <c r="AA69">
        <f t="shared" si="10"/>
        <v>0.73884103340948371</v>
      </c>
      <c r="AB69">
        <f t="shared" ref="AB69" ca="1" si="394">BSdelta(1,P69,Strike,AA69/AnnualVarConvtr,Dividend,RiskFreeRate,G69/250)</f>
        <v>0.93932009736801458</v>
      </c>
      <c r="AC69">
        <f t="shared" ca="1" si="21"/>
        <v>-4.8735759222438597</v>
      </c>
      <c r="AD69">
        <f t="shared" ca="1" si="22"/>
        <v>-70.774314750377371</v>
      </c>
    </row>
    <row r="70" spans="7:30">
      <c r="G70" s="19">
        <v>185</v>
      </c>
      <c r="H70" s="19">
        <f t="shared" ca="1" si="160"/>
        <v>0.29672299224389675</v>
      </c>
      <c r="I70" s="19">
        <f t="shared" ca="1" si="160"/>
        <v>0.84777159912909816</v>
      </c>
      <c r="J70" s="19">
        <f t="shared" ref="J70:J133" ca="1" si="395">SQRT(-2*LN(H70))*COS(2*PI()*I70)</f>
        <v>0.89850342816080597</v>
      </c>
      <c r="K70" s="19">
        <f t="shared" ref="K70:K133" ca="1" si="396">SQRT(-2*LN(H70))*SIN(2*PI()*I70)</f>
        <v>-1.27381478735398</v>
      </c>
      <c r="L70" s="19">
        <f t="array" aca="1" ref="L70:M70" ca="1">MMULT(J70:K70,TRANSPOSE($B$10:$C$11))</f>
        <v>0.89850342816080597</v>
      </c>
      <c r="M70" s="19">
        <f ca="1"/>
        <v>-1.5323744586895249</v>
      </c>
      <c r="N70" s="20">
        <f t="shared" ref="N70" ca="1" si="397">GetVariance(N69,Variance_Avg,Lambda,Eta,M70,"Daily")</f>
        <v>5.7575444093728168E-2</v>
      </c>
      <c r="O70" s="20">
        <f t="shared" ref="O70" ca="1" si="398">GetStockReturns(0,RiskFreeRate,N70,L70,"Daily")</f>
        <v>1.3635415688616825E-2</v>
      </c>
      <c r="P70" s="19">
        <f t="shared" ca="1" si="143"/>
        <v>107.81649604337011</v>
      </c>
      <c r="Q70" s="19">
        <f ca="1">HCTrans(P70,Strike,RiskFreeRate,Dividend,Variance_T0*AnnualVarConvtr,(Simulation!G70)/250,0.5,Variance_Avg*AnnualVarConvtr,Lambda,SQRT(Simulation!N70),Rho,1,"Call")</f>
        <v>30.078047822733154</v>
      </c>
      <c r="R70" s="19">
        <f t="shared" ref="R70" ca="1" si="399">BSvol(1,P70,Strike,Q70,Dividend,RiskFreeRate,G70/250)</f>
        <v>0.74135496802587786</v>
      </c>
      <c r="S70" s="19">
        <f t="shared" ref="S70" ca="1" si="400">BSdelta(1,P70,Strike,R70/AnnualVarConvtr,Dividend,RiskFreeRate,G70/250)</f>
        <v>0.97035894708796966</v>
      </c>
      <c r="T70" s="19">
        <f t="shared" ca="1" si="27"/>
        <v>3.3779982090732683</v>
      </c>
      <c r="U70" s="19">
        <f t="shared" ca="1" si="28"/>
        <v>-73.170994906923724</v>
      </c>
      <c r="V70" s="21">
        <f t="shared" ca="1" si="17"/>
        <v>1.5248364222764069E-3</v>
      </c>
      <c r="W70">
        <f t="shared" ca="1" si="18"/>
        <v>3.9049153925231297E-2</v>
      </c>
      <c r="X70" s="22">
        <f t="shared" ref="X70" ca="1" si="401">BSdelta(1,P70,Strike,W70*AnnualVarConvtr,Dividend,RiskFreeRate,G70/250)</f>
        <v>0.65809252772974847</v>
      </c>
      <c r="Y70" s="22">
        <f t="shared" ca="1" si="30"/>
        <v>0.8899967699927902</v>
      </c>
      <c r="Z70" s="22">
        <f t="shared" ca="1" si="31"/>
        <v>-36.386036464745061</v>
      </c>
      <c r="AA70">
        <f t="shared" ref="AA70:AA133" si="402">$R$5</f>
        <v>0.73884103340948371</v>
      </c>
      <c r="AB70">
        <f t="shared" ref="AB70" ca="1" si="403">BSdelta(1,P70,Strike,AA70/AnnualVarConvtr,Dividend,RiskFreeRate,G70/250)</f>
        <v>0.97077954017630286</v>
      </c>
      <c r="AC70">
        <f t="shared" ca="1" si="21"/>
        <v>3.3918468910664408</v>
      </c>
      <c r="AD70">
        <f t="shared" ca="1" si="22"/>
        <v>-73.217685197640975</v>
      </c>
    </row>
    <row r="71" spans="7:30">
      <c r="G71" s="19">
        <v>184</v>
      </c>
      <c r="H71" s="19">
        <f t="shared" ca="1" si="160"/>
        <v>0.85327373699007136</v>
      </c>
      <c r="I71" s="19">
        <f t="shared" ca="1" si="160"/>
        <v>0.33738337880693781</v>
      </c>
      <c r="J71" s="19">
        <f t="shared" ca="1" si="395"/>
        <v>-0.29399127778965761</v>
      </c>
      <c r="K71" s="19">
        <f t="shared" ca="1" si="396"/>
        <v>0.48054018847977714</v>
      </c>
      <c r="L71" s="19">
        <f t="array" aca="1" ref="L71:M71" ca="1">MMULT(J71:K71,TRANSPOSE($B$10:$C$11))</f>
        <v>-0.29399127778965761</v>
      </c>
      <c r="M71" s="19">
        <f ca="1"/>
        <v>0.54586338288842562</v>
      </c>
      <c r="N71" s="20">
        <f t="shared" ref="N71" ca="1" si="404">GetVariance(N70,Variance_Avg,Lambda,Eta,M71,"Daily")</f>
        <v>6.0564015573195858E-2</v>
      </c>
      <c r="O71" s="20">
        <f t="shared" ref="O71" ca="1" si="405">GetStockReturns(0,RiskFreeRate,N71,L71,"Daily")</f>
        <v>-4.5758499286875547E-3</v>
      </c>
      <c r="P71" s="19">
        <f t="shared" ca="1" si="143"/>
        <v>107.32427097053784</v>
      </c>
      <c r="Q71" s="19">
        <f ca="1">HCTrans(P71,Strike,RiskFreeRate,Dividend,Variance_T0*AnnualVarConvtr,(Simulation!G71)/250,0.5,Variance_Avg*AnnualVarConvtr,Lambda,SQRT(Simulation!N71),Rho,1,"Call")</f>
        <v>29.669959370457391</v>
      </c>
      <c r="R71" s="19">
        <f t="shared" ref="R71" ca="1" si="406">BSvol(1,P71,Strike,Q71,Dividend,RiskFreeRate,G71/250)</f>
        <v>0.74099410539863719</v>
      </c>
      <c r="S71" s="19">
        <f t="shared" ref="S71" ca="1" si="407">BSdelta(1,P71,Strike,R71/AnnualVarConvtr,Dividend,RiskFreeRate,G71/250)</f>
        <v>0.96231397866051549</v>
      </c>
      <c r="T71" s="19">
        <f t="shared" ca="1" si="27"/>
        <v>-0.86342037145751294</v>
      </c>
      <c r="U71" s="19">
        <f t="shared" ca="1" si="28"/>
        <v>-72.715662987741979</v>
      </c>
      <c r="V71" s="21">
        <f t="shared" ref="V71:V134" ca="1" si="408">(O71-O70)^2</f>
        <v>3.3165019538401264E-4</v>
      </c>
      <c r="W71">
        <f t="shared" ref="W71:W134" ca="1" si="409">SQRT(V71)</f>
        <v>1.8211265617304379E-2</v>
      </c>
      <c r="X71" s="22">
        <f t="shared" ref="X71" ca="1" si="410">BSdelta(1,P71,Strike,W71*AnnualVarConvtr,Dividend,RiskFreeRate,G71/250)</f>
        <v>0.65896978271140094</v>
      </c>
      <c r="Y71" s="22">
        <f t="shared" ca="1" si="30"/>
        <v>9.4150751361124482E-2</v>
      </c>
      <c r="Z71" s="22">
        <f t="shared" ca="1" si="31"/>
        <v>-36.888275668381951</v>
      </c>
      <c r="AA71">
        <f t="shared" si="402"/>
        <v>0.73884103340948371</v>
      </c>
      <c r="AB71">
        <f t="shared" ref="AB71" ca="1" si="411">BSdelta(1,P71,Strike,AA71/AnnualVarConvtr,Dividend,RiskFreeRate,G71/250)</f>
        <v>0.96272789187669927</v>
      </c>
      <c r="AC71">
        <f t="shared" ref="AC71:AC134" ca="1" si="412">(AB71-AB70)*P71</f>
        <v>-0.86413728386612554</v>
      </c>
      <c r="AD71">
        <f t="shared" ref="AD71:AD134" ca="1" si="413">(Q71-Q70)+AD70-AC71</f>
        <v>-72.76163636605061</v>
      </c>
    </row>
    <row r="72" spans="7:30">
      <c r="G72" s="19">
        <v>183</v>
      </c>
      <c r="H72" s="19">
        <f t="shared" ca="1" si="160"/>
        <v>0.28590112453000538</v>
      </c>
      <c r="I72" s="19">
        <f t="shared" ca="1" si="160"/>
        <v>0.94137032281606303</v>
      </c>
      <c r="J72" s="19">
        <f t="shared" ca="1" si="395"/>
        <v>1.4763066341247317</v>
      </c>
      <c r="K72" s="19">
        <f t="shared" ca="1" si="396"/>
        <v>-0.56985718804431029</v>
      </c>
      <c r="L72" s="19">
        <f t="array" aca="1" ref="L72:M72" ca="1">MMULT(J72:K72,TRANSPOSE($B$10:$C$11))</f>
        <v>1.4763066341247317</v>
      </c>
      <c r="M72" s="19">
        <f ca="1"/>
        <v>-1.4552987216356761</v>
      </c>
      <c r="N72" s="20">
        <f t="shared" ref="N72" ca="1" si="414">GetVariance(N71,Variance_Avg,Lambda,Eta,M72,"Daily")</f>
        <v>5.1816813182522715E-2</v>
      </c>
      <c r="O72" s="20">
        <f t="shared" ref="O72" ca="1" si="415">GetStockReturns(0,RiskFreeRate,N72,L72,"Daily")</f>
        <v>2.1254060714592418E-2</v>
      </c>
      <c r="P72" s="19">
        <f t="shared" ca="1" si="143"/>
        <v>109.62976126869513</v>
      </c>
      <c r="Q72" s="19">
        <f ca="1">HCTrans(P72,Strike,RiskFreeRate,Dividend,Variance_T0*AnnualVarConvtr,(Simulation!G72)/250,0.5,Variance_Avg*AnnualVarConvtr,Lambda,SQRT(Simulation!N72),Rho,1,"Call")</f>
        <v>31.202673574484081</v>
      </c>
      <c r="R72" s="19">
        <f t="shared" ref="R72" ca="1" si="416">BSvol(1,P72,Strike,Q72,Dividend,RiskFreeRate,G72/250)</f>
        <v>0.74251417038473966</v>
      </c>
      <c r="S72" s="19">
        <f t="shared" ref="S72" ca="1" si="417">BSdelta(1,P72,Strike,R72/AnnualVarConvtr,Dividend,RiskFreeRate,G72/250)</f>
        <v>0.9895105295999258</v>
      </c>
      <c r="T72" s="19">
        <f t="shared" ref="T72:T135" ca="1" si="418">(S72-S71)*P72</f>
        <v>2.9815513868194592</v>
      </c>
      <c r="U72" s="19">
        <f t="shared" ref="U72:U135" ca="1" si="419">(Q72-Q71)+U71-T72</f>
        <v>-74.164500170534751</v>
      </c>
      <c r="V72" s="21">
        <f t="shared" ca="1" si="408"/>
        <v>6.6718428383982797E-4</v>
      </c>
      <c r="W72">
        <f t="shared" ca="1" si="409"/>
        <v>2.5829910643279972E-2</v>
      </c>
      <c r="X72" s="22">
        <f t="shared" ref="X72" ca="1" si="420">BSdelta(1,P72,Strike,W72*AnnualVarConvtr,Dividend,RiskFreeRate,G72/250)</f>
        <v>0.66924446786247471</v>
      </c>
      <c r="Y72" s="22">
        <f t="shared" ref="Y72:Y135" ca="1" si="421">(X72-X71)*P72</f>
        <v>1.1264112802232242</v>
      </c>
      <c r="Z72" s="22">
        <f t="shared" ref="Z72:Z135" ca="1" si="422">(Q72-Q71)+Z71-Y72</f>
        <v>-36.481972744578485</v>
      </c>
      <c r="AA72">
        <f t="shared" si="402"/>
        <v>0.73884103340948371</v>
      </c>
      <c r="AB72">
        <f t="shared" ref="AB72" ca="1" si="423">BSdelta(1,P72,Strike,AA72/AnnualVarConvtr,Dividend,RiskFreeRate,G72/250)</f>
        <v>0.98981981992510371</v>
      </c>
      <c r="AC72">
        <f t="shared" ca="1" si="412"/>
        <v>2.970081604255244</v>
      </c>
      <c r="AD72">
        <f t="shared" ca="1" si="413"/>
        <v>-74.199003766279162</v>
      </c>
    </row>
    <row r="73" spans="7:30">
      <c r="G73" s="19">
        <v>182</v>
      </c>
      <c r="H73" s="19">
        <f t="shared" ca="1" si="160"/>
        <v>0.82624746148860706</v>
      </c>
      <c r="I73" s="19">
        <f t="shared" ca="1" si="160"/>
        <v>0.66008986069423958</v>
      </c>
      <c r="J73" s="19">
        <f t="shared" ca="1" si="395"/>
        <v>-0.33075875674559679</v>
      </c>
      <c r="K73" s="19">
        <f t="shared" ca="1" si="396"/>
        <v>-0.52184342971331488</v>
      </c>
      <c r="L73" s="19">
        <f t="array" aca="1" ref="L73:M73" ca="1">MMULT(J73:K73,TRANSPOSE($B$10:$C$11))</f>
        <v>-0.33075875674559679</v>
      </c>
      <c r="M73" s="19">
        <f ca="1"/>
        <v>-0.12704259105880944</v>
      </c>
      <c r="N73" s="20">
        <f t="shared" ref="N73" ca="1" si="424">GetVariance(N72,Variance_Avg,Lambda,Eta,M73,"Daily")</f>
        <v>5.0872794175088137E-2</v>
      </c>
      <c r="O73" s="20">
        <f t="shared" ref="O73" ca="1" si="425">GetStockReturns(0,RiskFreeRate,N73,L73,"Daily")</f>
        <v>-4.7182846983743736E-3</v>
      </c>
      <c r="P73" s="19">
        <f t="shared" ca="1" si="143"/>
        <v>109.1137152270457</v>
      </c>
      <c r="Q73" s="19">
        <f ca="1">HCTrans(P73,Strike,RiskFreeRate,Dividend,Variance_T0*AnnualVarConvtr,(Simulation!G73)/250,0.5,Variance_Avg*AnnualVarConvtr,Lambda,SQRT(Simulation!N73),Rho,1,"Call")</f>
        <v>30.782293544708253</v>
      </c>
      <c r="R73" s="19">
        <f t="shared" ref="R73" ca="1" si="426">BSvol(1,P73,Strike,Q73,Dividend,RiskFreeRate,G73/250)</f>
        <v>0.74242719904701382</v>
      </c>
      <c r="S73" s="19">
        <f t="shared" ref="S73" ca="1" si="427">BSdelta(1,P73,Strike,R73/AnnualVarConvtr,Dividend,RiskFreeRate,G73/250)</f>
        <v>0.9859927270268376</v>
      </c>
      <c r="T73" s="19">
        <f t="shared" ca="1" si="418"/>
        <v>-0.38384050818491472</v>
      </c>
      <c r="U73" s="19">
        <f t="shared" ca="1" si="419"/>
        <v>-74.201039692125661</v>
      </c>
      <c r="V73" s="21">
        <f t="shared" ca="1" si="408"/>
        <v>6.745627262504572E-4</v>
      </c>
      <c r="W73">
        <f t="shared" ca="1" si="409"/>
        <v>2.5972345412966794E-2</v>
      </c>
      <c r="X73" s="22">
        <f t="shared" ref="X73" ca="1" si="428">BSdelta(1,P73,Strike,W73*AnnualVarConvtr,Dividend,RiskFreeRate,G73/250)</f>
        <v>0.66426071299015499</v>
      </c>
      <c r="Y73" s="22">
        <f t="shared" ca="1" si="421"/>
        <v>-0.54379600989969579</v>
      </c>
      <c r="Z73" s="22">
        <f t="shared" ca="1" si="422"/>
        <v>-36.358556764454619</v>
      </c>
      <c r="AA73">
        <f t="shared" si="402"/>
        <v>0.73884103340948371</v>
      </c>
      <c r="AB73">
        <f t="shared" ref="AB73" ca="1" si="429">BSdelta(1,P73,Strike,AA73/AnnualVarConvtr,Dividend,RiskFreeRate,G73/250)</f>
        <v>0.98636226770760116</v>
      </c>
      <c r="AC73">
        <f t="shared" ca="1" si="412"/>
        <v>-0.37726636804321323</v>
      </c>
      <c r="AD73">
        <f t="shared" ca="1" si="413"/>
        <v>-74.242117428011781</v>
      </c>
    </row>
    <row r="74" spans="7:30">
      <c r="G74" s="19">
        <v>181</v>
      </c>
      <c r="H74" s="19">
        <f t="shared" ca="1" si="160"/>
        <v>0.71074591625964878</v>
      </c>
      <c r="I74" s="19">
        <f t="shared" ca="1" si="160"/>
        <v>0.52325021205230549</v>
      </c>
      <c r="J74" s="19">
        <f t="shared" ca="1" si="395"/>
        <v>-0.81756382589071475</v>
      </c>
      <c r="K74" s="19">
        <f t="shared" ca="1" si="396"/>
        <v>-0.12029105904096681</v>
      </c>
      <c r="L74" s="19">
        <f t="array" aca="1" ref="L74:M74" ca="1">MMULT(J74:K74,TRANSPOSE($B$10:$C$11))</f>
        <v>-0.81756382589071475</v>
      </c>
      <c r="M74" s="19">
        <f ca="1"/>
        <v>0.5018709912604632</v>
      </c>
      <c r="N74" s="20">
        <f t="shared" ref="N74" ca="1" si="430">GetVariance(N73,Variance_Avg,Lambda,Eta,M74,"Daily")</f>
        <v>5.3453942421954129E-2</v>
      </c>
      <c r="O74" s="20">
        <f t="shared" ref="O74" ca="1" si="431">GetStockReturns(0,RiskFreeRate,N74,L74,"Daily")</f>
        <v>-1.1954778497213823E-2</v>
      </c>
      <c r="P74" s="19">
        <f t="shared" ca="1" si="143"/>
        <v>107.81705103994953</v>
      </c>
      <c r="Q74" s="19">
        <f ca="1">HCTrans(P74,Strike,RiskFreeRate,Dividend,Variance_T0*AnnualVarConvtr,(Simulation!G74)/250,0.5,Variance_Avg*AnnualVarConvtr,Lambda,SQRT(Simulation!N74),Rho,1,"Call")</f>
        <v>29.822331673581473</v>
      </c>
      <c r="R74" s="19">
        <f t="shared" ref="R74" ca="1" si="432">BSvol(1,P74,Strike,Q74,Dividend,RiskFreeRate,G74/250)</f>
        <v>0.74180758205063202</v>
      </c>
      <c r="S74" s="19">
        <f t="shared" ref="S74" ca="1" si="433">BSdelta(1,P74,Strike,R74/AnnualVarConvtr,Dividend,RiskFreeRate,G74/250)</f>
        <v>0.97163410691983998</v>
      </c>
      <c r="T74" s="19">
        <f t="shared" ca="1" si="418"/>
        <v>-1.5481040769394081</v>
      </c>
      <c r="U74" s="19">
        <f t="shared" ca="1" si="419"/>
        <v>-73.612897486313031</v>
      </c>
      <c r="V74" s="21">
        <f t="shared" ca="1" si="408"/>
        <v>5.2366842500641808E-5</v>
      </c>
      <c r="W74">
        <f t="shared" ca="1" si="409"/>
        <v>7.2364937988394495E-3</v>
      </c>
      <c r="X74" s="22">
        <f t="shared" ref="X74" ca="1" si="434">BSdelta(1,P74,Strike,W74*AnnualVarConvtr,Dividend,RiskFreeRate,G74/250)</f>
        <v>0.79439526194016952</v>
      </c>
      <c r="Y74" s="22">
        <f t="shared" ca="1" si="421"/>
        <v>14.030723306204527</v>
      </c>
      <c r="Z74" s="22">
        <f t="shared" ca="1" si="422"/>
        <v>-51.349241941785927</v>
      </c>
      <c r="AA74">
        <f t="shared" si="402"/>
        <v>0.73884103340948371</v>
      </c>
      <c r="AB74">
        <f t="shared" ref="AB74" ca="1" si="435">BSdelta(1,P74,Strike,AA74/AnnualVarConvtr,Dividend,RiskFreeRate,G74/250)</f>
        <v>0.97211713614286821</v>
      </c>
      <c r="AC74">
        <f t="shared" ca="1" si="412"/>
        <v>-1.5358680769856086</v>
      </c>
      <c r="AD74">
        <f t="shared" ca="1" si="413"/>
        <v>-73.666211222152953</v>
      </c>
    </row>
    <row r="75" spans="7:30">
      <c r="G75" s="19">
        <v>180</v>
      </c>
      <c r="H75" s="19">
        <f t="shared" ca="1" si="160"/>
        <v>0.64058256935101543</v>
      </c>
      <c r="I75" s="19">
        <f t="shared" ca="1" si="160"/>
        <v>0.71503738884229984</v>
      </c>
      <c r="J75" s="19">
        <f t="shared" ca="1" si="395"/>
        <v>-0.2056667524075966</v>
      </c>
      <c r="K75" s="19">
        <f t="shared" ca="1" si="396"/>
        <v>-0.92111654586605596</v>
      </c>
      <c r="L75" s="19">
        <f t="array" aca="1" ref="L75:M75" ca="1">MMULT(J75:K75,TRANSPOSE($B$10:$C$11))</f>
        <v>-0.2056667524075966</v>
      </c>
      <c r="M75" s="19">
        <f ca="1"/>
        <v>-0.49519878391303274</v>
      </c>
      <c r="N75" s="20">
        <f t="shared" ref="N75" ca="1" si="436">GetVariance(N74,Variance_Avg,Lambda,Eta,M75,"Daily")</f>
        <v>5.0437441739867132E-2</v>
      </c>
      <c r="O75" s="20">
        <f t="shared" ref="O75" ca="1" si="437">GetStockReturns(0,RiskFreeRate,N75,L75,"Daily")</f>
        <v>-2.921262684982294E-3</v>
      </c>
      <c r="P75" s="19">
        <f t="shared" ca="1" si="143"/>
        <v>107.50254870756334</v>
      </c>
      <c r="Q75" s="19">
        <f ca="1">HCTrans(P75,Strike,RiskFreeRate,Dividend,Variance_T0*AnnualVarConvtr,(Simulation!G75)/250,0.5,Variance_Avg*AnnualVarConvtr,Lambda,SQRT(Simulation!N75),Rho,1,"Call")</f>
        <v>29.548651796614195</v>
      </c>
      <c r="R75" s="19">
        <f t="shared" ref="R75" ca="1" si="438">BSvol(1,P75,Strike,Q75,Dividend,RiskFreeRate,G75/250)</f>
        <v>0.74194217604258772</v>
      </c>
      <c r="S75" s="19">
        <f t="shared" ref="S75" ca="1" si="439">BSdelta(1,P75,Strike,R75/AnnualVarConvtr,Dividend,RiskFreeRate,G75/250)</f>
        <v>0.96688319670342826</v>
      </c>
      <c r="T75" s="19">
        <f t="shared" ca="1" si="418"/>
        <v>-0.5107349569450611</v>
      </c>
      <c r="U75" s="19">
        <f t="shared" ca="1" si="419"/>
        <v>-73.375842406335252</v>
      </c>
      <c r="V75" s="21">
        <f t="shared" ca="1" si="408"/>
        <v>8.1604407929837059E-5</v>
      </c>
      <c r="W75">
        <f t="shared" ca="1" si="409"/>
        <v>9.0335158122315292E-3</v>
      </c>
      <c r="X75" s="22">
        <f t="shared" ref="X75" ca="1" si="440">BSdelta(1,P75,Strike,W75*AnnualVarConvtr,Dividend,RiskFreeRate,G75/250)</f>
        <v>0.74457429721346646</v>
      </c>
      <c r="Y75" s="22">
        <f t="shared" ca="1" si="421"/>
        <v>-5.3558806871901901</v>
      </c>
      <c r="Z75" s="22">
        <f t="shared" ca="1" si="422"/>
        <v>-46.267041131563019</v>
      </c>
      <c r="AA75">
        <f t="shared" si="402"/>
        <v>0.73884103340948371</v>
      </c>
      <c r="AB75">
        <f t="shared" ref="AB75" ca="1" si="441">BSdelta(1,P75,Strike,AA75/AnnualVarConvtr,Dividend,RiskFreeRate,G75/250)</f>
        <v>0.96743628561505401</v>
      </c>
      <c r="AC75">
        <f t="shared" ca="1" si="412"/>
        <v>-0.50320336185916914</v>
      </c>
      <c r="AD75">
        <f t="shared" ca="1" si="413"/>
        <v>-73.436687737261067</v>
      </c>
    </row>
    <row r="76" spans="7:30">
      <c r="G76" s="19">
        <v>179</v>
      </c>
      <c r="H76" s="19">
        <f t="shared" ca="1" si="160"/>
        <v>0.23085697611863054</v>
      </c>
      <c r="I76" s="19">
        <f t="shared" ca="1" si="160"/>
        <v>0.97460140263012729</v>
      </c>
      <c r="J76" s="19">
        <f t="shared" ca="1" si="395"/>
        <v>1.6905260228915864</v>
      </c>
      <c r="K76" s="19">
        <f t="shared" ca="1" si="396"/>
        <v>-0.27209481501217836</v>
      </c>
      <c r="L76" s="19">
        <f t="array" aca="1" ref="L76:M76" ca="1">MMULT(J76:K76,TRANSPOSE($B$10:$C$11))</f>
        <v>1.6905260228915864</v>
      </c>
      <c r="M76" s="19">
        <f ca="1"/>
        <v>-1.4010717259740431</v>
      </c>
      <c r="N76" s="20">
        <f t="shared" ref="N76" ca="1" si="442">GetVariance(N75,Variance_Avg,Lambda,Eta,M76,"Daily")</f>
        <v>4.2786999924581487E-2</v>
      </c>
      <c r="O76" s="20">
        <f t="shared" ref="O76" ca="1" si="443">GetStockReturns(0,RiskFreeRate,N76,L76,"Daily")</f>
        <v>2.2116060751026356E-2</v>
      </c>
      <c r="P76" s="19">
        <f t="shared" ca="1" si="143"/>
        <v>109.90656732958668</v>
      </c>
      <c r="Q76" s="19">
        <f ca="1">HCTrans(P76,Strike,RiskFreeRate,Dividend,Variance_T0*AnnualVarConvtr,(Simulation!G76)/250,0.5,Variance_Avg*AnnualVarConvtr,Lambda,SQRT(Simulation!N76),Rho,1,"Call")</f>
        <v>31.144026403755944</v>
      </c>
      <c r="R76" s="19">
        <f t="shared" ref="R76" ca="1" si="444">BSvol(1,P76,Strike,Q76,Dividend,RiskFreeRate,G76/250)</f>
        <v>0.74335904654742579</v>
      </c>
      <c r="S76" s="19">
        <f t="shared" ref="S76" ca="1" si="445">BSdelta(1,P76,Strike,R76/AnnualVarConvtr,Dividend,RiskFreeRate,G76/250)</f>
        <v>0.99167508598831988</v>
      </c>
      <c r="T76" s="19">
        <f t="shared" ca="1" si="418"/>
        <v>2.7247914489175997</v>
      </c>
      <c r="U76" s="19">
        <f t="shared" ca="1" si="419"/>
        <v>-74.505259248111102</v>
      </c>
      <c r="V76" s="21">
        <f t="shared" ca="1" si="408"/>
        <v>6.2686756483930795E-4</v>
      </c>
      <c r="W76">
        <f t="shared" ca="1" si="409"/>
        <v>2.503732343600865E-2</v>
      </c>
      <c r="X76" s="22">
        <f t="shared" ref="X76" ca="1" si="446">BSdelta(1,P76,Strike,W76*AnnualVarConvtr,Dividend,RiskFreeRate,G76/250)</f>
        <v>0.67345708452447606</v>
      </c>
      <c r="Y76" s="22">
        <f t="shared" ca="1" si="421"/>
        <v>-7.8162487246950603</v>
      </c>
      <c r="Z76" s="22">
        <f t="shared" ca="1" si="422"/>
        <v>-36.855417799726212</v>
      </c>
      <c r="AA76">
        <f t="shared" si="402"/>
        <v>0.73884103340948371</v>
      </c>
      <c r="AB76">
        <f t="shared" ref="AB76" ca="1" si="447">BSdelta(1,P76,Strike,AA76/AnnualVarConvtr,Dividend,RiskFreeRate,G76/250)</f>
        <v>0.99199635873894443</v>
      </c>
      <c r="AC76">
        <f t="shared" ca="1" si="412"/>
        <v>2.6993133304104338</v>
      </c>
      <c r="AD76">
        <f t="shared" ca="1" si="413"/>
        <v>-74.540626460529751</v>
      </c>
    </row>
    <row r="77" spans="7:30">
      <c r="G77" s="19">
        <v>178</v>
      </c>
      <c r="H77" s="19">
        <f t="shared" ca="1" si="160"/>
        <v>0.32049381351669148</v>
      </c>
      <c r="I77" s="19">
        <f t="shared" ca="1" si="160"/>
        <v>0.69608609610136973</v>
      </c>
      <c r="J77" s="19">
        <f t="shared" ca="1" si="395"/>
        <v>-0.50131208648727199</v>
      </c>
      <c r="K77" s="19">
        <f t="shared" ca="1" si="396"/>
        <v>-1.4228389939684853</v>
      </c>
      <c r="L77" s="19">
        <f t="array" aca="1" ref="L77:M77" ca="1">MMULT(J77:K77,TRANSPOSE($B$10:$C$11))</f>
        <v>-0.50131208648727199</v>
      </c>
      <c r="M77" s="19">
        <f ca="1"/>
        <v>-0.63336400527519221</v>
      </c>
      <c r="N77" s="20">
        <f t="shared" ref="N77" ca="1" si="448">GetVariance(N76,Variance_Avg,Lambda,Eta,M77,"Daily")</f>
        <v>3.9445385534198824E-2</v>
      </c>
      <c r="O77" s="20">
        <f t="shared" ref="O77" ca="1" si="449">GetStockReturns(0,RiskFreeRate,N77,L77,"Daily")</f>
        <v>-6.2970374141890608E-3</v>
      </c>
      <c r="P77" s="19">
        <f t="shared" ca="1" si="143"/>
        <v>109.2166560413788</v>
      </c>
      <c r="Q77" s="19">
        <f ca="1">HCTrans(P77,Strike,RiskFreeRate,Dividend,Variance_T0*AnnualVarConvtr,(Simulation!G77)/250,0.5,Variance_Avg*AnnualVarConvtr,Lambda,SQRT(Simulation!N77),Rho,1,"Call")</f>
        <v>30.608947277130667</v>
      </c>
      <c r="R77" s="19">
        <f t="shared" ref="R77" ca="1" si="450">BSvol(1,P77,Strike,Q77,Dividend,RiskFreeRate,G77/250)</f>
        <v>0.74339579389361854</v>
      </c>
      <c r="S77" s="19">
        <f t="shared" ref="S77" ca="1" si="451">BSdelta(1,P77,Strike,R77/AnnualVarConvtr,Dividend,RiskFreeRate,G77/250)</f>
        <v>0.98752297632080499</v>
      </c>
      <c r="T77" s="19">
        <f t="shared" ca="1" si="418"/>
        <v>-0.45347953340305758</v>
      </c>
      <c r="U77" s="19">
        <f t="shared" ca="1" si="419"/>
        <v>-74.586858841333324</v>
      </c>
      <c r="V77" s="21">
        <f t="shared" ca="1" si="408"/>
        <v>8.0730414734616761E-4</v>
      </c>
      <c r="W77">
        <f t="shared" ca="1" si="409"/>
        <v>2.8413098165215415E-2</v>
      </c>
      <c r="X77" s="22">
        <f t="shared" ref="X77" ca="1" si="452">BSdelta(1,P77,Strike,W77*AnnualVarConvtr,Dividend,RiskFreeRate,G77/250)</f>
        <v>0.66352844749931883</v>
      </c>
      <c r="Y77" s="22">
        <f t="shared" ca="1" si="421"/>
        <v>-1.0843725349362954</v>
      </c>
      <c r="Z77" s="22">
        <f t="shared" ca="1" si="422"/>
        <v>-36.306124391415196</v>
      </c>
      <c r="AA77">
        <f t="shared" si="402"/>
        <v>0.73884103340948371</v>
      </c>
      <c r="AB77">
        <f t="shared" ref="AB77" ca="1" si="453">BSdelta(1,P77,Strike,AA77/AnnualVarConvtr,Dividend,RiskFreeRate,G77/250)</f>
        <v>0.98795502298440274</v>
      </c>
      <c r="AC77">
        <f t="shared" ca="1" si="412"/>
        <v>-0.44138117705150537</v>
      </c>
      <c r="AD77">
        <f t="shared" ca="1" si="413"/>
        <v>-74.634324410103517</v>
      </c>
    </row>
    <row r="78" spans="7:30">
      <c r="G78" s="19">
        <v>177</v>
      </c>
      <c r="H78" s="19">
        <f t="shared" ca="1" si="160"/>
        <v>5.1342570175914481E-2</v>
      </c>
      <c r="I78" s="19">
        <f t="shared" ca="1" si="160"/>
        <v>0.90462823308200146</v>
      </c>
      <c r="J78" s="19">
        <f t="shared" ca="1" si="395"/>
        <v>2.0123056520070706</v>
      </c>
      <c r="K78" s="19">
        <f t="shared" ca="1" si="396"/>
        <v>-1.3744439052809434</v>
      </c>
      <c r="L78" s="19">
        <f t="array" aca="1" ref="L78:M78" ca="1">MMULT(J78:K78,TRANSPOSE($B$10:$C$11))</f>
        <v>2.0123056520070706</v>
      </c>
      <c r="M78" s="19">
        <f ca="1"/>
        <v>-2.4006113257538506</v>
      </c>
      <c r="N78" s="20">
        <f t="shared" ref="N78" ca="1" si="454">GetVariance(N77,Variance_Avg,Lambda,Eta,M78,"Daily")</f>
        <v>2.8449022109165376E-2</v>
      </c>
      <c r="O78" s="20">
        <f t="shared" ref="O78" ca="1" si="455">GetStockReturns(0,RiskFreeRate,N78,L78,"Daily")</f>
        <v>2.1466320738284594E-2</v>
      </c>
      <c r="P78" s="19">
        <f t="shared" ca="1" si="143"/>
        <v>111.58648051490832</v>
      </c>
      <c r="Q78" s="19">
        <f ca="1">HCTrans(P78,Strike,RiskFreeRate,Dividend,Variance_T0*AnnualVarConvtr,(Simulation!G78)/250,0.5,Variance_Avg*AnnualVarConvtr,Lambda,SQRT(Simulation!N78),Rho,1,"Call")</f>
        <v>32.203545908521448</v>
      </c>
      <c r="R78" s="19">
        <f t="shared" ref="R78" ca="1" si="456">BSvol(1,P78,Strike,Q78,Dividend,RiskFreeRate,G78/250)</f>
        <v>0.7448923802983749</v>
      </c>
      <c r="S78" s="19">
        <f t="shared" ref="S78" ca="1" si="457">BSdelta(1,P78,Strike,R78/AnnualVarConvtr,Dividend,RiskFreeRate,G78/250)</f>
        <v>0.99732701583954142</v>
      </c>
      <c r="T78" s="19">
        <f t="shared" ca="1" si="418"/>
        <v>1.0939982647248736</v>
      </c>
      <c r="U78" s="19">
        <f t="shared" ca="1" si="419"/>
        <v>-74.086258474667417</v>
      </c>
      <c r="V78" s="21">
        <f t="shared" ca="1" si="408"/>
        <v>7.7080405590252527E-4</v>
      </c>
      <c r="W78">
        <f t="shared" ca="1" si="409"/>
        <v>2.7763358152473654E-2</v>
      </c>
      <c r="X78" s="22">
        <f t="shared" ref="X78" ca="1" si="458">BSdelta(1,P78,Strike,W78*AnnualVarConvtr,Dividend,RiskFreeRate,G78/250)</f>
        <v>0.68491502691326989</v>
      </c>
      <c r="Y78" s="22">
        <f t="shared" ca="1" si="421"/>
        <v>2.3864531270553888</v>
      </c>
      <c r="Z78" s="22">
        <f t="shared" ca="1" si="422"/>
        <v>-37.097978887079805</v>
      </c>
      <c r="AA78">
        <f t="shared" si="402"/>
        <v>0.73884103340948371</v>
      </c>
      <c r="AB78">
        <f t="shared" ref="AB78" ca="1" si="459">BSdelta(1,P78,Strike,AA78/AnnualVarConvtr,Dividend,RiskFreeRate,G78/250)</f>
        <v>0.99750673372133747</v>
      </c>
      <c r="AC78">
        <f t="shared" ca="1" si="412"/>
        <v>1.0658417840310075</v>
      </c>
      <c r="AD78">
        <f t="shared" ca="1" si="413"/>
        <v>-74.105567562743744</v>
      </c>
    </row>
    <row r="79" spans="7:30">
      <c r="G79" s="19">
        <v>176</v>
      </c>
      <c r="H79" s="19">
        <f t="shared" ca="1" si="160"/>
        <v>0.75489902875795689</v>
      </c>
      <c r="I79" s="19">
        <f t="shared" ca="1" si="160"/>
        <v>0.63451692161245621</v>
      </c>
      <c r="J79" s="19">
        <f t="shared" ca="1" si="395"/>
        <v>-0.49761954558088217</v>
      </c>
      <c r="K79" s="19">
        <f t="shared" ca="1" si="396"/>
        <v>-0.56099673679805717</v>
      </c>
      <c r="L79" s="19">
        <f t="array" aca="1" ref="L79:M79" ca="1">MMULT(J79:K79,TRANSPOSE($B$10:$C$11))</f>
        <v>-0.49761954558088217</v>
      </c>
      <c r="M79" s="19">
        <f ca="1"/>
        <v>-3.4799677463796697E-2</v>
      </c>
      <c r="N79" s="20">
        <f t="shared" ref="N79" ca="1" si="460">GetVariance(N78,Variance_Avg,Lambda,Eta,M79,"Daily")</f>
        <v>2.8191816886868584E-2</v>
      </c>
      <c r="O79" s="20">
        <f t="shared" ref="O79" ca="1" si="461">GetStockReturns(0,RiskFreeRate,N79,L79,"Daily")</f>
        <v>-5.2843181726081262E-3</v>
      </c>
      <c r="P79" s="19">
        <f t="shared" ca="1" si="143"/>
        <v>110.99837727893113</v>
      </c>
      <c r="Q79" s="19">
        <f ca="1">HCTrans(P79,Strike,RiskFreeRate,Dividend,Variance_T0*AnnualVarConvtr,(Simulation!G79)/250,0.5,Variance_Avg*AnnualVarConvtr,Lambda,SQRT(Simulation!N79),Rho,1,"Call")</f>
        <v>31.726568052052301</v>
      </c>
      <c r="R79" s="19">
        <f t="shared" ref="R79" ca="1" si="462">BSvol(1,P79,Strike,Q79,Dividend,RiskFreeRate,G79/250)</f>
        <v>0.74478210365009567</v>
      </c>
      <c r="S79" s="19">
        <f t="shared" ref="S79" ca="1" si="463">BSdelta(1,P79,Strike,R79/AnnualVarConvtr,Dividend,RiskFreeRate,G79/250)</f>
        <v>0.99609187719841097</v>
      </c>
      <c r="T79" s="19">
        <f t="shared" ca="1" si="418"/>
        <v>-0.13709838487998413</v>
      </c>
      <c r="U79" s="19">
        <f t="shared" ca="1" si="419"/>
        <v>-74.426137946256574</v>
      </c>
      <c r="V79" s="21">
        <f t="shared" ca="1" si="408"/>
        <v>7.1559668214096761E-4</v>
      </c>
      <c r="W79">
        <f t="shared" ca="1" si="409"/>
        <v>2.6750638910892719E-2</v>
      </c>
      <c r="X79" s="22">
        <f t="shared" ref="X79" ca="1" si="464">BSdelta(1,P79,Strike,W79*AnnualVarConvtr,Dividend,RiskFreeRate,G79/250)</f>
        <v>0.68134660132055758</v>
      </c>
      <c r="Y79" s="22">
        <f t="shared" ca="1" si="421"/>
        <v>-0.39608945023167441</v>
      </c>
      <c r="Z79" s="22">
        <f t="shared" ca="1" si="422"/>
        <v>-37.178867293317275</v>
      </c>
      <c r="AA79">
        <f t="shared" si="402"/>
        <v>0.73884103340948371</v>
      </c>
      <c r="AB79">
        <f t="shared" ref="AB79" ca="1" si="465">BSdelta(1,P79,Strike,AA79/AnnualVarConvtr,Dividend,RiskFreeRate,G79/250)</f>
        <v>0.99632963262515017</v>
      </c>
      <c r="AC79">
        <f t="shared" ca="1" si="412"/>
        <v>-0.13065631157004068</v>
      </c>
      <c r="AD79">
        <f t="shared" ca="1" si="413"/>
        <v>-74.451889107642856</v>
      </c>
    </row>
    <row r="80" spans="7:30">
      <c r="G80" s="19">
        <v>175</v>
      </c>
      <c r="H80" s="19">
        <f t="shared" ca="1" si="160"/>
        <v>0.77532379965208609</v>
      </c>
      <c r="I80" s="19">
        <f t="shared" ca="1" si="160"/>
        <v>0.4362836277324087</v>
      </c>
      <c r="J80" s="19">
        <f t="shared" ca="1" si="395"/>
        <v>-0.65699605902260172</v>
      </c>
      <c r="K80" s="19">
        <f t="shared" ca="1" si="396"/>
        <v>0.27803819916374056</v>
      </c>
      <c r="L80" s="19">
        <f t="array" aca="1" ref="L80:M80" ca="1">MMULT(J80:K80,TRANSPOSE($B$10:$C$11))</f>
        <v>-0.65699605902260172</v>
      </c>
      <c r="M80" s="19">
        <f ca="1"/>
        <v>0.66469353492490224</v>
      </c>
      <c r="N80" s="20">
        <f t="shared" ref="N80" ca="1" si="466">GetVariance(N79,Variance_Avg,Lambda,Eta,M80,"Daily")</f>
        <v>3.0882711780199173E-2</v>
      </c>
      <c r="O80" s="20">
        <f t="shared" ref="O80" ca="1" si="467">GetStockReturns(0,RiskFreeRate,N80,L80,"Daily")</f>
        <v>-7.3021453651068912E-3</v>
      </c>
      <c r="P80" s="19">
        <f t="shared" ca="1" si="143"/>
        <v>110.19080309320545</v>
      </c>
      <c r="Q80" s="19">
        <f ca="1">HCTrans(P80,Strike,RiskFreeRate,Dividend,Variance_T0*AnnualVarConvtr,(Simulation!G80)/250,0.5,Variance_Avg*AnnualVarConvtr,Lambda,SQRT(Simulation!N80),Rho,1,"Call")</f>
        <v>31.093052043807432</v>
      </c>
      <c r="R80" s="19">
        <f t="shared" ref="R80" ca="1" si="468">BSvol(1,P80,Strike,Q80,Dividend,RiskFreeRate,G80/250)</f>
        <v>0.74439989550769914</v>
      </c>
      <c r="S80" s="19">
        <f t="shared" ref="S80" ca="1" si="469">BSdelta(1,P80,Strike,R80/AnnualVarConvtr,Dividend,RiskFreeRate,G80/250)</f>
        <v>0.99349235567523875</v>
      </c>
      <c r="T80" s="19">
        <f t="shared" ca="1" si="418"/>
        <v>-0.28644336429641976</v>
      </c>
      <c r="U80" s="19">
        <f t="shared" ca="1" si="419"/>
        <v>-74.773210590205025</v>
      </c>
      <c r="V80" s="21">
        <f t="shared" ca="1" si="408"/>
        <v>4.0716265787874482E-6</v>
      </c>
      <c r="W80">
        <f t="shared" ca="1" si="409"/>
        <v>2.017827192498765E-3</v>
      </c>
      <c r="X80" s="22">
        <f t="shared" ref="X80" ca="1" si="470">BSdelta(1,P80,Strike,W80*AnnualVarConvtr,Dividend,RiskFreeRate,G80/250)</f>
        <v>0.99986828211445133</v>
      </c>
      <c r="Y80" s="22">
        <f t="shared" ca="1" si="421"/>
        <v>35.098159809276787</v>
      </c>
      <c r="Z80" s="22">
        <f t="shared" ca="1" si="422"/>
        <v>-72.91054311083893</v>
      </c>
      <c r="AA80">
        <f t="shared" si="402"/>
        <v>0.73884103340948371</v>
      </c>
      <c r="AB80">
        <f t="shared" ref="AB80" ca="1" si="471">BSdelta(1,P80,Strike,AA80/AnnualVarConvtr,Dividend,RiskFreeRate,G80/250)</f>
        <v>0.99382076003996833</v>
      </c>
      <c r="AC80">
        <f t="shared" ca="1" si="412"/>
        <v>-0.27645468501971376</v>
      </c>
      <c r="AD80">
        <f t="shared" ca="1" si="413"/>
        <v>-74.808950430868009</v>
      </c>
    </row>
    <row r="81" spans="7:30">
      <c r="G81" s="19">
        <v>174</v>
      </c>
      <c r="H81" s="19">
        <f t="shared" ca="1" si="160"/>
        <v>0.37468141072118932</v>
      </c>
      <c r="I81" s="19">
        <f t="shared" ca="1" si="160"/>
        <v>7.9766586560962249E-2</v>
      </c>
      <c r="J81" s="19">
        <f t="shared" ca="1" si="395"/>
        <v>1.2288686289746158</v>
      </c>
      <c r="K81" s="19">
        <f t="shared" ca="1" si="396"/>
        <v>0.673231211209391</v>
      </c>
      <c r="L81" s="19">
        <f t="array" aca="1" ref="L81:M81" ca="1">MMULT(J81:K81,TRANSPOSE($B$10:$C$11))</f>
        <v>1.2288686289746158</v>
      </c>
      <c r="M81" s="19">
        <f ca="1"/>
        <v>-0.41084697023547539</v>
      </c>
      <c r="N81" s="20">
        <f t="shared" ref="N81" ca="1" si="472">GetVariance(N80,Variance_Avg,Lambda,Eta,M81,"Daily")</f>
        <v>2.9011351170023982E-2</v>
      </c>
      <c r="O81" s="20">
        <f t="shared" ref="O81" ca="1" si="473">GetStockReturns(0,RiskFreeRate,N81,L81,"Daily")</f>
        <v>1.3237910215506467E-2</v>
      </c>
      <c r="P81" s="19">
        <f t="shared" ca="1" si="143"/>
        <v>111.65919683975868</v>
      </c>
      <c r="Q81" s="19">
        <f ca="1">HCTrans(P81,Strike,RiskFreeRate,Dividend,Variance_T0*AnnualVarConvtr,(Simulation!G81)/250,0.5,Variance_Avg*AnnualVarConvtr,Lambda,SQRT(Simulation!N81),Rho,1,"Call")</f>
        <v>32.04524547628445</v>
      </c>
      <c r="R81" s="19">
        <f t="shared" ref="R81" ca="1" si="474">BSvol(1,P81,Strike,Q81,Dividend,RiskFreeRate,G81/250)</f>
        <v>0.74497042792257095</v>
      </c>
      <c r="S81" s="19">
        <f t="shared" ref="S81" ca="1" si="475">BSdelta(1,P81,Strike,R81/AnnualVarConvtr,Dividend,RiskFreeRate,G81/250)</f>
        <v>0.9976379319117662</v>
      </c>
      <c r="T81" s="19">
        <f t="shared" ca="1" si="418"/>
        <v>0.46289171300864435</v>
      </c>
      <c r="U81" s="19">
        <f t="shared" ca="1" si="419"/>
        <v>-74.283908870736653</v>
      </c>
      <c r="V81" s="21">
        <f t="shared" ca="1" si="408"/>
        <v>4.2189388325468592E-4</v>
      </c>
      <c r="W81">
        <f t="shared" ca="1" si="409"/>
        <v>2.0540055580613358E-2</v>
      </c>
      <c r="X81" s="22">
        <f t="shared" ref="X81" ca="1" si="476">BSdelta(1,P81,Strike,W81*AnnualVarConvtr,Dividend,RiskFreeRate,G81/250)</f>
        <v>0.70626285160719415</v>
      </c>
      <c r="Y81" s="22">
        <f t="shared" ca="1" si="421"/>
        <v>-32.783746558231918</v>
      </c>
      <c r="Z81" s="22">
        <f t="shared" ca="1" si="422"/>
        <v>-39.174603120129994</v>
      </c>
      <c r="AA81">
        <f t="shared" si="402"/>
        <v>0.73884103340948371</v>
      </c>
      <c r="AB81">
        <f t="shared" ref="AB81" ca="1" si="477">BSdelta(1,P81,Strike,AA81/AnnualVarConvtr,Dividend,RiskFreeRate,G81/250)</f>
        <v>0.99780287659060807</v>
      </c>
      <c r="AC81">
        <f t="shared" ca="1" si="412"/>
        <v>0.44463993576674316</v>
      </c>
      <c r="AD81">
        <f t="shared" ca="1" si="413"/>
        <v>-74.301396934157736</v>
      </c>
    </row>
    <row r="82" spans="7:30">
      <c r="G82" s="19">
        <v>173</v>
      </c>
      <c r="H82" s="19">
        <f t="shared" ca="1" si="160"/>
        <v>0.54528570529002529</v>
      </c>
      <c r="I82" s="19">
        <f t="shared" ca="1" si="160"/>
        <v>0.86386220675541914</v>
      </c>
      <c r="J82" s="19">
        <f t="shared" ca="1" si="395"/>
        <v>0.72238711922067778</v>
      </c>
      <c r="K82" s="19">
        <f t="shared" ca="1" si="396"/>
        <v>-0.83129274841231304</v>
      </c>
      <c r="L82" s="19">
        <f t="array" aca="1" ref="L82:M82" ca="1">MMULT(J82:K82,TRANSPOSE($B$10:$C$11))</f>
        <v>0.72238711922067778</v>
      </c>
      <c r="M82" s="19">
        <f ca="1"/>
        <v>-1.0974894613360919</v>
      </c>
      <c r="N82" s="20">
        <f t="shared" ref="N82" ca="1" si="478">GetVariance(N81,Variance_Avg,Lambda,Eta,M82,"Daily")</f>
        <v>2.4492318674260601E-2</v>
      </c>
      <c r="O82" s="20">
        <f t="shared" ref="O82" ca="1" si="479">GetStockReturns(0,RiskFreeRate,N82,L82,"Daily")</f>
        <v>7.1501464958896119E-3</v>
      </c>
      <c r="P82" s="19">
        <f t="shared" ca="1" si="143"/>
        <v>112.46043753536308</v>
      </c>
      <c r="Q82" s="19">
        <f ca="1">HCTrans(P82,Strike,RiskFreeRate,Dividend,Variance_T0*AnnualVarConvtr,(Simulation!G82)/250,0.5,Variance_Avg*AnnualVarConvtr,Lambda,SQRT(Simulation!N82),Rho,1,"Call")</f>
        <v>32.544268316892897</v>
      </c>
      <c r="R82" s="19">
        <f t="shared" ref="R82" ca="1" si="480">BSvol(1,P82,Strike,Q82,Dividend,RiskFreeRate,G82/250)</f>
        <v>0.74550261529785578</v>
      </c>
      <c r="S82" s="19">
        <f t="shared" ref="S82" ca="1" si="481">BSdelta(1,P82,Strike,R82/AnnualVarConvtr,Dividend,RiskFreeRate,G82/250)</f>
        <v>0.99870920421508691</v>
      </c>
      <c r="T82" s="19">
        <f t="shared" ca="1" si="418"/>
        <v>0.12047575195096367</v>
      </c>
      <c r="U82" s="19">
        <f t="shared" ca="1" si="419"/>
        <v>-73.905361782079169</v>
      </c>
      <c r="V82" s="21">
        <f t="shared" ca="1" si="408"/>
        <v>3.7060867105883251E-5</v>
      </c>
      <c r="W82">
        <f t="shared" ca="1" si="409"/>
        <v>6.0877637196168552E-3</v>
      </c>
      <c r="X82" s="22">
        <f t="shared" ref="X82" ca="1" si="482">BSdelta(1,P82,Strike,W82*AnnualVarConvtr,Dividend,RiskFreeRate,G82/250)</f>
        <v>0.93404427512175991</v>
      </c>
      <c r="Y82" s="22">
        <f t="shared" ca="1" si="421"/>
        <v>25.616398550875907</v>
      </c>
      <c r="Z82" s="22">
        <f t="shared" ca="1" si="422"/>
        <v>-64.291978830397454</v>
      </c>
      <c r="AA82">
        <f t="shared" si="402"/>
        <v>0.73884103340948371</v>
      </c>
      <c r="AB82">
        <f t="shared" ref="AB82" ca="1" si="483">BSdelta(1,P82,Strike,AA82/AnnualVarConvtr,Dividend,RiskFreeRate,G82/250)</f>
        <v>0.99881879605496637</v>
      </c>
      <c r="AC82">
        <f t="shared" ca="1" si="412"/>
        <v>0.11425074746242678</v>
      </c>
      <c r="AD82">
        <f t="shared" ca="1" si="413"/>
        <v>-73.916624841011711</v>
      </c>
    </row>
    <row r="83" spans="7:30">
      <c r="G83" s="19">
        <v>172</v>
      </c>
      <c r="H83" s="19">
        <f t="shared" ca="1" si="160"/>
        <v>0.49671759630458934</v>
      </c>
      <c r="I83" s="19">
        <f t="shared" ca="1" si="160"/>
        <v>2.5681727915139341E-2</v>
      </c>
      <c r="J83" s="19">
        <f t="shared" ca="1" si="395"/>
        <v>1.1676228233551671</v>
      </c>
      <c r="K83" s="19">
        <f t="shared" ca="1" si="396"/>
        <v>0.19006368544681534</v>
      </c>
      <c r="L83" s="19">
        <f t="array" aca="1" ref="L83:M83" ca="1">MMULT(J83:K83,TRANSPOSE($B$10:$C$11))</f>
        <v>1.1676228233551671</v>
      </c>
      <c r="M83" s="19">
        <f ca="1"/>
        <v>-0.70401577943434501</v>
      </c>
      <c r="N83" s="20">
        <f t="shared" ref="N83" ca="1" si="484">GetVariance(N82,Variance_Avg,Lambda,Eta,M83,"Daily")</f>
        <v>2.1772718183971574E-2</v>
      </c>
      <c r="O83" s="20">
        <f t="shared" ref="O83" ca="1" si="485">GetStockReturns(0,RiskFreeRate,N83,L83,"Daily")</f>
        <v>1.0896547009329519E-2</v>
      </c>
      <c r="P83" s="19">
        <f t="shared" ca="1" si="143"/>
        <v>113.69256877627699</v>
      </c>
      <c r="Q83" s="19">
        <f ca="1">HCTrans(P83,Strike,RiskFreeRate,Dividend,Variance_T0*AnnualVarConvtr,(Simulation!G83)/250,0.5,Variance_Avg*AnnualVarConvtr,Lambda,SQRT(Simulation!N83),Rho,1,"Call")</f>
        <v>33.344882349575698</v>
      </c>
      <c r="R83" s="19">
        <f t="shared" ref="R83" ca="1" si="486">BSvol(1,P83,Strike,Q83,Dividend,RiskFreeRate,G83/250)</f>
        <v>0.7459981356110067</v>
      </c>
      <c r="S83" s="19">
        <f t="shared" ref="S83" ca="1" si="487">BSdelta(1,P83,Strike,R83/AnnualVarConvtr,Dividend,RiskFreeRate,G83/250)</f>
        <v>0.99951433158635528</v>
      </c>
      <c r="T83" s="19">
        <f t="shared" ca="1" si="418"/>
        <v>9.1536999031591793E-2</v>
      </c>
      <c r="U83" s="19">
        <f t="shared" ca="1" si="419"/>
        <v>-73.196284748427956</v>
      </c>
      <c r="V83" s="21">
        <f t="shared" ca="1" si="408"/>
        <v>1.4035516807102801E-5</v>
      </c>
      <c r="W83">
        <f t="shared" ca="1" si="409"/>
        <v>3.7464005134399073E-3</v>
      </c>
      <c r="X83" s="22">
        <f t="shared" ref="X83" ca="1" si="488">BSdelta(1,P83,Strike,W83*AnnualVarConvtr,Dividend,RiskFreeRate,G83/250)</f>
        <v>0.99581023743849439</v>
      </c>
      <c r="Y83" s="22">
        <f t="shared" ca="1" si="421"/>
        <v>7.022330918728267</v>
      </c>
      <c r="Z83" s="22">
        <f t="shared" ca="1" si="422"/>
        <v>-70.513695716442925</v>
      </c>
      <c r="AA83">
        <f t="shared" si="402"/>
        <v>0.73884103340948371</v>
      </c>
      <c r="AB83">
        <f t="shared" ref="AB83" ca="1" si="489">BSdelta(1,P83,Strike,AA83/AnnualVarConvtr,Dividend,RiskFreeRate,G83/250)</f>
        <v>0.99956620175648569</v>
      </c>
      <c r="AC83">
        <f t="shared" ca="1" si="412"/>
        <v>8.4974474123766991E-2</v>
      </c>
      <c r="AD83">
        <f t="shared" ca="1" si="413"/>
        <v>-73.200985282452677</v>
      </c>
    </row>
    <row r="84" spans="7:30">
      <c r="G84" s="19">
        <v>171</v>
      </c>
      <c r="H84" s="19">
        <f t="shared" ca="1" si="160"/>
        <v>0.33102438208710083</v>
      </c>
      <c r="I84" s="19">
        <f t="shared" ca="1" si="160"/>
        <v>0.10627412091842814</v>
      </c>
      <c r="J84" s="19">
        <f t="shared" ca="1" si="395"/>
        <v>1.1676155170334896</v>
      </c>
      <c r="K84" s="19">
        <f t="shared" ca="1" si="396"/>
        <v>0.92076082303139084</v>
      </c>
      <c r="L84" s="19">
        <f t="array" aca="1" ref="L84:M84" ca="1">MMULT(J84:K84,TRANSPOSE($B$10:$C$11))</f>
        <v>1.1676155170334896</v>
      </c>
      <c r="M84" s="19">
        <f ca="1"/>
        <v>-0.19428565359897587</v>
      </c>
      <c r="N84" s="20">
        <f t="shared" ref="N84" ca="1" si="490">GetVariance(N83,Variance_Avg,Lambda,Eta,M84,"Daily")</f>
        <v>2.0997374185633532E-2</v>
      </c>
      <c r="O84" s="20">
        <f t="shared" ref="O84" ca="1" si="491">GetStockReturns(0,RiskFreeRate,N84,L84,"Daily")</f>
        <v>1.0700703914599185E-2</v>
      </c>
      <c r="P84" s="19">
        <f t="shared" ca="1" si="143"/>
        <v>114.91569175936299</v>
      </c>
      <c r="Q84" s="19">
        <f ca="1">HCTrans(P84,Strike,RiskFreeRate,Dividend,Variance_T0*AnnualVarConvtr,(Simulation!G84)/250,0.5,Variance_Avg*AnnualVarConvtr,Lambda,SQRT(Simulation!N84),Rho,1,"Call")</f>
        <v>34.141543415836878</v>
      </c>
      <c r="R84" s="19">
        <f t="shared" ref="R84" ca="1" si="492">BSvol(1,P84,Strike,Q84,Dividend,RiskFreeRate,G84/250)</f>
        <v>0.74635241718286305</v>
      </c>
      <c r="S84" s="19">
        <f t="shared" ref="S84" ca="1" si="493">BSdelta(1,P84,Strike,R84/AnnualVarConvtr,Dividend,RiskFreeRate,G84/250)</f>
        <v>0.99982870587900685</v>
      </c>
      <c r="T84" s="19">
        <f t="shared" ca="1" si="418"/>
        <v>3.6126539311416253E-2</v>
      </c>
      <c r="U84" s="19">
        <f t="shared" ca="1" si="419"/>
        <v>-72.435750221478187</v>
      </c>
      <c r="V84" s="21">
        <f t="shared" ca="1" si="408"/>
        <v>3.83545177535546E-8</v>
      </c>
      <c r="W84">
        <f t="shared" ca="1" si="409"/>
        <v>1.9584309473033405E-4</v>
      </c>
      <c r="X84" s="22">
        <f t="shared" ref="X84" ca="1" si="494">BSdelta(1,P84,Strike,W84*AnnualVarConvtr,Dividend,RiskFreeRate,G84/250)</f>
        <v>1</v>
      </c>
      <c r="Y84" s="22">
        <f t="shared" ca="1" si="421"/>
        <v>0.48146946306289728</v>
      </c>
      <c r="Z84" s="22">
        <f t="shared" ca="1" si="422"/>
        <v>-70.198504113244638</v>
      </c>
      <c r="AA84">
        <f t="shared" si="402"/>
        <v>0.73884103340948371</v>
      </c>
      <c r="AB84">
        <f t="shared" ref="AB84" ca="1" si="495">BSdelta(1,P84,Strike,AA84/AnnualVarConvtr,Dividend,RiskFreeRate,G84/250)</f>
        <v>0.9998508517240714</v>
      </c>
      <c r="AC84">
        <f t="shared" ca="1" si="412"/>
        <v>3.2710747934391417E-2</v>
      </c>
      <c r="AD84">
        <f t="shared" ca="1" si="413"/>
        <v>-72.437034964125885</v>
      </c>
    </row>
    <row r="85" spans="7:30">
      <c r="G85" s="19">
        <v>170</v>
      </c>
      <c r="H85" s="19">
        <f t="shared" ca="1" si="160"/>
        <v>0.88481386344323676</v>
      </c>
      <c r="I85" s="19">
        <f t="shared" ca="1" si="160"/>
        <v>0.72846426712033585</v>
      </c>
      <c r="J85" s="19">
        <f t="shared" ca="1" si="395"/>
        <v>-6.6739055860502508E-2</v>
      </c>
      <c r="K85" s="19">
        <f t="shared" ca="1" si="396"/>
        <v>-0.490205934480062</v>
      </c>
      <c r="L85" s="19">
        <f t="array" aca="1" ref="L85:M85" ca="1">MMULT(J85:K85,TRANSPOSE($B$10:$C$11))</f>
        <v>-6.6739055860502508E-2</v>
      </c>
      <c r="M85" s="19">
        <f ca="1"/>
        <v>-0.29414279846602676</v>
      </c>
      <c r="N85" s="20">
        <f t="shared" ref="N85" ca="1" si="496">GetVariance(N84,Variance_Avg,Lambda,Eta,M85,"Daily")</f>
        <v>1.9891298179780543E-2</v>
      </c>
      <c r="O85" s="20">
        <f t="shared" ref="O85" ca="1" si="497">GetStockReturns(0,RiskFreeRate,N85,L85,"Daily")</f>
        <v>-5.9530786184678187E-4</v>
      </c>
      <c r="P85" s="19">
        <f t="shared" ca="1" si="143"/>
        <v>114.84730190313834</v>
      </c>
      <c r="Q85" s="19">
        <f ca="1">HCTrans(P85,Strike,RiskFreeRate,Dividend,Variance_T0*AnnualVarConvtr,(Simulation!G85)/250,0.5,Variance_Avg*AnnualVarConvtr,Lambda,SQRT(Simulation!N85),Rho,1,"Call")</f>
        <v>34.023942447014889</v>
      </c>
      <c r="R85" s="19">
        <f t="shared" ref="R85" ca="1" si="498">BSvol(1,P85,Strike,Q85,Dividend,RiskFreeRate,G85/250)</f>
        <v>0.74642388421690875</v>
      </c>
      <c r="S85" s="19">
        <f t="shared" ref="S85" ca="1" si="499">BSdelta(1,P85,Strike,R85/AnnualVarConvtr,Dividend,RiskFreeRate,G85/250)</f>
        <v>0.99982524410501039</v>
      </c>
      <c r="T85" s="19">
        <f t="shared" ca="1" si="418"/>
        <v>-3.9757540329192313E-4</v>
      </c>
      <c r="U85" s="19">
        <f t="shared" ca="1" si="419"/>
        <v>-72.552953614896879</v>
      </c>
      <c r="V85" s="21">
        <f t="shared" ca="1" si="408"/>
        <v>1.2759988205360596E-4</v>
      </c>
      <c r="W85">
        <f t="shared" ca="1" si="409"/>
        <v>1.1296011776445966E-2</v>
      </c>
      <c r="X85" s="22">
        <f t="shared" ref="X85" ca="1" si="500">BSdelta(1,P85,Strike,W85*AnnualVarConvtr,Dividend,RiskFreeRate,G85/250)</f>
        <v>0.84460382250627442</v>
      </c>
      <c r="Y85" s="22">
        <f t="shared" ca="1" si="421"/>
        <v>-17.846831711215575</v>
      </c>
      <c r="Z85" s="22">
        <f t="shared" ca="1" si="422"/>
        <v>-52.469273370851056</v>
      </c>
      <c r="AA85">
        <f t="shared" si="402"/>
        <v>0.73884103340948371</v>
      </c>
      <c r="AB85">
        <f t="shared" ref="AB85" ca="1" si="501">BSdelta(1,P85,Strike,AA85/AnnualVarConvtr,Dividend,RiskFreeRate,G85/250)</f>
        <v>0.99984798058273894</v>
      </c>
      <c r="AC85">
        <f t="shared" ca="1" si="412"/>
        <v>-3.2974283541574293E-4</v>
      </c>
      <c r="AD85">
        <f t="shared" ca="1" si="413"/>
        <v>-72.554306190112456</v>
      </c>
    </row>
    <row r="86" spans="7:30">
      <c r="G86" s="19">
        <v>169</v>
      </c>
      <c r="H86" s="19">
        <f t="shared" ca="1" si="160"/>
        <v>0.8516372910520591</v>
      </c>
      <c r="I86" s="19">
        <f t="shared" ca="1" si="160"/>
        <v>0.19845568243388989</v>
      </c>
      <c r="J86" s="19">
        <f t="shared" ca="1" si="395"/>
        <v>0.18035258941076251</v>
      </c>
      <c r="K86" s="19">
        <f t="shared" ca="1" si="396"/>
        <v>0.53727279713216203</v>
      </c>
      <c r="L86" s="19">
        <f t="array" aca="1" ref="L86:M86" ca="1">MMULT(J86:K86,TRANSPOSE($B$10:$C$11))</f>
        <v>0.18035258941076251</v>
      </c>
      <c r="M86" s="19">
        <f ca="1"/>
        <v>0.24557193749310147</v>
      </c>
      <c r="N86" s="20">
        <f t="shared" ref="N86" ca="1" si="502">GetVariance(N85,Variance_Avg,Lambda,Eta,M86,"Daily")</f>
        <v>2.068151728812417E-2</v>
      </c>
      <c r="O86" s="20">
        <f t="shared" ref="O86" ca="1" si="503">GetStockReturns(0,RiskFreeRate,N86,L86,"Daily")</f>
        <v>1.6403766414878848E-3</v>
      </c>
      <c r="P86" s="19">
        <f t="shared" ca="1" si="143"/>
        <v>115.03584933664185</v>
      </c>
      <c r="Q86" s="19">
        <f ca="1">HCTrans(P86,Strike,RiskFreeRate,Dividend,Variance_T0*AnnualVarConvtr,(Simulation!G86)/250,0.5,Variance_Avg*AnnualVarConvtr,Lambda,SQRT(Simulation!N86),Rho,1,"Call")</f>
        <v>34.085409175759324</v>
      </c>
      <c r="R86" s="19">
        <f t="shared" ref="R86" ca="1" si="504">BSvol(1,P86,Strike,Q86,Dividend,RiskFreeRate,G86/250)</f>
        <v>0.74645315590818662</v>
      </c>
      <c r="S86" s="19">
        <f t="shared" ref="S86" ca="1" si="505">BSdelta(1,P86,Strike,R86/AnnualVarConvtr,Dividend,RiskFreeRate,G86/250)</f>
        <v>0.99985724555217503</v>
      </c>
      <c r="T86" s="19">
        <f t="shared" ca="1" si="418"/>
        <v>3.6813136545863043E-3</v>
      </c>
      <c r="U86" s="19">
        <f t="shared" ca="1" si="419"/>
        <v>-72.495168199807026</v>
      </c>
      <c r="V86" s="21">
        <f t="shared" ca="1" si="408"/>
        <v>4.9982851984507739E-6</v>
      </c>
      <c r="W86">
        <f t="shared" ca="1" si="409"/>
        <v>2.2356845033346664E-3</v>
      </c>
      <c r="X86" s="22">
        <f t="shared" ref="X86" ca="1" si="506">BSdelta(1,P86,Strike,W86*AnnualVarConvtr,Dividend,RiskFreeRate,G86/250)</f>
        <v>0.99999933104400829</v>
      </c>
      <c r="Y86" s="22">
        <f t="shared" ca="1" si="421"/>
        <v>17.876054307737597</v>
      </c>
      <c r="Z86" s="22">
        <f t="shared" ca="1" si="422"/>
        <v>-70.283860949844211</v>
      </c>
      <c r="AA86">
        <f t="shared" si="402"/>
        <v>0.73884103340948371</v>
      </c>
      <c r="AB86">
        <f t="shared" ref="AB86" ca="1" si="507">BSdelta(1,P86,Strike,AA86/AnnualVarConvtr,Dividend,RiskFreeRate,G86/250)</f>
        <v>0.99987637272211871</v>
      </c>
      <c r="AC86">
        <f t="shared" ca="1" si="412"/>
        <v>3.2661138680365829E-3</v>
      </c>
      <c r="AD86">
        <f t="shared" ca="1" si="413"/>
        <v>-72.496105575236058</v>
      </c>
    </row>
    <row r="87" spans="7:30">
      <c r="G87" s="19">
        <v>168</v>
      </c>
      <c r="H87" s="19">
        <f t="shared" ca="1" si="160"/>
        <v>0.34487755745745896</v>
      </c>
      <c r="I87" s="19">
        <f t="shared" ca="1" si="160"/>
        <v>0.48101018008364171</v>
      </c>
      <c r="J87" s="19">
        <f t="shared" ca="1" si="395"/>
        <v>-1.448780167379816</v>
      </c>
      <c r="K87" s="19">
        <f t="shared" ca="1" si="396"/>
        <v>0.17368848072715423</v>
      </c>
      <c r="L87" s="19">
        <f t="array" aca="1" ref="L87:M87" ca="1">MMULT(J87:K87,TRANSPOSE($B$10:$C$11))</f>
        <v>-1.448780167379816</v>
      </c>
      <c r="M87" s="19">
        <f ca="1"/>
        <v>1.1592138319968344</v>
      </c>
      <c r="N87" s="20">
        <f t="shared" ref="N87" ca="1" si="508">GetVariance(N86,Variance_Avg,Lambda,Eta,M87,"Daily")</f>
        <v>2.4898930876243654E-2</v>
      </c>
      <c r="O87" s="20">
        <f t="shared" ref="O87" ca="1" si="509">GetStockReturns(0,RiskFreeRate,N87,L87,"Daily")</f>
        <v>-1.4458486626924715E-2</v>
      </c>
      <c r="P87" s="19">
        <f t="shared" ca="1" si="143"/>
        <v>113.38457130430633</v>
      </c>
      <c r="Q87" s="19">
        <f ca="1">HCTrans(P87,Strike,RiskFreeRate,Dividend,Variance_T0*AnnualVarConvtr,(Simulation!G87)/250,0.5,Variance_Avg*AnnualVarConvtr,Lambda,SQRT(Simulation!N87),Rho,1,"Call")</f>
        <v>32.838731366629858</v>
      </c>
      <c r="R87" s="19">
        <f t="shared" ref="R87" ca="1" si="510">BSvol(1,P87,Strike,Q87,Dividend,RiskFreeRate,G87/250)</f>
        <v>0.74586242053701912</v>
      </c>
      <c r="S87" s="19">
        <f t="shared" ref="S87" ca="1" si="511">BSdelta(1,P87,Strike,R87/AnnualVarConvtr,Dividend,RiskFreeRate,G87/250)</f>
        <v>0.99945792833332758</v>
      </c>
      <c r="T87" s="19">
        <f t="shared" ca="1" si="418"/>
        <v>-4.5276411673446024E-2</v>
      </c>
      <c r="U87" s="19">
        <f t="shared" ca="1" si="419"/>
        <v>-73.69656959726305</v>
      </c>
      <c r="V87" s="21">
        <f t="shared" ca="1" si="408"/>
        <v>2.591733985350444E-4</v>
      </c>
      <c r="W87">
        <f t="shared" ca="1" si="409"/>
        <v>1.6098863268412599E-2</v>
      </c>
      <c r="X87" s="22">
        <f t="shared" ref="X87" ca="1" si="512">BSdelta(1,P87,Strike,W87*AnnualVarConvtr,Dividend,RiskFreeRate,G87/250)</f>
        <v>0.76000744793280695</v>
      </c>
      <c r="Y87" s="22">
        <f t="shared" ca="1" si="421"/>
        <v>-27.211376783076759</v>
      </c>
      <c r="Z87" s="22">
        <f t="shared" ca="1" si="422"/>
        <v>-44.319161975896918</v>
      </c>
      <c r="AA87">
        <f t="shared" si="402"/>
        <v>0.73884103340948371</v>
      </c>
      <c r="AB87">
        <f t="shared" ref="AB87" ca="1" si="513">BSdelta(1,P87,Strike,AA87/AnnualVarConvtr,Dividend,RiskFreeRate,G87/250)</f>
        <v>0.99951384138927879</v>
      </c>
      <c r="AC87">
        <f t="shared" ca="1" si="412"/>
        <v>-4.1105459758433299E-2</v>
      </c>
      <c r="AD87">
        <f t="shared" ca="1" si="413"/>
        <v>-73.701677924607097</v>
      </c>
    </row>
    <row r="88" spans="7:30">
      <c r="G88" s="19">
        <v>167</v>
      </c>
      <c r="H88" s="19">
        <f t="shared" ca="1" si="160"/>
        <v>0.71573569281977001</v>
      </c>
      <c r="I88" s="19">
        <f t="shared" ca="1" si="160"/>
        <v>0.78735117325859783</v>
      </c>
      <c r="J88" s="19">
        <f t="shared" ca="1" si="395"/>
        <v>0.19018098718880572</v>
      </c>
      <c r="K88" s="19">
        <f t="shared" ca="1" si="396"/>
        <v>-0.79543688666588908</v>
      </c>
      <c r="L88" s="19">
        <f t="array" aca="1" ref="L88:M88" ca="1">MMULT(J88:K88,TRANSPOSE($B$10:$C$11))</f>
        <v>0.19018098718880572</v>
      </c>
      <c r="M88" s="19">
        <f ca="1"/>
        <v>-0.69115118143218657</v>
      </c>
      <c r="N88" s="20">
        <f t="shared" ref="N88" ca="1" si="514">GetVariance(N87,Variance_Avg,Lambda,Eta,M88,"Daily")</f>
        <v>2.220191888499513E-2</v>
      </c>
      <c r="O88" s="20">
        <f t="shared" ref="O88" ca="1" si="515">GetStockReturns(0,RiskFreeRate,N88,L88,"Daily")</f>
        <v>1.7922242481327622E-3</v>
      </c>
      <c r="P88" s="19">
        <f t="shared" ca="1" si="143"/>
        <v>113.58796409066123</v>
      </c>
      <c r="Q88" s="19">
        <f ca="1">HCTrans(P88,Strike,RiskFreeRate,Dividend,Variance_T0*AnnualVarConvtr,(Simulation!G88)/250,0.5,Variance_Avg*AnnualVarConvtr,Lambda,SQRT(Simulation!N88),Rho,1,"Call")</f>
        <v>32.91539833901885</v>
      </c>
      <c r="R88" s="19">
        <f t="shared" ref="R88" ca="1" si="516">BSvol(1,P88,Strike,Q88,Dividend,RiskFreeRate,G88/250)</f>
        <v>0.74609330305243848</v>
      </c>
      <c r="S88" s="19">
        <f t="shared" ref="S88" ca="1" si="517">BSdelta(1,P88,Strike,R88/AnnualVarConvtr,Dividend,RiskFreeRate,G88/250)</f>
        <v>0.9995544869613131</v>
      </c>
      <c r="T88" s="19">
        <f t="shared" ca="1" si="418"/>
        <v>1.0967897968262908E-2</v>
      </c>
      <c r="U88" s="19">
        <f t="shared" ca="1" si="419"/>
        <v>-73.630870522842315</v>
      </c>
      <c r="V88" s="21">
        <f t="shared" ca="1" si="408"/>
        <v>2.640856039447113E-4</v>
      </c>
      <c r="W88">
        <f t="shared" ca="1" si="409"/>
        <v>1.6250710875057476E-2</v>
      </c>
      <c r="X88" s="22">
        <f t="shared" ref="X88" ca="1" si="518">BSdelta(1,P88,Strike,W88*AnnualVarConvtr,Dividend,RiskFreeRate,G88/250)</f>
        <v>0.7616712099652323</v>
      </c>
      <c r="Y88" s="22">
        <f t="shared" ca="1" si="421"/>
        <v>0.18898334199453656</v>
      </c>
      <c r="Z88" s="22">
        <f t="shared" ca="1" si="422"/>
        <v>-44.431478345502462</v>
      </c>
      <c r="AA88">
        <f t="shared" si="402"/>
        <v>0.73884103340948371</v>
      </c>
      <c r="AB88">
        <f t="shared" ref="AB88" ca="1" si="519">BSdelta(1,P88,Strike,AA88/AnnualVarConvtr,Dividend,RiskFreeRate,G88/250)</f>
        <v>0.9996033043831215</v>
      </c>
      <c r="AC88">
        <f t="shared" ca="1" si="412"/>
        <v>1.0161919332049352E-2</v>
      </c>
      <c r="AD88">
        <f t="shared" ca="1" si="413"/>
        <v>-73.635172871550154</v>
      </c>
    </row>
    <row r="89" spans="7:30">
      <c r="G89" s="19">
        <v>166</v>
      </c>
      <c r="H89" s="19">
        <f t="shared" ca="1" si="160"/>
        <v>0.84938473910638757</v>
      </c>
      <c r="I89" s="19">
        <f t="shared" ca="1" si="160"/>
        <v>5.4080078045555258E-3</v>
      </c>
      <c r="J89" s="19">
        <f t="shared" ca="1" si="395"/>
        <v>0.57105974968000728</v>
      </c>
      <c r="K89" s="19">
        <f t="shared" ca="1" si="396"/>
        <v>1.9411805012235678E-2</v>
      </c>
      <c r="L89" s="19">
        <f t="array" aca="1" ref="L89:M89" ca="1">MMULT(J89:K89,TRANSPOSE($B$10:$C$11))</f>
        <v>0.57105974968000728</v>
      </c>
      <c r="M89" s="19">
        <f ca="1"/>
        <v>-0.39562288604963897</v>
      </c>
      <c r="N89" s="20">
        <f t="shared" ref="N89" ca="1" si="520">GetVariance(N88,Variance_Avg,Lambda,Eta,M89,"Daily")</f>
        <v>2.0699651649314778E-2</v>
      </c>
      <c r="O89" s="20">
        <f t="shared" ref="O89" ca="1" si="521">GetStockReturns(0,RiskFreeRate,N89,L89,"Daily")</f>
        <v>5.1962862200262434E-3</v>
      </c>
      <c r="P89" s="19">
        <f t="shared" ca="1" si="143"/>
        <v>114.17973583936354</v>
      </c>
      <c r="Q89" s="19">
        <f ca="1">HCTrans(P89,Strike,RiskFreeRate,Dividend,Variance_T0*AnnualVarConvtr,(Simulation!G89)/250,0.5,Variance_Avg*AnnualVarConvtr,Lambda,SQRT(Simulation!N89),Rho,1,"Call")</f>
        <v>33.263750097993309</v>
      </c>
      <c r="R89" s="19">
        <f t="shared" ref="R89" ca="1" si="522">BSvol(1,P89,Strike,Q89,Dividend,RiskFreeRate,G89/250)</f>
        <v>0.74634286030540897</v>
      </c>
      <c r="S89" s="19">
        <f t="shared" ref="S89" ca="1" si="523">BSdelta(1,P89,Strike,R89/AnnualVarConvtr,Dividend,RiskFreeRate,G89/250)</f>
        <v>0.99973657705357888</v>
      </c>
      <c r="T89" s="19">
        <f t="shared" ca="1" si="418"/>
        <v>2.0790998633871436E-2</v>
      </c>
      <c r="U89" s="19">
        <f t="shared" ca="1" si="419"/>
        <v>-73.303309762501726</v>
      </c>
      <c r="V89" s="21">
        <f t="shared" ca="1" si="408"/>
        <v>1.1587637908491337E-5</v>
      </c>
      <c r="W89">
        <f t="shared" ca="1" si="409"/>
        <v>3.4040619718934814E-3</v>
      </c>
      <c r="X89" s="22">
        <f t="shared" ref="X89" ca="1" si="524">BSdelta(1,P89,Strike,W89*AnnualVarConvtr,Dividend,RiskFreeRate,G89/250)</f>
        <v>0.9988380961762604</v>
      </c>
      <c r="Y89" s="22">
        <f t="shared" ca="1" si="421"/>
        <v>27.079652417419581</v>
      </c>
      <c r="Z89" s="22">
        <f t="shared" ca="1" si="422"/>
        <v>-71.162779003947577</v>
      </c>
      <c r="AA89">
        <f t="shared" si="402"/>
        <v>0.73884103340948371</v>
      </c>
      <c r="AB89">
        <f t="shared" ref="AB89" ca="1" si="525">BSdelta(1,P89,Strike,AA89/AnnualVarConvtr,Dividend,RiskFreeRate,G89/250)</f>
        <v>0.99976870524933825</v>
      </c>
      <c r="AC89">
        <f t="shared" ca="1" si="412"/>
        <v>1.8885427212230105E-2</v>
      </c>
      <c r="AD89">
        <f t="shared" ca="1" si="413"/>
        <v>-73.30570653978792</v>
      </c>
    </row>
    <row r="90" spans="7:30">
      <c r="G90" s="19">
        <v>165</v>
      </c>
      <c r="H90" s="19">
        <f t="shared" ca="1" si="160"/>
        <v>2.0166881891741539E-2</v>
      </c>
      <c r="I90" s="19">
        <f t="shared" ca="1" si="160"/>
        <v>1.1315315243391133E-2</v>
      </c>
      <c r="J90" s="19">
        <f t="shared" ca="1" si="395"/>
        <v>2.7871184974493395</v>
      </c>
      <c r="K90" s="19">
        <f t="shared" ca="1" si="396"/>
        <v>0.19848814040393375</v>
      </c>
      <c r="L90" s="19">
        <f t="array" aca="1" ref="L90:M90" ca="1">MMULT(J90:K90,TRANSPOSE($B$10:$C$11))</f>
        <v>2.7871184974493395</v>
      </c>
      <c r="M90" s="19">
        <f ca="1"/>
        <v>-1.8585076388931838</v>
      </c>
      <c r="N90" s="20">
        <f t="shared" ref="N90" ca="1" si="526">GetVariance(N89,Variance_Avg,Lambda,Eta,M90,"Daily")</f>
        <v>1.4589958692158459E-2</v>
      </c>
      <c r="O90" s="20">
        <f t="shared" ref="O90" ca="1" si="527">GetStockReturns(0,RiskFreeRate,N90,L90,"Daily")</f>
        <v>2.129180403809067E-2</v>
      </c>
      <c r="P90" s="19">
        <f t="shared" ca="1" si="143"/>
        <v>116.63689424072642</v>
      </c>
      <c r="Q90" s="19">
        <f ca="1">HCTrans(P90,Strike,RiskFreeRate,Dividend,Variance_T0*AnnualVarConvtr,(Simulation!G90)/250,0.5,Variance_Avg*AnnualVarConvtr,Lambda,SQRT(Simulation!N90),Rho,1,"Call")</f>
        <v>34.950743455319781</v>
      </c>
      <c r="R90" s="19">
        <f t="shared" ref="R90" ca="1" si="528">BSvol(1,P90,Strike,Q90,Dividend,RiskFreeRate,G90/250)</f>
        <v>0.74717991494299785</v>
      </c>
      <c r="S90" s="19">
        <f t="shared" ref="S90" ca="1" si="529">BSdelta(1,P90,Strike,R90/AnnualVarConvtr,Dividend,RiskFreeRate,G90/250)</f>
        <v>0.99997185538673961</v>
      </c>
      <c r="T90" s="19">
        <f t="shared" ca="1" si="418"/>
        <v>2.744213406200207E-2</v>
      </c>
      <c r="U90" s="19">
        <f t="shared" ca="1" si="419"/>
        <v>-71.643758539237254</v>
      </c>
      <c r="V90" s="21">
        <f t="shared" ca="1" si="408"/>
        <v>2.5906569383162941E-4</v>
      </c>
      <c r="W90">
        <f t="shared" ca="1" si="409"/>
        <v>1.6095517818064425E-2</v>
      </c>
      <c r="X90" s="22">
        <f t="shared" ref="X90" ca="1" si="530">BSdelta(1,P90,Strike,W90*AnnualVarConvtr,Dividend,RiskFreeRate,G90/250)</f>
        <v>0.80170532334584532</v>
      </c>
      <c r="Y90" s="22">
        <f t="shared" ca="1" si="421"/>
        <v>-22.99295437600227</v>
      </c>
      <c r="Z90" s="22">
        <f t="shared" ca="1" si="422"/>
        <v>-46.482831270618831</v>
      </c>
      <c r="AA90">
        <f t="shared" si="402"/>
        <v>0.73884103340948371</v>
      </c>
      <c r="AB90">
        <f t="shared" ref="AB90" ca="1" si="531">BSdelta(1,P90,Strike,AA90/AnnualVarConvtr,Dividend,RiskFreeRate,G90/250)</f>
        <v>0.99997678224710129</v>
      </c>
      <c r="AC90">
        <f t="shared" ca="1" si="412"/>
        <v>2.4269454782015604E-2</v>
      </c>
      <c r="AD90">
        <f t="shared" ca="1" si="413"/>
        <v>-71.642982637243463</v>
      </c>
    </row>
    <row r="91" spans="7:30">
      <c r="G91" s="19">
        <v>164</v>
      </c>
      <c r="H91" s="19">
        <f t="shared" ca="1" si="160"/>
        <v>0.70191170755458954</v>
      </c>
      <c r="I91" s="19">
        <f t="shared" ca="1" si="160"/>
        <v>0.72465466622383534</v>
      </c>
      <c r="J91" s="19">
        <f t="shared" ca="1" si="395"/>
        <v>-0.13342131025228673</v>
      </c>
      <c r="K91" s="19">
        <f t="shared" ca="1" si="396"/>
        <v>-0.83071900491793083</v>
      </c>
      <c r="L91" s="19">
        <f t="array" aca="1" ref="L91:M91" ca="1">MMULT(J91:K91,TRANSPOSE($B$10:$C$11))</f>
        <v>-0.13342131025228673</v>
      </c>
      <c r="M91" s="19">
        <f ca="1"/>
        <v>-0.48390248556329335</v>
      </c>
      <c r="N91" s="20">
        <f t="shared" ref="N91" ca="1" si="532">GetVariance(N90,Variance_Avg,Lambda,Eta,M91,"Daily")</f>
        <v>1.3151949919394126E-2</v>
      </c>
      <c r="O91" s="20">
        <f t="shared" ref="O91" ca="1" si="533">GetStockReturns(0,RiskFreeRate,N91,L91,"Daily")</f>
        <v>-9.6772123316990065E-4</v>
      </c>
      <c r="P91" s="19">
        <f t="shared" ca="1" si="143"/>
        <v>116.52407683830089</v>
      </c>
      <c r="Q91" s="19">
        <f ca="1">HCTrans(P91,Strike,RiskFreeRate,Dividend,Variance_T0*AnnualVarConvtr,(Simulation!G91)/250,0.5,Variance_Avg*AnnualVarConvtr,Lambda,SQRT(Simulation!N91),Rho,1,"Call")</f>
        <v>34.799260020996911</v>
      </c>
      <c r="R91" s="19">
        <f t="shared" ref="R91" ca="1" si="534">BSvol(1,P91,Strike,Q91,Dividend,RiskFreeRate,G91/250)</f>
        <v>0.74724581453972239</v>
      </c>
      <c r="S91" s="19">
        <f t="shared" ref="S91" ca="1" si="535">BSdelta(1,P91,Strike,R91/AnnualVarConvtr,Dividend,RiskFreeRate,G91/250)</f>
        <v>0.99997019636808027</v>
      </c>
      <c r="T91" s="19">
        <f t="shared" ca="1" si="418"/>
        <v>-1.9331561773699722E-4</v>
      </c>
      <c r="U91" s="19">
        <f t="shared" ca="1" si="419"/>
        <v>-71.795048657942388</v>
      </c>
      <c r="V91" s="21">
        <f t="shared" ca="1" si="408"/>
        <v>4.9548646530188801E-4</v>
      </c>
      <c r="W91">
        <f t="shared" ca="1" si="409"/>
        <v>2.2259525271260572E-2</v>
      </c>
      <c r="X91" s="22">
        <f t="shared" ref="X91" ca="1" si="536">BSdelta(1,P91,Strike,W91*AnnualVarConvtr,Dividend,RiskFreeRate,G91/250)</f>
        <v>0.75143239945811358</v>
      </c>
      <c r="Y91" s="22">
        <f t="shared" ca="1" si="421"/>
        <v>-5.8580060459801064</v>
      </c>
      <c r="Z91" s="22">
        <f t="shared" ca="1" si="422"/>
        <v>-40.776308658961597</v>
      </c>
      <c r="AA91">
        <f t="shared" si="402"/>
        <v>0.73884103340948371</v>
      </c>
      <c r="AB91">
        <f t="shared" ref="AB91" ca="1" si="537">BSdelta(1,P91,Strike,AA91/AnnualVarConvtr,Dividend,RiskFreeRate,G91/250)</f>
        <v>0.9999754208446221</v>
      </c>
      <c r="AC91">
        <f t="shared" ca="1" si="412"/>
        <v>-1.5863616709347133E-4</v>
      </c>
      <c r="AD91">
        <f t="shared" ca="1" si="413"/>
        <v>-71.794307435399233</v>
      </c>
    </row>
    <row r="92" spans="7:30">
      <c r="G92" s="19">
        <v>163</v>
      </c>
      <c r="H92" s="19">
        <f t="shared" ca="1" si="160"/>
        <v>0.57991248757998526</v>
      </c>
      <c r="I92" s="19">
        <f t="shared" ca="1" si="160"/>
        <v>0.14084408531415393</v>
      </c>
      <c r="J92" s="19">
        <f t="shared" ca="1" si="395"/>
        <v>0.66114049430552446</v>
      </c>
      <c r="K92" s="19">
        <f t="shared" ca="1" si="396"/>
        <v>0.80786718426141968</v>
      </c>
      <c r="L92" s="19">
        <f t="array" aca="1" ref="L92:M92" ca="1">MMULT(J92:K92,TRANSPOSE($B$10:$C$11))</f>
        <v>0.66114049430552446</v>
      </c>
      <c r="M92" s="19">
        <f ca="1"/>
        <v>8.98505550856184E-2</v>
      </c>
      <c r="N92" s="20">
        <f t="shared" ref="N92" ca="1" si="538">GetVariance(N91,Variance_Avg,Lambda,Eta,M92,"Daily")</f>
        <v>1.3373456465720159E-2</v>
      </c>
      <c r="O92" s="20">
        <f t="shared" ref="O92" ca="1" si="539">GetStockReturns(0,RiskFreeRate,N92,L92,"Daily")</f>
        <v>4.8355467674022637E-3</v>
      </c>
      <c r="P92" s="19">
        <f t="shared" ref="P92:P147" ca="1" si="540">P91*EXP(O92)</f>
        <v>117.08889897272437</v>
      </c>
      <c r="Q92" s="19">
        <f ca="1">HCTrans(P92,Strike,RiskFreeRate,Dividend,Variance_T0*AnnualVarConvtr,(Simulation!G92)/250,0.5,Variance_Avg*AnnualVarConvtr,Lambda,SQRT(Simulation!N92),Rho,1,"Call")</f>
        <v>35.131494240235213</v>
      </c>
      <c r="R92" s="19">
        <f t="shared" ref="R92" ca="1" si="541">BSvol(1,P92,Strike,Q92,Dividend,RiskFreeRate,G92/250)</f>
        <v>0.74736182037187093</v>
      </c>
      <c r="S92" s="19">
        <f t="shared" ref="S92" ca="1" si="542">BSdelta(1,P92,Strike,R92/AnnualVarConvtr,Dividend,RiskFreeRate,G92/250)</f>
        <v>0.99998356509893449</v>
      </c>
      <c r="T92" s="19">
        <f t="shared" ca="1" si="418"/>
        <v>1.565329976383786E-3</v>
      </c>
      <c r="U92" s="19">
        <f t="shared" ca="1" si="419"/>
        <v>-71.464379768680473</v>
      </c>
      <c r="V92" s="21">
        <f t="shared" ca="1" si="408"/>
        <v>3.3677919486464842E-5</v>
      </c>
      <c r="W92">
        <f t="shared" ca="1" si="409"/>
        <v>5.8032680005721642E-3</v>
      </c>
      <c r="X92" s="22">
        <f t="shared" ref="X92" ca="1" si="543">BSdelta(1,P92,Strike,W92*AnnualVarConvtr,Dividend,RiskFreeRate,G92/250)</f>
        <v>0.98485810066254065</v>
      </c>
      <c r="Y92" s="22">
        <f t="shared" ca="1" si="421"/>
        <v>27.331558345962506</v>
      </c>
      <c r="Z92" s="22">
        <f t="shared" ca="1" si="422"/>
        <v>-67.775632785685801</v>
      </c>
      <c r="AA92">
        <f t="shared" si="402"/>
        <v>0.73884103340948371</v>
      </c>
      <c r="AB92">
        <f t="shared" ref="AB92" ca="1" si="544">BSdelta(1,P92,Strike,AA92/AnnualVarConvtr,Dividend,RiskFreeRate,G92/250)</f>
        <v>0.99998665823345112</v>
      </c>
      <c r="AC92">
        <f t="shared" ca="1" si="412"/>
        <v>1.3157734853185561E-3</v>
      </c>
      <c r="AD92">
        <f t="shared" ca="1" si="413"/>
        <v>-71.463388989646248</v>
      </c>
    </row>
    <row r="93" spans="7:30">
      <c r="G93" s="19">
        <v>162</v>
      </c>
      <c r="H93" s="19">
        <f t="shared" ca="1" si="160"/>
        <v>0.73380607746416104</v>
      </c>
      <c r="I93" s="19">
        <f t="shared" ca="1" si="160"/>
        <v>0.24410813157772804</v>
      </c>
      <c r="J93" s="19">
        <f t="shared" ca="1" si="395"/>
        <v>2.9119665842119783E-2</v>
      </c>
      <c r="K93" s="19">
        <f t="shared" ca="1" si="396"/>
        <v>0.78623979477666228</v>
      </c>
      <c r="L93" s="19">
        <f t="array" aca="1" ref="L93:M93" ca="1">MMULT(J93:K93,TRANSPOSE($B$10:$C$11))</f>
        <v>2.9119665842119783E-2</v>
      </c>
      <c r="M93" s="19">
        <f ca="1"/>
        <v>0.52760649095576373</v>
      </c>
      <c r="N93" s="20">
        <f t="shared" ref="N93" ca="1" si="545">GetVariance(N92,Variance_Avg,Lambda,Eta,M93,"Daily")</f>
        <v>1.4877844372965344E-2</v>
      </c>
      <c r="O93" s="20">
        <f t="shared" ref="O93" ca="1" si="546">GetStockReturns(0,RiskFreeRate,N93,L93,"Daily")</f>
        <v>2.2463963687746475E-4</v>
      </c>
      <c r="P93" s="19">
        <f t="shared" ca="1" si="540"/>
        <v>117.11520473501982</v>
      </c>
      <c r="Q93" s="19">
        <f ca="1">HCTrans(P93,Strike,RiskFreeRate,Dividend,Variance_T0*AnnualVarConvtr,(Simulation!G93)/250,0.5,Variance_Avg*AnnualVarConvtr,Lambda,SQRT(Simulation!N93),Rho,1,"Call")</f>
        <v>35.075454192751124</v>
      </c>
      <c r="R93" s="19">
        <f t="shared" ref="R93" ca="1" si="547">BSvol(1,P93,Strike,Q93,Dividend,RiskFreeRate,G93/250)</f>
        <v>0.74733377530891942</v>
      </c>
      <c r="S93" s="19">
        <f t="shared" ref="S93" ca="1" si="548">BSdelta(1,P93,Strike,R93/AnnualVarConvtr,Dividend,RiskFreeRate,G93/250)</f>
        <v>0.99998486019297428</v>
      </c>
      <c r="T93" s="19">
        <f t="shared" ca="1" si="418"/>
        <v>1.5167520362090186E-4</v>
      </c>
      <c r="U93" s="19">
        <f t="shared" ca="1" si="419"/>
        <v>-71.520571491368187</v>
      </c>
      <c r="V93" s="21">
        <f t="shared" ca="1" si="408"/>
        <v>2.1260464566324439E-5</v>
      </c>
      <c r="W93">
        <f t="shared" ca="1" si="409"/>
        <v>4.6109071305247993E-3</v>
      </c>
      <c r="X93" s="22">
        <f t="shared" ref="X93" ca="1" si="549">BSdelta(1,P93,Strike,W93*AnnualVarConvtr,Dividend,RiskFreeRate,G93/250)</f>
        <v>0.99674944458245207</v>
      </c>
      <c r="Y93" s="22">
        <f t="shared" ca="1" si="421"/>
        <v>1.3926571777549595</v>
      </c>
      <c r="Z93" s="22">
        <f t="shared" ca="1" si="422"/>
        <v>-69.224330010924845</v>
      </c>
      <c r="AA93">
        <f t="shared" si="402"/>
        <v>0.73884103340948371</v>
      </c>
      <c r="AB93">
        <f t="shared" ref="AB93" ca="1" si="550">BSdelta(1,P93,Strike,AA93/AnnualVarConvtr,Dividend,RiskFreeRate,G93/250)</f>
        <v>0.99998772332994168</v>
      </c>
      <c r="AC93">
        <f t="shared" ca="1" si="412"/>
        <v>1.2473899355449489E-4</v>
      </c>
      <c r="AD93">
        <f t="shared" ca="1" si="413"/>
        <v>-71.519553776123885</v>
      </c>
    </row>
    <row r="94" spans="7:30">
      <c r="G94" s="19">
        <v>161</v>
      </c>
      <c r="H94" s="19">
        <f t="shared" ca="1" si="160"/>
        <v>0.19800279800655574</v>
      </c>
      <c r="I94" s="19">
        <f t="shared" ca="1" si="160"/>
        <v>0.57929305138604059</v>
      </c>
      <c r="J94" s="19">
        <f t="shared" ca="1" si="395"/>
        <v>-1.5809316013138655</v>
      </c>
      <c r="K94" s="19">
        <f t="shared" ca="1" si="396"/>
        <v>-0.86000203839850931</v>
      </c>
      <c r="L94" s="19">
        <f t="array" aca="1" ref="L94:M94" ca="1">MMULT(J94:K94,TRANSPOSE($B$10:$C$11))</f>
        <v>-1.5809316013138655</v>
      </c>
      <c r="M94" s="19">
        <f ca="1"/>
        <v>0.5328111718310875</v>
      </c>
      <c r="N94" s="20">
        <f t="shared" ref="N94" ca="1" si="551">GetVariance(N93,Variance_Avg,Lambda,Eta,M94,"Daily")</f>
        <v>1.6472559253945293E-2</v>
      </c>
      <c r="O94" s="20">
        <f t="shared" ref="O94" ca="1" si="552">GetStockReturns(0,RiskFreeRate,N94,L94,"Daily")</f>
        <v>-1.2832864704119101E-2</v>
      </c>
      <c r="P94" s="19">
        <f t="shared" ca="1" si="540"/>
        <v>115.62188344647821</v>
      </c>
      <c r="Q94" s="19">
        <f ca="1">HCTrans(P94,Strike,RiskFreeRate,Dividend,Variance_T0*AnnualVarConvtr,(Simulation!G94)/250,0.5,Variance_Avg*AnnualVarConvtr,Lambda,SQRT(Simulation!N94),Rho,1,"Call")</f>
        <v>33.93078811978684</v>
      </c>
      <c r="R94" s="19">
        <f t="shared" ref="R94" ca="1" si="553">BSvol(1,P94,Strike,Q94,Dividend,RiskFreeRate,G94/250)</f>
        <v>0.74700004547394283</v>
      </c>
      <c r="S94" s="19">
        <f t="shared" ref="S94" ca="1" si="554">BSdelta(1,P94,Strike,R94/AnnualVarConvtr,Dividend,RiskFreeRate,G94/250)</f>
        <v>0.99994034619765526</v>
      </c>
      <c r="T94" s="19">
        <f t="shared" ca="1" si="418"/>
        <v>-5.1467919785125379E-3</v>
      </c>
      <c r="U94" s="19">
        <f t="shared" ca="1" si="419"/>
        <v>-72.660090772353954</v>
      </c>
      <c r="V94" s="21">
        <f t="shared" ca="1" si="408"/>
        <v>1.7049841961514414E-4</v>
      </c>
      <c r="W94">
        <f t="shared" ca="1" si="409"/>
        <v>1.3057504340996565E-2</v>
      </c>
      <c r="X94" s="22">
        <f t="shared" ref="X94" ca="1" si="555">BSdelta(1,P94,Strike,W94*AnnualVarConvtr,Dividend,RiskFreeRate,G94/250)</f>
        <v>0.83120838771802086</v>
      </c>
      <c r="Y94" s="22">
        <f t="shared" ca="1" si="421"/>
        <v>-19.140168782386088</v>
      </c>
      <c r="Z94" s="22">
        <f t="shared" ca="1" si="422"/>
        <v>-51.228827301503046</v>
      </c>
      <c r="AA94">
        <f t="shared" si="402"/>
        <v>0.73884103340948371</v>
      </c>
      <c r="AB94">
        <f t="shared" ref="AB94" ca="1" si="556">BSdelta(1,P94,Strike,AA94/AnnualVarConvtr,Dividend,RiskFreeRate,G94/250)</f>
        <v>0.99994979862102773</v>
      </c>
      <c r="AC94">
        <f t="shared" ca="1" si="412"/>
        <v>-4.3849262737903462E-3</v>
      </c>
      <c r="AD94">
        <f t="shared" ca="1" si="413"/>
        <v>-72.659834922814383</v>
      </c>
    </row>
    <row r="95" spans="7:30">
      <c r="G95" s="19">
        <v>160</v>
      </c>
      <c r="H95" s="19">
        <f t="shared" ref="H95:I158" ca="1" si="557">RAND()</f>
        <v>0.47029158953359884</v>
      </c>
      <c r="I95" s="19">
        <f t="shared" ca="1" si="557"/>
        <v>0.62911856237985919</v>
      </c>
      <c r="J95" s="19">
        <f t="shared" ca="1" si="395"/>
        <v>-0.84579868729566476</v>
      </c>
      <c r="K95" s="19">
        <f t="shared" ca="1" si="396"/>
        <v>-0.89074650004371647</v>
      </c>
      <c r="L95" s="19">
        <f t="array" aca="1" ref="L95:M95" ca="1">MMULT(J95:K95,TRANSPOSE($B$10:$C$11))</f>
        <v>-0.84579868729566476</v>
      </c>
      <c r="M95" s="19">
        <f ca="1"/>
        <v>-1.5358500636755035E-2</v>
      </c>
      <c r="N95" s="20">
        <f t="shared" ref="N95" ca="1" si="558">GetVariance(N94,Variance_Avg,Lambda,Eta,M95,"Daily")</f>
        <v>1.6374287299657207E-2</v>
      </c>
      <c r="O95" s="20">
        <f t="shared" ref="O95" ca="1" si="559">GetStockReturns(0,RiskFreeRate,N95,L95,"Daily")</f>
        <v>-6.84507491409031E-3</v>
      </c>
      <c r="P95" s="19">
        <f t="shared" ca="1" si="540"/>
        <v>114.83314555724228</v>
      </c>
      <c r="Q95" s="19">
        <f ca="1">HCTrans(P95,Strike,RiskFreeRate,Dividend,Variance_T0*AnnualVarConvtr,(Simulation!G95)/250,0.5,Variance_Avg*AnnualVarConvtr,Lambda,SQRT(Simulation!N95),Rho,1,"Call")</f>
        <v>33.297093999600534</v>
      </c>
      <c r="R95" s="19">
        <f t="shared" ref="R95" ca="1" si="560">BSvol(1,P95,Strike,Q95,Dividend,RiskFreeRate,G95/250)</f>
        <v>0.74686981732610547</v>
      </c>
      <c r="S95" s="19">
        <f t="shared" ref="S95" ca="1" si="561">BSdelta(1,P95,Strike,R95/AnnualVarConvtr,Dividend,RiskFreeRate,G95/250)</f>
        <v>0.99988290560924709</v>
      </c>
      <c r="T95" s="19">
        <f t="shared" ca="1" si="418"/>
        <v>-6.5960834495696298E-3</v>
      </c>
      <c r="U95" s="19">
        <f t="shared" ca="1" si="419"/>
        <v>-73.287188809090694</v>
      </c>
      <c r="V95" s="21">
        <f t="shared" ca="1" si="408"/>
        <v>3.5853626569573031E-5</v>
      </c>
      <c r="W95">
        <f t="shared" ca="1" si="409"/>
        <v>5.987789790028791E-3</v>
      </c>
      <c r="X95" s="22">
        <f t="shared" ref="X95" ca="1" si="562">BSdelta(1,P95,Strike,W95*AnnualVarConvtr,Dividend,RiskFreeRate,G95/250)</f>
        <v>0.96883776550537815</v>
      </c>
      <c r="Y95" s="22">
        <f t="shared" ca="1" si="421"/>
        <v>15.804414372408287</v>
      </c>
      <c r="Z95" s="22">
        <f t="shared" ca="1" si="422"/>
        <v>-67.66693579409764</v>
      </c>
      <c r="AA95">
        <f t="shared" si="402"/>
        <v>0.73884103340948371</v>
      </c>
      <c r="AB95">
        <f t="shared" ref="AB95" ca="1" si="563">BSdelta(1,P95,Strike,AA95/AnnualVarConvtr,Dividend,RiskFreeRate,G95/250)</f>
        <v>0.99989980639797005</v>
      </c>
      <c r="AC95">
        <f t="shared" ca="1" si="412"/>
        <v>-5.7407642271129367E-3</v>
      </c>
      <c r="AD95">
        <f t="shared" ca="1" si="413"/>
        <v>-73.287788278773576</v>
      </c>
    </row>
    <row r="96" spans="7:30">
      <c r="G96" s="19">
        <v>159</v>
      </c>
      <c r="H96" s="19">
        <f t="shared" ca="1" si="557"/>
        <v>0.24165783855814049</v>
      </c>
      <c r="I96" s="19">
        <f t="shared" ca="1" si="557"/>
        <v>0.38211700877962063</v>
      </c>
      <c r="J96" s="19">
        <f t="shared" ca="1" si="395"/>
        <v>-1.2438173614562318</v>
      </c>
      <c r="K96" s="19">
        <f t="shared" ca="1" si="396"/>
        <v>1.1372700903805459</v>
      </c>
      <c r="L96" s="19">
        <f t="array" aca="1" ref="L96:M96" ca="1">MMULT(J96:K96,TRANSPOSE($B$10:$C$11))</f>
        <v>-1.2438173614562318</v>
      </c>
      <c r="M96" s="19">
        <f ca="1"/>
        <v>1.6845400738965091</v>
      </c>
      <c r="N96" s="20">
        <f t="shared" ref="N96" ca="1" si="564">GetVariance(N95,Variance_Avg,Lambda,Eta,M96,"Daily")</f>
        <v>2.2036897368097136E-2</v>
      </c>
      <c r="O96" s="20">
        <f t="shared" ref="O96" ca="1" si="565">GetStockReturns(0,RiskFreeRate,N96,L96,"Daily")</f>
        <v>-1.1677821555555251E-2</v>
      </c>
      <c r="P96" s="19">
        <f t="shared" ca="1" si="540"/>
        <v>113.49994416956991</v>
      </c>
      <c r="Q96" s="19">
        <f ca="1">HCTrans(P96,Strike,RiskFreeRate,Dividend,Variance_T0*AnnualVarConvtr,(Simulation!G96)/250,0.5,Variance_Avg*AnnualVarConvtr,Lambda,SQRT(Simulation!N96),Rho,1,"Call")</f>
        <v>32.273855153602554</v>
      </c>
      <c r="R96" s="19">
        <f t="shared" ref="R96" ca="1" si="566">BSvol(1,P96,Strike,Q96,Dividend,RiskFreeRate,G96/250)</f>
        <v>0.74631803500144978</v>
      </c>
      <c r="S96" s="19">
        <f t="shared" ref="S96" ca="1" si="567">BSdelta(1,P96,Strike,R96/AnnualVarConvtr,Dividend,RiskFreeRate,G96/250)</f>
        <v>0.99964132965257391</v>
      </c>
      <c r="T96" s="19">
        <f t="shared" ca="1" si="418"/>
        <v>-2.7418857595116256E-2</v>
      </c>
      <c r="U96" s="19">
        <f t="shared" ca="1" si="419"/>
        <v>-74.283008797493551</v>
      </c>
      <c r="V96" s="21">
        <f t="shared" ca="1" si="408"/>
        <v>2.3355440100590664E-5</v>
      </c>
      <c r="W96">
        <f t="shared" ca="1" si="409"/>
        <v>4.8327466414649408E-3</v>
      </c>
      <c r="X96" s="22">
        <f t="shared" ref="X96" ca="1" si="568">BSdelta(1,P96,Strike,W96*AnnualVarConvtr,Dividend,RiskFreeRate,G96/250)</f>
        <v>0.98250600782067821</v>
      </c>
      <c r="Y96" s="22">
        <f t="shared" ca="1" si="421"/>
        <v>1.55134473968271</v>
      </c>
      <c r="Z96" s="22">
        <f t="shared" ca="1" si="422"/>
        <v>-70.241519379778325</v>
      </c>
      <c r="AA96">
        <f t="shared" si="402"/>
        <v>0.73884103340948371</v>
      </c>
      <c r="AB96">
        <f t="shared" ref="AB96" ca="1" si="569">BSdelta(1,P96,Strike,AA96/AnnualVarConvtr,Dividend,RiskFreeRate,G96/250)</f>
        <v>0.99968309729791982</v>
      </c>
      <c r="AC96">
        <f t="shared" ca="1" si="412"/>
        <v>-2.4596470756738559E-2</v>
      </c>
      <c r="AD96">
        <f t="shared" ca="1" si="413"/>
        <v>-74.286430654014822</v>
      </c>
    </row>
    <row r="97" spans="7:30">
      <c r="G97" s="19">
        <v>158</v>
      </c>
      <c r="H97" s="19">
        <f t="shared" ca="1" si="557"/>
        <v>0.2274874488576375</v>
      </c>
      <c r="I97" s="19">
        <f t="shared" ca="1" si="557"/>
        <v>0.68467979843445259</v>
      </c>
      <c r="J97" s="19">
        <f t="shared" ca="1" si="395"/>
        <v>-0.68660747147795431</v>
      </c>
      <c r="K97" s="19">
        <f t="shared" ca="1" si="396"/>
        <v>-1.5779387199919443</v>
      </c>
      <c r="L97" s="19">
        <f t="array" aca="1" ref="L97:M97" ca="1">MMULT(J97:K97,TRANSPOSE($B$10:$C$11))</f>
        <v>-0.68660747147795431</v>
      </c>
      <c r="M97" s="19">
        <f ca="1"/>
        <v>-0.60879542867323688</v>
      </c>
      <c r="N97" s="20">
        <f t="shared" ref="N97" ca="1" si="570">GetVariance(N96,Variance_Avg,Lambda,Eta,M97,"Daily")</f>
        <v>1.9797123201959865E-2</v>
      </c>
      <c r="O97" s="20">
        <f t="shared" ref="O97" ca="1" si="571">GetStockReturns(0,RiskFreeRate,N97,L97,"Daily")</f>
        <v>-6.1099768331564757E-3</v>
      </c>
      <c r="P97" s="19">
        <f t="shared" ca="1" si="540"/>
        <v>112.80857641145512</v>
      </c>
      <c r="Q97" s="19">
        <f ca="1">HCTrans(P97,Strike,RiskFreeRate,Dividend,Variance_T0*AnnualVarConvtr,(Simulation!G97)/250,0.5,Variance_Avg*AnnualVarConvtr,Lambda,SQRT(Simulation!N97),Rho,1,"Call")</f>
        <v>31.719649052762463</v>
      </c>
      <c r="R97" s="19">
        <f t="shared" ref="R97" ca="1" si="572">BSvol(1,P97,Strike,Q97,Dividend,RiskFreeRate,G97/250)</f>
        <v>0.74630450722974317</v>
      </c>
      <c r="S97" s="19">
        <f t="shared" ref="S97" ca="1" si="573">BSdelta(1,P97,Strike,R97/AnnualVarConvtr,Dividend,RiskFreeRate,G97/250)</f>
        <v>0.99938248604901336</v>
      </c>
      <c r="T97" s="19">
        <f t="shared" ca="1" si="418"/>
        <v>-2.9199778430875966E-2</v>
      </c>
      <c r="U97" s="19">
        <f t="shared" ca="1" si="419"/>
        <v>-74.808015119902763</v>
      </c>
      <c r="V97" s="21">
        <f t="shared" ca="1" si="408"/>
        <v>3.1000894852743894E-5</v>
      </c>
      <c r="W97">
        <f t="shared" ca="1" si="409"/>
        <v>5.5678447223987751E-3</v>
      </c>
      <c r="X97" s="22">
        <f t="shared" ref="X97" ca="1" si="574">BSdelta(1,P97,Strike,W97*AnnualVarConvtr,Dividend,RiskFreeRate,G97/250)</f>
        <v>0.96054667312984976</v>
      </c>
      <c r="Y97" s="22">
        <f t="shared" ca="1" si="421"/>
        <v>-2.4772012854150383</v>
      </c>
      <c r="Z97" s="22">
        <f t="shared" ca="1" si="422"/>
        <v>-68.318524195203381</v>
      </c>
      <c r="AA97">
        <f t="shared" si="402"/>
        <v>0.73884103340948371</v>
      </c>
      <c r="AB97">
        <f t="shared" ref="AB97" ca="1" si="575">BSdelta(1,P97,Strike,AA97/AnnualVarConvtr,Dividend,RiskFreeRate,G97/250)</f>
        <v>0.99944865120127324</v>
      </c>
      <c r="AC97">
        <f t="shared" ca="1" si="412"/>
        <v>-2.6447530407922987E-2</v>
      </c>
      <c r="AD97">
        <f t="shared" ca="1" si="413"/>
        <v>-74.814189224446991</v>
      </c>
    </row>
    <row r="98" spans="7:30">
      <c r="G98" s="19">
        <v>157</v>
      </c>
      <c r="H98" s="19">
        <f t="shared" ca="1" si="557"/>
        <v>0.73823316006814599</v>
      </c>
      <c r="I98" s="19">
        <f t="shared" ca="1" si="557"/>
        <v>0.12482630054774502</v>
      </c>
      <c r="J98" s="19">
        <f t="shared" ca="1" si="395"/>
        <v>0.55150524044492899</v>
      </c>
      <c r="K98" s="19">
        <f t="shared" ca="1" si="396"/>
        <v>0.55030274232977616</v>
      </c>
      <c r="L98" s="19">
        <f t="array" aca="1" ref="L98:M98" ca="1">MMULT(J98:K98,TRANSPOSE($B$10:$C$11))</f>
        <v>0.55150524044492899</v>
      </c>
      <c r="M98" s="19">
        <f ca="1"/>
        <v>-1.1269415402194838E-2</v>
      </c>
      <c r="N98" s="20">
        <f t="shared" ref="N98" ca="1" si="576">GetVariance(N97,Variance_Avg,Lambda,Eta,M98,"Daily")</f>
        <v>1.9690664795476882E-2</v>
      </c>
      <c r="O98" s="20">
        <f t="shared" ref="O98" ca="1" si="577">GetStockReturns(0,RiskFreeRate,N98,L98,"Daily")</f>
        <v>4.8945168579843674E-3</v>
      </c>
      <c r="P98" s="19">
        <f t="shared" ca="1" si="540"/>
        <v>113.36207333546136</v>
      </c>
      <c r="Q98" s="19">
        <f ca="1">HCTrans(P98,Strike,RiskFreeRate,Dividend,Variance_T0*AnnualVarConvtr,(Simulation!G98)/250,0.5,Variance_Avg*AnnualVarConvtr,Lambda,SQRT(Simulation!N98),Rho,1,"Call")</f>
        <v>32.033444815944435</v>
      </c>
      <c r="R98" s="19">
        <f t="shared" ref="R98" ca="1" si="578">BSvol(1,P98,Strike,Q98,Dividend,RiskFreeRate,G98/250)</f>
        <v>0.74646529737786582</v>
      </c>
      <c r="S98" s="19">
        <f t="shared" ref="S98" ca="1" si="579">BSdelta(1,P98,Strike,R98/AnnualVarConvtr,Dividend,RiskFreeRate,G98/250)</f>
        <v>0.99962545642616707</v>
      </c>
      <c r="T98" s="19">
        <f t="shared" ca="1" si="418"/>
        <v>2.7543625713243144E-2</v>
      </c>
      <c r="U98" s="19">
        <f t="shared" ca="1" si="419"/>
        <v>-74.521762982434041</v>
      </c>
      <c r="V98" s="21">
        <f t="shared" ca="1" si="408"/>
        <v>1.2109888139835862E-4</v>
      </c>
      <c r="W98">
        <f t="shared" ca="1" si="409"/>
        <v>1.1004493691140843E-2</v>
      </c>
      <c r="X98" s="22">
        <f t="shared" ref="X98" ca="1" si="580">BSdelta(1,P98,Strike,W98*AnnualVarConvtr,Dividend,RiskFreeRate,G98/250)</f>
        <v>0.83608931814305065</v>
      </c>
      <c r="Y98" s="22">
        <f t="shared" ca="1" si="421"/>
        <v>-14.108743803151068</v>
      </c>
      <c r="Z98" s="22">
        <f t="shared" ca="1" si="422"/>
        <v>-53.895984628870337</v>
      </c>
      <c r="AA98">
        <f t="shared" si="402"/>
        <v>0.73884103340948371</v>
      </c>
      <c r="AB98">
        <f t="shared" ref="AB98" ca="1" si="581">BSdelta(1,P98,Strike,AA98/AnnualVarConvtr,Dividend,RiskFreeRate,G98/250)</f>
        <v>0.99966960858635079</v>
      </c>
      <c r="AC98">
        <f t="shared" ca="1" si="412"/>
        <v>2.5048187291172662E-2</v>
      </c>
      <c r="AD98">
        <f t="shared" ca="1" si="413"/>
        <v>-74.525441648556196</v>
      </c>
    </row>
    <row r="99" spans="7:30">
      <c r="G99" s="19">
        <v>156</v>
      </c>
      <c r="H99" s="19">
        <f t="shared" ca="1" si="557"/>
        <v>0.81900397102005451</v>
      </c>
      <c r="I99" s="19">
        <f t="shared" ca="1" si="557"/>
        <v>0.79638884985411718</v>
      </c>
      <c r="J99" s="19">
        <f t="shared" ca="1" si="395"/>
        <v>0.18159094098386172</v>
      </c>
      <c r="K99" s="19">
        <f t="shared" ca="1" si="396"/>
        <v>-0.60527466756305748</v>
      </c>
      <c r="L99" s="19">
        <f t="array" aca="1" ref="L99:M99" ca="1">MMULT(J99:K99,TRANSPOSE($B$10:$C$11))</f>
        <v>0.18159094098386172</v>
      </c>
      <c r="M99" s="19">
        <f ca="1"/>
        <v>-0.55234170402021276</v>
      </c>
      <c r="N99" s="20">
        <f t="shared" ref="N99" ca="1" si="582">GetVariance(N98,Variance_Avg,Lambda,Eta,M99,"Daily")</f>
        <v>1.7769006738848011E-2</v>
      </c>
      <c r="O99" s="20">
        <f t="shared" ref="O99" ca="1" si="583">GetStockReturns(0,RiskFreeRate,N99,L99,"Daily")</f>
        <v>1.5309314708815147E-3</v>
      </c>
      <c r="P99" s="19">
        <f t="shared" ca="1" si="540"/>
        <v>113.53575581519971</v>
      </c>
      <c r="Q99" s="19">
        <f ca="1">HCTrans(P99,Strike,RiskFreeRate,Dividend,Variance_T0*AnnualVarConvtr,(Simulation!G99)/250,0.5,Variance_Avg*AnnualVarConvtr,Lambda,SQRT(Simulation!N99),Rho,1,"Call")</f>
        <v>32.08429765083828</v>
      </c>
      <c r="R99" s="19">
        <f t="shared" ref="R99" ca="1" si="584">BSvol(1,P99,Strike,Q99,Dividend,RiskFreeRate,G99/250)</f>
        <v>0.74663204512540848</v>
      </c>
      <c r="S99" s="19">
        <f t="shared" ref="S99" ca="1" si="585">BSdelta(1,P99,Strike,R99/AnnualVarConvtr,Dividend,RiskFreeRate,G99/250)</f>
        <v>0.99968909148149221</v>
      </c>
      <c r="T99" s="19">
        <f t="shared" ca="1" si="418"/>
        <v>7.2248541026817834E-3</v>
      </c>
      <c r="U99" s="19">
        <f t="shared" ca="1" si="419"/>
        <v>-74.478135001642883</v>
      </c>
      <c r="V99" s="21">
        <f t="shared" ca="1" si="408"/>
        <v>1.1313706656331849E-5</v>
      </c>
      <c r="W99">
        <f t="shared" ca="1" si="409"/>
        <v>3.3635853871028529E-3</v>
      </c>
      <c r="X99" s="22">
        <f t="shared" ref="X99" ca="1" si="586">BSdelta(1,P99,Strike,W99*AnnualVarConvtr,Dividend,RiskFreeRate,G99/250)</f>
        <v>0.99882792230209105</v>
      </c>
      <c r="Y99" s="22">
        <f t="shared" ca="1" si="421"/>
        <v>18.476650423507255</v>
      </c>
      <c r="Z99" s="22">
        <f t="shared" ca="1" si="422"/>
        <v>-72.321782217483744</v>
      </c>
      <c r="AA99">
        <f t="shared" si="402"/>
        <v>0.73884103340948371</v>
      </c>
      <c r="AB99">
        <f t="shared" ref="AB99" ca="1" si="587">BSdelta(1,P99,Strike,AA99/AnnualVarConvtr,Dividend,RiskFreeRate,G99/250)</f>
        <v>0.99972750281788847</v>
      </c>
      <c r="AC99">
        <f t="shared" ca="1" si="412"/>
        <v>6.5730653349707494E-3</v>
      </c>
      <c r="AD99">
        <f t="shared" ca="1" si="413"/>
        <v>-74.481161878997327</v>
      </c>
    </row>
    <row r="100" spans="7:30">
      <c r="G100" s="19">
        <v>155</v>
      </c>
      <c r="H100" s="19">
        <f t="shared" ca="1" si="557"/>
        <v>0.25260109153062626</v>
      </c>
      <c r="I100" s="19">
        <f t="shared" ca="1" si="557"/>
        <v>0.94154417743451457</v>
      </c>
      <c r="J100" s="19">
        <f t="shared" ca="1" si="395"/>
        <v>1.5482412124756193</v>
      </c>
      <c r="K100" s="19">
        <f t="shared" ca="1" si="396"/>
        <v>-0.59568166312030213</v>
      </c>
      <c r="L100" s="19">
        <f t="array" aca="1" ref="L100:M100" ca="1">MMULT(J100:K100,TRANSPOSE($B$10:$C$11))</f>
        <v>1.5482412124756193</v>
      </c>
      <c r="M100" s="19">
        <f ca="1"/>
        <v>-1.5248546674776526</v>
      </c>
      <c r="N100" s="20">
        <f t="shared" ref="N100" ca="1" si="588">GetVariance(N99,Variance_Avg,Lambda,Eta,M100,"Daily")</f>
        <v>1.3077572511585726E-2</v>
      </c>
      <c r="O100" s="20">
        <f t="shared" ref="O100" ca="1" si="589">GetStockReturns(0,RiskFreeRate,N100,L100,"Daily")</f>
        <v>1.1197786626131551E-2</v>
      </c>
      <c r="P100" s="19">
        <f t="shared" ca="1" si="540"/>
        <v>114.81424977532517</v>
      </c>
      <c r="Q100" s="19">
        <f ca="1">HCTrans(P100,Strike,RiskFreeRate,Dividend,Variance_T0*AnnualVarConvtr,(Simulation!G100)/250,0.5,Variance_Avg*AnnualVarConvtr,Lambda,SQRT(Simulation!N100),Rho,1,"Call")</f>
        <v>32.917932582222846</v>
      </c>
      <c r="R100" s="19">
        <f t="shared" ref="R100" ca="1" si="590">BSvol(1,P100,Strike,Q100,Dividend,RiskFreeRate,G100/250)</f>
        <v>0.7471489197067156</v>
      </c>
      <c r="S100" s="19">
        <f t="shared" ref="S100" ca="1" si="591">BSdelta(1,P100,Strike,R100/AnnualVarConvtr,Dividend,RiskFreeRate,G100/250)</f>
        <v>0.99990479834350054</v>
      </c>
      <c r="T100" s="19">
        <f t="shared" ca="1" si="418"/>
        <v>2.4766221532876661E-2</v>
      </c>
      <c r="U100" s="19">
        <f t="shared" ca="1" si="419"/>
        <v>-73.669266291791189</v>
      </c>
      <c r="V100" s="21">
        <f t="shared" ca="1" si="408"/>
        <v>9.3448088592584187E-5</v>
      </c>
      <c r="W100">
        <f t="shared" ca="1" si="409"/>
        <v>9.6668551552500353E-3</v>
      </c>
      <c r="X100" s="22">
        <f t="shared" ref="X100" ca="1" si="592">BSdelta(1,P100,Strike,W100*AnnualVarConvtr,Dividend,RiskFreeRate,G100/250)</f>
        <v>0.88648145315392668</v>
      </c>
      <c r="Y100" s="22">
        <f t="shared" ca="1" si="421"/>
        <v>-12.898975570153207</v>
      </c>
      <c r="Z100" s="22">
        <f t="shared" ca="1" si="422"/>
        <v>-58.589171715945973</v>
      </c>
      <c r="AA100">
        <f t="shared" si="402"/>
        <v>0.73884103340948371</v>
      </c>
      <c r="AB100">
        <f t="shared" ref="AB100" ca="1" si="593">BSdelta(1,P100,Strike,AA100/AnnualVarConvtr,Dividend,RiskFreeRate,G100/250)</f>
        <v>0.99991933958534807</v>
      </c>
      <c r="AC100">
        <f t="shared" ca="1" si="412"/>
        <v>2.2025594535197101E-2</v>
      </c>
      <c r="AD100">
        <f t="shared" ca="1" si="413"/>
        <v>-73.669552542147954</v>
      </c>
    </row>
    <row r="101" spans="7:30">
      <c r="G101" s="19">
        <v>154</v>
      </c>
      <c r="H101" s="19">
        <f t="shared" ca="1" si="557"/>
        <v>0.61022046623611881</v>
      </c>
      <c r="I101" s="19">
        <f t="shared" ca="1" si="557"/>
        <v>0.13698878916305235</v>
      </c>
      <c r="J101" s="19">
        <f t="shared" ca="1" si="395"/>
        <v>0.64792136253589949</v>
      </c>
      <c r="K101" s="19">
        <f t="shared" ca="1" si="396"/>
        <v>0.75370275445546553</v>
      </c>
      <c r="L101" s="19">
        <f t="array" aca="1" ref="L101:M101" ca="1">MMULT(J101:K101,TRANSPOSE($B$10:$C$11))</f>
        <v>0.64792136253589949</v>
      </c>
      <c r="M101" s="19">
        <f ca="1"/>
        <v>6.1537655956292625E-2</v>
      </c>
      <c r="N101" s="20">
        <f t="shared" ref="N101" ca="1" si="594">GetVariance(N100,Variance_Avg,Lambda,Eta,M101,"Daily")</f>
        <v>1.3218722184639046E-2</v>
      </c>
      <c r="O101" s="20">
        <f t="shared" ref="O101" ca="1" si="595">GetStockReturns(0,RiskFreeRate,N101,L101,"Daily")</f>
        <v>4.711368050611126E-3</v>
      </c>
      <c r="P101" s="19">
        <f t="shared" ca="1" si="540"/>
        <v>115.35645823232284</v>
      </c>
      <c r="Q101" s="19">
        <f ca="1">HCTrans(P101,Strike,RiskFreeRate,Dividend,Variance_T0*AnnualVarConvtr,(Simulation!G101)/250,0.5,Variance_Avg*AnnualVarConvtr,Lambda,SQRT(Simulation!N101),Rho,1,"Call")</f>
        <v>33.227024728721275</v>
      </c>
      <c r="R101" s="19">
        <f t="shared" ref="R101" ca="1" si="596">BSvol(1,P101,Strike,Q101,Dividend,RiskFreeRate,G101/250)</f>
        <v>0.74726625845999839</v>
      </c>
      <c r="S101" s="19">
        <f t="shared" ref="S101" ca="1" si="597">BSdelta(1,P101,Strike,R101/AnnualVarConvtr,Dividend,RiskFreeRate,G101/250)</f>
        <v>0.99994554372549271</v>
      </c>
      <c r="T101" s="19">
        <f t="shared" ca="1" si="418"/>
        <v>4.7002429559396611E-3</v>
      </c>
      <c r="U101" s="19">
        <f t="shared" ca="1" si="419"/>
        <v>-73.364874388248694</v>
      </c>
      <c r="V101" s="21">
        <f t="shared" ca="1" si="408"/>
        <v>4.2073625936856412E-5</v>
      </c>
      <c r="W101">
        <f t="shared" ca="1" si="409"/>
        <v>6.4864185755204246E-3</v>
      </c>
      <c r="X101" s="22">
        <f t="shared" ref="X101" ca="1" si="598">BSdelta(1,P101,Strike,W101*AnnualVarConvtr,Dividend,RiskFreeRate,G101/250)</f>
        <v>0.96523731171562344</v>
      </c>
      <c r="Y101" s="22">
        <f t="shared" ca="1" si="421"/>
        <v>9.0849969087230971</v>
      </c>
      <c r="Z101" s="22">
        <f t="shared" ca="1" si="422"/>
        <v>-67.365076478170636</v>
      </c>
      <c r="AA101">
        <f t="shared" si="402"/>
        <v>0.73884103340948371</v>
      </c>
      <c r="AB101">
        <f t="shared" ref="AB101" ca="1" si="599">BSdelta(1,P101,Strike,AA101/AnnualVarConvtr,Dividend,RiskFreeRate,G101/250)</f>
        <v>0.99995452270739404</v>
      </c>
      <c r="AC101">
        <f t="shared" ca="1" si="412"/>
        <v>4.0586003487796491E-3</v>
      </c>
      <c r="AD101">
        <f t="shared" ca="1" si="413"/>
        <v>-73.36451899599831</v>
      </c>
    </row>
    <row r="102" spans="7:30">
      <c r="G102" s="19">
        <v>153</v>
      </c>
      <c r="H102" s="19">
        <f t="shared" ca="1" si="557"/>
        <v>0.52357100116694122</v>
      </c>
      <c r="I102" s="19">
        <f t="shared" ca="1" si="557"/>
        <v>0.21030359283361855</v>
      </c>
      <c r="J102" s="19">
        <f t="shared" ca="1" si="395"/>
        <v>0.28081068827407535</v>
      </c>
      <c r="K102" s="19">
        <f t="shared" ca="1" si="396"/>
        <v>1.1024112741782259</v>
      </c>
      <c r="L102" s="19">
        <f t="array" aca="1" ref="L102:M102" ca="1">MMULT(J102:K102,TRANSPOSE($B$10:$C$11))</f>
        <v>0.28081068827407535</v>
      </c>
      <c r="M102" s="19">
        <f ca="1"/>
        <v>0.56782701606271702</v>
      </c>
      <c r="N102" s="20">
        <f t="shared" ref="N102" ca="1" si="600">GetVariance(N101,Variance_Avg,Lambda,Eta,M102,"Daily")</f>
        <v>1.4835260975606427E-2</v>
      </c>
      <c r="O102" s="20">
        <f t="shared" ref="O102" ca="1" si="601">GetStockReturns(0,RiskFreeRate,N102,L102,"Daily")</f>
        <v>2.1631728574808859E-3</v>
      </c>
      <c r="P102" s="19">
        <f t="shared" ca="1" si="540"/>
        <v>115.60626428112819</v>
      </c>
      <c r="Q102" s="19">
        <f ca="1">HCTrans(P102,Strike,RiskFreeRate,Dividend,Variance_T0*AnnualVarConvtr,(Simulation!G102)/250,0.5,Variance_Avg*AnnualVarConvtr,Lambda,SQRT(Simulation!N102),Rho,1,"Call")</f>
        <v>33.327299297798632</v>
      </c>
      <c r="R102" s="19">
        <f t="shared" ref="R102" ca="1" si="602">BSvol(1,P102,Strike,Q102,Dividend,RiskFreeRate,G102/250)</f>
        <v>0.74727232178282421</v>
      </c>
      <c r="S102" s="19">
        <f t="shared" ref="S102" ca="1" si="603">BSdelta(1,P102,Strike,R102/AnnualVarConvtr,Dividend,RiskFreeRate,G102/250)</f>
        <v>0.99995939617007057</v>
      </c>
      <c r="T102" s="19">
        <f t="shared" ca="1" si="418"/>
        <v>1.6014293688072318E-3</v>
      </c>
      <c r="U102" s="19">
        <f t="shared" ca="1" si="419"/>
        <v>-73.266201248540142</v>
      </c>
      <c r="V102" s="21">
        <f t="shared" ca="1" si="408"/>
        <v>6.4932987422920621E-6</v>
      </c>
      <c r="W102">
        <f t="shared" ca="1" si="409"/>
        <v>2.5481951931302402E-3</v>
      </c>
      <c r="X102" s="22">
        <f t="shared" ref="X102" ca="1" si="604">BSdelta(1,P102,Strike,W102*AnnualVarConvtr,Dividend,RiskFreeRate,G102/250)</f>
        <v>0.99999805082432269</v>
      </c>
      <c r="Y102" s="22">
        <f t="shared" ca="1" si="421"/>
        <v>4.0185591920076345</v>
      </c>
      <c r="Z102" s="22">
        <f t="shared" ca="1" si="422"/>
        <v>-71.283361101100908</v>
      </c>
      <c r="AA102">
        <f t="shared" si="402"/>
        <v>0.73884103340948371</v>
      </c>
      <c r="AB102">
        <f t="shared" ref="AB102" ca="1" si="605">BSdelta(1,P102,Strike,AA102/AnnualVarConvtr,Dividend,RiskFreeRate,G102/250)</f>
        <v>0.99996631089069932</v>
      </c>
      <c r="AC102">
        <f t="shared" ca="1" si="412"/>
        <v>1.3627878345837073E-3</v>
      </c>
      <c r="AD102">
        <f t="shared" ca="1" si="413"/>
        <v>-73.265607214755534</v>
      </c>
    </row>
    <row r="103" spans="7:30">
      <c r="G103" s="19">
        <v>152</v>
      </c>
      <c r="H103" s="19">
        <f t="shared" ca="1" si="557"/>
        <v>0.82318587225465256</v>
      </c>
      <c r="I103" s="19">
        <f t="shared" ca="1" si="557"/>
        <v>0.63166507587045495</v>
      </c>
      <c r="J103" s="19">
        <f t="shared" ca="1" si="395"/>
        <v>-0.42225071000183068</v>
      </c>
      <c r="K103" s="19">
        <f t="shared" ca="1" si="396"/>
        <v>-0.45918498569788807</v>
      </c>
      <c r="L103" s="19">
        <f t="array" aca="1" ref="L103:M103" ca="1">MMULT(J103:K103,TRANSPOSE($B$10:$C$11))</f>
        <v>-0.42225071000183068</v>
      </c>
      <c r="M103" s="19">
        <f ca="1"/>
        <v>-1.7778884842294729E-2</v>
      </c>
      <c r="N103" s="20">
        <f t="shared" ref="N103" ca="1" si="606">GetVariance(N102,Variance_Avg,Lambda,Eta,M103,"Daily")</f>
        <v>1.4740917022914701E-2</v>
      </c>
      <c r="O103" s="20">
        <f t="shared" ref="O103" ca="1" si="607">GetStockReturns(0,RiskFreeRate,N103,L103,"Daily")</f>
        <v>-3.242370466506413E-3</v>
      </c>
      <c r="P103" s="19">
        <f t="shared" ca="1" si="540"/>
        <v>115.2320329702117</v>
      </c>
      <c r="Q103" s="19">
        <f ca="1">HCTrans(P103,Strike,RiskFreeRate,Dividend,Variance_T0*AnnualVarConvtr,(Simulation!G103)/250,0.5,Variance_Avg*AnnualVarConvtr,Lambda,SQRT(Simulation!N103),Rho,1,"Call")</f>
        <v>32.986008937531253</v>
      </c>
      <c r="R103" s="19">
        <f t="shared" ref="R103" ca="1" si="608">BSvol(1,P103,Strike,Q103,Dividend,RiskFreeRate,G103/250)</f>
        <v>0.74722827887070553</v>
      </c>
      <c r="S103" s="19">
        <f t="shared" ref="S103" ca="1" si="609">BSdelta(1,P103,Strike,R103/AnnualVarConvtr,Dividend,RiskFreeRate,G103/250)</f>
        <v>0.99994465318634318</v>
      </c>
      <c r="T103" s="19">
        <f t="shared" ca="1" si="418"/>
        <v>-1.6988639869538252E-3</v>
      </c>
      <c r="U103" s="19">
        <f t="shared" ca="1" si="419"/>
        <v>-73.605792744820562</v>
      </c>
      <c r="V103" s="21">
        <f t="shared" ca="1" si="408"/>
        <v>2.921989862750366E-5</v>
      </c>
      <c r="W103">
        <f t="shared" ca="1" si="409"/>
        <v>5.4055433239872993E-3</v>
      </c>
      <c r="X103" s="22">
        <f t="shared" ref="X103" ca="1" si="610">BSdelta(1,P103,Strike,W103*AnnualVarConvtr,Dividend,RiskFreeRate,G103/250)</f>
        <v>0.98464107532177814</v>
      </c>
      <c r="Y103" s="22">
        <f t="shared" ca="1" si="421"/>
        <v>-1.7696155074319477</v>
      </c>
      <c r="Z103" s="22">
        <f t="shared" ca="1" si="422"/>
        <v>-69.855035953936337</v>
      </c>
      <c r="AA103">
        <f t="shared" si="402"/>
        <v>0.73884103340948371</v>
      </c>
      <c r="AB103">
        <f t="shared" ref="AB103" ca="1" si="611">BSdelta(1,P103,Strike,AA103/AnnualVarConvtr,Dividend,RiskFreeRate,G103/250)</f>
        <v>0.99995372560323248</v>
      </c>
      <c r="AC103">
        <f t="shared" ca="1" si="412"/>
        <v>-1.4502282603182125E-3</v>
      </c>
      <c r="AD103">
        <f t="shared" ca="1" si="413"/>
        <v>-73.605447346762588</v>
      </c>
    </row>
    <row r="104" spans="7:30">
      <c r="G104" s="19">
        <v>151</v>
      </c>
      <c r="H104" s="19">
        <f t="shared" ca="1" si="557"/>
        <v>0.12209219849906816</v>
      </c>
      <c r="I104" s="19">
        <f t="shared" ca="1" si="557"/>
        <v>0.29231249953809968</v>
      </c>
      <c r="J104" s="19">
        <f t="shared" ca="1" si="395"/>
        <v>-0.53883139374632949</v>
      </c>
      <c r="K104" s="19">
        <f t="shared" ca="1" si="396"/>
        <v>1.9787921360365415</v>
      </c>
      <c r="L104" s="19">
        <f t="array" aca="1" ref="L104:M104" ca="1">MMULT(J104:K104,TRANSPOSE($B$10:$C$11))</f>
        <v>-0.53883139374632949</v>
      </c>
      <c r="M104" s="19">
        <f ca="1"/>
        <v>1.7664525441574825</v>
      </c>
      <c r="N104" s="20">
        <f t="shared" ref="N104" ca="1" si="612">GetVariance(N103,Variance_Avg,Lambda,Eta,M104,"Daily")</f>
        <v>2.0427988967243266E-2</v>
      </c>
      <c r="O104" s="20">
        <f t="shared" ref="O104" ca="1" si="613">GetStockReturns(0,RiskFreeRate,N104,L104,"Daily")</f>
        <v>-4.8707483706014474E-3</v>
      </c>
      <c r="P104" s="19">
        <f t="shared" ca="1" si="540"/>
        <v>114.67213141012051</v>
      </c>
      <c r="Q104" s="19">
        <f ca="1">HCTrans(P104,Strike,RiskFreeRate,Dividend,Variance_T0*AnnualVarConvtr,(Simulation!G104)/250,0.5,Variance_Avg*AnnualVarConvtr,Lambda,SQRT(Simulation!N104),Rho,1,"Call")</f>
        <v>32.506509025890281</v>
      </c>
      <c r="R104" s="19">
        <f t="shared" ref="R104" ca="1" si="614">BSvol(1,P104,Strike,Q104,Dividend,RiskFreeRate,G104/250)</f>
        <v>0.7469079002189084</v>
      </c>
      <c r="S104" s="19">
        <f t="shared" ref="S104" ca="1" si="615">BSdelta(1,P104,Strike,R104/AnnualVarConvtr,Dividend,RiskFreeRate,G104/250)</f>
        <v>0.99991069863672133</v>
      </c>
      <c r="T104" s="19">
        <f t="shared" ca="1" si="418"/>
        <v>-3.8936405762083257E-3</v>
      </c>
      <c r="U104" s="19">
        <f t="shared" ca="1" si="419"/>
        <v>-74.081399015885324</v>
      </c>
      <c r="V104" s="21">
        <f t="shared" ca="1" si="408"/>
        <v>2.6516145985449369E-6</v>
      </c>
      <c r="W104">
        <f t="shared" ca="1" si="409"/>
        <v>1.6283779040950344E-3</v>
      </c>
      <c r="X104" s="22">
        <f t="shared" ref="X104" ca="1" si="616">BSdelta(1,P104,Strike,W104*AnnualVarConvtr,Dividend,RiskFreeRate,G104/250)</f>
        <v>0.99999999999635825</v>
      </c>
      <c r="Y104" s="22">
        <f t="shared" ca="1" si="421"/>
        <v>1.7612406286015929</v>
      </c>
      <c r="Z104" s="22">
        <f t="shared" ca="1" si="422"/>
        <v>-72.095776494178907</v>
      </c>
      <c r="AA104">
        <f t="shared" si="402"/>
        <v>0.73884103340948371</v>
      </c>
      <c r="AB104">
        <f t="shared" ref="AB104" ca="1" si="617">BSdelta(1,P104,Strike,AA104/AnnualVarConvtr,Dividend,RiskFreeRate,G104/250)</f>
        <v>0.99992407428615282</v>
      </c>
      <c r="AC104">
        <f t="shared" ca="1" si="412"/>
        <v>-3.4001797286418918E-3</v>
      </c>
      <c r="AD104">
        <f t="shared" ca="1" si="413"/>
        <v>-74.081547078674916</v>
      </c>
    </row>
    <row r="105" spans="7:30">
      <c r="G105" s="19">
        <v>150</v>
      </c>
      <c r="H105" s="19">
        <f t="shared" ca="1" si="557"/>
        <v>0.59552082388612804</v>
      </c>
      <c r="I105" s="19">
        <f t="shared" ca="1" si="557"/>
        <v>0.83725388125853462</v>
      </c>
      <c r="J105" s="19">
        <f t="shared" ca="1" si="395"/>
        <v>0.53064097124947762</v>
      </c>
      <c r="K105" s="19">
        <f t="shared" ca="1" si="396"/>
        <v>-0.86894073661145788</v>
      </c>
      <c r="L105" s="19">
        <f t="array" aca="1" ref="L105:M105" ca="1">MMULT(J105:K105,TRANSPOSE($B$10:$C$11))</f>
        <v>0.53064097124947762</v>
      </c>
      <c r="M105" s="19">
        <f ca="1"/>
        <v>-0.98636609689725785</v>
      </c>
      <c r="N105" s="20">
        <f t="shared" ref="N105" ca="1" si="618">GetVariance(N104,Variance_Avg,Lambda,Eta,M105,"Daily")</f>
        <v>1.7046468077227591E-2</v>
      </c>
      <c r="O105" s="20">
        <f t="shared" ref="O105" ca="1" si="619">GetStockReturns(0,RiskFreeRate,N105,L105,"Daily")</f>
        <v>4.3817538771747516E-3</v>
      </c>
      <c r="P105" s="19">
        <f t="shared" ca="1" si="540"/>
        <v>115.17569891526678</v>
      </c>
      <c r="Q105" s="19">
        <f ca="1">HCTrans(P105,Strike,RiskFreeRate,Dividend,Variance_T0*AnnualVarConvtr,(Simulation!G105)/250,0.5,Variance_Avg*AnnualVarConvtr,Lambda,SQRT(Simulation!N105),Rho,1,"Call")</f>
        <v>32.791615928312694</v>
      </c>
      <c r="R105" s="19">
        <f t="shared" ref="R105" ca="1" si="620">BSvol(1,P105,Strike,Q105,Dividend,RiskFreeRate,G105/250)</f>
        <v>0.74717940026660679</v>
      </c>
      <c r="S105" s="19">
        <f t="shared" ref="S105" ca="1" si="621">BSdelta(1,P105,Strike,R105/AnnualVarConvtr,Dividend,RiskFreeRate,G105/250)</f>
        <v>0.99994738538600092</v>
      </c>
      <c r="T105" s="19">
        <f t="shared" ca="1" si="418"/>
        <v>4.2254219892060322E-3</v>
      </c>
      <c r="U105" s="19">
        <f t="shared" ca="1" si="419"/>
        <v>-73.800517535452116</v>
      </c>
      <c r="V105" s="21">
        <f t="shared" ca="1" si="408"/>
        <v>8.5608797845103594E-5</v>
      </c>
      <c r="W105">
        <f t="shared" ca="1" si="409"/>
        <v>9.2525022477761981E-3</v>
      </c>
      <c r="X105" s="22">
        <f t="shared" ref="X105" ca="1" si="622">BSdelta(1,P105,Strike,W105*AnnualVarConvtr,Dividend,RiskFreeRate,G105/250)</f>
        <v>0.90379376241553255</v>
      </c>
      <c r="Y105" s="22">
        <f t="shared" ca="1" si="421"/>
        <v>-11.080620653379803</v>
      </c>
      <c r="Z105" s="22">
        <f t="shared" ca="1" si="422"/>
        <v>-60.73004893837669</v>
      </c>
      <c r="AA105">
        <f t="shared" si="402"/>
        <v>0.73884103340948371</v>
      </c>
      <c r="AB105">
        <f t="shared" ref="AB105" ca="1" si="623">BSdelta(1,P105,Strike,AA105/AnnualVarConvtr,Dividend,RiskFreeRate,G105/250)</f>
        <v>0.99995601205063356</v>
      </c>
      <c r="AC105">
        <f t="shared" ca="1" si="412"/>
        <v>3.6784543458602244E-3</v>
      </c>
      <c r="AD105">
        <f t="shared" ca="1" si="413"/>
        <v>-73.800118630598362</v>
      </c>
    </row>
    <row r="106" spans="7:30">
      <c r="G106" s="19">
        <v>149</v>
      </c>
      <c r="H106" s="19">
        <f t="shared" ca="1" si="557"/>
        <v>0.10576713449677566</v>
      </c>
      <c r="I106" s="19">
        <f t="shared" ca="1" si="557"/>
        <v>0.32402972342701197</v>
      </c>
      <c r="J106" s="19">
        <f t="shared" ca="1" si="395"/>
        <v>-0.95078144789507268</v>
      </c>
      <c r="K106" s="19">
        <f t="shared" ca="1" si="396"/>
        <v>1.8944776404127304</v>
      </c>
      <c r="L106" s="19">
        <f t="array" aca="1" ref="L106:M106" ca="1">MMULT(J106:K106,TRANSPOSE($B$10:$C$11))</f>
        <v>-0.95078144789507268</v>
      </c>
      <c r="M106" s="19">
        <f ca="1"/>
        <v>2.0027980541952974</v>
      </c>
      <c r="N106" s="20">
        <f t="shared" ref="N106" ca="1" si="624">GetVariance(N105,Variance_Avg,Lambda,Eta,M106,"Daily")</f>
        <v>2.4008184063723521E-2</v>
      </c>
      <c r="O106" s="20">
        <f t="shared" ref="O106" ca="1" si="625">GetStockReturns(0,RiskFreeRate,N106,L106,"Daily")</f>
        <v>-9.3173058238269265E-3</v>
      </c>
      <c r="P106" s="19">
        <f t="shared" ca="1" si="540"/>
        <v>114.10755554154927</v>
      </c>
      <c r="Q106" s="19">
        <f ca="1">HCTrans(P106,Strike,RiskFreeRate,Dividend,Variance_T0*AnnualVarConvtr,(Simulation!G106)/250,0.5,Variance_Avg*AnnualVarConvtr,Lambda,SQRT(Simulation!N106),Rho,1,"Call")</f>
        <v>31.951569797144344</v>
      </c>
      <c r="R106" s="19">
        <f t="shared" ref="R106" ca="1" si="626">BSvol(1,P106,Strike,Q106,Dividend,RiskFreeRate,G106/250)</f>
        <v>0.74669151277112422</v>
      </c>
      <c r="S106" s="19">
        <f t="shared" ref="S106" ca="1" si="627">BSdelta(1,P106,Strike,R106/AnnualVarConvtr,Dividend,RiskFreeRate,G106/250)</f>
        <v>0.99986263617073079</v>
      </c>
      <c r="T106" s="19">
        <f t="shared" ca="1" si="418"/>
        <v>-9.6705257885390892E-3</v>
      </c>
      <c r="U106" s="19">
        <f t="shared" ca="1" si="419"/>
        <v>-74.63089314083193</v>
      </c>
      <c r="V106" s="21">
        <f t="shared" ca="1" si="408"/>
        <v>1.8766423669160819E-4</v>
      </c>
      <c r="W106">
        <f t="shared" ca="1" si="409"/>
        <v>1.3699059701001678E-2</v>
      </c>
      <c r="X106" s="22">
        <f t="shared" ref="X106" ca="1" si="628">BSdelta(1,P106,Strike,W106*AnnualVarConvtr,Dividend,RiskFreeRate,G106/250)</f>
        <v>0.80862065118145554</v>
      </c>
      <c r="Y106" s="22">
        <f t="shared" ca="1" si="421"/>
        <v>-10.85997107620449</v>
      </c>
      <c r="Z106" s="22">
        <f t="shared" ca="1" si="422"/>
        <v>-50.710123993340552</v>
      </c>
      <c r="AA106">
        <f t="shared" si="402"/>
        <v>0.73884103340948371</v>
      </c>
      <c r="AB106">
        <f t="shared" ref="AB106" ca="1" si="629">BSdelta(1,P106,Strike,AA106/AnnualVarConvtr,Dividend,RiskFreeRate,G106/250)</f>
        <v>0.99988168112485665</v>
      </c>
      <c r="AC106">
        <f t="shared" ca="1" si="412"/>
        <v>-8.4817202415436391E-3</v>
      </c>
      <c r="AD106">
        <f t="shared" ca="1" si="413"/>
        <v>-74.631683041525164</v>
      </c>
    </row>
    <row r="107" spans="7:30">
      <c r="G107" s="19">
        <v>148</v>
      </c>
      <c r="H107" s="19">
        <f t="shared" ca="1" si="557"/>
        <v>0.57153595450466188</v>
      </c>
      <c r="I107" s="19">
        <f t="shared" ca="1" si="557"/>
        <v>0.27646317664775921</v>
      </c>
      <c r="J107" s="19">
        <f t="shared" ca="1" si="395"/>
        <v>-0.17506765445551248</v>
      </c>
      <c r="K107" s="19">
        <f t="shared" ca="1" si="396"/>
        <v>1.0431716478018471</v>
      </c>
      <c r="L107" s="19">
        <f t="array" aca="1" ref="L107:M107" ca="1">MMULT(J107:K107,TRANSPOSE($B$10:$C$11))</f>
        <v>-0.17506765445551248</v>
      </c>
      <c r="M107" s="19">
        <f ca="1"/>
        <v>0.85313904997267853</v>
      </c>
      <c r="N107" s="20">
        <f t="shared" ref="N107" ca="1" si="630">GetVariance(N106,Variance_Avg,Lambda,Eta,M107,"Daily")</f>
        <v>2.7269011687750668E-2</v>
      </c>
      <c r="O107" s="20">
        <f t="shared" ref="O107" ca="1" si="631">GetStockReturns(0,RiskFreeRate,N107,L107,"Daily")</f>
        <v>-1.828397453836975E-3</v>
      </c>
      <c r="P107" s="19">
        <f t="shared" ca="1" si="540"/>
        <v>113.89911219424577</v>
      </c>
      <c r="Q107" s="19">
        <f ca="1">HCTrans(P107,Strike,RiskFreeRate,Dividend,Variance_T0*AnnualVarConvtr,(Simulation!G107)/250,0.5,Variance_Avg*AnnualVarConvtr,Lambda,SQRT(Simulation!N107),Rho,1,"Call")</f>
        <v>31.72459832910333</v>
      </c>
      <c r="R107" s="19">
        <f t="shared" ref="R107" ca="1" si="632">BSvol(1,P107,Strike,Q107,Dividend,RiskFreeRate,G107/250)</f>
        <v>0.74654311095693182</v>
      </c>
      <c r="S107" s="19">
        <f t="shared" ref="S107" ca="1" si="633">BSdelta(1,P107,Strike,R107/AnnualVarConvtr,Dividend,RiskFreeRate,G107/250)</f>
        <v>0.99984123944729286</v>
      </c>
      <c r="T107" s="19">
        <f t="shared" ca="1" si="418"/>
        <v>-2.4370678034457563E-3</v>
      </c>
      <c r="U107" s="19">
        <f t="shared" ca="1" si="419"/>
        <v>-74.855427541069503</v>
      </c>
      <c r="V107" s="21">
        <f t="shared" ca="1" si="408"/>
        <v>5.6083748574105553E-5</v>
      </c>
      <c r="W107">
        <f t="shared" ca="1" si="409"/>
        <v>7.4889083699899517E-3</v>
      </c>
      <c r="X107" s="22">
        <f t="shared" ref="X107" ca="1" si="634">BSdelta(1,P107,Strike,W107*AnnualVarConvtr,Dividend,RiskFreeRate,G107/250)</f>
        <v>0.92976231127255027</v>
      </c>
      <c r="Y107" s="22">
        <f t="shared" ca="1" si="421"/>
        <v>13.797927534112784</v>
      </c>
      <c r="Z107" s="22">
        <f t="shared" ca="1" si="422"/>
        <v>-64.735022995494347</v>
      </c>
      <c r="AA107">
        <f t="shared" si="402"/>
        <v>0.73884103340948371</v>
      </c>
      <c r="AB107">
        <f t="shared" ref="AB107" ca="1" si="635">BSdelta(1,P107,Strike,AA107/AnnualVarConvtr,Dividend,RiskFreeRate,G107/250)</f>
        <v>0.99986247256918959</v>
      </c>
      <c r="AC107">
        <f t="shared" ca="1" si="412"/>
        <v>-2.1878374370119624E-3</v>
      </c>
      <c r="AD107">
        <f t="shared" ca="1" si="413"/>
        <v>-74.856466672129173</v>
      </c>
    </row>
    <row r="108" spans="7:30">
      <c r="G108" s="19">
        <v>147</v>
      </c>
      <c r="H108" s="19">
        <f t="shared" ca="1" si="557"/>
        <v>0.7607601116549203</v>
      </c>
      <c r="I108" s="19">
        <f t="shared" ca="1" si="557"/>
        <v>0.67578001466645365</v>
      </c>
      <c r="J108" s="19">
        <f t="shared" ca="1" si="395"/>
        <v>-0.33249700600688731</v>
      </c>
      <c r="K108" s="19">
        <f t="shared" ca="1" si="396"/>
        <v>-0.66054533394660242</v>
      </c>
      <c r="L108" s="19">
        <f t="array" aca="1" ref="L108:M108" ca="1">MMULT(J108:K108,TRANSPOSE($B$10:$C$11))</f>
        <v>-0.33249700600688731</v>
      </c>
      <c r="M108" s="19">
        <f ca="1"/>
        <v>-0.22255379340009535</v>
      </c>
      <c r="N108" s="20">
        <f t="shared" ref="N108" ca="1" si="636">GetVariance(N107,Variance_Avg,Lambda,Eta,M108,"Daily")</f>
        <v>2.6268102639423373E-2</v>
      </c>
      <c r="O108" s="20">
        <f t="shared" ref="O108" ca="1" si="637">GetStockReturns(0,RiskFreeRate,N108,L108,"Daily")</f>
        <v>-3.4082550507439969E-3</v>
      </c>
      <c r="P108" s="19">
        <f t="shared" ca="1" si="540"/>
        <v>113.51157575648689</v>
      </c>
      <c r="Q108" s="19">
        <f ca="1">HCTrans(P108,Strike,RiskFreeRate,Dividend,Variance_T0*AnnualVarConvtr,(Simulation!G108)/250,0.5,Variance_Avg*AnnualVarConvtr,Lambda,SQRT(Simulation!N108),Rho,1,"Call")</f>
        <v>31.376855768462164</v>
      </c>
      <c r="R108" s="19">
        <f t="shared" ref="R108" ca="1" si="638">BSvol(1,P108,Strike,Q108,Dividend,RiskFreeRate,G108/250)</f>
        <v>0.74651282348191872</v>
      </c>
      <c r="S108" s="19">
        <f t="shared" ref="S108" ca="1" si="639">BSdelta(1,P108,Strike,R108/AnnualVarConvtr,Dividend,RiskFreeRate,G108/250)</f>
        <v>0.99978314777902433</v>
      </c>
      <c r="T108" s="19">
        <f t="shared" ca="1" si="418"/>
        <v>-6.5940768034843979E-3</v>
      </c>
      <c r="U108" s="19">
        <f t="shared" ca="1" si="419"/>
        <v>-75.196576024907188</v>
      </c>
      <c r="V108" s="21">
        <f t="shared" ca="1" si="408"/>
        <v>2.49595002650483E-6</v>
      </c>
      <c r="W108">
        <f t="shared" ca="1" si="409"/>
        <v>1.5798575969070219E-3</v>
      </c>
      <c r="X108" s="22">
        <f t="shared" ref="X108" ca="1" si="640">BSdelta(1,P108,Strike,W108*AnnualVarConvtr,Dividend,RiskFreeRate,G108/250)</f>
        <v>0.99999999998274669</v>
      </c>
      <c r="Y108" s="22">
        <f t="shared" ca="1" si="421"/>
        <v>7.9727907229880053</v>
      </c>
      <c r="Z108" s="22">
        <f t="shared" ca="1" si="422"/>
        <v>-73.055556279123522</v>
      </c>
      <c r="AA108">
        <f t="shared" si="402"/>
        <v>0.73884103340948371</v>
      </c>
      <c r="AB108">
        <f t="shared" ref="AB108" ca="1" si="641">BSdelta(1,P108,Strike,AA108/AnnualVarConvtr,Dividend,RiskFreeRate,G108/250)</f>
        <v>0.99981089493030373</v>
      </c>
      <c r="AC108">
        <f t="shared" ca="1" si="412"/>
        <v>-5.8546590637327924E-3</v>
      </c>
      <c r="AD108">
        <f t="shared" ca="1" si="413"/>
        <v>-75.198354573706609</v>
      </c>
    </row>
    <row r="109" spans="7:30">
      <c r="G109" s="19">
        <v>146</v>
      </c>
      <c r="H109" s="19">
        <f t="shared" ca="1" si="557"/>
        <v>0.13702712613187762</v>
      </c>
      <c r="I109" s="19">
        <f t="shared" ca="1" si="557"/>
        <v>0.86682118210621639</v>
      </c>
      <c r="J109" s="19">
        <f t="shared" ca="1" si="395"/>
        <v>1.335536068164737</v>
      </c>
      <c r="K109" s="19">
        <f t="shared" ca="1" si="396"/>
        <v>-1.4803702760502473</v>
      </c>
      <c r="L109" s="19">
        <f t="array" aca="1" ref="L109:M109" ca="1">MMULT(J109:K109,TRANSPOSE($B$10:$C$11))</f>
        <v>1.335536068164737</v>
      </c>
      <c r="M109" s="19">
        <f ca="1"/>
        <v>-1.9895987878116608</v>
      </c>
      <c r="N109" s="20">
        <f t="shared" ref="N109" ca="1" si="642">GetVariance(N108,Variance_Avg,Lambda,Eta,M109,"Daily")</f>
        <v>1.8854319841325073E-2</v>
      </c>
      <c r="O109" s="20">
        <f t="shared" ref="O109" ca="1" si="643">GetStockReturns(0,RiskFreeRate,N109,L109,"Daily")</f>
        <v>1.1598212245522797E-2</v>
      </c>
      <c r="P109" s="19">
        <f t="shared" ca="1" si="540"/>
        <v>114.83577141152774</v>
      </c>
      <c r="Q109" s="19">
        <f ca="1">HCTrans(P109,Strike,RiskFreeRate,Dividend,Variance_T0*AnnualVarConvtr,(Simulation!G109)/250,0.5,Variance_Avg*AnnualVarConvtr,Lambda,SQRT(Simulation!N109),Rho,1,"Call")</f>
        <v>32.242483513433697</v>
      </c>
      <c r="R109" s="19">
        <f t="shared" ref="R109" ca="1" si="644">BSvol(1,P109,Strike,Q109,Dividend,RiskFreeRate,G109/250)</f>
        <v>0.74715271688647111</v>
      </c>
      <c r="S109" s="19">
        <f t="shared" ref="S109" ca="1" si="645">BSdelta(1,P109,Strike,R109/AnnualVarConvtr,Dividend,RiskFreeRate,G109/250)</f>
        <v>0.99994064328578369</v>
      </c>
      <c r="T109" s="19">
        <f t="shared" ca="1" si="418"/>
        <v>1.8086118012561068E-2</v>
      </c>
      <c r="U109" s="19">
        <f t="shared" ca="1" si="419"/>
        <v>-74.349034397948216</v>
      </c>
      <c r="V109" s="21">
        <f t="shared" ca="1" si="408"/>
        <v>2.2519406071392479E-4</v>
      </c>
      <c r="W109">
        <f t="shared" ca="1" si="409"/>
        <v>1.5006467296266793E-2</v>
      </c>
      <c r="X109" s="22">
        <f t="shared" ref="X109" ca="1" si="646">BSdelta(1,P109,Strike,W109*AnnualVarConvtr,Dividend,RiskFreeRate,G109/250)</f>
        <v>0.80332748274611299</v>
      </c>
      <c r="Y109" s="22">
        <f t="shared" ca="1" si="421"/>
        <v>-22.585040232315819</v>
      </c>
      <c r="Z109" s="22">
        <f t="shared" ca="1" si="422"/>
        <v>-49.604888301836169</v>
      </c>
      <c r="AA109">
        <f t="shared" si="402"/>
        <v>0.73884103340948371</v>
      </c>
      <c r="AB109">
        <f t="shared" ref="AB109" ca="1" si="647">BSdelta(1,P109,Strike,AA109/AnnualVarConvtr,Dividend,RiskFreeRate,G109/250)</f>
        <v>0.99995021987420096</v>
      </c>
      <c r="AC109">
        <f t="shared" ca="1" si="412"/>
        <v>1.5999487409306734E-2</v>
      </c>
      <c r="AD109">
        <f t="shared" ca="1" si="413"/>
        <v>-74.348726316144379</v>
      </c>
    </row>
    <row r="110" spans="7:30">
      <c r="G110" s="19">
        <v>145</v>
      </c>
      <c r="H110" s="19">
        <f t="shared" ca="1" si="557"/>
        <v>0.61101646520907527</v>
      </c>
      <c r="I110" s="19">
        <f t="shared" ca="1" si="557"/>
        <v>0.9065188780840554</v>
      </c>
      <c r="J110" s="19">
        <f t="shared" ca="1" si="395"/>
        <v>0.82625054769135853</v>
      </c>
      <c r="K110" s="19">
        <f t="shared" ca="1" si="396"/>
        <v>-0.55006615679292648</v>
      </c>
      <c r="L110" s="19">
        <f t="array" aca="1" ref="L110:M110" ca="1">MMULT(J110:K110,TRANSPOSE($B$10:$C$11))</f>
        <v>0.82625054769135853</v>
      </c>
      <c r="M110" s="19">
        <f ca="1"/>
        <v>-0.97572756778095182</v>
      </c>
      <c r="N110" s="20">
        <f t="shared" ref="N110" ca="1" si="648">GetVariance(N109,Variance_Avg,Lambda,Eta,M110,"Daily")</f>
        <v>1.5649638696914145E-2</v>
      </c>
      <c r="O110" s="20">
        <f t="shared" ref="O110" ca="1" si="649">GetStockReturns(0,RiskFreeRate,N110,L110,"Daily")</f>
        <v>6.5372322382874735E-3</v>
      </c>
      <c r="P110" s="19">
        <f t="shared" ca="1" si="540"/>
        <v>115.58893865084627</v>
      </c>
      <c r="Q110" s="19">
        <f ca="1">HCTrans(P110,Strike,RiskFreeRate,Dividend,Variance_T0*AnnualVarConvtr,(Simulation!G110)/250,0.5,Variance_Avg*AnnualVarConvtr,Lambda,SQRT(Simulation!N110),Rho,1,"Call")</f>
        <v>32.702986735180872</v>
      </c>
      <c r="R110" s="19">
        <f t="shared" ref="R110" ca="1" si="650">BSvol(1,P110,Strike,Q110,Dividend,RiskFreeRate,G110/250)</f>
        <v>0.74744963413143306</v>
      </c>
      <c r="S110" s="19">
        <f t="shared" ref="S110" ca="1" si="651">BSdelta(1,P110,Strike,R110/AnnualVarConvtr,Dividend,RiskFreeRate,G110/250)</f>
        <v>0.9999734960464014</v>
      </c>
      <c r="T110" s="19">
        <f t="shared" ca="1" si="418"/>
        <v>3.797415731551141E-3</v>
      </c>
      <c r="U110" s="19">
        <f t="shared" ca="1" si="419"/>
        <v>-73.892328591932596</v>
      </c>
      <c r="V110" s="21">
        <f t="shared" ca="1" si="408"/>
        <v>2.5613518633635651E-5</v>
      </c>
      <c r="W110">
        <f t="shared" ca="1" si="409"/>
        <v>5.0609800072353231E-3</v>
      </c>
      <c r="X110" s="22">
        <f t="shared" ref="X110" ca="1" si="652">BSdelta(1,P110,Strike,W110*AnnualVarConvtr,Dividend,RiskFreeRate,G110/250)</f>
        <v>0.99197200258244711</v>
      </c>
      <c r="Y110" s="22">
        <f t="shared" ca="1" si="421"/>
        <v>21.805219830180377</v>
      </c>
      <c r="Z110" s="22">
        <f t="shared" ca="1" si="422"/>
        <v>-70.949604910269372</v>
      </c>
      <c r="AA110">
        <f t="shared" si="402"/>
        <v>0.73884103340948371</v>
      </c>
      <c r="AB110">
        <f t="shared" ref="AB110" ca="1" si="653">BSdelta(1,P110,Strike,AA110/AnnualVarConvtr,Dividend,RiskFreeRate,G110/250)</f>
        <v>0.99997830363035733</v>
      </c>
      <c r="AC110">
        <f t="shared" ca="1" si="412"/>
        <v>3.2461715674441888E-3</v>
      </c>
      <c r="AD110">
        <f t="shared" ca="1" si="413"/>
        <v>-73.891469265964645</v>
      </c>
    </row>
    <row r="111" spans="7:30">
      <c r="G111" s="19">
        <v>144</v>
      </c>
      <c r="H111" s="19">
        <f t="shared" ca="1" si="557"/>
        <v>1.8560600217414347E-2</v>
      </c>
      <c r="I111" s="19">
        <f t="shared" ca="1" si="557"/>
        <v>0.97198424026366581</v>
      </c>
      <c r="J111" s="19">
        <f t="shared" ca="1" si="395"/>
        <v>2.7800909414282327</v>
      </c>
      <c r="K111" s="19">
        <f t="shared" ca="1" si="396"/>
        <v>-0.49449244997469088</v>
      </c>
      <c r="L111" s="19">
        <f t="array" aca="1" ref="L111:M111" ca="1">MMULT(J111:K111,TRANSPOSE($B$10:$C$11))</f>
        <v>2.7800909414282327</v>
      </c>
      <c r="M111" s="19">
        <f ca="1"/>
        <v>-2.3368867093992747</v>
      </c>
      <c r="N111" s="20">
        <f t="shared" ref="N111" ca="1" si="654">GetVariance(N110,Variance_Avg,Lambda,Eta,M111,"Daily")</f>
        <v>9.2565931505131493E-3</v>
      </c>
      <c r="O111" s="20">
        <f t="shared" ref="O111" ca="1" si="655">GetStockReturns(0,RiskFreeRate,N111,L111,"Daily")</f>
        <v>1.6916658657354099E-2</v>
      </c>
      <c r="P111" s="19">
        <f t="shared" ca="1" si="540"/>
        <v>117.56095016553043</v>
      </c>
      <c r="Q111" s="19">
        <f ca="1">HCTrans(P111,Strike,RiskFreeRate,Dividend,Variance_T0*AnnualVarConvtr,(Simulation!G111)/250,0.5,Variance_Avg*AnnualVarConvtr,Lambda,SQRT(Simulation!N111),Rho,1,"Call")</f>
        <v>34.041417714311024</v>
      </c>
      <c r="R111" s="19">
        <f t="shared" ref="R111" ca="1" si="656">BSvol(1,P111,Strike,Q111,Dividend,RiskFreeRate,G111/250)</f>
        <v>0.74798910487437997</v>
      </c>
      <c r="S111" s="19">
        <f t="shared" ref="S111" ca="1" si="657">BSdelta(1,P111,Strike,R111/AnnualVarConvtr,Dividend,RiskFreeRate,G111/250)</f>
        <v>0.99999696748646638</v>
      </c>
      <c r="T111" s="19">
        <f t="shared" ca="1" si="418"/>
        <v>2.7593247957925344E-3</v>
      </c>
      <c r="U111" s="19">
        <f t="shared" ca="1" si="419"/>
        <v>-72.556656937598234</v>
      </c>
      <c r="V111" s="21">
        <f t="shared" ca="1" si="408"/>
        <v>1.0773249278881823E-4</v>
      </c>
      <c r="W111">
        <f t="shared" ca="1" si="409"/>
        <v>1.0379426419066626E-2</v>
      </c>
      <c r="X111" s="22">
        <f t="shared" ref="X111" ca="1" si="658">BSdelta(1,P111,Strike,W111*AnnualVarConvtr,Dividend,RiskFreeRate,G111/250)</f>
        <v>0.91327700342405138</v>
      </c>
      <c r="Y111" s="22">
        <f t="shared" ca="1" si="421"/>
        <v>-9.2514588743366186</v>
      </c>
      <c r="Z111" s="22">
        <f t="shared" ca="1" si="422"/>
        <v>-60.3597150568026</v>
      </c>
      <c r="AA111">
        <f t="shared" si="402"/>
        <v>0.73884103340948371</v>
      </c>
      <c r="AB111">
        <f t="shared" ref="AB111" ca="1" si="659">BSdelta(1,P111,Strike,AA111/AnnualVarConvtr,Dividend,RiskFreeRate,G111/250)</f>
        <v>0.99999767160288955</v>
      </c>
      <c r="AC111">
        <f t="shared" ca="1" si="412"/>
        <v>2.2769172536669467E-3</v>
      </c>
      <c r="AD111">
        <f t="shared" ca="1" si="413"/>
        <v>-72.55531520408816</v>
      </c>
    </row>
    <row r="112" spans="7:30">
      <c r="G112" s="19">
        <v>143</v>
      </c>
      <c r="H112" s="19">
        <f t="shared" ca="1" si="557"/>
        <v>0.36340027354169102</v>
      </c>
      <c r="I112" s="19">
        <f t="shared" ca="1" si="557"/>
        <v>0.59666024532808226</v>
      </c>
      <c r="J112" s="19">
        <f t="shared" ca="1" si="395"/>
        <v>-1.1684045154220657</v>
      </c>
      <c r="K112" s="19">
        <f t="shared" ca="1" si="396"/>
        <v>-0.8119923823067422</v>
      </c>
      <c r="L112" s="19">
        <f t="array" aca="1" ref="L112:M112" ca="1">MMULT(J112:K112,TRANSPOSE($B$10:$C$11))</f>
        <v>-1.1684045154220657</v>
      </c>
      <c r="M112" s="19">
        <f ca="1"/>
        <v>0.27072643113875783</v>
      </c>
      <c r="N112" s="20">
        <f t="shared" ref="N112" ca="1" si="660">GetVariance(N111,Variance_Avg,Lambda,Eta,M112,"Daily")</f>
        <v>9.8945681510055408E-3</v>
      </c>
      <c r="O112" s="20">
        <f t="shared" ref="O112" ca="1" si="661">GetStockReturns(0,RiskFreeRate,N112,L112,"Daily")</f>
        <v>-7.3505806064431195E-3</v>
      </c>
      <c r="P112" s="19">
        <f t="shared" ca="1" si="540"/>
        <v>116.69997712762809</v>
      </c>
      <c r="Q112" s="19">
        <f ca="1">HCTrans(P112,Strike,RiskFreeRate,Dividend,Variance_T0*AnnualVarConvtr,(Simulation!G112)/250,0.5,Variance_Avg*AnnualVarConvtr,Lambda,SQRT(Simulation!N112),Rho,1,"Call")</f>
        <v>33.344873492198559</v>
      </c>
      <c r="R112" s="19">
        <f t="shared" ref="R112" ca="1" si="662">BSvol(1,P112,Strike,Q112,Dividend,RiskFreeRate,G112/250)</f>
        <v>0.74786166694295597</v>
      </c>
      <c r="S112" s="19">
        <f t="shared" ref="S112" ca="1" si="663">BSdelta(1,P112,Strike,R112/AnnualVarConvtr,Dividend,RiskFreeRate,G112/250)</f>
        <v>0.99999271403935186</v>
      </c>
      <c r="T112" s="19">
        <f t="shared" ca="1" si="418"/>
        <v>-4.9637718097825701E-4</v>
      </c>
      <c r="U112" s="19">
        <f t="shared" ca="1" si="419"/>
        <v>-73.252704782529719</v>
      </c>
      <c r="V112" s="21">
        <f t="shared" ca="1" si="408"/>
        <v>5.8889890148638145E-4</v>
      </c>
      <c r="W112">
        <f t="shared" ca="1" si="409"/>
        <v>2.426723926379722E-2</v>
      </c>
      <c r="X112" s="22">
        <f t="shared" ref="X112" ca="1" si="664">BSdelta(1,P112,Strike,W112*AnnualVarConvtr,Dividend,RiskFreeRate,G112/250)</f>
        <v>0.75088568105280906</v>
      </c>
      <c r="Y112" s="22">
        <f t="shared" ca="1" si="421"/>
        <v>-18.951063606449257</v>
      </c>
      <c r="Z112" s="22">
        <f t="shared" ca="1" si="422"/>
        <v>-42.105195672465811</v>
      </c>
      <c r="AA112">
        <f t="shared" si="402"/>
        <v>0.73884103340948371</v>
      </c>
      <c r="AB112">
        <f t="shared" ref="AB112" ca="1" si="665">BSdelta(1,P112,Strike,AA112/AnnualVarConvtr,Dividend,RiskFreeRate,G112/250)</f>
        <v>0.99999426840265238</v>
      </c>
      <c r="AC112">
        <f t="shared" ca="1" si="412"/>
        <v>-3.9715338983884038E-4</v>
      </c>
      <c r="AD112">
        <f t="shared" ca="1" si="413"/>
        <v>-73.251462272810784</v>
      </c>
    </row>
    <row r="113" spans="7:30">
      <c r="G113" s="19">
        <v>142</v>
      </c>
      <c r="H113" s="19">
        <f t="shared" ca="1" si="557"/>
        <v>0.15262041862368747</v>
      </c>
      <c r="I113" s="19">
        <f t="shared" ca="1" si="557"/>
        <v>0.38210830561704334</v>
      </c>
      <c r="J113" s="19">
        <f t="shared" ca="1" si="395"/>
        <v>-1.430906196576424</v>
      </c>
      <c r="K113" s="19">
        <f t="shared" ca="1" si="396"/>
        <v>1.308476283704834</v>
      </c>
      <c r="L113" s="19">
        <f t="array" aca="1" ref="L113:M113" ca="1">MMULT(J113:K113,TRANSPOSE($B$10:$C$11))</f>
        <v>-1.430906196576424</v>
      </c>
      <c r="M113" s="19">
        <f ca="1"/>
        <v>1.9380204546800952</v>
      </c>
      <c r="N113" s="20">
        <f t="shared" ref="N113" ca="1" si="666">GetVariance(N112,Variance_Avg,Lambda,Eta,M113,"Daily")</f>
        <v>1.5170990982367235E-2</v>
      </c>
      <c r="O113" s="20">
        <f t="shared" ref="O113" ca="1" si="667">GetStockReturns(0,RiskFreeRate,N113,L113,"Daily")</f>
        <v>-1.1146746774265182E-2</v>
      </c>
      <c r="P113" s="19">
        <f t="shared" ca="1" si="540"/>
        <v>115.4063751549706</v>
      </c>
      <c r="Q113" s="19">
        <f ca="1">HCTrans(P113,Strike,RiskFreeRate,Dividend,Variance_T0*AnnualVarConvtr,(Simulation!G113)/250,0.5,Variance_Avg*AnnualVarConvtr,Lambda,SQRT(Simulation!N113),Rho,1,"Call")</f>
        <v>32.340051861905536</v>
      </c>
      <c r="R113" s="19">
        <f t="shared" ref="R113" ca="1" si="668">BSvol(1,P113,Strike,Q113,Dividend,RiskFreeRate,G113/250)</f>
        <v>0.74750780627065183</v>
      </c>
      <c r="S113" s="19">
        <f t="shared" ref="S113" ca="1" si="669">BSdelta(1,P113,Strike,R113/AnnualVarConvtr,Dividend,RiskFreeRate,G113/250)</f>
        <v>0.99997320273596713</v>
      </c>
      <c r="T113" s="19">
        <f t="shared" ca="1" si="418"/>
        <v>-2.2517287981810409E-3</v>
      </c>
      <c r="U113" s="19">
        <f t="shared" ca="1" si="419"/>
        <v>-74.255274684024556</v>
      </c>
      <c r="V113" s="21">
        <f t="shared" ca="1" si="408"/>
        <v>1.4410877573716845E-5</v>
      </c>
      <c r="W113">
        <f t="shared" ca="1" si="409"/>
        <v>3.7961661678220628E-3</v>
      </c>
      <c r="X113" s="22">
        <f t="shared" ref="X113" ca="1" si="670">BSdelta(1,P113,Strike,W113*AnnualVarConvtr,Dividend,RiskFreeRate,G113/250)</f>
        <v>0.99928907219626439</v>
      </c>
      <c r="Y113" s="22">
        <f t="shared" ca="1" si="421"/>
        <v>28.667334948068508</v>
      </c>
      <c r="Z113" s="22">
        <f t="shared" ca="1" si="422"/>
        <v>-71.777352250827335</v>
      </c>
      <c r="AA113">
        <f t="shared" si="402"/>
        <v>0.73884103340948371</v>
      </c>
      <c r="AB113">
        <f t="shared" ref="AB113" ca="1" si="671">BSdelta(1,P113,Strike,AA113/AnnualVarConvtr,Dividend,RiskFreeRate,G113/250)</f>
        <v>0.99997808834472601</v>
      </c>
      <c r="AC113">
        <f t="shared" ca="1" si="412"/>
        <v>-1.8672818350789671E-3</v>
      </c>
      <c r="AD113">
        <f t="shared" ca="1" si="413"/>
        <v>-74.254416621268732</v>
      </c>
    </row>
    <row r="114" spans="7:30">
      <c r="G114" s="19">
        <v>141</v>
      </c>
      <c r="H114" s="19">
        <f t="shared" ca="1" si="557"/>
        <v>0.87021245490930998</v>
      </c>
      <c r="I114" s="19">
        <f t="shared" ca="1" si="557"/>
        <v>0.51792507713769675</v>
      </c>
      <c r="J114" s="19">
        <f t="shared" ca="1" si="395"/>
        <v>-0.52395025109171334</v>
      </c>
      <c r="K114" s="19">
        <f t="shared" ca="1" si="396"/>
        <v>-5.9261510122690667E-2</v>
      </c>
      <c r="L114" s="19">
        <f t="array" aca="1" ref="L114:M114" ca="1">MMULT(J114:K114,TRANSPOSE($B$10:$C$11))</f>
        <v>-0.52395025109171334</v>
      </c>
      <c r="M114" s="19">
        <f ca="1"/>
        <v>0.33407029043248737</v>
      </c>
      <c r="N114" s="20">
        <f t="shared" ref="N114" ca="1" si="672">GetVariance(N113,Variance_Avg,Lambda,Eta,M114,"Daily")</f>
        <v>1.6153645180491415E-2</v>
      </c>
      <c r="O114" s="20">
        <f t="shared" ref="O114" ca="1" si="673">GetStockReturns(0,RiskFreeRate,N114,L114,"Daily")</f>
        <v>-4.2116795313923653E-3</v>
      </c>
      <c r="P114" s="19">
        <f t="shared" ca="1" si="540"/>
        <v>114.92134260473877</v>
      </c>
      <c r="Q114" s="19">
        <f ca="1">HCTrans(P114,Strike,RiskFreeRate,Dividend,Variance_T0*AnnualVarConvtr,(Simulation!G114)/250,0.5,Variance_Avg*AnnualVarConvtr,Lambda,SQRT(Simulation!N114),Rho,1,"Call")</f>
        <v>31.916883098221362</v>
      </c>
      <c r="R114" s="19">
        <f t="shared" ref="R114" ca="1" si="674">BSvol(1,P114,Strike,Q114,Dividend,RiskFreeRate,G114/250)</f>
        <v>0.74740474101585586</v>
      </c>
      <c r="S114" s="19">
        <f t="shared" ref="S114" ca="1" si="675">BSdelta(1,P114,Strike,R114/AnnualVarConvtr,Dividend,RiskFreeRate,G114/250)</f>
        <v>0.99995848110026653</v>
      </c>
      <c r="T114" s="19">
        <f t="shared" ca="1" si="418"/>
        <v>-1.6918301400506439E-3</v>
      </c>
      <c r="U114" s="19">
        <f t="shared" ca="1" si="419"/>
        <v>-74.676751617568684</v>
      </c>
      <c r="V114" s="21">
        <f t="shared" ca="1" si="408"/>
        <v>4.8095157663167575E-5</v>
      </c>
      <c r="W114">
        <f t="shared" ca="1" si="409"/>
        <v>6.935067242872817E-3</v>
      </c>
      <c r="X114" s="22">
        <f t="shared" ref="X114" ca="1" si="676">BSdelta(1,P114,Strike,W114*AnnualVarConvtr,Dividend,RiskFreeRate,G114/250)</f>
        <v>0.95818925061967886</v>
      </c>
      <c r="Y114" s="22">
        <f t="shared" ca="1" si="421"/>
        <v>-4.7232466763964212</v>
      </c>
      <c r="Z114" s="22">
        <f t="shared" ca="1" si="422"/>
        <v>-67.47727433811508</v>
      </c>
      <c r="AA114">
        <f t="shared" si="402"/>
        <v>0.73884103340948371</v>
      </c>
      <c r="AB114">
        <f t="shared" ref="AB114" ca="1" si="677">BSdelta(1,P114,Strike,AA114/AnnualVarConvtr,Dividend,RiskFreeRate,G114/250)</f>
        <v>0.999965638607484</v>
      </c>
      <c r="AC114">
        <f t="shared" ca="1" si="412"/>
        <v>-1.4307405189285982E-3</v>
      </c>
      <c r="AD114">
        <f t="shared" ca="1" si="413"/>
        <v>-74.676154644433979</v>
      </c>
    </row>
    <row r="115" spans="7:30">
      <c r="G115" s="19">
        <v>140</v>
      </c>
      <c r="H115" s="19">
        <f t="shared" ca="1" si="557"/>
        <v>0.84700449121173205</v>
      </c>
      <c r="I115" s="19">
        <f t="shared" ca="1" si="557"/>
        <v>1.5481365508324352E-2</v>
      </c>
      <c r="J115" s="19">
        <f t="shared" ca="1" si="395"/>
        <v>0.57355573321268816</v>
      </c>
      <c r="K115" s="19">
        <f t="shared" ca="1" si="396"/>
        <v>5.5967710340490855E-2</v>
      </c>
      <c r="L115" s="19">
        <f t="array" aca="1" ref="L115:M115" ca="1">MMULT(J115:K115,TRANSPOSE($B$10:$C$11))</f>
        <v>0.57355573321268816</v>
      </c>
      <c r="M115" s="19">
        <f ca="1"/>
        <v>-0.37191033058167694</v>
      </c>
      <c r="N115" s="20">
        <f t="shared" ref="N115" ca="1" si="678">GetVariance(N114,Variance_Avg,Lambda,Eta,M115,"Daily")</f>
        <v>1.4967110958462697E-2</v>
      </c>
      <c r="O115" s="20">
        <f t="shared" ref="O115" ca="1" si="679">GetStockReturns(0,RiskFreeRate,N115,L115,"Daily")</f>
        <v>4.4378703469967837E-3</v>
      </c>
      <c r="P115" s="19">
        <f t="shared" ca="1" si="540"/>
        <v>115.43248196954238</v>
      </c>
      <c r="Q115" s="19">
        <f ca="1">HCTrans(P115,Strike,RiskFreeRate,Dividend,Variance_T0*AnnualVarConvtr,(Simulation!G115)/250,0.5,Variance_Avg*AnnualVarConvtr,Lambda,SQRT(Simulation!N115),Rho,1,"Call")</f>
        <v>32.201573911857921</v>
      </c>
      <c r="R115" s="19">
        <f t="shared" ref="R115" ca="1" si="680">BSvol(1,P115,Strike,Q115,Dividend,RiskFreeRate,G115/250)</f>
        <v>0.74757235334090377</v>
      </c>
      <c r="S115" s="19">
        <f t="shared" ref="S115" ca="1" si="681">BSdelta(1,P115,Strike,R115/AnnualVarConvtr,Dividend,RiskFreeRate,G115/250)</f>
        <v>0.9999768852469364</v>
      </c>
      <c r="T115" s="19">
        <f t="shared" ca="1" si="418"/>
        <v>2.1244363286346212E-3</v>
      </c>
      <c r="U115" s="19">
        <f t="shared" ca="1" si="419"/>
        <v>-74.394185240260754</v>
      </c>
      <c r="V115" s="21">
        <f t="shared" ca="1" si="408"/>
        <v>7.4814713098741737E-5</v>
      </c>
      <c r="W115">
        <f t="shared" ca="1" si="409"/>
        <v>8.649549878389149E-3</v>
      </c>
      <c r="X115" s="22">
        <f t="shared" ref="X115" ca="1" si="682">BSdelta(1,P115,Strike,W115*AnnualVarConvtr,Dividend,RiskFreeRate,G115/250)</f>
        <v>0.92695384010454696</v>
      </c>
      <c r="Y115" s="22">
        <f t="shared" ca="1" si="421"/>
        <v>-3.6055809610992178</v>
      </c>
      <c r="Z115" s="22">
        <f t="shared" ca="1" si="422"/>
        <v>-63.587002563379301</v>
      </c>
      <c r="AA115">
        <f t="shared" si="402"/>
        <v>0.73884103340948371</v>
      </c>
      <c r="AB115">
        <f t="shared" ref="AB115" ca="1" si="683">BSdelta(1,P115,Strike,AA115/AnnualVarConvtr,Dividend,RiskFreeRate,G115/250)</f>
        <v>0.99998119096085603</v>
      </c>
      <c r="AC115">
        <f t="shared" ca="1" si="412"/>
        <v>1.7952467502005845E-3</v>
      </c>
      <c r="AD115">
        <f t="shared" ca="1" si="413"/>
        <v>-74.393259077547626</v>
      </c>
    </row>
    <row r="116" spans="7:30">
      <c r="G116" s="19">
        <v>139</v>
      </c>
      <c r="H116" s="19">
        <f t="shared" ca="1" si="557"/>
        <v>0.42811376352137009</v>
      </c>
      <c r="I116" s="19">
        <f t="shared" ca="1" si="557"/>
        <v>0.56189291511035577</v>
      </c>
      <c r="J116" s="19">
        <f t="shared" ca="1" si="395"/>
        <v>-1.2053260262866532</v>
      </c>
      <c r="K116" s="19">
        <f t="shared" ca="1" si="396"/>
        <v>-0.49388440201647987</v>
      </c>
      <c r="L116" s="19">
        <f t="array" aca="1" ref="L116:M116" ca="1">MMULT(J116:K116,TRANSPOSE($B$10:$C$11))</f>
        <v>-1.2053260262866532</v>
      </c>
      <c r="M116" s="19">
        <f ca="1"/>
        <v>0.51908871437500292</v>
      </c>
      <c r="N116" s="20">
        <f t="shared" ref="N116" ca="1" si="684">GetVariance(N115,Variance_Avg,Lambda,Eta,M116,"Daily")</f>
        <v>1.6522791577411114E-2</v>
      </c>
      <c r="O116" s="20">
        <f t="shared" ref="O116" ca="1" si="685">GetStockReturns(0,RiskFreeRate,N116,L116,"Daily")</f>
        <v>-9.7988755558202894E-3</v>
      </c>
      <c r="P116" s="19">
        <f t="shared" ca="1" si="540"/>
        <v>114.30689718259946</v>
      </c>
      <c r="Q116" s="19">
        <f ca="1">HCTrans(P116,Strike,RiskFreeRate,Dividend,Variance_T0*AnnualVarConvtr,(Simulation!G116)/250,0.5,Variance_Avg*AnnualVarConvtr,Lambda,SQRT(Simulation!N116),Rho,1,"Call")</f>
        <v>31.32510522838669</v>
      </c>
      <c r="R116" s="19">
        <f t="shared" ref="R116" ca="1" si="686">BSvol(1,P116,Strike,Q116,Dividend,RiskFreeRate,G116/250)</f>
        <v>0.74731807205330725</v>
      </c>
      <c r="S116" s="19">
        <f t="shared" ref="S116" ca="1" si="687">BSdelta(1,P116,Strike,R116/AnnualVarConvtr,Dividend,RiskFreeRate,G116/250)</f>
        <v>0.99993100880541141</v>
      </c>
      <c r="T116" s="19">
        <f t="shared" ca="1" si="418"/>
        <v>-5.2439936844998238E-3</v>
      </c>
      <c r="U116" s="19">
        <f t="shared" ca="1" si="419"/>
        <v>-75.265409930047483</v>
      </c>
      <c r="V116" s="21">
        <f t="shared" ca="1" si="408"/>
        <v>2.0268493390137872E-4</v>
      </c>
      <c r="W116">
        <f t="shared" ca="1" si="409"/>
        <v>1.4236745902817073E-2</v>
      </c>
      <c r="X116" s="22">
        <f t="shared" ref="X116" ca="1" si="688">BSdelta(1,P116,Strike,W116*AnnualVarConvtr,Dividend,RiskFreeRate,G116/250)</f>
        <v>0.81072590416581958</v>
      </c>
      <c r="Y116" s="22">
        <f t="shared" ca="1" si="421"/>
        <v>-13.285654723093867</v>
      </c>
      <c r="Z116" s="22">
        <f t="shared" ca="1" si="422"/>
        <v>-51.177816523756661</v>
      </c>
      <c r="AA116">
        <f t="shared" si="402"/>
        <v>0.73884103340948371</v>
      </c>
      <c r="AB116">
        <f t="shared" ref="AB116" ca="1" si="689">BSdelta(1,P116,Strike,AA116/AnnualVarConvtr,Dividend,RiskFreeRate,G116/250)</f>
        <v>0.99994215624111837</v>
      </c>
      <c r="AC116">
        <f t="shared" ca="1" si="412"/>
        <v>-4.4619376956033397E-3</v>
      </c>
      <c r="AD116">
        <f t="shared" ca="1" si="413"/>
        <v>-75.265265823323247</v>
      </c>
    </row>
    <row r="117" spans="7:30">
      <c r="G117" s="19">
        <v>138</v>
      </c>
      <c r="H117" s="19">
        <f t="shared" ca="1" si="557"/>
        <v>0.89742393807964338</v>
      </c>
      <c r="I117" s="19">
        <f t="shared" ca="1" si="557"/>
        <v>0.5545787363803889</v>
      </c>
      <c r="J117" s="19">
        <f t="shared" ca="1" si="395"/>
        <v>-0.4381565998551481</v>
      </c>
      <c r="K117" s="19">
        <f t="shared" ca="1" si="396"/>
        <v>-0.15643725816147691</v>
      </c>
      <c r="L117" s="19">
        <f t="array" aca="1" ref="L117:M117" ca="1">MMULT(J117:K117,TRANSPOSE($B$10:$C$11))</f>
        <v>-0.4381565998551481</v>
      </c>
      <c r="M117" s="19">
        <f ca="1"/>
        <v>0.20481059189861539</v>
      </c>
      <c r="N117" s="20">
        <f t="shared" ref="N117" ca="1" si="690">GetVariance(N116,Variance_Avg,Lambda,Eta,M117,"Daily")</f>
        <v>1.7124392498901332E-2</v>
      </c>
      <c r="O117" s="20">
        <f t="shared" ref="O117" ca="1" si="691">GetStockReturns(0,RiskFreeRate,N117,L117,"Daily")</f>
        <v>-3.626326804852881E-3</v>
      </c>
      <c r="P117" s="19">
        <f t="shared" ca="1" si="540"/>
        <v>113.89313369160998</v>
      </c>
      <c r="Q117" s="19">
        <f ca="1">HCTrans(P117,Strike,RiskFreeRate,Dividend,Variance_T0*AnnualVarConvtr,(Simulation!G117)/250,0.5,Variance_Avg*AnnualVarConvtr,Lambda,SQRT(Simulation!N117),Rho,1,"Call")</f>
        <v>30.954312747182712</v>
      </c>
      <c r="R117" s="19">
        <f t="shared" ref="R117" ca="1" si="692">BSvol(1,P117,Strike,Q117,Dividend,RiskFreeRate,G117/250)</f>
        <v>0.74723589310652472</v>
      </c>
      <c r="S117" s="19">
        <f t="shared" ref="S117" ca="1" si="693">BSdelta(1,P117,Strike,R117/AnnualVarConvtr,Dividend,RiskFreeRate,G117/250)</f>
        <v>0.99990139119880239</v>
      </c>
      <c r="T117" s="19">
        <f t="shared" ca="1" si="418"/>
        <v>-3.3732420291469191E-3</v>
      </c>
      <c r="U117" s="19">
        <f t="shared" ca="1" si="419"/>
        <v>-75.632829169222319</v>
      </c>
      <c r="V117" s="21">
        <f t="shared" ca="1" si="408"/>
        <v>3.8100358083069311E-5</v>
      </c>
      <c r="W117">
        <f t="shared" ca="1" si="409"/>
        <v>6.172548750967408E-3</v>
      </c>
      <c r="X117" s="22">
        <f t="shared" ref="X117" ca="1" si="694">BSdelta(1,P117,Strike,W117*AnnualVarConvtr,Dividend,RiskFreeRate,G117/250)</f>
        <v>0.96639991329389097</v>
      </c>
      <c r="Y117" s="22">
        <f t="shared" ca="1" si="421"/>
        <v>17.730200733932346</v>
      </c>
      <c r="Z117" s="22">
        <f t="shared" ca="1" si="422"/>
        <v>-69.278809738892988</v>
      </c>
      <c r="AA117">
        <f t="shared" si="402"/>
        <v>0.73884103340948371</v>
      </c>
      <c r="AB117">
        <f t="shared" ref="AB117" ca="1" si="695">BSdelta(1,P117,Strike,AA117/AnnualVarConvtr,Dividend,RiskFreeRate,G117/250)</f>
        <v>0.99991654325016932</v>
      </c>
      <c r="AC117">
        <f t="shared" ca="1" si="412"/>
        <v>-2.9171438024025156E-3</v>
      </c>
      <c r="AD117">
        <f t="shared" ca="1" si="413"/>
        <v>-75.633141160724819</v>
      </c>
    </row>
    <row r="118" spans="7:30">
      <c r="G118" s="19">
        <v>137</v>
      </c>
      <c r="H118" s="19">
        <f t="shared" ca="1" si="557"/>
        <v>0.87783818619606135</v>
      </c>
      <c r="I118" s="19">
        <f t="shared" ca="1" si="557"/>
        <v>6.801112754269889E-2</v>
      </c>
      <c r="J118" s="19">
        <f t="shared" ca="1" si="395"/>
        <v>0.46457269184062278</v>
      </c>
      <c r="K118" s="19">
        <f t="shared" ca="1" si="396"/>
        <v>0.21156137413128423</v>
      </c>
      <c r="L118" s="19">
        <f t="array" aca="1" ref="L118:M118" ca="1">MMULT(J118:K118,TRANSPOSE($B$10:$C$11))</f>
        <v>0.46457269184062278</v>
      </c>
      <c r="M118" s="19">
        <f ca="1"/>
        <v>-0.18528385008430728</v>
      </c>
      <c r="N118" s="20">
        <f t="shared" ref="N118" ca="1" si="696">GetVariance(N117,Variance_Avg,Lambda,Eta,M118,"Daily")</f>
        <v>1.6481597927801982E-2</v>
      </c>
      <c r="O118" s="20">
        <f t="shared" ref="O118" ca="1" si="697">GetStockReturns(0,RiskFreeRate,N118,L118,"Daily")</f>
        <v>3.7721011601314783E-3</v>
      </c>
      <c r="P118" s="19">
        <f t="shared" ca="1" si="540"/>
        <v>114.32356141141925</v>
      </c>
      <c r="Q118" s="19">
        <f ca="1">HCTrans(P118,Strike,RiskFreeRate,Dividend,Variance_T0*AnnualVarConvtr,(Simulation!G118)/250,0.5,Variance_Avg*AnnualVarConvtr,Lambda,SQRT(Simulation!N118),Rho,1,"Call")</f>
        <v>31.178122567288042</v>
      </c>
      <c r="R118" s="19">
        <f t="shared" ref="R118" ca="1" si="698">BSvol(1,P118,Strike,Q118,Dividend,RiskFreeRate,G118/250)</f>
        <v>0.74737874757291856</v>
      </c>
      <c r="S118" s="19">
        <f t="shared" ref="S118" ca="1" si="699">BSdelta(1,P118,Strike,R118/AnnualVarConvtr,Dividend,RiskFreeRate,G118/250)</f>
        <v>0.99993925037411802</v>
      </c>
      <c r="T118" s="19">
        <f t="shared" ca="1" si="418"/>
        <v>4.3281957541814655E-3</v>
      </c>
      <c r="U118" s="19">
        <f t="shared" ca="1" si="419"/>
        <v>-75.413347544871172</v>
      </c>
      <c r="V118" s="21">
        <f t="shared" ca="1" si="408"/>
        <v>5.4736736353062603E-5</v>
      </c>
      <c r="W118">
        <f t="shared" ca="1" si="409"/>
        <v>7.3984279649843589E-3</v>
      </c>
      <c r="X118" s="22">
        <f t="shared" ref="X118" ca="1" si="700">BSdelta(1,P118,Strike,W118*AnnualVarConvtr,Dividend,RiskFreeRate,G118/250)</f>
        <v>0.94398325527960303</v>
      </c>
      <c r="Y118" s="22">
        <f t="shared" ca="1" si="421"/>
        <v>-2.5627521791352303</v>
      </c>
      <c r="Z118" s="22">
        <f t="shared" ca="1" si="422"/>
        <v>-66.492247739652427</v>
      </c>
      <c r="AA118">
        <f t="shared" si="402"/>
        <v>0.73884103340948371</v>
      </c>
      <c r="AB118">
        <f t="shared" ref="AB118" ca="1" si="701">BSdelta(1,P118,Strike,AA118/AnnualVarConvtr,Dividend,RiskFreeRate,G118/250)</f>
        <v>0.99994927302398118</v>
      </c>
      <c r="AC118">
        <f t="shared" ca="1" si="412"/>
        <v>3.7417843063617001E-3</v>
      </c>
      <c r="AD118">
        <f t="shared" ca="1" si="413"/>
        <v>-75.413073124925845</v>
      </c>
    </row>
    <row r="119" spans="7:30">
      <c r="G119" s="19">
        <v>136</v>
      </c>
      <c r="H119" s="19">
        <f t="shared" ca="1" si="557"/>
        <v>0.3032754694069375</v>
      </c>
      <c r="I119" s="19">
        <f t="shared" ca="1" si="557"/>
        <v>0.19493813109052294</v>
      </c>
      <c r="J119" s="19">
        <f t="shared" ca="1" si="395"/>
        <v>0.52382760679648832</v>
      </c>
      <c r="K119" s="19">
        <f t="shared" ca="1" si="396"/>
        <v>1.453214413438177</v>
      </c>
      <c r="L119" s="19">
        <f t="array" aca="1" ref="L119:M119" ca="1">MMULT(J119:K119,TRANSPOSE($B$10:$C$11))</f>
        <v>0.52382760679648832</v>
      </c>
      <c r="M119" s="19">
        <f ca="1"/>
        <v>0.63842113548964186</v>
      </c>
      <c r="N119" s="20">
        <f t="shared" ref="N119" ca="1" si="702">GetVariance(N118,Variance_Avg,Lambda,Eta,M119,"Daily")</f>
        <v>1.8502547818565834E-2</v>
      </c>
      <c r="O119" s="20">
        <f t="shared" ref="O119" ca="1" si="703">GetStockReturns(0,RiskFreeRate,N119,L119,"Daily")</f>
        <v>4.5064457391502197E-3</v>
      </c>
      <c r="P119" s="19">
        <f t="shared" ca="1" si="540"/>
        <v>114.83991692783698</v>
      </c>
      <c r="Q119" s="19">
        <f ca="1">HCTrans(P119,Strike,RiskFreeRate,Dividend,Variance_T0*AnnualVarConvtr,(Simulation!G119)/250,0.5,Variance_Avg*AnnualVarConvtr,Lambda,SQRT(Simulation!N119),Rho,1,"Call")</f>
        <v>31.461003380068306</v>
      </c>
      <c r="R119" s="19">
        <f t="shared" ref="R119" ca="1" si="704">BSvol(1,P119,Strike,Q119,Dividend,RiskFreeRate,G119/250)</f>
        <v>0.74746104961230708</v>
      </c>
      <c r="S119" s="19">
        <f t="shared" ref="S119" ca="1" si="705">BSdelta(1,P119,Strike,R119/AnnualVarConvtr,Dividend,RiskFreeRate,G119/250)</f>
        <v>0.99996638489412015</v>
      </c>
      <c r="T119" s="19">
        <f t="shared" ca="1" si="418"/>
        <v>3.1161260229221068E-3</v>
      </c>
      <c r="U119" s="19">
        <f t="shared" ca="1" si="419"/>
        <v>-75.133582858113826</v>
      </c>
      <c r="V119" s="21">
        <f t="shared" ca="1" si="408"/>
        <v>5.3926196073421254E-7</v>
      </c>
      <c r="W119">
        <f t="shared" ca="1" si="409"/>
        <v>7.3434457901874143E-4</v>
      </c>
      <c r="X119" s="22">
        <f t="shared" ref="X119" ca="1" si="706">BSdelta(1,P119,Strike,W119*AnnualVarConvtr,Dividend,RiskFreeRate,G119/250)</f>
        <v>1</v>
      </c>
      <c r="Y119" s="22">
        <f t="shared" ca="1" si="421"/>
        <v>6.4329583102582388</v>
      </c>
      <c r="Z119" s="22">
        <f t="shared" ca="1" si="422"/>
        <v>-72.642325237130407</v>
      </c>
      <c r="AA119">
        <f t="shared" si="402"/>
        <v>0.73884103340948371</v>
      </c>
      <c r="AB119">
        <f t="shared" ref="AB119" ca="1" si="707">BSdelta(1,P119,Strike,AA119/AnnualVarConvtr,Dividend,RiskFreeRate,G119/250)</f>
        <v>0.99997234550118952</v>
      </c>
      <c r="AC119">
        <f t="shared" ca="1" si="412"/>
        <v>2.6496413659253234E-3</v>
      </c>
      <c r="AD119">
        <f t="shared" ca="1" si="413"/>
        <v>-75.132841953511502</v>
      </c>
    </row>
    <row r="120" spans="7:30">
      <c r="G120" s="19">
        <v>135</v>
      </c>
      <c r="H120" s="19">
        <f t="shared" ca="1" si="557"/>
        <v>0.12303165963428064</v>
      </c>
      <c r="I120" s="19">
        <f t="shared" ca="1" si="557"/>
        <v>0.14830985764667615</v>
      </c>
      <c r="J120" s="19">
        <f t="shared" ca="1" si="395"/>
        <v>1.2207756092738054</v>
      </c>
      <c r="K120" s="19">
        <f t="shared" ca="1" si="396"/>
        <v>1.6432693128216456</v>
      </c>
      <c r="L120" s="19">
        <f t="array" aca="1" ref="L120:M120" ca="1">MMULT(J120:K120,TRANSPOSE($B$10:$C$11))</f>
        <v>1.2207756092738054</v>
      </c>
      <c r="M120" s="19">
        <f ca="1"/>
        <v>0.27163773616990194</v>
      </c>
      <c r="N120" s="20">
        <f t="shared" ref="N120" ca="1" si="708">GetVariance(N119,Variance_Avg,Lambda,Eta,M120,"Daily")</f>
        <v>1.9358911567130741E-2</v>
      </c>
      <c r="O120" s="20">
        <f t="shared" ref="O120" ca="1" si="709">GetStockReturns(0,RiskFreeRate,N120,L120,"Daily")</f>
        <v>1.0742523372751485E-2</v>
      </c>
      <c r="P120" s="19">
        <f t="shared" ca="1" si="540"/>
        <v>116.08023757843424</v>
      </c>
      <c r="Q120" s="19">
        <f ca="1">HCTrans(P120,Strike,RiskFreeRate,Dividend,Variance_T0*AnnualVarConvtr,(Simulation!G120)/250,0.5,Variance_Avg*AnnualVarConvtr,Lambda,SQRT(Simulation!N120),Rho,1,"Call")</f>
        <v>32.26195041978491</v>
      </c>
      <c r="R120" s="19">
        <f t="shared" ref="R120" ca="1" si="710">BSvol(1,P120,Strike,Q120,Dividend,RiskFreeRate,G120/250)</f>
        <v>0.74775362257215217</v>
      </c>
      <c r="S120" s="19">
        <f t="shared" ref="S120" ca="1" si="711">BSdelta(1,P120,Strike,R120/AnnualVarConvtr,Dividend,RiskFreeRate,G120/250)</f>
        <v>0.99999176504806275</v>
      </c>
      <c r="T120" s="19">
        <f t="shared" ca="1" si="418"/>
        <v>2.9461342994342634E-3</v>
      </c>
      <c r="U120" s="19">
        <f t="shared" ca="1" si="419"/>
        <v>-74.335581952696657</v>
      </c>
      <c r="V120" s="21">
        <f t="shared" ca="1" si="408"/>
        <v>3.8888664252301951E-5</v>
      </c>
      <c r="W120">
        <f t="shared" ca="1" si="409"/>
        <v>6.2360776336012648E-3</v>
      </c>
      <c r="X120" s="22">
        <f t="shared" ref="X120" ca="1" si="712">BSdelta(1,P120,Strike,W120*AnnualVarConvtr,Dividend,RiskFreeRate,G120/250)</f>
        <v>0.98187749446929284</v>
      </c>
      <c r="Y120" s="22">
        <f t="shared" ca="1" si="421"/>
        <v>-2.1036647475209751</v>
      </c>
      <c r="Z120" s="22">
        <f t="shared" ca="1" si="422"/>
        <v>-69.737713449892823</v>
      </c>
      <c r="AA120">
        <f t="shared" si="402"/>
        <v>0.73884103340948371</v>
      </c>
      <c r="AB120">
        <f t="shared" ref="AB120" ca="1" si="713">BSdelta(1,P120,Strike,AA120/AnnualVarConvtr,Dividend,RiskFreeRate,G120/250)</f>
        <v>0.9999934850549721</v>
      </c>
      <c r="AC120">
        <f t="shared" ca="1" si="412"/>
        <v>2.453884425383824E-3</v>
      </c>
      <c r="AD120">
        <f t="shared" ca="1" si="413"/>
        <v>-74.334348798220276</v>
      </c>
    </row>
    <row r="121" spans="7:30">
      <c r="G121" s="19">
        <v>134</v>
      </c>
      <c r="H121" s="19">
        <f t="shared" ca="1" si="557"/>
        <v>0.46352433493547118</v>
      </c>
      <c r="I121" s="19">
        <f t="shared" ca="1" si="557"/>
        <v>0.49792428893677254</v>
      </c>
      <c r="J121" s="19">
        <f t="shared" ca="1" si="395"/>
        <v>-1.2399722691907389</v>
      </c>
      <c r="K121" s="19">
        <f t="shared" ca="1" si="396"/>
        <v>1.6172731109623421E-2</v>
      </c>
      <c r="L121" s="19">
        <f t="array" aca="1" ref="L121:M121" ca="1">MMULT(J121:K121,TRANSPOSE($B$10:$C$11))</f>
        <v>-1.2399722691907389</v>
      </c>
      <c r="M121" s="19">
        <f ca="1"/>
        <v>0.89972201932890195</v>
      </c>
      <c r="N121" s="20">
        <f t="shared" ref="N121" ca="1" si="714">GetVariance(N120,Variance_Avg,Lambda,Eta,M121,"Daily")</f>
        <v>2.2484863548018676E-2</v>
      </c>
      <c r="O121" s="20">
        <f t="shared" ref="O121" ca="1" si="715">GetStockReturns(0,RiskFreeRate,N121,L121,"Daily")</f>
        <v>-1.1759452346183098E-2</v>
      </c>
      <c r="P121" s="19">
        <f t="shared" ca="1" si="540"/>
        <v>114.72319224941945</v>
      </c>
      <c r="Q121" s="19">
        <f ca="1">HCTrans(P121,Strike,RiskFreeRate,Dividend,Variance_T0*AnnualVarConvtr,(Simulation!G121)/250,0.5,Variance_Avg*AnnualVarConvtr,Lambda,SQRT(Simulation!N121),Rho,1,"Call")</f>
        <v>31.214941340220349</v>
      </c>
      <c r="R121" s="19">
        <f t="shared" ref="R121" ca="1" si="716">BSvol(1,P121,Strike,Q121,Dividend,RiskFreeRate,G121/250)</f>
        <v>0.74739141916131857</v>
      </c>
      <c r="S121" s="19">
        <f t="shared" ref="S121" ca="1" si="717">BSdelta(1,P121,Strike,R121/AnnualVarConvtr,Dividend,RiskFreeRate,G121/250)</f>
        <v>0.99996643618179981</v>
      </c>
      <c r="T121" s="19">
        <f t="shared" ca="1" si="418"/>
        <v>-2.9058083937432604E-3</v>
      </c>
      <c r="U121" s="19">
        <f t="shared" ca="1" si="419"/>
        <v>-75.379685223867469</v>
      </c>
      <c r="V121" s="21">
        <f t="shared" ca="1" si="408"/>
        <v>5.0633891125552151E-4</v>
      </c>
      <c r="W121">
        <f t="shared" ca="1" si="409"/>
        <v>2.2501975718934582E-2</v>
      </c>
      <c r="X121" s="22">
        <f t="shared" ref="X121" ca="1" si="718">BSdelta(1,P121,Strike,W121*AnnualVarConvtr,Dividend,RiskFreeRate,G121/250)</f>
        <v>0.74458463789416085</v>
      </c>
      <c r="Y121" s="22">
        <f t="shared" ca="1" si="421"/>
        <v>-27.222994004282786</v>
      </c>
      <c r="Z121" s="22">
        <f t="shared" ca="1" si="422"/>
        <v>-43.561728525174601</v>
      </c>
      <c r="AA121">
        <f t="shared" si="402"/>
        <v>0.73884103340948371</v>
      </c>
      <c r="AB121">
        <f t="shared" ref="AB121" ca="1" si="719">BSdelta(1,P121,Strike,AA121/AnnualVarConvtr,Dividend,RiskFreeRate,G121/250)</f>
        <v>0.99997234518158029</v>
      </c>
      <c r="AC121">
        <f t="shared" ca="1" si="412"/>
        <v>-2.4252337592566239E-3</v>
      </c>
      <c r="AD121">
        <f t="shared" ca="1" si="413"/>
        <v>-75.378932644025582</v>
      </c>
    </row>
    <row r="122" spans="7:30">
      <c r="G122" s="19">
        <v>133</v>
      </c>
      <c r="H122" s="19">
        <f t="shared" ca="1" si="557"/>
        <v>0.72367262085896034</v>
      </c>
      <c r="I122" s="19">
        <f t="shared" ca="1" si="557"/>
        <v>0.7151953623334526</v>
      </c>
      <c r="J122" s="19">
        <f t="shared" ca="1" si="395"/>
        <v>-0.17448005589145449</v>
      </c>
      <c r="K122" s="19">
        <f t="shared" ca="1" si="396"/>
        <v>-0.78510448354754547</v>
      </c>
      <c r="L122" s="19">
        <f t="array" aca="1" ref="L122:M122" ca="1">MMULT(J122:K122,TRANSPOSE($B$10:$C$11))</f>
        <v>-0.17448005589145449</v>
      </c>
      <c r="M122" s="19">
        <f ca="1"/>
        <v>-0.42266379302733359</v>
      </c>
      <c r="N122" s="20">
        <f t="shared" ref="N122" ca="1" si="720">GetVariance(N121,Variance_Avg,Lambda,Eta,M122,"Daily")</f>
        <v>2.0875816773442395E-2</v>
      </c>
      <c r="O122" s="20">
        <f t="shared" ref="O122" ca="1" si="721">GetStockReturns(0,RiskFreeRate,N122,L122,"Daily")</f>
        <v>-1.5944008805997239E-3</v>
      </c>
      <c r="P122" s="19">
        <f t="shared" ca="1" si="540"/>
        <v>114.54042323293049</v>
      </c>
      <c r="Q122" s="19">
        <f ca="1">HCTrans(P122,Strike,RiskFreeRate,Dividend,Variance_T0*AnnualVarConvtr,(Simulation!G122)/250,0.5,Variance_Avg*AnnualVarConvtr,Lambda,SQRT(Simulation!N122),Rho,1,"Call")</f>
        <v>31.006357671658648</v>
      </c>
      <c r="R122" s="19">
        <f t="shared" ref="R122" ca="1" si="722">BSvol(1,P122,Strike,Q122,Dividend,RiskFreeRate,G122/250)</f>
        <v>0.74742084574211487</v>
      </c>
      <c r="S122" s="19">
        <f t="shared" ref="S122" ca="1" si="723">BSdelta(1,P122,Strike,R122/AnnualVarConvtr,Dividend,RiskFreeRate,G122/250)</f>
        <v>0.99996168020849063</v>
      </c>
      <c r="T122" s="19">
        <f t="shared" ca="1" si="418"/>
        <v>-5.4475119571781826E-4</v>
      </c>
      <c r="U122" s="19">
        <f t="shared" ca="1" si="419"/>
        <v>-75.587724141233451</v>
      </c>
      <c r="V122" s="21">
        <f t="shared" ca="1" si="408"/>
        <v>1.0332827129795869E-4</v>
      </c>
      <c r="W122">
        <f t="shared" ca="1" si="409"/>
        <v>1.0165051465583374E-2</v>
      </c>
      <c r="X122" s="22">
        <f t="shared" ref="X122" ca="1" si="724">BSdelta(1,P122,Strike,W122*AnnualVarConvtr,Dividend,RiskFreeRate,G122/250)</f>
        <v>0.88813481923535309</v>
      </c>
      <c r="Y122" s="22">
        <f t="shared" ca="1" si="421"/>
        <v>16.442298525984082</v>
      </c>
      <c r="Z122" s="22">
        <f t="shared" ca="1" si="422"/>
        <v>-60.212610719720388</v>
      </c>
      <c r="AA122">
        <f t="shared" si="402"/>
        <v>0.73884103340948371</v>
      </c>
      <c r="AB122">
        <f t="shared" ref="AB122" ca="1" si="725">BSdelta(1,P122,Strike,AA122/AnnualVarConvtr,Dividend,RiskFreeRate,G122/250)</f>
        <v>0.9999683552576577</v>
      </c>
      <c r="AC122">
        <f t="shared" ca="1" si="412"/>
        <v>-4.5700757476032343E-4</v>
      </c>
      <c r="AD122">
        <f t="shared" ca="1" si="413"/>
        <v>-75.587059305012517</v>
      </c>
    </row>
    <row r="123" spans="7:30">
      <c r="G123" s="19">
        <v>132</v>
      </c>
      <c r="H123" s="19">
        <f t="shared" ca="1" si="557"/>
        <v>2.8157480577708505E-2</v>
      </c>
      <c r="I123" s="19">
        <f t="shared" ca="1" si="557"/>
        <v>0.30063270350062066</v>
      </c>
      <c r="J123" s="19">
        <f t="shared" ca="1" si="395"/>
        <v>-0.83580680404268093</v>
      </c>
      <c r="K123" s="19">
        <f t="shared" ca="1" si="396"/>
        <v>2.5379738820460438</v>
      </c>
      <c r="L123" s="19">
        <f t="array" aca="1" ref="L123:M123" ca="1">MMULT(J123:K123,TRANSPOSE($B$10:$C$11))</f>
        <v>-0.83580680404268093</v>
      </c>
      <c r="M123" s="19">
        <f ca="1"/>
        <v>2.3693133933623258</v>
      </c>
      <c r="N123" s="20">
        <f t="shared" ref="N123" ca="1" si="726">GetVariance(N122,Variance_Avg,Lambda,Eta,M123,"Daily")</f>
        <v>3.0040316312090743E-2</v>
      </c>
      <c r="O123" s="20">
        <f t="shared" ref="O123" ca="1" si="727">GetStockReturns(0,RiskFreeRate,N123,L123,"Daily")</f>
        <v>-9.1619548783344416E-3</v>
      </c>
      <c r="P123" s="19">
        <f t="shared" ca="1" si="540"/>
        <v>113.49580173826509</v>
      </c>
      <c r="Q123" s="19">
        <f ca="1">HCTrans(P123,Strike,RiskFreeRate,Dividend,Variance_T0*AnnualVarConvtr,(Simulation!G123)/250,0.5,Variance_Avg*AnnualVarConvtr,Lambda,SQRT(Simulation!N123),Rho,1,"Call")</f>
        <v>30.182947913184506</v>
      </c>
      <c r="R123" s="19">
        <f t="shared" ref="R123" ca="1" si="728">BSvol(1,P123,Strike,Q123,Dividend,RiskFreeRate,G123/250)</f>
        <v>0.74692374158132346</v>
      </c>
      <c r="S123" s="19">
        <f t="shared" ref="S123" ca="1" si="729">BSdelta(1,P123,Strike,R123/AnnualVarConvtr,Dividend,RiskFreeRate,G123/250)</f>
        <v>0.9998943891715536</v>
      </c>
      <c r="T123" s="19">
        <f t="shared" ca="1" si="418"/>
        <v>-7.6372501869678682E-3</v>
      </c>
      <c r="U123" s="19">
        <f t="shared" ca="1" si="419"/>
        <v>-76.403496649520619</v>
      </c>
      <c r="V123" s="21">
        <f t="shared" ca="1" si="408"/>
        <v>5.7267873508630702E-5</v>
      </c>
      <c r="W123">
        <f t="shared" ca="1" si="409"/>
        <v>7.5675539977347172E-3</v>
      </c>
      <c r="X123" s="22">
        <f t="shared" ref="X123" ca="1" si="730">BSdelta(1,P123,Strike,W123*AnnualVarConvtr,Dividend,RiskFreeRate,G123/250)</f>
        <v>0.93313092116895668</v>
      </c>
      <c r="Y123" s="22">
        <f t="shared" ca="1" si="421"/>
        <v>5.1068686640510395</v>
      </c>
      <c r="Z123" s="22">
        <f t="shared" ca="1" si="422"/>
        <v>-66.142889142245565</v>
      </c>
      <c r="AA123">
        <f t="shared" si="402"/>
        <v>0.73884103340948371</v>
      </c>
      <c r="AB123">
        <f t="shared" ref="AB123" ca="1" si="731">BSdelta(1,P123,Strike,AA123/AnnualVarConvtr,Dividend,RiskFreeRate,G123/250)</f>
        <v>0.99990993350030266</v>
      </c>
      <c r="AC123">
        <f t="shared" ca="1" si="412"/>
        <v>-6.6306241899689606E-3</v>
      </c>
      <c r="AD123">
        <f t="shared" ca="1" si="413"/>
        <v>-76.403838439296692</v>
      </c>
    </row>
    <row r="124" spans="7:30">
      <c r="G124" s="19">
        <v>131</v>
      </c>
      <c r="H124" s="19">
        <f t="shared" ca="1" si="557"/>
        <v>0.91252397354868808</v>
      </c>
      <c r="I124" s="19">
        <f t="shared" ca="1" si="557"/>
        <v>0.4934188226464209</v>
      </c>
      <c r="J124" s="19">
        <f t="shared" ca="1" si="395"/>
        <v>-0.42751487979743102</v>
      </c>
      <c r="K124" s="19">
        <f t="shared" ca="1" si="396"/>
        <v>1.768814656054098E-2</v>
      </c>
      <c r="L124" s="19">
        <f t="array" aca="1" ref="L124:M124" ca="1">MMULT(J124:K124,TRANSPOSE($B$10:$C$11))</f>
        <v>-0.42751487979743102</v>
      </c>
      <c r="M124" s="19">
        <f ca="1"/>
        <v>0.31865343408516944</v>
      </c>
      <c r="N124" s="20">
        <f t="shared" ref="N124" ca="1" si="732">GetVariance(N123,Variance_Avg,Lambda,Eta,M124,"Daily")</f>
        <v>3.1287923546557662E-2</v>
      </c>
      <c r="O124" s="20">
        <f t="shared" ref="O124" ca="1" si="733">GetStockReturns(0,RiskFreeRate,N124,L124,"Daily")</f>
        <v>-4.7826610319538889E-3</v>
      </c>
      <c r="P124" s="19">
        <f t="shared" ca="1" si="540"/>
        <v>112.95428576588314</v>
      </c>
      <c r="Q124" s="19">
        <f ca="1">HCTrans(P124,Strike,RiskFreeRate,Dividend,Variance_T0*AnnualVarConvtr,(Simulation!G124)/250,0.5,Variance_Avg*AnnualVarConvtr,Lambda,SQRT(Simulation!N124),Rho,1,"Call")</f>
        <v>29.7217988599714</v>
      </c>
      <c r="R124" s="19">
        <f t="shared" ref="R124" ca="1" si="734">BSvol(1,P124,Strike,Q124,Dividend,RiskFreeRate,G124/250)</f>
        <v>0.74676484380235419</v>
      </c>
      <c r="S124" s="19">
        <f t="shared" ref="S124" ca="1" si="735">BSdelta(1,P124,Strike,R124/AnnualVarConvtr,Dividend,RiskFreeRate,G124/250)</f>
        <v>0.9998282557454905</v>
      </c>
      <c r="T124" s="19">
        <f t="shared" ca="1" si="418"/>
        <v>-7.4700539062080157E-3</v>
      </c>
      <c r="U124" s="19">
        <f t="shared" ca="1" si="419"/>
        <v>-76.857175648827521</v>
      </c>
      <c r="V124" s="21">
        <f t="shared" ca="1" si="408"/>
        <v>1.9178214592946577E-5</v>
      </c>
      <c r="W124">
        <f t="shared" ca="1" si="409"/>
        <v>4.3792938463805527E-3</v>
      </c>
      <c r="X124" s="22">
        <f t="shared" ref="X124" ca="1" si="736">BSdelta(1,P124,Strike,W124*AnnualVarConvtr,Dividend,RiskFreeRate,G124/250)</f>
        <v>0.9929621988543329</v>
      </c>
      <c r="Y124" s="22">
        <f t="shared" ca="1" si="421"/>
        <v>6.7581992374118922</v>
      </c>
      <c r="Z124" s="22">
        <f t="shared" ca="1" si="422"/>
        <v>-73.362237432870558</v>
      </c>
      <c r="AA124">
        <f t="shared" si="402"/>
        <v>0.73884103340948371</v>
      </c>
      <c r="AB124">
        <f t="shared" ref="AB124" ca="1" si="737">BSdelta(1,P124,Strike,AA124/AnnualVarConvtr,Dividend,RiskFreeRate,G124/250)</f>
        <v>0.99985161931566413</v>
      </c>
      <c r="AC124">
        <f t="shared" ca="1" si="412"/>
        <v>-6.5868370758650407E-3</v>
      </c>
      <c r="AD124">
        <f t="shared" ca="1" si="413"/>
        <v>-76.85840065543394</v>
      </c>
    </row>
    <row r="125" spans="7:30">
      <c r="G125" s="19">
        <v>130</v>
      </c>
      <c r="H125" s="19">
        <f t="shared" ca="1" si="557"/>
        <v>0.97955685328148068</v>
      </c>
      <c r="I125" s="19">
        <f t="shared" ca="1" si="557"/>
        <v>0.75523130055255483</v>
      </c>
      <c r="J125" s="19">
        <f t="shared" ca="1" si="395"/>
        <v>6.6794228113365413E-3</v>
      </c>
      <c r="K125" s="19">
        <f t="shared" ca="1" si="396"/>
        <v>-0.20313883317102618</v>
      </c>
      <c r="L125" s="19">
        <f t="array" aca="1" ref="L125:M125" ca="1">MMULT(J125:K125,TRANSPOSE($B$10:$C$11))</f>
        <v>6.6794228113365413E-3</v>
      </c>
      <c r="M125" s="19">
        <f ca="1"/>
        <v>-0.14649283421368856</v>
      </c>
      <c r="N125" s="20">
        <f t="shared" ref="N125" ca="1" si="738">GetVariance(N124,Variance_Avg,Lambda,Eta,M125,"Daily")</f>
        <v>3.0527261275541662E-2</v>
      </c>
      <c r="O125" s="20">
        <f t="shared" ref="O125" ca="1" si="739">GetStockReturns(0,RiskFreeRate,N125,L125,"Daily")</f>
        <v>7.3809600206394538E-5</v>
      </c>
      <c r="P125" s="19">
        <f t="shared" ca="1" si="540"/>
        <v>112.96262318424408</v>
      </c>
      <c r="Q125" s="19">
        <f ca="1">HCTrans(P125,Strike,RiskFreeRate,Dividend,Variance_T0*AnnualVarConvtr,(Simulation!G125)/250,0.5,Variance_Avg*AnnualVarConvtr,Lambda,SQRT(Simulation!N125),Rho,1,"Call")</f>
        <v>29.64702274006882</v>
      </c>
      <c r="R125" s="19">
        <f t="shared" ref="R125" ca="1" si="740">BSvol(1,P125,Strike,Q125,Dividend,RiskFreeRate,G125/250)</f>
        <v>0.74682959340343802</v>
      </c>
      <c r="S125" s="19">
        <f t="shared" ref="S125" ca="1" si="741">BSdelta(1,P125,Strike,R125/AnnualVarConvtr,Dividend,RiskFreeRate,G125/250)</f>
        <v>0.99983814711989061</v>
      </c>
      <c r="T125" s="19">
        <f t="shared" ca="1" si="418"/>
        <v>1.1173555991334664E-3</v>
      </c>
      <c r="U125" s="19">
        <f t="shared" ca="1" si="419"/>
        <v>-76.933069124329236</v>
      </c>
      <c r="V125" s="21">
        <f t="shared" ca="1" si="408"/>
        <v>2.35853070010353E-5</v>
      </c>
      <c r="W125">
        <f t="shared" ca="1" si="409"/>
        <v>4.8564706321602832E-3</v>
      </c>
      <c r="X125" s="22">
        <f t="shared" ref="X125" ca="1" si="742">BSdelta(1,P125,Strike,W125*AnnualVarConvtr,Dividend,RiskFreeRate,G125/250)</f>
        <v>0.98709006258929821</v>
      </c>
      <c r="Y125" s="22">
        <f t="shared" ca="1" si="421"/>
        <v>-0.66333191619364795</v>
      </c>
      <c r="Z125" s="22">
        <f t="shared" ca="1" si="422"/>
        <v>-72.773681636579497</v>
      </c>
      <c r="AA125">
        <f t="shared" si="402"/>
        <v>0.73884103340948371</v>
      </c>
      <c r="AB125">
        <f t="shared" ref="AB125" ca="1" si="743">BSdelta(1,P125,Strike,AA125/AnnualVarConvtr,Dividend,RiskFreeRate,G125/250)</f>
        <v>0.9998605024490117</v>
      </c>
      <c r="AC125">
        <f t="shared" ca="1" si="412"/>
        <v>1.0034620450369758E-3</v>
      </c>
      <c r="AD125">
        <f t="shared" ca="1" si="413"/>
        <v>-76.934180237381554</v>
      </c>
    </row>
    <row r="126" spans="7:30">
      <c r="G126" s="19">
        <v>129</v>
      </c>
      <c r="H126" s="19">
        <f t="shared" ca="1" si="557"/>
        <v>0.48403802867208778</v>
      </c>
      <c r="I126" s="19">
        <f t="shared" ca="1" si="557"/>
        <v>0.74381646351641284</v>
      </c>
      <c r="J126" s="19">
        <f t="shared" ca="1" si="395"/>
        <v>-4.679168783084181E-2</v>
      </c>
      <c r="K126" s="19">
        <f t="shared" ca="1" si="396"/>
        <v>-1.2037417270249631</v>
      </c>
      <c r="L126" s="19">
        <f t="array" aca="1" ref="L126:M126" ca="1">MMULT(J126:K126,TRANSPOSE($B$10:$C$11))</f>
        <v>-4.679168783084181E-2</v>
      </c>
      <c r="M126" s="19">
        <f ca="1"/>
        <v>-0.80618844574550896</v>
      </c>
      <c r="N126" s="20">
        <f t="shared" ref="N126" ca="1" si="744">GetVariance(N125,Variance_Avg,Lambda,Eta,M126,"Daily")</f>
        <v>2.7046602245915999E-2</v>
      </c>
      <c r="O126" s="20">
        <f t="shared" ref="O126" ca="1" si="745">GetStockReturns(0,RiskFreeRate,N126,L126,"Daily")</f>
        <v>-4.8669295947433727E-4</v>
      </c>
      <c r="P126" s="19">
        <f t="shared" ca="1" si="540"/>
        <v>112.90765844741674</v>
      </c>
      <c r="Q126" s="19">
        <f ca="1">HCTrans(P126,Strike,RiskFreeRate,Dividend,Variance_T0*AnnualVarConvtr,(Simulation!G126)/250,0.5,Variance_Avg*AnnualVarConvtr,Lambda,SQRT(Simulation!N126),Rho,1,"Call")</f>
        <v>29.530039828171113</v>
      </c>
      <c r="R126" s="19">
        <f t="shared" ref="R126" ca="1" si="746">BSvol(1,P126,Strike,Q126,Dividend,RiskFreeRate,G126/250)</f>
        <v>0.74695695819931751</v>
      </c>
      <c r="S126" s="19">
        <f t="shared" ref="S126" ca="1" si="747">BSdelta(1,P126,Strike,R126/AnnualVarConvtr,Dividend,RiskFreeRate,G126/250)</f>
        <v>0.99983741583279429</v>
      </c>
      <c r="T126" s="19">
        <f t="shared" ca="1" si="418"/>
        <v>-8.2567913698612482E-5</v>
      </c>
      <c r="U126" s="19">
        <f t="shared" ca="1" si="419"/>
        <v>-77.04996946831325</v>
      </c>
      <c r="V126" s="21">
        <f t="shared" ca="1" si="408"/>
        <v>3.1416311940865236E-7</v>
      </c>
      <c r="W126">
        <f t="shared" ca="1" si="409"/>
        <v>5.6050255968073182E-4</v>
      </c>
      <c r="X126" s="22">
        <f t="shared" ref="X126" ca="1" si="748">BSdelta(1,P126,Strike,W126*AnnualVarConvtr,Dividend,RiskFreeRate,G126/250)</f>
        <v>1</v>
      </c>
      <c r="Y126" s="22">
        <f t="shared" ca="1" si="421"/>
        <v>1.4576308037450452</v>
      </c>
      <c r="Z126" s="22">
        <f t="shared" ca="1" si="422"/>
        <v>-74.348295352222252</v>
      </c>
      <c r="AA126">
        <f t="shared" si="402"/>
        <v>0.73884103340948371</v>
      </c>
      <c r="AB126">
        <f t="shared" ref="AB126" ca="1" si="749">BSdelta(1,P126,Strike,AA126/AnnualVarConvtr,Dividend,RiskFreeRate,G126/250)</f>
        <v>0.99986019314450836</v>
      </c>
      <c r="AC126">
        <f t="shared" ca="1" si="412"/>
        <v>-3.4922847219710567E-5</v>
      </c>
      <c r="AD126">
        <f t="shared" ca="1" si="413"/>
        <v>-77.051128226432041</v>
      </c>
    </row>
    <row r="127" spans="7:30">
      <c r="G127" s="19">
        <v>128</v>
      </c>
      <c r="H127" s="19">
        <f t="shared" ca="1" si="557"/>
        <v>0.87493649560657549</v>
      </c>
      <c r="I127" s="19">
        <f t="shared" ca="1" si="557"/>
        <v>0.18600141839773698</v>
      </c>
      <c r="J127" s="19">
        <f t="shared" ca="1" si="395"/>
        <v>0.2023052637820143</v>
      </c>
      <c r="K127" s="19">
        <f t="shared" ca="1" si="396"/>
        <v>0.47568952444003515</v>
      </c>
      <c r="L127" s="19">
        <f t="array" aca="1" ref="L127:M127" ca="1">MMULT(J127:K127,TRANSPOSE($B$10:$C$11))</f>
        <v>0.2023052637820143</v>
      </c>
      <c r="M127" s="19">
        <f ca="1"/>
        <v>0.18688315023378618</v>
      </c>
      <c r="N127" s="20">
        <f t="shared" ref="N127" ca="1" si="750">GetVariance(N126,Variance_Avg,Lambda,Eta,M127,"Daily")</f>
        <v>2.7699443456444379E-2</v>
      </c>
      <c r="O127" s="20">
        <f t="shared" ref="O127" ca="1" si="751">GetStockReturns(0,RiskFreeRate,N127,L127,"Daily")</f>
        <v>2.1294757564166871E-3</v>
      </c>
      <c r="P127" s="19">
        <f t="shared" ca="1" si="540"/>
        <v>113.14834874992208</v>
      </c>
      <c r="Q127" s="19">
        <f ca="1">HCTrans(P127,Strike,RiskFreeRate,Dividend,Variance_T0*AnnualVarConvtr,(Simulation!G127)/250,0.5,Variance_Avg*AnnualVarConvtr,Lambda,SQRT(Simulation!N127),Rho,1,"Call")</f>
        <v>29.615545229442631</v>
      </c>
      <c r="R127" s="19">
        <f t="shared" ref="R127" ca="1" si="752">BSvol(1,P127,Strike,Q127,Dividend,RiskFreeRate,G127/250)</f>
        <v>0.74704264456363101</v>
      </c>
      <c r="S127" s="19">
        <f t="shared" ref="S127" ca="1" si="753">BSdelta(1,P127,Strike,R127/AnnualVarConvtr,Dividend,RiskFreeRate,G127/250)</f>
        <v>0.99987912132454215</v>
      </c>
      <c r="T127" s="19">
        <f t="shared" ca="1" si="418"/>
        <v>4.7189075250747246E-3</v>
      </c>
      <c r="U127" s="19">
        <f t="shared" ca="1" si="419"/>
        <v>-76.969182974566806</v>
      </c>
      <c r="V127" s="21">
        <f t="shared" ca="1" si="408"/>
        <v>6.8443387500068906E-6</v>
      </c>
      <c r="W127">
        <f t="shared" ca="1" si="409"/>
        <v>2.6161687158910243E-3</v>
      </c>
      <c r="X127" s="22">
        <f t="shared" ref="X127" ca="1" si="754">BSdelta(1,P127,Strike,W127*AnnualVarConvtr,Dividend,RiskFreeRate,G127/250)</f>
        <v>0.99998594727945411</v>
      </c>
      <c r="Y127" s="22">
        <f t="shared" ca="1" si="421"/>
        <v>-1.5900421252112577E-3</v>
      </c>
      <c r="Z127" s="22">
        <f t="shared" ca="1" si="422"/>
        <v>-74.261199908825517</v>
      </c>
      <c r="AA127">
        <f t="shared" si="402"/>
        <v>0.73884103340948371</v>
      </c>
      <c r="AB127">
        <f t="shared" ref="AB127" ca="1" si="755">BSdelta(1,P127,Strike,AA127/AnnualVarConvtr,Dividend,RiskFreeRate,G127/250)</f>
        <v>0.99989686560488567</v>
      </c>
      <c r="AC127">
        <f t="shared" ca="1" si="412"/>
        <v>4.1494283362892544E-3</v>
      </c>
      <c r="AD127">
        <f t="shared" ca="1" si="413"/>
        <v>-76.969772253496814</v>
      </c>
    </row>
    <row r="128" spans="7:30">
      <c r="G128" s="19">
        <v>127</v>
      </c>
      <c r="H128" s="19">
        <f t="shared" ca="1" si="557"/>
        <v>0.59524870303979616</v>
      </c>
      <c r="I128" s="19">
        <f t="shared" ca="1" si="557"/>
        <v>0.45964012654431441</v>
      </c>
      <c r="J128" s="19">
        <f t="shared" ca="1" si="395"/>
        <v>-0.9860263453398338</v>
      </c>
      <c r="K128" s="19">
        <f t="shared" ca="1" si="396"/>
        <v>0.25554645610921506</v>
      </c>
      <c r="L128" s="19">
        <f t="array" aca="1" ref="L128:M128" ca="1">MMULT(J128:K128,TRANSPOSE($B$10:$C$11))</f>
        <v>-0.9860263453398338</v>
      </c>
      <c r="M128" s="19">
        <f ca="1"/>
        <v>0.88475378545469374</v>
      </c>
      <c r="N128" s="20">
        <f t="shared" ref="N128" ca="1" si="756">GetVariance(N127,Variance_Avg,Lambda,Eta,M128,"Daily")</f>
        <v>3.1318252750831756E-2</v>
      </c>
      <c r="O128" s="20">
        <f t="shared" ref="O128" ca="1" si="757">GetStockReturns(0,RiskFreeRate,N128,L128,"Daily")</f>
        <v>-1.1036141925616584E-2</v>
      </c>
      <c r="P128" s="19">
        <f t="shared" ca="1" si="540"/>
        <v>111.90649276834375</v>
      </c>
      <c r="Q128" s="19">
        <f ca="1">HCTrans(P128,Strike,RiskFreeRate,Dividend,Variance_T0*AnnualVarConvtr,(Simulation!G128)/250,0.5,Variance_Avg*AnnualVarConvtr,Lambda,SQRT(Simulation!N128),Rho,1,"Call")</f>
        <v>28.666290842469493</v>
      </c>
      <c r="R128" s="19">
        <f t="shared" ref="R128" ca="1" si="758">BSvol(1,P128,Strike,Q128,Dividend,RiskFreeRate,G128/250)</f>
        <v>0.74660369330604126</v>
      </c>
      <c r="S128" s="19">
        <f t="shared" ref="S128" ca="1" si="759">BSdelta(1,P128,Strike,R128/AnnualVarConvtr,Dividend,RiskFreeRate,G128/250)</f>
        <v>0.99960937981177556</v>
      </c>
      <c r="T128" s="19">
        <f t="shared" ca="1" si="418"/>
        <v>-3.0185826647737286E-2</v>
      </c>
      <c r="U128" s="19">
        <f t="shared" ca="1" si="419"/>
        <v>-77.888251534892206</v>
      </c>
      <c r="V128" s="21">
        <f t="shared" ca="1" si="408"/>
        <v>1.7333348894946711E-4</v>
      </c>
      <c r="W128">
        <f t="shared" ca="1" si="409"/>
        <v>1.3165617682033271E-2</v>
      </c>
      <c r="X128" s="22">
        <f t="shared" ref="X128" ca="1" si="760">BSdelta(1,P128,Strike,W128*AnnualVarConvtr,Dividend,RiskFreeRate,G128/250)</f>
        <v>0.79740419911483018</v>
      </c>
      <c r="Y128" s="22">
        <f t="shared" ca="1" si="421"/>
        <v>-22.670212935982924</v>
      </c>
      <c r="Z128" s="22">
        <f t="shared" ca="1" si="422"/>
        <v>-52.540241359815731</v>
      </c>
      <c r="AA128">
        <f t="shared" si="402"/>
        <v>0.73884103340948371</v>
      </c>
      <c r="AB128">
        <f t="shared" ref="AB128" ca="1" si="761">BSdelta(1,P128,Strike,AA128/AnnualVarConvtr,Dividend,RiskFreeRate,G128/250)</f>
        <v>0.99965597933499095</v>
      </c>
      <c r="AC128">
        <f t="shared" ca="1" si="412"/>
        <v>-2.6956737619966045E-2</v>
      </c>
      <c r="AD128">
        <f t="shared" ca="1" si="413"/>
        <v>-77.892069902849983</v>
      </c>
    </row>
    <row r="129" spans="7:30">
      <c r="G129" s="19">
        <v>126</v>
      </c>
      <c r="H129" s="19">
        <f t="shared" ca="1" si="557"/>
        <v>0.65021763837280178</v>
      </c>
      <c r="I129" s="19">
        <f t="shared" ca="1" si="557"/>
        <v>0.79209495886803705</v>
      </c>
      <c r="J129" s="19">
        <f t="shared" ca="1" si="395"/>
        <v>0.24255486517656755</v>
      </c>
      <c r="K129" s="19">
        <f t="shared" ca="1" si="396"/>
        <v>-0.8955799378711744</v>
      </c>
      <c r="L129" s="19">
        <f t="array" aca="1" ref="L129:M129" ca="1">MMULT(J129:K129,TRANSPOSE($B$10:$C$11))</f>
        <v>0.24255486517656755</v>
      </c>
      <c r="M129" s="19">
        <f ca="1"/>
        <v>-0.79853556481832411</v>
      </c>
      <c r="N129" s="20">
        <f t="shared" ref="N129" ca="1" si="762">GetVariance(N128,Variance_Avg,Lambda,Eta,M129,"Daily")</f>
        <v>2.7820302639746747E-2</v>
      </c>
      <c r="O129" s="20">
        <f t="shared" ref="O129" ca="1" si="763">GetStockReturns(0,RiskFreeRate,N129,L129,"Daily")</f>
        <v>2.5587090833261491E-3</v>
      </c>
      <c r="P129" s="19">
        <f t="shared" ca="1" si="540"/>
        <v>112.19319556597948</v>
      </c>
      <c r="Q129" s="19">
        <f ca="1">HCTrans(P129,Strike,RiskFreeRate,Dividend,Variance_T0*AnnualVarConvtr,(Simulation!G129)/250,0.5,Variance_Avg*AnnualVarConvtr,Lambda,SQRT(Simulation!N129),Rho,1,"Call")</f>
        <v>28.785551718922576</v>
      </c>
      <c r="R129" s="19">
        <f t="shared" ref="R129" ca="1" si="764">BSvol(1,P129,Strike,Q129,Dividend,RiskFreeRate,G129/250)</f>
        <v>0.74684062585236555</v>
      </c>
      <c r="S129" s="19">
        <f t="shared" ref="S129" ca="1" si="765">BSdelta(1,P129,Strike,R129/AnnualVarConvtr,Dividend,RiskFreeRate,G129/250)</f>
        <v>0.9997173859002757</v>
      </c>
      <c r="T129" s="19">
        <f t="shared" ca="1" si="418"/>
        <v>1.2117548209413308E-2</v>
      </c>
      <c r="U129" s="19">
        <f t="shared" ca="1" si="419"/>
        <v>-77.78110820664854</v>
      </c>
      <c r="V129" s="21">
        <f t="shared" ca="1" si="408"/>
        <v>1.8481997395535126E-4</v>
      </c>
      <c r="W129">
        <f t="shared" ca="1" si="409"/>
        <v>1.3594851008942734E-2</v>
      </c>
      <c r="X129" s="22">
        <f t="shared" ref="X129" ca="1" si="766">BSdelta(1,P129,Strike,W129*AnnualVarConvtr,Dividend,RiskFreeRate,G129/250)</f>
        <v>0.79679785466953668</v>
      </c>
      <c r="Y129" s="22">
        <f t="shared" ca="1" si="421"/>
        <v>-6.8027720931159566E-2</v>
      </c>
      <c r="Z129" s="22">
        <f t="shared" ca="1" si="422"/>
        <v>-52.352952762431485</v>
      </c>
      <c r="AA129">
        <f t="shared" si="402"/>
        <v>0.73884103340948371</v>
      </c>
      <c r="AB129">
        <f t="shared" ref="AB129" ca="1" si="767">BSdelta(1,P129,Strike,AA129/AnnualVarConvtr,Dividend,RiskFreeRate,G129/250)</f>
        <v>0.99975369409621406</v>
      </c>
      <c r="AC129">
        <f t="shared" ca="1" si="412"/>
        <v>1.0962931315587489E-2</v>
      </c>
      <c r="AD129">
        <f t="shared" ca="1" si="413"/>
        <v>-77.783771957712489</v>
      </c>
    </row>
    <row r="130" spans="7:30">
      <c r="G130" s="19">
        <v>125</v>
      </c>
      <c r="H130" s="19">
        <f t="shared" ca="1" si="557"/>
        <v>0.85809548208189668</v>
      </c>
      <c r="I130" s="19">
        <f t="shared" ca="1" si="557"/>
        <v>0.24205066256366425</v>
      </c>
      <c r="J130" s="19">
        <f t="shared" ca="1" si="395"/>
        <v>2.7621518363408357E-2</v>
      </c>
      <c r="K130" s="19">
        <f t="shared" ca="1" si="396"/>
        <v>0.55255484265319366</v>
      </c>
      <c r="L130" s="19">
        <f t="array" aca="1" ref="L130:M130" ca="1">MMULT(J130:K130,TRANSPOSE($B$10:$C$11))</f>
        <v>2.7621518363408357E-2</v>
      </c>
      <c r="M130" s="19">
        <f ca="1"/>
        <v>0.36566430758322666</v>
      </c>
      <c r="N130" s="20">
        <f t="shared" ref="N130" ca="1" si="768">GetVariance(N129,Variance_Avg,Lambda,Eta,M130,"Daily")</f>
        <v>2.9225780923381302E-2</v>
      </c>
      <c r="O130" s="20">
        <f t="shared" ref="O130" ca="1" si="769">GetStockReturns(0,RiskFreeRate,N130,L130,"Daily")</f>
        <v>2.9864868451549267E-4</v>
      </c>
      <c r="P130" s="19">
        <f t="shared" ca="1" si="540"/>
        <v>112.22670692005869</v>
      </c>
      <c r="Q130" s="19">
        <f ca="1">HCTrans(P130,Strike,RiskFreeRate,Dividend,Variance_T0*AnnualVarConvtr,(Simulation!G130)/250,0.5,Variance_Avg*AnnualVarConvtr,Lambda,SQRT(Simulation!N130),Rho,1,"Call")</f>
        <v>28.724606286351531</v>
      </c>
      <c r="R130" s="19">
        <f t="shared" ref="R130" ca="1" si="770">BSvol(1,P130,Strike,Q130,Dividend,RiskFreeRate,G130/250)</f>
        <v>0.74684432982156657</v>
      </c>
      <c r="S130" s="19">
        <f t="shared" ref="S130" ca="1" si="771">BSdelta(1,P130,Strike,R130/AnnualVarConvtr,Dividend,RiskFreeRate,G130/250)</f>
        <v>0.99974008837021744</v>
      </c>
      <c r="T130" s="19">
        <f t="shared" ca="1" si="418"/>
        <v>2.5478234405128439E-3</v>
      </c>
      <c r="U130" s="19">
        <f t="shared" ca="1" si="419"/>
        <v>-77.844601462660094</v>
      </c>
      <c r="V130" s="21">
        <f t="shared" ca="1" si="408"/>
        <v>5.1078730062721826E-6</v>
      </c>
      <c r="W130">
        <f t="shared" ca="1" si="409"/>
        <v>2.2600603988106563E-3</v>
      </c>
      <c r="X130" s="22">
        <f t="shared" ref="X130" ca="1" si="772">BSdelta(1,P130,Strike,W130*AnnualVarConvtr,Dividend,RiskFreeRate,G130/250)</f>
        <v>0.99999764924649059</v>
      </c>
      <c r="Y130" s="22">
        <f t="shared" ca="1" si="421"/>
        <v>22.804443792203937</v>
      </c>
      <c r="Z130" s="22">
        <f t="shared" ca="1" si="422"/>
        <v>-75.218341987206472</v>
      </c>
      <c r="AA130">
        <f t="shared" si="402"/>
        <v>0.73884103340948371</v>
      </c>
      <c r="AB130">
        <f t="shared" ref="AB130" ca="1" si="773">BSdelta(1,P130,Strike,AA130/AnnualVarConvtr,Dividend,RiskFreeRate,G130/250)</f>
        <v>0.99977388137914758</v>
      </c>
      <c r="AC130">
        <f t="shared" ca="1" si="412"/>
        <v>2.2655522852918675E-3</v>
      </c>
      <c r="AD130">
        <f t="shared" ca="1" si="413"/>
        <v>-77.846982942568829</v>
      </c>
    </row>
    <row r="131" spans="7:30">
      <c r="G131" s="19">
        <v>124</v>
      </c>
      <c r="H131" s="19">
        <f t="shared" ca="1" si="557"/>
        <v>0.95652967046552195</v>
      </c>
      <c r="I131" s="19">
        <f t="shared" ca="1" si="557"/>
        <v>0.48785291217654958</v>
      </c>
      <c r="J131" s="19">
        <f t="shared" ca="1" si="395"/>
        <v>-0.29727120604944834</v>
      </c>
      <c r="K131" s="19">
        <f t="shared" ca="1" si="396"/>
        <v>2.2732610138118448E-2</v>
      </c>
      <c r="L131" s="19">
        <f t="array" aca="1" ref="L131:M131" ca="1">MMULT(J131:K131,TRANSPOSE($B$10:$C$11))</f>
        <v>-0.29727120604944834</v>
      </c>
      <c r="M131" s="19">
        <f ca="1"/>
        <v>0.22885279451917753</v>
      </c>
      <c r="N131" s="20">
        <f t="shared" ref="N131" ca="1" si="774">GetVariance(N130,Variance_Avg,Lambda,Eta,M131,"Daily")</f>
        <v>3.0075396237476664E-2</v>
      </c>
      <c r="O131" s="20">
        <f t="shared" ref="O131" ca="1" si="775">GetStockReturns(0,RiskFreeRate,N131,L131,"Daily")</f>
        <v>-3.2605323962211549E-3</v>
      </c>
      <c r="P131" s="19">
        <f t="shared" ca="1" si="540"/>
        <v>111.86138400367437</v>
      </c>
      <c r="Q131" s="19">
        <f ca="1">HCTrans(P131,Strike,RiskFreeRate,Dividend,Variance_T0*AnnualVarConvtr,(Simulation!G131)/250,0.5,Variance_Avg*AnnualVarConvtr,Lambda,SQRT(Simulation!N131),Rho,1,"Call")</f>
        <v>28.387617876031499</v>
      </c>
      <c r="R131" s="19">
        <f t="shared" ref="R131" ca="1" si="776">BSvol(1,P131,Strike,Q131,Dividend,RiskFreeRate,G131/250)</f>
        <v>0.7467476442562575</v>
      </c>
      <c r="S131" s="19">
        <f t="shared" ref="S131" ca="1" si="777">BSdelta(1,P131,Strike,R131/AnnualVarConvtr,Dividend,RiskFreeRate,G131/250)</f>
        <v>0.99964615076894481</v>
      </c>
      <c r="T131" s="19">
        <f t="shared" ca="1" si="418"/>
        <v>-1.0507990088341846E-2</v>
      </c>
      <c r="U131" s="19">
        <f t="shared" ca="1" si="419"/>
        <v>-78.171081882891784</v>
      </c>
      <c r="V131" s="21">
        <f t="shared" ca="1" si="408"/>
        <v>1.2667769965473691E-5</v>
      </c>
      <c r="W131">
        <f t="shared" ca="1" si="409"/>
        <v>3.5591810807366476E-3</v>
      </c>
      <c r="X131" s="22">
        <f t="shared" ref="X131" ca="1" si="778">BSdelta(1,P131,Strike,W131*AnnualVarConvtr,Dividend,RiskFreeRate,G131/250)</f>
        <v>0.99780022925369671</v>
      </c>
      <c r="Y131" s="22">
        <f t="shared" ca="1" si="421"/>
        <v>-0.24580644163126769</v>
      </c>
      <c r="Z131" s="22">
        <f t="shared" ca="1" si="422"/>
        <v>-75.30952395589523</v>
      </c>
      <c r="AA131">
        <f t="shared" si="402"/>
        <v>0.73884103340948371</v>
      </c>
      <c r="AB131">
        <f t="shared" ref="AB131" ca="1" si="779">BSdelta(1,P131,Strike,AA131/AnnualVarConvtr,Dividend,RiskFreeRate,G131/250)</f>
        <v>0.99968972090556041</v>
      </c>
      <c r="AC131">
        <f t="shared" ca="1" si="412"/>
        <v>-9.4143070538654366E-3</v>
      </c>
      <c r="AD131">
        <f t="shared" ca="1" si="413"/>
        <v>-78.174557045835002</v>
      </c>
    </row>
    <row r="132" spans="7:30">
      <c r="G132" s="19">
        <v>123</v>
      </c>
      <c r="H132" s="19">
        <f t="shared" ca="1" si="557"/>
        <v>0.68863486758141446</v>
      </c>
      <c r="I132" s="19">
        <f t="shared" ca="1" si="557"/>
        <v>0.59719626770399792</v>
      </c>
      <c r="J132" s="19">
        <f t="shared" ca="1" si="395"/>
        <v>-0.70763480258901412</v>
      </c>
      <c r="K132" s="19">
        <f t="shared" ca="1" si="396"/>
        <v>-0.49531926467024534</v>
      </c>
      <c r="L132" s="19">
        <f t="array" aca="1" ref="L132:M132" ca="1">MMULT(J132:K132,TRANSPOSE($B$10:$C$11))</f>
        <v>-0.70763480258901412</v>
      </c>
      <c r="M132" s="19">
        <f ca="1"/>
        <v>0.16149201093053622</v>
      </c>
      <c r="N132" s="20">
        <f t="shared" ref="N132" ca="1" si="780">GetVariance(N131,Variance_Avg,Lambda,Eta,M132,"Daily")</f>
        <v>3.0643956268142945E-2</v>
      </c>
      <c r="O132" s="20">
        <f t="shared" ref="O132" ca="1" si="781">GetStockReturns(0,RiskFreeRate,N132,L132,"Daily")</f>
        <v>-7.8345056240630324E-3</v>
      </c>
      <c r="P132" s="19">
        <f t="shared" ca="1" si="540"/>
        <v>110.98842941053709</v>
      </c>
      <c r="Q132" s="19">
        <f ca="1">HCTrans(P132,Strike,RiskFreeRate,Dividend,Variance_T0*AnnualVarConvtr,(Simulation!G132)/250,0.5,Variance_Avg*AnnualVarConvtr,Lambda,SQRT(Simulation!N132),Rho,1,"Call")</f>
        <v>27.702262513666</v>
      </c>
      <c r="R132" s="19">
        <f t="shared" ref="R132" ca="1" si="782">BSvol(1,P132,Strike,Q132,Dividend,RiskFreeRate,G132/250)</f>
        <v>0.74650235467728632</v>
      </c>
      <c r="S132" s="19">
        <f t="shared" ref="S132" ca="1" si="783">BSdelta(1,P132,Strike,R132/AnnualVarConvtr,Dividend,RiskFreeRate,G132/250)</f>
        <v>0.99922382577770819</v>
      </c>
      <c r="T132" s="19">
        <f t="shared" ca="1" si="418"/>
        <v>-4.6873187478171548E-2</v>
      </c>
      <c r="U132" s="19">
        <f t="shared" ca="1" si="419"/>
        <v>-78.809564057779113</v>
      </c>
      <c r="V132" s="21">
        <f t="shared" ca="1" si="408"/>
        <v>2.0921231089014246E-5</v>
      </c>
      <c r="W132">
        <f t="shared" ca="1" si="409"/>
        <v>4.5739732278418776E-3</v>
      </c>
      <c r="X132" s="22">
        <f t="shared" ref="X132" ca="1" si="784">BSdelta(1,P132,Strike,W132*AnnualVarConvtr,Dividend,RiskFreeRate,G132/250)</f>
        <v>0.98126304438403333</v>
      </c>
      <c r="Y132" s="22">
        <f t="shared" ca="1" si="421"/>
        <v>-1.8354361755556361</v>
      </c>
      <c r="Z132" s="22">
        <f t="shared" ca="1" si="422"/>
        <v>-74.159443142705086</v>
      </c>
      <c r="AA132">
        <f t="shared" si="402"/>
        <v>0.73884103340948371</v>
      </c>
      <c r="AB132">
        <f t="shared" ref="AB132" ca="1" si="785">BSdelta(1,P132,Strike,AA132/AnnualVarConvtr,Dividend,RiskFreeRate,G132/250)</f>
        <v>0.9993061317073002</v>
      </c>
      <c r="AC132">
        <f t="shared" ca="1" si="412"/>
        <v>-4.2573962653747119E-2</v>
      </c>
      <c r="AD132">
        <f t="shared" ca="1" si="413"/>
        <v>-78.817338445546753</v>
      </c>
    </row>
    <row r="133" spans="7:30">
      <c r="G133" s="19">
        <v>122</v>
      </c>
      <c r="H133" s="19">
        <f t="shared" ca="1" si="557"/>
        <v>0.83937826716040509</v>
      </c>
      <c r="I133" s="19">
        <f t="shared" ca="1" si="557"/>
        <v>0.64783848921239695</v>
      </c>
      <c r="J133" s="19">
        <f t="shared" ca="1" si="395"/>
        <v>-0.35430134302446142</v>
      </c>
      <c r="K133" s="19">
        <f t="shared" ca="1" si="396"/>
        <v>-0.47398122010256549</v>
      </c>
      <c r="L133" s="19">
        <f t="array" aca="1" ref="L133:M133" ca="1">MMULT(J133:K133,TRANSPOSE($B$10:$C$11))</f>
        <v>-0.35430134302446142</v>
      </c>
      <c r="M133" s="19">
        <f ca="1"/>
        <v>-7.6786268402678992E-2</v>
      </c>
      <c r="N133" s="20">
        <f t="shared" ref="N133" ca="1" si="786">GetVariance(N132,Variance_Avg,Lambda,Eta,M133,"Daily")</f>
        <v>3.019014809078133E-2</v>
      </c>
      <c r="O133" s="20">
        <f t="shared" ref="O133" ca="1" si="787">GetStockReturns(0,RiskFreeRate,N133,L133,"Daily")</f>
        <v>-3.8934572984627982E-3</v>
      </c>
      <c r="P133" s="19">
        <f t="shared" ca="1" si="540"/>
        <v>110.55714084663263</v>
      </c>
      <c r="Q133" s="19">
        <f ca="1">HCTrans(P133,Strike,RiskFreeRate,Dividend,Variance_T0*AnnualVarConvtr,(Simulation!G133)/250,0.5,Variance_Avg*AnnualVarConvtr,Lambda,SQRT(Simulation!N133),Rho,1,"Call")</f>
        <v>27.323580600857397</v>
      </c>
      <c r="R133" s="19">
        <f t="shared" ref="R133" ca="1" si="788">BSvol(1,P133,Strike,Q133,Dividend,RiskFreeRate,G133/250)</f>
        <v>0.74642526187383862</v>
      </c>
      <c r="S133" s="19">
        <f t="shared" ref="S133" ca="1" si="789">BSdelta(1,P133,Strike,R133/AnnualVarConvtr,Dividend,RiskFreeRate,G133/250)</f>
        <v>0.99889252658047389</v>
      </c>
      <c r="T133" s="19">
        <f t="shared" ca="1" si="418"/>
        <v>-3.6627492011007901E-2</v>
      </c>
      <c r="U133" s="19">
        <f t="shared" ca="1" si="419"/>
        <v>-79.151618478576708</v>
      </c>
      <c r="V133" s="21">
        <f t="shared" ca="1" si="408"/>
        <v>1.5531861904716409E-5</v>
      </c>
      <c r="W133">
        <f t="shared" ca="1" si="409"/>
        <v>3.9410483256002342E-3</v>
      </c>
      <c r="X133" s="22">
        <f t="shared" ref="X133" ca="1" si="790">BSdelta(1,P133,Strike,W133*AnnualVarConvtr,Dividend,RiskFreeRate,G133/250)</f>
        <v>0.99002637796473958</v>
      </c>
      <c r="Y133" s="22">
        <f t="shared" ca="1" si="421"/>
        <v>0.96884910496816579</v>
      </c>
      <c r="Z133" s="22">
        <f t="shared" ca="1" si="422"/>
        <v>-75.50697416048186</v>
      </c>
      <c r="AA133">
        <f t="shared" si="402"/>
        <v>0.73884103340948371</v>
      </c>
      <c r="AB133">
        <f t="shared" ref="AB133" ca="1" si="791">BSdelta(1,P133,Strike,AA133/AnnualVarConvtr,Dividend,RiskFreeRate,G133/250)</f>
        <v>0.99900210709816883</v>
      </c>
      <c r="AC133">
        <f t="shared" ca="1" si="412"/>
        <v>-3.3612091532579338E-2</v>
      </c>
      <c r="AD133">
        <f t="shared" ca="1" si="413"/>
        <v>-79.16240826682278</v>
      </c>
    </row>
    <row r="134" spans="7:30">
      <c r="G134" s="19">
        <v>121</v>
      </c>
      <c r="H134" s="19">
        <f t="shared" ca="1" si="557"/>
        <v>0.48847407612193283</v>
      </c>
      <c r="I134" s="19">
        <f t="shared" ca="1" si="557"/>
        <v>0.71586666690321499</v>
      </c>
      <c r="J134" s="19">
        <f t="shared" ref="J134:J197" ca="1" si="792">SQRT(-2*LN(H134))*COS(2*PI()*I134)</f>
        <v>-0.25476386657129929</v>
      </c>
      <c r="K134" s="19">
        <f t="shared" ref="K134:K197" ca="1" si="793">SQRT(-2*LN(H134))*SIN(2*PI()*I134)</f>
        <v>-1.169629482682413</v>
      </c>
      <c r="L134" s="19">
        <f t="array" aca="1" ref="L134:M134" ca="1">MMULT(J134:K134,TRANSPOSE($B$10:$C$11))</f>
        <v>-0.25476386657129929</v>
      </c>
      <c r="M134" s="19">
        <f ca="1"/>
        <v>-0.63338011836807495</v>
      </c>
      <c r="N134" s="20">
        <f t="shared" ref="N134" ca="1" si="794">GetVariance(N133,Variance_Avg,Lambda,Eta,M134,"Daily")</f>
        <v>2.7429253077043757E-2</v>
      </c>
      <c r="O134" s="20">
        <f t="shared" ref="O134" ca="1" si="795">GetStockReturns(0,RiskFreeRate,N134,L134,"Daily")</f>
        <v>-2.6685467650680124E-3</v>
      </c>
      <c r="P134" s="19">
        <f t="shared" ca="1" si="540"/>
        <v>110.26250724269048</v>
      </c>
      <c r="Q134" s="19">
        <f ca="1">HCTrans(P134,Strike,RiskFreeRate,Dividend,Variance_T0*AnnualVarConvtr,(Simulation!G134)/250,0.5,Variance_Avg*AnnualVarConvtr,Lambda,SQRT(Simulation!N134),Rho,1,"Call")</f>
        <v>27.041301967746733</v>
      </c>
      <c r="R134" s="19">
        <f t="shared" ref="R134" ca="1" si="796">BSvol(1,P134,Strike,Q134,Dividend,RiskFreeRate,G134/250)</f>
        <v>0.74647846305980337</v>
      </c>
      <c r="S134" s="19">
        <f t="shared" ref="S134" ca="1" si="797">BSdelta(1,P134,Strike,R134/AnnualVarConvtr,Dividend,RiskFreeRate,G134/250)</f>
        <v>0.99860878696561495</v>
      </c>
      <c r="T134" s="19">
        <f t="shared" ca="1" si="418"/>
        <v>-3.1285841338422805E-2</v>
      </c>
      <c r="U134" s="19">
        <f t="shared" ca="1" si="419"/>
        <v>-79.402611270348956</v>
      </c>
      <c r="V134" s="21">
        <f t="shared" ca="1" si="408"/>
        <v>1.5004058148214989E-6</v>
      </c>
      <c r="W134">
        <f t="shared" ca="1" si="409"/>
        <v>1.2249105333947859E-3</v>
      </c>
      <c r="X134" s="22">
        <f t="shared" ref="X134" ca="1" si="798">BSdelta(1,P134,Strike,W134*AnnualVarConvtr,Dividend,RiskFreeRate,G134/250)</f>
        <v>0.99999999999980249</v>
      </c>
      <c r="Y134" s="22">
        <f t="shared" ca="1" si="421"/>
        <v>1.0997165718769817</v>
      </c>
      <c r="Z134" s="22">
        <f t="shared" ca="1" si="422"/>
        <v>-76.888969365469507</v>
      </c>
      <c r="AA134">
        <f t="shared" ref="AA134:AA197" si="799">$R$5</f>
        <v>0.73884103340948371</v>
      </c>
      <c r="AB134">
        <f t="shared" ref="AB134" ca="1" si="800">BSdelta(1,P134,Strike,AA134/AnnualVarConvtr,Dividend,RiskFreeRate,G134/250)</f>
        <v>0.99874188920635831</v>
      </c>
      <c r="AC134">
        <f t="shared" ca="1" si="412"/>
        <v>-2.8692277180435256E-2</v>
      </c>
      <c r="AD134">
        <f t="shared" ca="1" si="413"/>
        <v>-79.415994622753004</v>
      </c>
    </row>
    <row r="135" spans="7:30">
      <c r="G135" s="19">
        <v>120</v>
      </c>
      <c r="H135" s="19">
        <f t="shared" ca="1" si="557"/>
        <v>0.65575204224664319</v>
      </c>
      <c r="I135" s="19">
        <f t="shared" ca="1" si="557"/>
        <v>0.20071774262164865</v>
      </c>
      <c r="J135" s="19">
        <f t="shared" ca="1" si="792"/>
        <v>0.27994003152403352</v>
      </c>
      <c r="K135" s="19">
        <f t="shared" ca="1" si="793"/>
        <v>0.87497352559655051</v>
      </c>
      <c r="L135" s="19">
        <f t="array" aca="1" ref="L135:M135" ca="1">MMULT(J135:K135,TRANSPOSE($B$10:$C$11))</f>
        <v>0.27994003152403352</v>
      </c>
      <c r="M135" s="19">
        <f ca="1"/>
        <v>0.40979320413079767</v>
      </c>
      <c r="N135" s="20">
        <f t="shared" ref="N135" ca="1" si="801">GetVariance(N134,Variance_Avg,Lambda,Eta,M135,"Daily")</f>
        <v>2.9010607583977301E-2</v>
      </c>
      <c r="O135" s="20">
        <f t="shared" ref="O135" ca="1" si="802">GetStockReturns(0,RiskFreeRate,N135,L135,"Daily")</f>
        <v>3.0155977812931461E-3</v>
      </c>
      <c r="P135" s="19">
        <f t="shared" ca="1" si="540"/>
        <v>110.59551647347936</v>
      </c>
      <c r="Q135" s="19">
        <f ca="1">HCTrans(P135,Strike,RiskFreeRate,Dividend,Variance_T0*AnnualVarConvtr,(Simulation!G135)/250,0.5,Variance_Avg*AnnualVarConvtr,Lambda,SQRT(Simulation!N135),Rho,1,"Call")</f>
        <v>27.182251116912425</v>
      </c>
      <c r="R135" s="19">
        <f t="shared" ref="R135" ca="1" si="803">BSvol(1,P135,Strike,Q135,Dividend,RiskFreeRate,G135/250)</f>
        <v>0.74655629415037938</v>
      </c>
      <c r="S135" s="19">
        <f t="shared" ref="S135" ca="1" si="804">BSdelta(1,P135,Strike,R135/AnnualVarConvtr,Dividend,RiskFreeRate,G135/250)</f>
        <v>0.99901587055682683</v>
      </c>
      <c r="T135" s="19">
        <f t="shared" ca="1" si="418"/>
        <v>4.5021620017957446E-2</v>
      </c>
      <c r="U135" s="19">
        <f t="shared" ca="1" si="419"/>
        <v>-79.306683741201226</v>
      </c>
      <c r="V135" s="21">
        <f t="shared" ref="V135:V198" ca="1" si="805">(O135-O134)^2</f>
        <v>3.2309499223927298E-5</v>
      </c>
      <c r="W135">
        <f t="shared" ref="W135:W198" ca="1" si="806">SQRT(V135)</f>
        <v>5.6841445463611581E-3</v>
      </c>
      <c r="X135" s="22">
        <f t="shared" ref="X135" ca="1" si="807">BSdelta(1,P135,Strike,W135*AnnualVarConvtr,Dividend,RiskFreeRate,G135/250)</f>
        <v>0.9503770945881197</v>
      </c>
      <c r="Y135" s="22">
        <f t="shared" ca="1" si="421"/>
        <v>-5.4880708529196731</v>
      </c>
      <c r="Z135" s="22">
        <f t="shared" ca="1" si="422"/>
        <v>-71.259949363384138</v>
      </c>
      <c r="AA135">
        <f t="shared" si="799"/>
        <v>0.73884103340948371</v>
      </c>
      <c r="AB135">
        <f t="shared" ref="AB135" ca="1" si="808">BSdelta(1,P135,Strike,AA135/AnnualVarConvtr,Dividend,RiskFreeRate,G135/250)</f>
        <v>0.99911687889965672</v>
      </c>
      <c r="AC135">
        <f t="shared" ref="AC135:AC198" ca="1" si="809">(AB135-AB134)*P135</f>
        <v>4.1472178802569377E-2</v>
      </c>
      <c r="AD135">
        <f t="shared" ref="AD135:AD198" ca="1" si="810">(Q135-Q134)+AD134-AC135</f>
        <v>-79.316517652389877</v>
      </c>
    </row>
    <row r="136" spans="7:30">
      <c r="G136" s="19">
        <v>119</v>
      </c>
      <c r="H136" s="19">
        <f t="shared" ca="1" si="557"/>
        <v>0.21316279157142759</v>
      </c>
      <c r="I136" s="19">
        <f t="shared" ca="1" si="557"/>
        <v>0.8446440762464924</v>
      </c>
      <c r="J136" s="19">
        <f t="shared" ca="1" si="792"/>
        <v>0.98502138088371416</v>
      </c>
      <c r="K136" s="19">
        <f t="shared" ca="1" si="793"/>
        <v>-1.4564103577691323</v>
      </c>
      <c r="L136" s="19">
        <f t="array" aca="1" ref="L136:M136" ca="1">MMULT(J136:K136,TRANSPOSE($B$10:$C$11))</f>
        <v>0.98502138088371416</v>
      </c>
      <c r="M136" s="19">
        <f ca="1"/>
        <v>-1.7217408846724132</v>
      </c>
      <c r="N136" s="20">
        <f t="shared" ref="N136" ca="1" si="811">GetVariance(N135,Variance_Avg,Lambda,Eta,M136,"Daily")</f>
        <v>2.2149035514921259E-2</v>
      </c>
      <c r="O136" s="20">
        <f t="shared" ref="O136" ca="1" si="812">GetStockReturns(0,RiskFreeRate,N136,L136,"Daily")</f>
        <v>9.2715653300867399E-3</v>
      </c>
      <c r="P136" s="19">
        <f t="shared" ca="1" si="540"/>
        <v>111.62567825626594</v>
      </c>
      <c r="Q136" s="19">
        <f ca="1">HCTrans(P136,Strike,RiskFreeRate,Dividend,Variance_T0*AnnualVarConvtr,(Simulation!G136)/250,0.5,Variance_Avg*AnnualVarConvtr,Lambda,SQRT(Simulation!N136),Rho,1,"Call")</f>
        <v>27.809987731249208</v>
      </c>
      <c r="R136" s="19">
        <f t="shared" ref="R136" ca="1" si="813">BSvol(1,P136,Strike,Q136,Dividend,RiskFreeRate,G136/250)</f>
        <v>0.74711233782363418</v>
      </c>
      <c r="S136" s="19">
        <f t="shared" ref="S136" ca="1" si="814">BSdelta(1,P136,Strike,R136/AnnualVarConvtr,Dividend,RiskFreeRate,G136/250)</f>
        <v>0.99965045321888391</v>
      </c>
      <c r="T136" s="19">
        <f t="shared" ref="T136:T199" ca="1" si="815">(S136-S135)*P136</f>
        <v>7.0835720061787288E-2</v>
      </c>
      <c r="U136" s="19">
        <f t="shared" ref="U136:U199" ca="1" si="816">(Q136-Q135)+U135-T136</f>
        <v>-78.749782846926237</v>
      </c>
      <c r="V136" s="21">
        <f t="shared" ca="1" si="805"/>
        <v>3.9137129971558521E-5</v>
      </c>
      <c r="W136">
        <f t="shared" ca="1" si="806"/>
        <v>6.2559675487935933E-3</v>
      </c>
      <c r="X136" s="22">
        <f t="shared" ref="X136" ca="1" si="817">BSdelta(1,P136,Strike,W136*AnnualVarConvtr,Dividend,RiskFreeRate,G136/250)</f>
        <v>0.9500865277480196</v>
      </c>
      <c r="Y136" s="22">
        <f t="shared" ref="Y136:Y199" ca="1" si="818">(X136-X135)*P136</f>
        <v>-3.2434720604952824E-2</v>
      </c>
      <c r="Z136" s="22">
        <f t="shared" ref="Z136:Z199" ca="1" si="819">(Q136-Q135)+Z135-Y136</f>
        <v>-70.599778028442401</v>
      </c>
      <c r="AA136">
        <f t="shared" si="799"/>
        <v>0.73884103340948371</v>
      </c>
      <c r="AB136">
        <f t="shared" ref="AB136" ca="1" si="820">BSdelta(1,P136,Strike,AA136/AnnualVarConvtr,Dividend,RiskFreeRate,G136/250)</f>
        <v>0.99969544114503384</v>
      </c>
      <c r="AC136">
        <f t="shared" ca="1" si="809"/>
        <v>6.4582403053688314E-2</v>
      </c>
      <c r="AD136">
        <f t="shared" ca="1" si="810"/>
        <v>-78.753363441106785</v>
      </c>
    </row>
    <row r="137" spans="7:30">
      <c r="G137" s="19">
        <v>118</v>
      </c>
      <c r="H137" s="19">
        <f t="shared" ca="1" si="557"/>
        <v>0.53170709526293902</v>
      </c>
      <c r="I137" s="19">
        <f t="shared" ca="1" si="557"/>
        <v>0.26758423876540949</v>
      </c>
      <c r="J137" s="19">
        <f t="shared" ca="1" si="792"/>
        <v>-0.1239301749704074</v>
      </c>
      <c r="K137" s="19">
        <f t="shared" ca="1" si="793"/>
        <v>1.1171241380807111</v>
      </c>
      <c r="L137" s="19">
        <f t="array" aca="1" ref="L137:M137" ca="1">MMULT(J137:K137,TRANSPOSE($B$10:$C$11))</f>
        <v>-0.1239301749704074</v>
      </c>
      <c r="M137" s="19">
        <f ca="1"/>
        <v>0.86808734851236047</v>
      </c>
      <c r="N137" s="20">
        <f t="shared" ref="N137" ca="1" si="821">GetVariance(N136,Variance_Avg,Lambda,Eta,M137,"Daily")</f>
        <v>2.5350105929065281E-2</v>
      </c>
      <c r="O137" s="20">
        <f t="shared" ref="O137" ca="1" si="822">GetStockReturns(0,RiskFreeRate,N137,L137,"Daily")</f>
        <v>-1.2479493171283129E-3</v>
      </c>
      <c r="P137" s="19">
        <f t="shared" ca="1" si="540"/>
        <v>111.48646195282515</v>
      </c>
      <c r="Q137" s="19">
        <f ca="1">HCTrans(P137,Strike,RiskFreeRate,Dividend,Variance_T0*AnnualVarConvtr,(Simulation!G137)/250,0.5,Variance_Avg*AnnualVarConvtr,Lambda,SQRT(Simulation!N137),Rho,1,"Call")</f>
        <v>27.625929712295289</v>
      </c>
      <c r="R137" s="19">
        <f t="shared" ref="R137" ca="1" si="823">BSvol(1,P137,Strike,Q137,Dividend,RiskFreeRate,G137/250)</f>
        <v>0.74701048063279762</v>
      </c>
      <c r="S137" s="19">
        <f t="shared" ref="S137" ca="1" si="824">BSdelta(1,P137,Strike,R137/AnnualVarConvtr,Dividend,RiskFreeRate,G137/250)</f>
        <v>0.99961886379781328</v>
      </c>
      <c r="T137" s="19">
        <f t="shared" ca="1" si="815"/>
        <v>-3.5217927903016004E-3</v>
      </c>
      <c r="U137" s="19">
        <f t="shared" ca="1" si="816"/>
        <v>-78.930319073089862</v>
      </c>
      <c r="V137" s="21">
        <f t="shared" ca="1" si="805"/>
        <v>1.1066018841297205E-4</v>
      </c>
      <c r="W137">
        <f t="shared" ca="1" si="806"/>
        <v>1.0519514647215053E-2</v>
      </c>
      <c r="X137" s="22">
        <f t="shared" ref="X137" ca="1" si="825">BSdelta(1,P137,Strike,W137*AnnualVarConvtr,Dividend,RiskFreeRate,G137/250)</f>
        <v>0.84343358334624119</v>
      </c>
      <c r="Y137" s="22">
        <f t="shared" ca="1" si="818"/>
        <v>-11.890359428205645</v>
      </c>
      <c r="Z137" s="22">
        <f t="shared" ca="1" si="819"/>
        <v>-58.893476619190679</v>
      </c>
      <c r="AA137">
        <f t="shared" si="799"/>
        <v>0.73884103340948371</v>
      </c>
      <c r="AB137">
        <f t="shared" ref="AB137" ca="1" si="826">BSdelta(1,P137,Strike,AA137/AnnualVarConvtr,Dividend,RiskFreeRate,G137/250)</f>
        <v>0.99966675550460948</v>
      </c>
      <c r="AC137">
        <f t="shared" ca="1" si="809"/>
        <v>-3.1980605597620487E-3</v>
      </c>
      <c r="AD137">
        <f t="shared" ca="1" si="810"/>
        <v>-78.934223399500937</v>
      </c>
    </row>
    <row r="138" spans="7:30">
      <c r="G138" s="19">
        <v>117</v>
      </c>
      <c r="H138" s="19">
        <f t="shared" ca="1" si="557"/>
        <v>0.22166097926840056</v>
      </c>
      <c r="I138" s="19">
        <f t="shared" ca="1" si="557"/>
        <v>0.76582382757099587</v>
      </c>
      <c r="J138" s="19">
        <f t="shared" ca="1" si="792"/>
        <v>0.17230208579549489</v>
      </c>
      <c r="K138" s="19">
        <f t="shared" ca="1" si="793"/>
        <v>-1.7272881522054151</v>
      </c>
      <c r="L138" s="19">
        <f t="array" aca="1" ref="L138:M138" ca="1">MMULT(J138:K138,TRANSPOSE($B$10:$C$11))</f>
        <v>0.17230208579549489</v>
      </c>
      <c r="M138" s="19">
        <f ca="1"/>
        <v>-1.328388362470289</v>
      </c>
      <c r="N138" s="20">
        <f t="shared" ref="N138" ca="1" si="827">GetVariance(N137,Variance_Avg,Lambda,Eta,M138,"Daily")</f>
        <v>2.0332214445804329E-2</v>
      </c>
      <c r="O138" s="20">
        <f t="shared" ref="O138" ca="1" si="828">GetStockReturns(0,RiskFreeRate,N138,L138,"Daily")</f>
        <v>1.5538635213813959E-3</v>
      </c>
      <c r="P138" s="19">
        <f t="shared" ca="1" si="540"/>
        <v>111.65983136049741</v>
      </c>
      <c r="Q138" s="19">
        <f ca="1">HCTrans(P138,Strike,RiskFreeRate,Dividend,Variance_T0*AnnualVarConvtr,(Simulation!G138)/250,0.5,Variance_Avg*AnnualVarConvtr,Lambda,SQRT(Simulation!N138),Rho,1,"Call")</f>
        <v>27.663437799940425</v>
      </c>
      <c r="R138" s="19">
        <f t="shared" ref="R138" ca="1" si="829">BSvol(1,P138,Strike,Q138,Dividend,RiskFreeRate,G138/250)</f>
        <v>0.74724307327117401</v>
      </c>
      <c r="S138" s="19">
        <f t="shared" ref="S138" ca="1" si="830">BSdelta(1,P138,Strike,R138/AnnualVarConvtr,Dividend,RiskFreeRate,G138/250)</f>
        <v>0.99969528077373637</v>
      </c>
      <c r="T138" s="19">
        <f t="shared" ca="1" si="815"/>
        <v>8.5327066446512154E-3</v>
      </c>
      <c r="U138" s="19">
        <f t="shared" ca="1" si="816"/>
        <v>-78.901343692089384</v>
      </c>
      <c r="V138" s="21">
        <f t="shared" ca="1" si="805"/>
        <v>7.8501551820378311E-6</v>
      </c>
      <c r="W138">
        <f t="shared" ca="1" si="806"/>
        <v>2.8018128385097086E-3</v>
      </c>
      <c r="X138" s="22">
        <f t="shared" ref="X138" ca="1" si="831">BSdelta(1,P138,Strike,W138*AnnualVarConvtr,Dividend,RiskFreeRate,G138/250)</f>
        <v>0.99987102431185193</v>
      </c>
      <c r="Y138" s="22">
        <f t="shared" ca="1" si="818"/>
        <v>17.467778276687863</v>
      </c>
      <c r="Z138" s="22">
        <f t="shared" ca="1" si="819"/>
        <v>-76.323746808233409</v>
      </c>
      <c r="AA138">
        <f t="shared" si="799"/>
        <v>0.73884103340948371</v>
      </c>
      <c r="AB138">
        <f t="shared" ref="AB138" ca="1" si="832">BSdelta(1,P138,Strike,AA138/AnnualVarConvtr,Dividend,RiskFreeRate,G138/250)</f>
        <v>0.99973585755518635</v>
      </c>
      <c r="AC138">
        <f t="shared" ca="1" si="809"/>
        <v>7.7159233140771501E-3</v>
      </c>
      <c r="AD138">
        <f t="shared" ca="1" si="810"/>
        <v>-78.904431235169881</v>
      </c>
    </row>
    <row r="139" spans="7:30">
      <c r="G139" s="19">
        <v>116</v>
      </c>
      <c r="H139" s="19">
        <f t="shared" ca="1" si="557"/>
        <v>0.85601536173828063</v>
      </c>
      <c r="I139" s="19">
        <f t="shared" ca="1" si="557"/>
        <v>0.69506732867838461</v>
      </c>
      <c r="J139" s="19">
        <f t="shared" ca="1" si="792"/>
        <v>-0.18866320746479701</v>
      </c>
      <c r="K139" s="19">
        <f t="shared" ca="1" si="793"/>
        <v>-0.52472860436616919</v>
      </c>
      <c r="L139" s="19">
        <f t="array" aca="1" ref="L139:M139" ca="1">MMULT(J139:K139,TRANSPOSE($B$10:$C$11))</f>
        <v>-0.18866320746479701</v>
      </c>
      <c r="M139" s="19">
        <f ca="1"/>
        <v>-0.23086671271258632</v>
      </c>
      <c r="N139" s="20">
        <f t="shared" ref="N139" ca="1" si="833">GetVariance(N138,Variance_Avg,Lambda,Eta,M139,"Daily")</f>
        <v>1.9462595161479149E-2</v>
      </c>
      <c r="O139" s="20">
        <f t="shared" ref="O139" ca="1" si="834">GetStockReturns(0,RiskFreeRate,N139,L139,"Daily")</f>
        <v>-1.6646294885438655E-3</v>
      </c>
      <c r="P139" s="19">
        <f t="shared" ca="1" si="540"/>
        <v>111.4741137309354</v>
      </c>
      <c r="Q139" s="19">
        <f ca="1">HCTrans(P139,Strike,RiskFreeRate,Dividend,Variance_T0*AnnualVarConvtr,(Simulation!G139)/250,0.5,Variance_Avg*AnnualVarConvtr,Lambda,SQRT(Simulation!N139),Rho,1,"Call")</f>
        <v>27.450090914343718</v>
      </c>
      <c r="R139" s="19">
        <f t="shared" ref="R139" ca="1" si="835">BSvol(1,P139,Strike,Q139,Dividend,RiskFreeRate,G139/250)</f>
        <v>0.74725547580234919</v>
      </c>
      <c r="S139" s="19">
        <f t="shared" ref="S139" ca="1" si="836">BSdelta(1,P139,Strike,R139/AnnualVarConvtr,Dividend,RiskFreeRate,G139/250)</f>
        <v>0.99965081295390101</v>
      </c>
      <c r="T139" s="19">
        <f t="shared" ca="1" si="815"/>
        <v>-4.9570108056935262E-3</v>
      </c>
      <c r="U139" s="19">
        <f t="shared" ca="1" si="816"/>
        <v>-79.109733566880394</v>
      </c>
      <c r="V139" s="21">
        <f t="shared" ca="1" si="805"/>
        <v>1.0358697254937769E-5</v>
      </c>
      <c r="W139">
        <f t="shared" ca="1" si="806"/>
        <v>3.2184930099252614E-3</v>
      </c>
      <c r="X139" s="22">
        <f t="shared" ref="X139" ca="1" si="837">BSdelta(1,P139,Strike,W139*AnnualVarConvtr,Dividend,RiskFreeRate,G139/250)</f>
        <v>0.99918611831817739</v>
      </c>
      <c r="Y139" s="22">
        <f t="shared" ca="1" si="818"/>
        <v>-7.6349288633875551E-2</v>
      </c>
      <c r="Z139" s="22">
        <f t="shared" ca="1" si="819"/>
        <v>-76.460744405196237</v>
      </c>
      <c r="AA139">
        <f t="shared" si="799"/>
        <v>0.73884103340948371</v>
      </c>
      <c r="AB139">
        <f t="shared" ref="AB139" ca="1" si="838">BSdelta(1,P139,Strike,AA139/AnnualVarConvtr,Dividend,RiskFreeRate,G139/250)</f>
        <v>0.99969649452922049</v>
      </c>
      <c r="AC139">
        <f t="shared" ca="1" si="809"/>
        <v>-4.38795843331149E-3</v>
      </c>
      <c r="AD139">
        <f t="shared" ca="1" si="810"/>
        <v>-79.113390162333275</v>
      </c>
    </row>
    <row r="140" spans="7:30">
      <c r="G140" s="19">
        <v>115</v>
      </c>
      <c r="H140" s="19">
        <f t="shared" ca="1" si="557"/>
        <v>0.11142888743700885</v>
      </c>
      <c r="I140" s="19">
        <f t="shared" ca="1" si="557"/>
        <v>0.78174916572696329</v>
      </c>
      <c r="J140" s="19">
        <f t="shared" ca="1" si="792"/>
        <v>0.41514300058083531</v>
      </c>
      <c r="K140" s="19">
        <f t="shared" ca="1" si="793"/>
        <v>-2.0533858950129407</v>
      </c>
      <c r="L140" s="19">
        <f t="array" aca="1" ref="L140:M140" ca="1">MMULT(J140:K140,TRANSPOSE($B$10:$C$11))</f>
        <v>0.41514300058083531</v>
      </c>
      <c r="M140" s="19">
        <f ca="1"/>
        <v>-1.7298654538106444</v>
      </c>
      <c r="N140" s="20">
        <f t="shared" ref="N140" ca="1" si="839">GetVariance(N139,Variance_Avg,Lambda,Eta,M140,"Daily")</f>
        <v>1.3929064792230116E-2</v>
      </c>
      <c r="O140" s="20">
        <f t="shared" ref="O140" ca="1" si="840">GetStockReturns(0,RiskFreeRate,N140,L140,"Daily")</f>
        <v>3.0987653774333353E-3</v>
      </c>
      <c r="P140" s="19">
        <f t="shared" ca="1" si="540"/>
        <v>111.82008161485317</v>
      </c>
      <c r="Q140" s="19">
        <f ca="1">HCTrans(P140,Strike,RiskFreeRate,Dividend,Variance_T0*AnnualVarConvtr,(Simulation!G140)/250,0.5,Variance_Avg*AnnualVarConvtr,Lambda,SQRT(Simulation!N140),Rho,1,"Call")</f>
        <v>27.605563635421319</v>
      </c>
      <c r="R140" s="19">
        <f t="shared" ref="R140" ca="1" si="841">BSvol(1,P140,Strike,Q140,Dividend,RiskFreeRate,G140/250)</f>
        <v>0.74753208041221331</v>
      </c>
      <c r="S140" s="19">
        <f t="shared" ref="S140" ca="1" si="842">BSdelta(1,P140,Strike,R140/AnnualVarConvtr,Dividend,RiskFreeRate,G140/250)</f>
        <v>0.99976752438631933</v>
      </c>
      <c r="T140" s="19">
        <f t="shared" ca="1" si="815"/>
        <v>1.3050681898402396E-2</v>
      </c>
      <c r="U140" s="19">
        <f t="shared" ca="1" si="816"/>
        <v>-78.967311527701199</v>
      </c>
      <c r="V140" s="21">
        <f t="shared" ca="1" si="805"/>
        <v>2.268993064921795E-5</v>
      </c>
      <c r="W140">
        <f t="shared" ca="1" si="806"/>
        <v>4.7633948659772003E-3</v>
      </c>
      <c r="X140" s="22">
        <f t="shared" ref="X140" ca="1" si="843">BSdelta(1,P140,Strike,W140*AnnualVarConvtr,Dividend,RiskFreeRate,G140/250)</f>
        <v>0.98653889458974375</v>
      </c>
      <c r="Y140" s="22">
        <f t="shared" ca="1" si="818"/>
        <v>-1.4142135895147563</v>
      </c>
      <c r="Z140" s="22">
        <f t="shared" ca="1" si="819"/>
        <v>-74.891058094603878</v>
      </c>
      <c r="AA140">
        <f t="shared" si="799"/>
        <v>0.73884103340948371</v>
      </c>
      <c r="AB140">
        <f t="shared" ref="AB140" ca="1" si="844">BSdelta(1,P140,Strike,AA140/AnnualVarConvtr,Dividend,RiskFreeRate,G140/250)</f>
        <v>0.99980067339226841</v>
      </c>
      <c r="AC140">
        <f t="shared" ca="1" si="809"/>
        <v>1.1649288968561163E-2</v>
      </c>
      <c r="AD140">
        <f t="shared" ca="1" si="810"/>
        <v>-78.96956673022423</v>
      </c>
    </row>
    <row r="141" spans="7:30">
      <c r="G141" s="19">
        <v>114</v>
      </c>
      <c r="H141" s="19">
        <f t="shared" ca="1" si="557"/>
        <v>0.49538042448212022</v>
      </c>
      <c r="I141" s="19">
        <f t="shared" ca="1" si="557"/>
        <v>0.10640905580188176</v>
      </c>
      <c r="J141" s="19">
        <f t="shared" ca="1" si="792"/>
        <v>0.93007667296411534</v>
      </c>
      <c r="K141" s="19">
        <f t="shared" ca="1" si="793"/>
        <v>0.73472167312718051</v>
      </c>
      <c r="L141" s="19">
        <f t="array" aca="1" ref="L141:M141" ca="1">MMULT(J141:K141,TRANSPOSE($B$10:$C$11))</f>
        <v>0.93007667296411534</v>
      </c>
      <c r="M141" s="19">
        <f ca="1"/>
        <v>-0.1538675812797532</v>
      </c>
      <c r="N141" s="20">
        <f t="shared" ref="N141" ca="1" si="845">GetVariance(N140,Variance_Avg,Lambda,Eta,M141,"Daily")</f>
        <v>1.3450853146737411E-2</v>
      </c>
      <c r="O141" s="20">
        <f t="shared" ref="O141" ca="1" si="846">GetStockReturns(0,RiskFreeRate,N141,L141,"Daily")</f>
        <v>6.8221876886814812E-3</v>
      </c>
      <c r="P141" s="19">
        <f t="shared" ca="1" si="540"/>
        <v>112.58554730542653</v>
      </c>
      <c r="Q141" s="19">
        <f ca="1">HCTrans(P141,Strike,RiskFreeRate,Dividend,Variance_T0*AnnualVarConvtr,(Simulation!G141)/250,0.5,Variance_Avg*AnnualVarConvtr,Lambda,SQRT(Simulation!N141),Rho,1,"Call")</f>
        <v>28.046784761641675</v>
      </c>
      <c r="R141" s="19">
        <f t="shared" ref="R141" ca="1" si="847">BSvol(1,P141,Strike,Q141,Dividend,RiskFreeRate,G141/250)</f>
        <v>0.74772900436426959</v>
      </c>
      <c r="S141" s="19">
        <f t="shared" ref="S141" ca="1" si="848">BSdelta(1,P141,Strike,R141/AnnualVarConvtr,Dividend,RiskFreeRate,G141/250)</f>
        <v>0.9999035237070153</v>
      </c>
      <c r="T141" s="19">
        <f t="shared" ca="1" si="815"/>
        <v>1.5311557953721727E-2</v>
      </c>
      <c r="U141" s="19">
        <f t="shared" ca="1" si="816"/>
        <v>-78.541401959434566</v>
      </c>
      <c r="V141" s="21">
        <f t="shared" ca="1" si="805"/>
        <v>1.3863873707900485E-5</v>
      </c>
      <c r="W141">
        <f t="shared" ca="1" si="806"/>
        <v>3.7234223112481458E-3</v>
      </c>
      <c r="X141" s="22">
        <f t="shared" ref="X141" ca="1" si="849">BSdelta(1,P141,Strike,W141*AnnualVarConvtr,Dividend,RiskFreeRate,G141/250)</f>
        <v>0.99865761802210495</v>
      </c>
      <c r="Y141" s="22">
        <f t="shared" ca="1" si="818"/>
        <v>1.3643931102754829</v>
      </c>
      <c r="Z141" s="22">
        <f t="shared" ca="1" si="819"/>
        <v>-75.814230078659008</v>
      </c>
      <c r="AA141">
        <f t="shared" si="799"/>
        <v>0.73884103340948371</v>
      </c>
      <c r="AB141">
        <f t="shared" ref="AB141" ca="1" si="850">BSdelta(1,P141,Strike,AA141/AnnualVarConvtr,Dividend,RiskFreeRate,G141/250)</f>
        <v>0.99991920113165611</v>
      </c>
      <c r="AC141">
        <f t="shared" ca="1" si="809"/>
        <v>1.3344510409838842E-2</v>
      </c>
      <c r="AD141">
        <f t="shared" ca="1" si="810"/>
        <v>-78.541690114413711</v>
      </c>
    </row>
    <row r="142" spans="7:30">
      <c r="G142" s="19">
        <v>113</v>
      </c>
      <c r="H142" s="19">
        <f t="shared" ca="1" si="557"/>
        <v>8.4352744239932109E-2</v>
      </c>
      <c r="I142" s="19">
        <f t="shared" ca="1" si="557"/>
        <v>0.35698424529119022</v>
      </c>
      <c r="J142" s="19">
        <f t="shared" ca="1" si="792"/>
        <v>-1.3848125516080387</v>
      </c>
      <c r="K142" s="19">
        <f t="shared" ca="1" si="793"/>
        <v>1.7400546169640652</v>
      </c>
      <c r="L142" s="19">
        <f t="array" aca="1" ref="L142:M142" ca="1">MMULT(J142:K142,TRANSPOSE($B$10:$C$11))</f>
        <v>-1.3848125516080387</v>
      </c>
      <c r="M142" s="19">
        <f ca="1"/>
        <v>2.2060578322426196</v>
      </c>
      <c r="N142" s="20">
        <f t="shared" ref="N142" ca="1" si="851">GetVariance(N141,Variance_Avg,Lambda,Eta,M142,"Daily")</f>
        <v>2.0422028577525876E-2</v>
      </c>
      <c r="O142" s="20">
        <f t="shared" ref="O142" ca="1" si="852">GetStockReturns(0,RiskFreeRate,N142,L142,"Daily")</f>
        <v>-1.2516140413724196E-2</v>
      </c>
      <c r="P142" s="19">
        <f t="shared" ca="1" si="540"/>
        <v>111.18519258580197</v>
      </c>
      <c r="Q142" s="19">
        <f ca="1">HCTrans(P142,Strike,RiskFreeRate,Dividend,Variance_T0*AnnualVarConvtr,(Simulation!G142)/250,0.5,Variance_Avg*AnnualVarConvtr,Lambda,SQRT(Simulation!N142),Rho,1,"Call")</f>
        <v>26.989674565395589</v>
      </c>
      <c r="R142" s="19">
        <f t="shared" ref="R142" ca="1" si="853">BSvol(1,P142,Strike,Q142,Dividend,RiskFreeRate,G142/250)</f>
        <v>0.74725051567144207</v>
      </c>
      <c r="S142" s="19">
        <f t="shared" ref="S142" ca="1" si="854">BSdelta(1,P142,Strike,R142/AnnualVarConvtr,Dividend,RiskFreeRate,G142/250)</f>
        <v>0.99960007673356355</v>
      </c>
      <c r="T142" s="19">
        <f t="shared" ca="1" si="815"/>
        <v>-3.3738810182811413E-2</v>
      </c>
      <c r="U142" s="19">
        <f t="shared" ca="1" si="816"/>
        <v>-79.564773345497841</v>
      </c>
      <c r="V142" s="21">
        <f t="shared" ca="1" si="805"/>
        <v>3.7397093379629311E-4</v>
      </c>
      <c r="W142">
        <f t="shared" ca="1" si="806"/>
        <v>1.9338328102405676E-2</v>
      </c>
      <c r="X142" s="22">
        <f t="shared" ref="X142" ca="1" si="855">BSdelta(1,P142,Strike,W142*AnnualVarConvtr,Dividend,RiskFreeRate,G142/250)</f>
        <v>0.7318960219216103</v>
      </c>
      <c r="Y142" s="22">
        <f t="shared" ca="1" si="818"/>
        <v>-29.65993943692942</v>
      </c>
      <c r="Z142" s="22">
        <f t="shared" ca="1" si="819"/>
        <v>-47.211400837975674</v>
      </c>
      <c r="AA142">
        <f t="shared" si="799"/>
        <v>0.73884103340948371</v>
      </c>
      <c r="AB142">
        <f t="shared" ref="AB142" ca="1" si="856">BSdelta(1,P142,Strike,AA142/AnnualVarConvtr,Dividend,RiskFreeRate,G142/250)</f>
        <v>0.99965136502579233</v>
      </c>
      <c r="AC142">
        <f t="shared" ca="1" si="809"/>
        <v>-2.9779409011896012E-2</v>
      </c>
      <c r="AD142">
        <f t="shared" ca="1" si="810"/>
        <v>-79.569020901647903</v>
      </c>
    </row>
    <row r="143" spans="7:30">
      <c r="G143" s="19">
        <v>112</v>
      </c>
      <c r="H143" s="19">
        <f t="shared" ca="1" si="557"/>
        <v>0.40525619938393298</v>
      </c>
      <c r="I143" s="19">
        <f t="shared" ca="1" si="557"/>
        <v>0.60803754031353385</v>
      </c>
      <c r="J143" s="19">
        <f t="shared" ca="1" si="792"/>
        <v>-1.046093592384044</v>
      </c>
      <c r="K143" s="19">
        <f t="shared" ca="1" si="793"/>
        <v>-0.84389563192621309</v>
      </c>
      <c r="L143" s="19">
        <f t="array" aca="1" ref="L143:M143" ca="1">MMULT(J143:K143,TRANSPOSE($B$10:$C$11))</f>
        <v>-1.046093592384044</v>
      </c>
      <c r="M143" s="19">
        <f ca="1"/>
        <v>0.16083535967577067</v>
      </c>
      <c r="N143" s="20">
        <f t="shared" ref="N143" ca="1" si="857">GetVariance(N142,Variance_Avg,Lambda,Eta,M143,"Daily")</f>
        <v>2.0918588319118678E-2</v>
      </c>
      <c r="O143" s="20">
        <f t="shared" ref="O143" ca="1" si="858">GetStockReturns(0,RiskFreeRate,N143,L143,"Daily")</f>
        <v>-9.5690037352259266E-3</v>
      </c>
      <c r="P143" s="19">
        <f t="shared" ca="1" si="540"/>
        <v>110.12633524714477</v>
      </c>
      <c r="Q143" s="19">
        <f ca="1">HCTrans(P143,Strike,RiskFreeRate,Dividend,Variance_T0*AnnualVarConvtr,(Simulation!G143)/250,0.5,Variance_Avg*AnnualVarConvtr,Lambda,SQRT(Simulation!N143),Rho,1,"Call")</f>
        <v>26.179795697999964</v>
      </c>
      <c r="R143" s="19">
        <f t="shared" ref="R143" ca="1" si="859">BSvol(1,P143,Strike,Q143,Dividend,RiskFreeRate,G143/250)</f>
        <v>0.74699481163647119</v>
      </c>
      <c r="S143" s="19">
        <f t="shared" ref="S143" ca="1" si="860">BSdelta(1,P143,Strike,R143/AnnualVarConvtr,Dividend,RiskFreeRate,G143/250)</f>
        <v>0.99891592035507637</v>
      </c>
      <c r="T143" s="19">
        <f t="shared" ca="1" si="815"/>
        <v>-7.5343634698751355E-2</v>
      </c>
      <c r="U143" s="19">
        <f t="shared" ca="1" si="816"/>
        <v>-80.299308578194712</v>
      </c>
      <c r="V143" s="21">
        <f t="shared" ca="1" si="805"/>
        <v>8.6856146017498107E-6</v>
      </c>
      <c r="W143">
        <f t="shared" ca="1" si="806"/>
        <v>2.9471366784982692E-3</v>
      </c>
      <c r="X143" s="22">
        <f t="shared" ref="X143" ca="1" si="861">BSdelta(1,P143,Strike,W143*AnnualVarConvtr,Dividend,RiskFreeRate,G143/250)</f>
        <v>0.99905895073819306</v>
      </c>
      <c r="Y143" s="22">
        <f t="shared" ca="1" si="818"/>
        <v>29.421674264464066</v>
      </c>
      <c r="Z143" s="22">
        <f t="shared" ca="1" si="819"/>
        <v>-77.442953969835372</v>
      </c>
      <c r="AA143">
        <f t="shared" si="799"/>
        <v>0.73884103340948371</v>
      </c>
      <c r="AB143">
        <f t="shared" ref="AB143" ca="1" si="862">BSdelta(1,P143,Strike,AA143/AnnualVarConvtr,Dividend,RiskFreeRate,G143/250)</f>
        <v>0.99903130693981868</v>
      </c>
      <c r="AC143">
        <f t="shared" ca="1" si="809"/>
        <v>-6.828472464863726E-2</v>
      </c>
      <c r="AD143">
        <f t="shared" ca="1" si="810"/>
        <v>-80.310615044394893</v>
      </c>
    </row>
    <row r="144" spans="7:30">
      <c r="G144" s="19">
        <v>111</v>
      </c>
      <c r="H144" s="19">
        <f t="shared" ca="1" si="557"/>
        <v>0.31021170956436817</v>
      </c>
      <c r="I144" s="19">
        <f t="shared" ca="1" si="557"/>
        <v>0.40447035057561109</v>
      </c>
      <c r="J144" s="19">
        <f t="shared" ca="1" si="792"/>
        <v>-1.2625914550674007</v>
      </c>
      <c r="K144" s="19">
        <f t="shared" ca="1" si="793"/>
        <v>0.86421257722054601</v>
      </c>
      <c r="L144" s="19">
        <f t="array" aca="1" ref="L144:M144" ca="1">MMULT(J144:K144,TRANSPOSE($B$10:$C$11))</f>
        <v>-1.2625914550674007</v>
      </c>
      <c r="M144" s="19">
        <f ca="1"/>
        <v>1.507510315595916</v>
      </c>
      <c r="N144" s="20">
        <f t="shared" ref="N144" ca="1" si="863">GetVariance(N143,Variance_Avg,Lambda,Eta,M144,"Daily")</f>
        <v>2.6532928510206465E-2</v>
      </c>
      <c r="O144" s="20">
        <f t="shared" ref="O144" ca="1" si="864">GetStockReturns(0,RiskFreeRate,N144,L144,"Daily")</f>
        <v>-1.3007248424832316E-2</v>
      </c>
      <c r="P144" s="19">
        <f t="shared" ca="1" si="540"/>
        <v>108.7031704407665</v>
      </c>
      <c r="Q144" s="19">
        <f ca="1">HCTrans(P144,Strike,RiskFreeRate,Dividend,Variance_T0*AnnualVarConvtr,(Simulation!G144)/250,0.5,Variance_Avg*AnnualVarConvtr,Lambda,SQRT(Simulation!N144),Rho,1,"Call")</f>
        <v>25.127260233958992</v>
      </c>
      <c r="R144" s="19">
        <f t="shared" ref="R144" ca="1" si="865">BSvol(1,P144,Strike,Q144,Dividend,RiskFreeRate,G144/250)</f>
        <v>0.74642002110369166</v>
      </c>
      <c r="S144" s="19">
        <f t="shared" ref="S144" ca="1" si="866">BSdelta(1,P144,Strike,R144/AnnualVarConvtr,Dividend,RiskFreeRate,G144/250)</f>
        <v>0.99619224058254052</v>
      </c>
      <c r="T144" s="19">
        <f t="shared" ca="1" si="815"/>
        <v>-0.29607262654003236</v>
      </c>
      <c r="U144" s="19">
        <f t="shared" ca="1" si="816"/>
        <v>-81.055771415695645</v>
      </c>
      <c r="V144" s="21">
        <f t="shared" ca="1" si="805"/>
        <v>1.1821526545606537E-5</v>
      </c>
      <c r="W144">
        <f t="shared" ca="1" si="806"/>
        <v>3.4382446896063894E-3</v>
      </c>
      <c r="X144" s="22">
        <f t="shared" ref="X144" ca="1" si="867">BSdelta(1,P144,Strike,W144*AnnualVarConvtr,Dividend,RiskFreeRate,G144/250)</f>
        <v>0.98987935456020859</v>
      </c>
      <c r="Y144" s="22">
        <f t="shared" ca="1" si="818"/>
        <v>-0.99785120791285487</v>
      </c>
      <c r="Z144" s="22">
        <f t="shared" ca="1" si="819"/>
        <v>-77.497638225963485</v>
      </c>
      <c r="AA144">
        <f t="shared" si="799"/>
        <v>0.73884103340948371</v>
      </c>
      <c r="AB144">
        <f t="shared" ref="AB144" ca="1" si="868">BSdelta(1,P144,Strike,AA144/AnnualVarConvtr,Dividend,RiskFreeRate,G144/250)</f>
        <v>0.99648806945891999</v>
      </c>
      <c r="AC144">
        <f t="shared" ca="1" si="809"/>
        <v>-0.27645797735747546</v>
      </c>
      <c r="AD144">
        <f t="shared" ca="1" si="810"/>
        <v>-81.086692531078384</v>
      </c>
    </row>
    <row r="145" spans="7:30">
      <c r="G145" s="19">
        <v>110</v>
      </c>
      <c r="H145" s="19">
        <f t="shared" ca="1" si="557"/>
        <v>0.96474279912931227</v>
      </c>
      <c r="I145" s="19">
        <f t="shared" ca="1" si="557"/>
        <v>0.5688439149558473</v>
      </c>
      <c r="J145" s="19">
        <f t="shared" ca="1" si="792"/>
        <v>-0.24325426214797363</v>
      </c>
      <c r="K145" s="19">
        <f t="shared" ca="1" si="793"/>
        <v>-0.11231584520024696</v>
      </c>
      <c r="L145" s="19">
        <f t="array" aca="1" ref="L145:M145" ca="1">MMULT(J145:K145,TRANSPOSE($B$10:$C$11))</f>
        <v>-0.24325426214797363</v>
      </c>
      <c r="M145" s="19">
        <f ca="1"/>
        <v>9.5941595064727367E-2</v>
      </c>
      <c r="N145" s="20">
        <f t="shared" ref="N145" ca="1" si="869">GetVariance(N144,Variance_Avg,Lambda,Eta,M145,"Daily")</f>
        <v>2.6814206768276845E-2</v>
      </c>
      <c r="O145" s="20">
        <f t="shared" ref="O145" ca="1" si="870">GetStockReturns(0,RiskFreeRate,N145,L145,"Daily")</f>
        <v>-2.5192596516860214E-3</v>
      </c>
      <c r="P145" s="19">
        <f t="shared" ca="1" si="540"/>
        <v>108.42966359150441</v>
      </c>
      <c r="Q145" s="19">
        <f ca="1">HCTrans(P145,Strike,RiskFreeRate,Dividend,Variance_T0*AnnualVarConvtr,(Simulation!G145)/250,0.5,Variance_Avg*AnnualVarConvtr,Lambda,SQRT(Simulation!N145),Rho,1,"Call")</f>
        <v>24.855853449364488</v>
      </c>
      <c r="R145" s="19">
        <f t="shared" ref="R145" ca="1" si="871">BSvol(1,P145,Strike,Q145,Dividend,RiskFreeRate,G145/250)</f>
        <v>0.74636361140723528</v>
      </c>
      <c r="S145" s="19">
        <f t="shared" ref="S145" ca="1" si="872">BSdelta(1,P145,Strike,R145/AnnualVarConvtr,Dividend,RiskFreeRate,G145/250)</f>
        <v>0.99534370273856865</v>
      </c>
      <c r="T145" s="19">
        <f t="shared" ca="1" si="815"/>
        <v>-9.2006672966530853E-2</v>
      </c>
      <c r="U145" s="19">
        <f t="shared" ca="1" si="816"/>
        <v>-81.235171527323615</v>
      </c>
      <c r="V145" s="21">
        <f t="shared" ca="1" si="805"/>
        <v>1.099979085056427E-4</v>
      </c>
      <c r="W145">
        <f t="shared" ca="1" si="806"/>
        <v>1.0487988773146294E-2</v>
      </c>
      <c r="X145" s="22">
        <f t="shared" ref="X145" ca="1" si="873">BSdelta(1,P145,Strike,W145*AnnualVarConvtr,Dividend,RiskFreeRate,G145/250)</f>
        <v>0.7854543290986804</v>
      </c>
      <c r="Y145" s="22">
        <f t="shared" ca="1" si="818"/>
        <v>-22.165736740478224</v>
      </c>
      <c r="Z145" s="22">
        <f t="shared" ca="1" si="819"/>
        <v>-55.603308270079765</v>
      </c>
      <c r="AA145">
        <f t="shared" si="799"/>
        <v>0.73884103340948371</v>
      </c>
      <c r="AB145">
        <f t="shared" ref="AB145" ca="1" si="874">BSdelta(1,P145,Strike,AA145/AnnualVarConvtr,Dividend,RiskFreeRate,G145/250)</f>
        <v>0.99568683921511747</v>
      </c>
      <c r="AC145">
        <f t="shared" ca="1" si="809"/>
        <v>-8.6877125794846286E-2</v>
      </c>
      <c r="AD145">
        <f t="shared" ca="1" si="810"/>
        <v>-81.271222189878046</v>
      </c>
    </row>
    <row r="146" spans="7:30">
      <c r="G146" s="19">
        <v>109</v>
      </c>
      <c r="H146" s="19">
        <f t="shared" ca="1" si="557"/>
        <v>0.44962196005192379</v>
      </c>
      <c r="I146" s="19">
        <f t="shared" ca="1" si="557"/>
        <v>0.94050551203329746</v>
      </c>
      <c r="J146" s="19">
        <f t="shared" ca="1" si="792"/>
        <v>1.1770777714079745</v>
      </c>
      <c r="K146" s="19">
        <f t="shared" ca="1" si="793"/>
        <v>-0.46171874142646913</v>
      </c>
      <c r="L146" s="19">
        <f t="array" aca="1" ref="L146:M146" ca="1">MMULT(J146:K146,TRANSPOSE($B$10:$C$11))</f>
        <v>1.1770777714079745</v>
      </c>
      <c r="M146" s="19">
        <f ca="1"/>
        <v>-1.1654652570612796</v>
      </c>
      <c r="N146" s="20">
        <f t="shared" ref="N146" ca="1" si="875">GetVariance(N145,Variance_Avg,Lambda,Eta,M146,"Daily")</f>
        <v>2.2233991847652387E-2</v>
      </c>
      <c r="O146" s="20">
        <f t="shared" ref="O146" ca="1" si="876">GetStockReturns(0,RiskFreeRate,N146,L146,"Daily")</f>
        <v>1.1100534093505829E-2</v>
      </c>
      <c r="P146" s="19">
        <f t="shared" ca="1" si="540"/>
        <v>109.63999600882222</v>
      </c>
      <c r="Q146" s="19">
        <f ca="1">HCTrans(P146,Strike,RiskFreeRate,Dividend,Variance_T0*AnnualVarConvtr,(Simulation!G146)/250,0.5,Variance_Avg*AnnualVarConvtr,Lambda,SQRT(Simulation!N146),Rho,1,"Call")</f>
        <v>25.583795773473696</v>
      </c>
      <c r="R146" s="19">
        <f t="shared" ref="R146" ca="1" si="877">BSvol(1,P146,Strike,Q146,Dividend,RiskFreeRate,G146/250)</f>
        <v>0.74691940367110154</v>
      </c>
      <c r="S146" s="19">
        <f t="shared" ref="S146" ca="1" si="878">BSdelta(1,P146,Strike,R146/AnnualVarConvtr,Dividend,RiskFreeRate,G146/250)</f>
        <v>0.99849185209894264</v>
      </c>
      <c r="T146" s="19">
        <f t="shared" ca="1" si="815"/>
        <v>0.3451630833065813</v>
      </c>
      <c r="U146" s="19">
        <f t="shared" ca="1" si="816"/>
        <v>-80.852392286520995</v>
      </c>
      <c r="V146" s="21">
        <f t="shared" ca="1" si="805"/>
        <v>1.8549878166156705E-4</v>
      </c>
      <c r="W146">
        <f t="shared" ca="1" si="806"/>
        <v>1.3619793745191851E-2</v>
      </c>
      <c r="X146" s="22">
        <f t="shared" ref="X146" ca="1" si="879">BSdelta(1,P146,Strike,W146*AnnualVarConvtr,Dividend,RiskFreeRate,G146/250)</f>
        <v>0.76372075509003778</v>
      </c>
      <c r="Y146" s="22">
        <f t="shared" ca="1" si="818"/>
        <v>-2.3828689675650194</v>
      </c>
      <c r="Z146" s="22">
        <f t="shared" ca="1" si="819"/>
        <v>-52.492496978405541</v>
      </c>
      <c r="AA146">
        <f t="shared" si="799"/>
        <v>0.73884103340948371</v>
      </c>
      <c r="AB146">
        <f t="shared" ref="AB146" ca="1" si="880">BSdelta(1,P146,Strike,AA146/AnnualVarConvtr,Dividend,RiskFreeRate,G146/250)</f>
        <v>0.99864194107592674</v>
      </c>
      <c r="AC146">
        <f t="shared" ca="1" si="809"/>
        <v>0.32399735622479181</v>
      </c>
      <c r="AD146">
        <f t="shared" ca="1" si="810"/>
        <v>-80.867277221993632</v>
      </c>
    </row>
    <row r="147" spans="7:30">
      <c r="G147" s="19">
        <v>108</v>
      </c>
      <c r="H147" s="19">
        <f t="shared" ca="1" si="557"/>
        <v>5.7609075108437047E-2</v>
      </c>
      <c r="I147" s="19">
        <f t="shared" ca="1" si="557"/>
        <v>0.61758407625793943</v>
      </c>
      <c r="J147" s="19">
        <f t="shared" ca="1" si="792"/>
        <v>-1.7662573927531302</v>
      </c>
      <c r="K147" s="19">
        <f t="shared" ca="1" si="793"/>
        <v>-1.6088769878378837</v>
      </c>
      <c r="L147" s="19">
        <f t="array" aca="1" ref="L147:M147" ca="1">MMULT(J147:K147,TRANSPOSE($B$10:$C$11))</f>
        <v>-1.7662573927531302</v>
      </c>
      <c r="M147" s="19">
        <f ca="1"/>
        <v>0.14319160364277317</v>
      </c>
      <c r="N147" s="20">
        <f t="shared" ref="N147" ca="1" si="881">GetVariance(N146,Variance_Avg,Lambda,Eta,M147,"Daily")</f>
        <v>2.2680100812459893E-2</v>
      </c>
      <c r="O147" s="20">
        <f t="shared" ref="O147" ca="1" si="882">GetStockReturns(0,RiskFreeRate,N147,L147,"Daily")</f>
        <v>-1.6823117514396899E-2</v>
      </c>
      <c r="P147" s="19">
        <f t="shared" ca="1" si="540"/>
        <v>107.81093783966728</v>
      </c>
      <c r="Q147" s="19">
        <f ca="1">HCTrans(P147,Strike,RiskFreeRate,Dividend,Variance_T0*AnnualVarConvtr,(Simulation!G147)/250,0.5,Variance_Avg*AnnualVarConvtr,Lambda,SQRT(Simulation!N147),Rho,1,"Call")</f>
        <v>24.271360289207081</v>
      </c>
      <c r="R147" s="19">
        <f t="shared" ref="R147" ca="1" si="883">BSvol(1,P147,Strike,Q147,Dividend,RiskFreeRate,G147/250)</f>
        <v>0.74643294363736101</v>
      </c>
      <c r="S147" s="19">
        <f t="shared" ref="S147" ca="1" si="884">BSdelta(1,P147,Strike,R147/AnnualVarConvtr,Dividend,RiskFreeRate,G147/250)</f>
        <v>0.99264355152966277</v>
      </c>
      <c r="T147" s="19">
        <f t="shared" ca="1" si="815"/>
        <v>-0.63051076914232318</v>
      </c>
      <c r="U147" s="19">
        <f t="shared" ca="1" si="816"/>
        <v>-81.534317001645292</v>
      </c>
      <c r="V147" s="21">
        <f t="shared" ca="1" si="805"/>
        <v>7.7973031911952862E-4</v>
      </c>
      <c r="W147">
        <f t="shared" ca="1" si="806"/>
        <v>2.7923651607902729E-2</v>
      </c>
      <c r="X147" s="22">
        <f t="shared" ref="X147" ca="1" si="885">BSdelta(1,P147,Strike,W147*AnnualVarConvtr,Dividend,RiskFreeRate,G147/250)</f>
        <v>0.65699140413288948</v>
      </c>
      <c r="Y147" s="22">
        <f t="shared" ca="1" si="818"/>
        <v>-11.50659142170915</v>
      </c>
      <c r="Z147" s="22">
        <f t="shared" ca="1" si="819"/>
        <v>-42.29834104096301</v>
      </c>
      <c r="AA147">
        <f t="shared" si="799"/>
        <v>0.73884103340948371</v>
      </c>
      <c r="AB147">
        <f t="shared" ref="AB147" ca="1" si="886">BSdelta(1,P147,Strike,AA147/AnnualVarConvtr,Dividend,RiskFreeRate,G147/250)</f>
        <v>0.99313246203484584</v>
      </c>
      <c r="AC147">
        <f t="shared" ca="1" si="809"/>
        <v>-0.59398210242692262</v>
      </c>
      <c r="AD147">
        <f t="shared" ca="1" si="810"/>
        <v>-81.585730603833326</v>
      </c>
    </row>
    <row r="148" spans="7:30">
      <c r="G148" s="19">
        <v>107</v>
      </c>
      <c r="H148" s="19">
        <f t="shared" ca="1" si="557"/>
        <v>0.70709103158899911</v>
      </c>
      <c r="I148" s="19">
        <f t="shared" ca="1" si="557"/>
        <v>0.97633709839793004</v>
      </c>
      <c r="J148" s="19">
        <f t="shared" ca="1" si="792"/>
        <v>0.8233960869617506</v>
      </c>
      <c r="K148" s="19">
        <f t="shared" ca="1" si="793"/>
        <v>-0.12333130835695927</v>
      </c>
      <c r="L148" s="19">
        <f t="array" aca="1" ref="L148:M148" ca="1">MMULT(J148:K148,TRANSPOSE($B$10:$C$11))</f>
        <v>0.8233960869617506</v>
      </c>
      <c r="M148" s="19">
        <f ca="1"/>
        <v>-0.67599762497561078</v>
      </c>
      <c r="N148" s="20">
        <f t="shared" ref="N148" ca="1" si="887">GetVariance(N147,Variance_Avg,Lambda,Eta,M148,"Daily")</f>
        <v>2.0169627502360982E-2</v>
      </c>
      <c r="O148" s="20">
        <f t="shared" ref="O148" ca="1" si="888">GetStockReturns(0,RiskFreeRate,N148,L148,"Daily")</f>
        <v>7.3958438501194722E-3</v>
      </c>
      <c r="P148" s="19">
        <f ca="1">P147*EXP(O148)</f>
        <v>108.61124653235505</v>
      </c>
      <c r="Q148" s="19">
        <f ca="1">HCTrans(P148,Strike,RiskFreeRate,Dividend,Variance_T0*AnnualVarConvtr,(Simulation!G148)/250,0.5,Variance_Avg*AnnualVarConvtr,Lambda,SQRT(Simulation!N148),Rho,1,"Call")</f>
        <v>24.716453950629258</v>
      </c>
      <c r="R148" s="19">
        <f t="shared" ref="R148" ca="1" si="889">BSvol(1,P148,Strike,Q148,Dividend,RiskFreeRate,G148/250)</f>
        <v>0.74679055074197043</v>
      </c>
      <c r="S148" s="19">
        <f t="shared" ref="S148" ca="1" si="890">BSdelta(1,P148,Strike,R148/AnnualVarConvtr,Dividend,RiskFreeRate,G148/250)</f>
        <v>0.99641443863408963</v>
      </c>
      <c r="T148" s="19">
        <f t="shared" ca="1" si="815"/>
        <v>0.40956074894458383</v>
      </c>
      <c r="U148" s="19">
        <f t="shared" ca="1" si="816"/>
        <v>-81.4987840891677</v>
      </c>
      <c r="V148" s="21">
        <f t="shared" ca="1" si="805"/>
        <v>5.8655808957593677E-4</v>
      </c>
      <c r="W148">
        <f t="shared" ca="1" si="806"/>
        <v>2.4218961364516373E-2</v>
      </c>
      <c r="X148" s="22">
        <f t="shared" ref="X148" ca="1" si="891">BSdelta(1,P148,Strike,W148*AnnualVarConvtr,Dividend,RiskFreeRate,G148/250)</f>
        <v>0.67544210798335746</v>
      </c>
      <c r="Y148" s="22">
        <f t="shared" ca="1" si="818"/>
        <v>2.0039539445986509</v>
      </c>
      <c r="Z148" s="22">
        <f t="shared" ca="1" si="819"/>
        <v>-43.857201324139481</v>
      </c>
      <c r="AA148">
        <f t="shared" si="799"/>
        <v>0.73884103340948371</v>
      </c>
      <c r="AB148">
        <f t="shared" ref="AB148" ca="1" si="892">BSdelta(1,P148,Strike,AA148/AnnualVarConvtr,Dividend,RiskFreeRate,G148/250)</f>
        <v>0.99671005430182458</v>
      </c>
      <c r="AC148">
        <f t="shared" ca="1" si="809"/>
        <v>0.38856675570107441</v>
      </c>
      <c r="AD148">
        <f t="shared" ca="1" si="810"/>
        <v>-81.529203698112227</v>
      </c>
    </row>
    <row r="149" spans="7:30">
      <c r="G149" s="19">
        <v>106</v>
      </c>
      <c r="H149" s="19">
        <f t="shared" ca="1" si="557"/>
        <v>0.60116524374496905</v>
      </c>
      <c r="I149" s="19">
        <f t="shared" ca="1" si="557"/>
        <v>0.68552265101264553</v>
      </c>
      <c r="J149" s="19">
        <f t="shared" ca="1" si="792"/>
        <v>-0.39761853963391031</v>
      </c>
      <c r="K149" s="19">
        <f t="shared" ca="1" si="793"/>
        <v>-0.92718410546443686</v>
      </c>
      <c r="L149" s="19">
        <f t="array" aca="1" ref="L149:M149" ca="1">MMULT(J149:K149,TRANSPOSE($B$10:$C$11))</f>
        <v>-0.39761853963391031</v>
      </c>
      <c r="M149" s="19">
        <f ca="1"/>
        <v>-0.36189797961712733</v>
      </c>
      <c r="N149" s="20">
        <f t="shared" ref="N149" ca="1" si="893">GetVariance(N148,Variance_Avg,Lambda,Eta,M149,"Daily")</f>
        <v>1.8859479602138775E-2</v>
      </c>
      <c r="O149" s="20">
        <f t="shared" ref="O149" ca="1" si="894">GetStockReturns(0,RiskFreeRate,N149,L149,"Daily")</f>
        <v>-3.4535160127379346E-3</v>
      </c>
      <c r="P149" s="19">
        <f t="shared" ref="P149:P212" ca="1" si="895">P148*EXP(O149)</f>
        <v>108.23680279916506</v>
      </c>
      <c r="Q149" s="19">
        <f ca="1">HCTrans(P149,Strike,RiskFreeRate,Dividend,Variance_T0*AnnualVarConvtr,(Simulation!G149)/250,0.5,Variance_Avg*AnnualVarConvtr,Lambda,SQRT(Simulation!N149),Rho,1,"Call")</f>
        <v>24.378449627615353</v>
      </c>
      <c r="R149" s="19">
        <f t="shared" ref="R149" ca="1" si="896">BSvol(1,P149,Strike,Q149,Dividend,RiskFreeRate,G149/250)</f>
        <v>0.74678118957172979</v>
      </c>
      <c r="S149" s="19">
        <f t="shared" ref="S149" ca="1" si="897">BSdelta(1,P149,Strike,R149/AnnualVarConvtr,Dividend,RiskFreeRate,G149/250)</f>
        <v>0.99518779470402163</v>
      </c>
      <c r="T149" s="19">
        <f t="shared" ca="1" si="815"/>
        <v>-0.13276801716356232</v>
      </c>
      <c r="U149" s="19">
        <f t="shared" ca="1" si="816"/>
        <v>-81.704020395018048</v>
      </c>
      <c r="V149" s="21">
        <f t="shared" ca="1" si="805"/>
        <v>1.1770860943378128E-4</v>
      </c>
      <c r="W149">
        <f t="shared" ca="1" si="806"/>
        <v>1.0849359862857406E-2</v>
      </c>
      <c r="X149" s="22">
        <f t="shared" ref="X149" ca="1" si="898">BSdelta(1,P149,Strike,W149*AnnualVarConvtr,Dividend,RiskFreeRate,G149/250)</f>
        <v>0.77770040947826957</v>
      </c>
      <c r="Y149" s="22">
        <f t="shared" ca="1" si="818"/>
        <v>11.068111613482367</v>
      </c>
      <c r="Z149" s="22">
        <f t="shared" ca="1" si="819"/>
        <v>-55.263317260635752</v>
      </c>
      <c r="AA149">
        <f t="shared" si="799"/>
        <v>0.73884103340948371</v>
      </c>
      <c r="AB149">
        <f t="shared" ref="AB149" ca="1" si="899">BSdelta(1,P149,Strike,AA149/AnnualVarConvtr,Dividend,RiskFreeRate,G149/250)</f>
        <v>0.99555862902541148</v>
      </c>
      <c r="AC149">
        <f t="shared" ca="1" si="809"/>
        <v>-0.12462659058109865</v>
      </c>
      <c r="AD149">
        <f t="shared" ca="1" si="810"/>
        <v>-81.74258143054503</v>
      </c>
    </row>
    <row r="150" spans="7:30">
      <c r="G150" s="19">
        <v>105</v>
      </c>
      <c r="H150" s="19">
        <f t="shared" ca="1" si="557"/>
        <v>0.49960426283408221</v>
      </c>
      <c r="I150" s="19">
        <f t="shared" ca="1" si="557"/>
        <v>9.6237749148895269E-2</v>
      </c>
      <c r="J150" s="19">
        <f t="shared" ca="1" si="792"/>
        <v>0.96918979989193654</v>
      </c>
      <c r="K150" s="19">
        <f t="shared" ca="1" si="793"/>
        <v>0.66973805949142584</v>
      </c>
      <c r="L150" s="19">
        <f t="array" aca="1" ref="L150:M150" ca="1">MMULT(J150:K150,TRANSPOSE($B$10:$C$11))</f>
        <v>0.96918979989193654</v>
      </c>
      <c r="M150" s="19">
        <f ca="1"/>
        <v>-0.22722386674426986</v>
      </c>
      <c r="N150" s="20">
        <f t="shared" ref="N150" ca="1" si="900">GetVariance(N149,Variance_Avg,Lambda,Eta,M150,"Daily")</f>
        <v>1.8039467095216487E-2</v>
      </c>
      <c r="O150" s="20">
        <f t="shared" ref="O150" ca="1" si="901">GetStockReturns(0,RiskFreeRate,N150,L150,"Daily")</f>
        <v>8.2328590926223719E-3</v>
      </c>
      <c r="P150" s="19">
        <f t="shared" ca="1" si="895"/>
        <v>109.13157937599644</v>
      </c>
      <c r="Q150" s="19">
        <f ca="1">HCTrans(P150,Strike,RiskFreeRate,Dividend,Variance_T0*AnnualVarConvtr,(Simulation!G150)/250,0.5,Variance_Avg*AnnualVarConvtr,Lambda,SQRT(Simulation!N150),Rho,1,"Call")</f>
        <v>24.885515163256287</v>
      </c>
      <c r="R150" s="19">
        <f t="shared" ref="R150" ca="1" si="902">BSvol(1,P150,Strike,Q150,Dividend,RiskFreeRate,G150/250)</f>
        <v>0.74706909448077641</v>
      </c>
      <c r="S150" s="19">
        <f t="shared" ref="S150" ca="1" si="903">BSdelta(1,P150,Strike,R150/AnnualVarConvtr,Dividend,RiskFreeRate,G150/250)</f>
        <v>0.99794158406688815</v>
      </c>
      <c r="T150" s="19">
        <f t="shared" ca="1" si="815"/>
        <v>0.3005253824384424</v>
      </c>
      <c r="U150" s="19">
        <f t="shared" ca="1" si="816"/>
        <v>-81.497480241815552</v>
      </c>
      <c r="V150" s="21">
        <f t="shared" ca="1" si="805"/>
        <v>1.365713631031851E-4</v>
      </c>
      <c r="W150">
        <f t="shared" ca="1" si="806"/>
        <v>1.1686375105360306E-2</v>
      </c>
      <c r="X150" s="22">
        <f t="shared" ref="X150" ca="1" si="904">BSdelta(1,P150,Strike,W150*AnnualVarConvtr,Dividend,RiskFreeRate,G150/250)</f>
        <v>0.78511867079625075</v>
      </c>
      <c r="Y150" s="22">
        <f t="shared" ca="1" si="818"/>
        <v>0.80956657385514696</v>
      </c>
      <c r="Z150" s="22">
        <f t="shared" ca="1" si="819"/>
        <v>-55.565818298849969</v>
      </c>
      <c r="AA150">
        <f t="shared" si="799"/>
        <v>0.73884103340948371</v>
      </c>
      <c r="AB150">
        <f t="shared" ref="AB150" ca="1" si="905">BSdelta(1,P150,Strike,AA150/AnnualVarConvtr,Dividend,RiskFreeRate,G150/250)</f>
        <v>0.99813823136652657</v>
      </c>
      <c r="AC150">
        <f t="shared" ca="1" si="809"/>
        <v>0.2815160776479082</v>
      </c>
      <c r="AD150">
        <f t="shared" ca="1" si="810"/>
        <v>-81.517031972552005</v>
      </c>
    </row>
    <row r="151" spans="7:30">
      <c r="G151" s="19">
        <v>104</v>
      </c>
      <c r="H151" s="19">
        <f t="shared" ca="1" si="557"/>
        <v>0.70673390707444206</v>
      </c>
      <c r="I151" s="19">
        <f t="shared" ca="1" si="557"/>
        <v>0.1040950937837426</v>
      </c>
      <c r="J151" s="19">
        <f t="shared" ca="1" si="792"/>
        <v>0.66124044706563045</v>
      </c>
      <c r="K151" s="19">
        <f t="shared" ca="1" si="793"/>
        <v>0.50691535501026819</v>
      </c>
      <c r="L151" s="19">
        <f t="array" aca="1" ref="L151:M151" ca="1">MMULT(J151:K151,TRANSPOSE($B$10:$C$11))</f>
        <v>0.66124044706563045</v>
      </c>
      <c r="M151" s="19">
        <f ca="1"/>
        <v>-0.12016117226685435</v>
      </c>
      <c r="N151" s="20">
        <f t="shared" ref="N151" ca="1" si="906">GetVariance(N150,Variance_Avg,Lambda,Eta,M151,"Daily")</f>
        <v>1.7587625184157057E-2</v>
      </c>
      <c r="O151" s="20">
        <f t="shared" ref="O151" ca="1" si="907">GetStockReturns(0,RiskFreeRate,N151,L151,"Daily")</f>
        <v>5.5461678287920778E-3</v>
      </c>
      <c r="P151" s="19">
        <f t="shared" ca="1" si="895"/>
        <v>109.73852298038628</v>
      </c>
      <c r="Q151" s="19">
        <f ca="1">HCTrans(P151,Strike,RiskFreeRate,Dividend,Variance_T0*AnnualVarConvtr,(Simulation!G151)/250,0.5,Variance_Avg*AnnualVarConvtr,Lambda,SQRT(Simulation!N151),Rho,1,"Call")</f>
        <v>25.202529060935603</v>
      </c>
      <c r="R151" s="19">
        <f t="shared" ref="R151" ca="1" si="908">BSvol(1,P151,Strike,Q151,Dividend,RiskFreeRate,G151/250)</f>
        <v>0.74726390757163919</v>
      </c>
      <c r="S151" s="19">
        <f t="shared" ref="S151" ca="1" si="909">BSdelta(1,P151,Strike,R151/AnnualVarConvtr,Dividend,RiskFreeRate,G151/250)</f>
        <v>0.99890758381885103</v>
      </c>
      <c r="T151" s="19">
        <f t="shared" ca="1" si="815"/>
        <v>0.10600738597982552</v>
      </c>
      <c r="U151" s="19">
        <f t="shared" ca="1" si="816"/>
        <v>-81.286473730116057</v>
      </c>
      <c r="V151" s="21">
        <f t="shared" ca="1" si="805"/>
        <v>7.2183099471420235E-6</v>
      </c>
      <c r="W151">
        <f t="shared" ca="1" si="806"/>
        <v>2.6866912638302941E-3</v>
      </c>
      <c r="X151" s="22">
        <f t="shared" ref="X151" ca="1" si="910">BSdelta(1,P151,Strike,W151*AnnualVarConvtr,Dividend,RiskFreeRate,G151/250)</f>
        <v>0.99966971447766206</v>
      </c>
      <c r="Y151" s="22">
        <f t="shared" ca="1" si="818"/>
        <v>23.544514637498416</v>
      </c>
      <c r="Z151" s="22">
        <f t="shared" ca="1" si="819"/>
        <v>-78.793319038669068</v>
      </c>
      <c r="AA151">
        <f t="shared" si="799"/>
        <v>0.73884103340948371</v>
      </c>
      <c r="AB151">
        <f t="shared" ref="AB151" ca="1" si="911">BSdelta(1,P151,Strike,AA151/AnnualVarConvtr,Dividend,RiskFreeRate,G151/250)</f>
        <v>0.99902737882537773</v>
      </c>
      <c r="AC151">
        <f t="shared" ca="1" si="809"/>
        <v>9.7573728846089905E-2</v>
      </c>
      <c r="AD151">
        <f t="shared" ca="1" si="810"/>
        <v>-81.297591803718774</v>
      </c>
    </row>
    <row r="152" spans="7:30">
      <c r="G152" s="19">
        <v>103</v>
      </c>
      <c r="H152" s="19">
        <f t="shared" ca="1" si="557"/>
        <v>3.0659299331746048E-2</v>
      </c>
      <c r="I152" s="19">
        <f t="shared" ca="1" si="557"/>
        <v>0.7407318475066329</v>
      </c>
      <c r="J152" s="19">
        <f t="shared" ca="1" si="792"/>
        <v>-0.1536500405691627</v>
      </c>
      <c r="K152" s="19">
        <f t="shared" ca="1" si="793"/>
        <v>-2.6355322389081119</v>
      </c>
      <c r="L152" s="19">
        <f t="array" aca="1" ref="L152:M152" ca="1">MMULT(J152:K152,TRANSPOSE($B$10:$C$11))</f>
        <v>-0.1536500405691627</v>
      </c>
      <c r="M152" s="19">
        <f ca="1"/>
        <v>-1.7284230145969659</v>
      </c>
      <c r="N152" s="20">
        <f t="shared" ref="N152" ca="1" si="912">GetVariance(N151,Variance_Avg,Lambda,Eta,M152,"Daily")</f>
        <v>1.236022968093446E-2</v>
      </c>
      <c r="O152" s="20">
        <f t="shared" ref="O152" ca="1" si="913">GetStockReturns(0,RiskFreeRate,N152,L152,"Daily")</f>
        <v>-1.0803785310258369E-3</v>
      </c>
      <c r="P152" s="19">
        <f t="shared" ca="1" si="895"/>
        <v>109.62002785745101</v>
      </c>
      <c r="Q152" s="19">
        <f ca="1">HCTrans(P152,Strike,RiskFreeRate,Dividend,Variance_T0*AnnualVarConvtr,(Simulation!G152)/250,0.5,Variance_Avg*AnnualVarConvtr,Lambda,SQRT(Simulation!N152),Rho,1,"Call")</f>
        <v>25.035491092205774</v>
      </c>
      <c r="R152" s="19">
        <f t="shared" ref="R152" ca="1" si="914">BSvol(1,P152,Strike,Q152,Dividend,RiskFreeRate,G152/250)</f>
        <v>0.74744355201530754</v>
      </c>
      <c r="S152" s="19">
        <f t="shared" ref="S152" ca="1" si="915">BSdelta(1,P152,Strike,R152/AnnualVarConvtr,Dividend,RiskFreeRate,G152/250)</f>
        <v>0.99882586252933947</v>
      </c>
      <c r="T152" s="19">
        <f t="shared" ca="1" si="815"/>
        <v>-8.9582900328040744E-3</v>
      </c>
      <c r="U152" s="19">
        <f t="shared" ca="1" si="816"/>
        <v>-81.444553408813078</v>
      </c>
      <c r="V152" s="21">
        <f t="shared" ca="1" si="805"/>
        <v>4.3911116658816057E-5</v>
      </c>
      <c r="W152">
        <f t="shared" ca="1" si="806"/>
        <v>6.6265463598179147E-3</v>
      </c>
      <c r="X152" s="22">
        <f t="shared" ref="X152" ca="1" si="916">BSdelta(1,P152,Strike,W152*AnnualVarConvtr,Dividend,RiskFreeRate,G152/250)</f>
        <v>0.91915066091566411</v>
      </c>
      <c r="Y152" s="22">
        <f t="shared" ca="1" si="818"/>
        <v>-8.8265008945218053</v>
      </c>
      <c r="Z152" s="22">
        <f t="shared" ca="1" si="819"/>
        <v>-70.133856112877098</v>
      </c>
      <c r="AA152">
        <f t="shared" si="799"/>
        <v>0.73884103340948371</v>
      </c>
      <c r="AB152">
        <f t="shared" ref="AB152" ca="1" si="917">BSdelta(1,P152,Strike,AA152/AnnualVarConvtr,Dividend,RiskFreeRate,G152/250)</f>
        <v>0.99895559819717161</v>
      </c>
      <c r="AC152">
        <f t="shared" ca="1" si="809"/>
        <v>-7.8685944635801548E-3</v>
      </c>
      <c r="AD152">
        <f t="shared" ca="1" si="810"/>
        <v>-81.45676117798503</v>
      </c>
    </row>
    <row r="153" spans="7:30">
      <c r="G153" s="19">
        <v>102</v>
      </c>
      <c r="H153" s="19">
        <f t="shared" ca="1" si="557"/>
        <v>0.40762290468081375</v>
      </c>
      <c r="I153" s="19">
        <f t="shared" ca="1" si="557"/>
        <v>0.85543427693247986</v>
      </c>
      <c r="J153" s="19">
        <f t="shared" ca="1" si="792"/>
        <v>0.82400374751176431</v>
      </c>
      <c r="K153" s="19">
        <f t="shared" ca="1" si="793"/>
        <v>-1.056334887466982</v>
      </c>
      <c r="L153" s="19">
        <f t="array" aca="1" ref="L153:M153" ca="1">MMULT(J153:K153,TRANSPOSE($B$10:$C$11))</f>
        <v>0.82400374751176431</v>
      </c>
      <c r="M153" s="19">
        <f ca="1"/>
        <v>-1.3272842667180562</v>
      </c>
      <c r="N153" s="20">
        <f t="shared" ref="N153" ca="1" si="918">GetVariance(N152,Variance_Avg,Lambda,Eta,M153,"Daily")</f>
        <v>8.9785707298885905E-3</v>
      </c>
      <c r="O153" s="20">
        <f t="shared" ref="O153" ca="1" si="919">GetStockReturns(0,RiskFreeRate,N153,L153,"Daily")</f>
        <v>4.9381330442880541E-3</v>
      </c>
      <c r="P153" s="19">
        <f t="shared" ca="1" si="895"/>
        <v>110.16268489291794</v>
      </c>
      <c r="Q153" s="19">
        <f ca="1">HCTrans(P153,Strike,RiskFreeRate,Dividend,Variance_T0*AnnualVarConvtr,(Simulation!G153)/250,0.5,Variance_Avg*AnnualVarConvtr,Lambda,SQRT(Simulation!N153),Rho,1,"Call")</f>
        <v>25.311508180148948</v>
      </c>
      <c r="R153" s="19">
        <f t="shared" ref="R153" ca="1" si="920">BSvol(1,P153,Strike,Q153,Dividend,RiskFreeRate,G153/250)</f>
        <v>0.74768648704539165</v>
      </c>
      <c r="S153" s="19">
        <f t="shared" ref="S153" ca="1" si="921">BSdelta(1,P153,Strike,R153/AnnualVarConvtr,Dividend,RiskFreeRate,G153/250)</f>
        <v>0.99935785729672033</v>
      </c>
      <c r="T153" s="19">
        <f t="shared" ca="1" si="815"/>
        <v>5.8605971923658982E-2</v>
      </c>
      <c r="U153" s="19">
        <f t="shared" ca="1" si="816"/>
        <v>-81.227142292793559</v>
      </c>
      <c r="V153" s="21">
        <f t="shared" ca="1" si="805"/>
        <v>3.6222481582187295E-5</v>
      </c>
      <c r="W153">
        <f t="shared" ca="1" si="806"/>
        <v>6.018511575313891E-3</v>
      </c>
      <c r="X153" s="22">
        <f t="shared" ref="X153" ca="1" si="922">BSdelta(1,P153,Strike,W153*AnnualVarConvtr,Dividend,RiskFreeRate,G153/250)</f>
        <v>0.94767535485152665</v>
      </c>
      <c r="Y153" s="22">
        <f t="shared" ca="1" si="818"/>
        <v>3.1423568697233524</v>
      </c>
      <c r="Z153" s="22">
        <f t="shared" ca="1" si="819"/>
        <v>-73.000195894657281</v>
      </c>
      <c r="AA153">
        <f t="shared" si="799"/>
        <v>0.73884103340948371</v>
      </c>
      <c r="AB153">
        <f t="shared" ref="AB153" ca="1" si="923">BSdelta(1,P153,Strike,AA153/AnnualVarConvtr,Dividend,RiskFreeRate,G153/250)</f>
        <v>0.99943831070587241</v>
      </c>
      <c r="AC153">
        <f t="shared" ca="1" si="809"/>
        <v>5.3176905989876136E-2</v>
      </c>
      <c r="AD153">
        <f t="shared" ca="1" si="810"/>
        <v>-81.233920996031728</v>
      </c>
    </row>
    <row r="154" spans="7:30">
      <c r="G154" s="19">
        <v>101</v>
      </c>
      <c r="H154" s="19">
        <f t="shared" ca="1" si="557"/>
        <v>0.20441876772080914</v>
      </c>
      <c r="I154" s="19">
        <f t="shared" ca="1" si="557"/>
        <v>0.48352628292058752</v>
      </c>
      <c r="J154" s="19">
        <f t="shared" ca="1" si="792"/>
        <v>-1.7723635194472431</v>
      </c>
      <c r="K154" s="19">
        <f t="shared" ca="1" si="793"/>
        <v>0.18411074786112286</v>
      </c>
      <c r="L154" s="19">
        <f t="array" aca="1" ref="L154:M154" ca="1">MMULT(J154:K154,TRANSPOSE($B$10:$C$11))</f>
        <v>-1.7723635194472431</v>
      </c>
      <c r="M154" s="19">
        <f ca="1"/>
        <v>1.398331742768268</v>
      </c>
      <c r="N154" s="20">
        <f t="shared" ref="N154" ca="1" si="924">GetVariance(N153,Variance_Avg,Lambda,Eta,M154,"Daily")</f>
        <v>1.2511157631115499E-2</v>
      </c>
      <c r="O154" s="20">
        <f t="shared" ref="O154" ca="1" si="925">GetStockReturns(0,RiskFreeRate,N154,L154,"Daily")</f>
        <v>-1.2538094707333818E-2</v>
      </c>
      <c r="P154" s="19">
        <f t="shared" ca="1" si="895"/>
        <v>108.79007763794054</v>
      </c>
      <c r="Q154" s="19">
        <f ca="1">HCTrans(P154,Strike,RiskFreeRate,Dividend,Variance_T0*AnnualVarConvtr,(Simulation!G154)/250,0.5,Variance_Avg*AnnualVarConvtr,Lambda,SQRT(Simulation!N154),Rho,1,"Call")</f>
        <v>24.294852967332247</v>
      </c>
      <c r="R154" s="19">
        <f t="shared" ref="R154" ca="1" si="926">BSvol(1,P154,Strike,Q154,Dividend,RiskFreeRate,G154/250)</f>
        <v>0.74731809700236196</v>
      </c>
      <c r="S154" s="19">
        <f t="shared" ref="S154" ca="1" si="927">BSdelta(1,P154,Strike,R154/AnnualVarConvtr,Dividend,RiskFreeRate,G154/250)</f>
        <v>0.99759464989951285</v>
      </c>
      <c r="T154" s="19">
        <f t="shared" ca="1" si="815"/>
        <v>-0.1918194696339926</v>
      </c>
      <c r="U154" s="19">
        <f t="shared" ca="1" si="816"/>
        <v>-82.051978035976262</v>
      </c>
      <c r="V154" s="21">
        <f t="shared" ca="1" si="805"/>
        <v>3.0541853642655851E-4</v>
      </c>
      <c r="W154">
        <f t="shared" ca="1" si="806"/>
        <v>1.7476227751621873E-2</v>
      </c>
      <c r="X154" s="22">
        <f t="shared" ref="X154" ca="1" si="928">BSdelta(1,P154,Strike,W154*AnnualVarConvtr,Dividend,RiskFreeRate,G154/250)</f>
        <v>0.71481531862342651</v>
      </c>
      <c r="Y154" s="22">
        <f t="shared" ca="1" si="818"/>
        <v>-25.33286142002866</v>
      </c>
      <c r="Z154" s="22">
        <f t="shared" ca="1" si="819"/>
        <v>-48.683989687445319</v>
      </c>
      <c r="AA154">
        <f t="shared" si="799"/>
        <v>0.73884103340948371</v>
      </c>
      <c r="AB154">
        <f t="shared" ref="AB154" ca="1" si="929">BSdelta(1,P154,Strike,AA154/AnnualVarConvtr,Dividend,RiskFreeRate,G154/250)</f>
        <v>0.99782398025250463</v>
      </c>
      <c r="AC154">
        <f t="shared" ca="1" si="809"/>
        <v>-0.17562313535517307</v>
      </c>
      <c r="AD154">
        <f t="shared" ca="1" si="810"/>
        <v>-82.074953073493262</v>
      </c>
    </row>
    <row r="155" spans="7:30">
      <c r="G155" s="19">
        <v>100</v>
      </c>
      <c r="H155" s="19">
        <f t="shared" ca="1" si="557"/>
        <v>0.79341592478117917</v>
      </c>
      <c r="I155" s="19">
        <f t="shared" ca="1" si="557"/>
        <v>0.98838153067522416</v>
      </c>
      <c r="J155" s="19">
        <f t="shared" ca="1" si="792"/>
        <v>0.67849345369096881</v>
      </c>
      <c r="K155" s="19">
        <f t="shared" ca="1" si="793"/>
        <v>-4.9618871121543479E-2</v>
      </c>
      <c r="L155" s="19">
        <f t="array" aca="1" ref="L155:M155" ca="1">MMULT(J155:K155,TRANSPOSE($B$10:$C$11))</f>
        <v>0.67849345369096881</v>
      </c>
      <c r="M155" s="19">
        <f ca="1"/>
        <v>-0.52075404355068156</v>
      </c>
      <c r="N155" s="20">
        <f t="shared" ref="N155" ca="1" si="930">GetVariance(N154,Variance_Avg,Lambda,Eta,M155,"Daily")</f>
        <v>1.1094687061988139E-2</v>
      </c>
      <c r="O155" s="20">
        <f t="shared" ref="O155" ca="1" si="931">GetStockReturns(0,RiskFreeRate,N155,L155,"Daily")</f>
        <v>4.5199453720087372E-3</v>
      </c>
      <c r="P155" s="19">
        <f t="shared" ca="1" si="895"/>
        <v>109.28291580762989</v>
      </c>
      <c r="Q155" s="19">
        <f ca="1">HCTrans(P155,Strike,RiskFreeRate,Dividend,Variance_T0*AnnualVarConvtr,(Simulation!G155)/250,0.5,Variance_Avg*AnnualVarConvtr,Lambda,SQRT(Simulation!N155),Rho,1,"Call")</f>
        <v>24.531989853548609</v>
      </c>
      <c r="R155" s="19">
        <f t="shared" ref="R155" ca="1" si="932">BSvol(1,P155,Strike,Q155,Dividend,RiskFreeRate,G155/250)</f>
        <v>0.7474966900218184</v>
      </c>
      <c r="S155" s="19">
        <f t="shared" ref="S155" ca="1" si="933">BSdelta(1,P155,Strike,R155/AnnualVarConvtr,Dividend,RiskFreeRate,G155/250)</f>
        <v>0.99857679545397304</v>
      </c>
      <c r="T155" s="19">
        <f t="shared" ca="1" si="815"/>
        <v>0.10733172993891089</v>
      </c>
      <c r="U155" s="19">
        <f t="shared" ca="1" si="816"/>
        <v>-81.922172879698806</v>
      </c>
      <c r="V155" s="21">
        <f t="shared" ca="1" si="805"/>
        <v>2.9097673134845703E-4</v>
      </c>
      <c r="W155">
        <f t="shared" ca="1" si="806"/>
        <v>1.7058040079342557E-2</v>
      </c>
      <c r="X155" s="22">
        <f t="shared" ref="X155" ca="1" si="934">BSdelta(1,P155,Strike,W155*AnnualVarConvtr,Dividend,RiskFreeRate,G155/250)</f>
        <v>0.7276394634313057</v>
      </c>
      <c r="Y155" s="22">
        <f t="shared" ca="1" si="818"/>
        <v>1.4014599373443155</v>
      </c>
      <c r="Z155" s="22">
        <f t="shared" ca="1" si="819"/>
        <v>-49.84831273857327</v>
      </c>
      <c r="AA155">
        <f t="shared" si="799"/>
        <v>0.73884103340948371</v>
      </c>
      <c r="AB155">
        <f t="shared" ref="AB155" ca="1" si="935">BSdelta(1,P155,Strike,AA155/AnnualVarConvtr,Dividend,RiskFreeRate,G155/250)</f>
        <v>0.99872970177544285</v>
      </c>
      <c r="AC155">
        <f t="shared" ca="1" si="809"/>
        <v>9.8979888936415683E-2</v>
      </c>
      <c r="AD155">
        <f t="shared" ca="1" si="810"/>
        <v>-81.936796076213312</v>
      </c>
    </row>
    <row r="156" spans="7:30">
      <c r="G156" s="19">
        <v>99</v>
      </c>
      <c r="H156" s="19">
        <f t="shared" ca="1" si="557"/>
        <v>0.34178843721918795</v>
      </c>
      <c r="I156" s="19">
        <f t="shared" ca="1" si="557"/>
        <v>0.59032030779781075</v>
      </c>
      <c r="J156" s="19">
        <f t="shared" ca="1" si="792"/>
        <v>-1.2356175534383489</v>
      </c>
      <c r="K156" s="19">
        <f t="shared" ca="1" si="793"/>
        <v>-0.78763947180685057</v>
      </c>
      <c r="L156" s="19">
        <f t="array" aca="1" ref="L156:M156" ca="1">MMULT(J156:K156,TRANSPOSE($B$10:$C$11))</f>
        <v>-1.2356175534383489</v>
      </c>
      <c r="M156" s="19">
        <f ca="1"/>
        <v>0.33587284887863422</v>
      </c>
      <c r="N156" s="20">
        <f t="shared" ref="N156" ca="1" si="936">GetVariance(N155,Variance_Avg,Lambda,Eta,M156,"Daily")</f>
        <v>1.1957657307214275E-2</v>
      </c>
      <c r="O156" s="20">
        <f t="shared" ref="O156" ca="1" si="937">GetStockReturns(0,RiskFreeRate,N156,L156,"Daily")</f>
        <v>-8.5454928758743193E-3</v>
      </c>
      <c r="P156" s="19">
        <f t="shared" ca="1" si="895"/>
        <v>108.35301830422796</v>
      </c>
      <c r="Q156" s="19">
        <f ca="1">HCTrans(P156,Strike,RiskFreeRate,Dividend,Variance_T0*AnnualVarConvtr,(Simulation!G156)/250,0.5,Variance_Avg*AnnualVarConvtr,Lambda,SQRT(Simulation!N156),Rho,1,"Call")</f>
        <v>23.818130035803691</v>
      </c>
      <c r="R156" s="19">
        <f t="shared" ref="R156" ca="1" si="938">BSvol(1,P156,Strike,Q156,Dividend,RiskFreeRate,G156/250)</f>
        <v>0.74730157256628538</v>
      </c>
      <c r="S156" s="19">
        <f t="shared" ref="S156" ca="1" si="939">BSdelta(1,P156,Strike,R156/AnnualVarConvtr,Dividend,RiskFreeRate,G156/250)</f>
        <v>0.99665802991385455</v>
      </c>
      <c r="T156" s="19">
        <f t="shared" ca="1" si="815"/>
        <v>-0.20790403768998109</v>
      </c>
      <c r="U156" s="19">
        <f t="shared" ca="1" si="816"/>
        <v>-82.428128659753739</v>
      </c>
      <c r="V156" s="21">
        <f t="shared" ca="1" si="805"/>
        <v>1.7070567660924546E-4</v>
      </c>
      <c r="W156">
        <f t="shared" ca="1" si="806"/>
        <v>1.3065438247883056E-2</v>
      </c>
      <c r="X156" s="22">
        <f t="shared" ref="X156" ca="1" si="940">BSdelta(1,P156,Strike,W156*AnnualVarConvtr,Dividend,RiskFreeRate,G156/250)</f>
        <v>0.75241625355722852</v>
      </c>
      <c r="Y156" s="22">
        <f t="shared" ca="1" si="818"/>
        <v>2.6846399940341299</v>
      </c>
      <c r="Z156" s="22">
        <f t="shared" ca="1" si="819"/>
        <v>-53.246812550352317</v>
      </c>
      <c r="AA156">
        <f t="shared" si="799"/>
        <v>0.73884103340948371</v>
      </c>
      <c r="AB156">
        <f t="shared" ref="AB156" ca="1" si="941">BSdelta(1,P156,Strike,AA156/AnnualVarConvtr,Dividend,RiskFreeRate,G156/250)</f>
        <v>0.99695516135940765</v>
      </c>
      <c r="AC156">
        <f t="shared" ca="1" si="809"/>
        <v>-0.19227681018025405</v>
      </c>
      <c r="AD156">
        <f t="shared" ca="1" si="810"/>
        <v>-82.45837908377797</v>
      </c>
    </row>
    <row r="157" spans="7:30">
      <c r="G157" s="19">
        <v>98</v>
      </c>
      <c r="H157" s="19">
        <f t="shared" ca="1" si="557"/>
        <v>0.37297452116747465</v>
      </c>
      <c r="I157" s="19">
        <f t="shared" ca="1" si="557"/>
        <v>0.94866925079937925</v>
      </c>
      <c r="J157" s="19">
        <f t="shared" ca="1" si="792"/>
        <v>1.3320394192436023</v>
      </c>
      <c r="K157" s="19">
        <f t="shared" ca="1" si="793"/>
        <v>-0.44515314740882472</v>
      </c>
      <c r="L157" s="19">
        <f t="array" aca="1" ref="L157:M157" ca="1">MMULT(J157:K157,TRANSPOSE($B$10:$C$11))</f>
        <v>1.3320394192436023</v>
      </c>
      <c r="M157" s="19">
        <f ca="1"/>
        <v>-1.2649393331884689</v>
      </c>
      <c r="N157" s="20">
        <f t="shared" ref="N157" ca="1" si="942">GetVariance(N156,Variance_Avg,Lambda,Eta,M157,"Daily")</f>
        <v>8.7804186793028049E-3</v>
      </c>
      <c r="O157" s="20">
        <f t="shared" ref="O157" ca="1" si="943">GetStockReturns(0,RiskFreeRate,N157,L157,"Daily")</f>
        <v>7.8941374757302164E-3</v>
      </c>
      <c r="P157" s="19">
        <f t="shared" ca="1" si="895"/>
        <v>109.21175696763828</v>
      </c>
      <c r="Q157" s="19">
        <f ca="1">HCTrans(P157,Strike,RiskFreeRate,Dividend,Variance_T0*AnnualVarConvtr,(Simulation!G157)/250,0.5,Variance_Avg*AnnualVarConvtr,Lambda,SQRT(Simulation!N157),Rho,1,"Call")</f>
        <v>24.298353557842958</v>
      </c>
      <c r="R157" s="19">
        <f t="shared" ref="R157" ca="1" si="944">BSvol(1,P157,Strike,Q157,Dividend,RiskFreeRate,G157/250)</f>
        <v>0.74761505634682135</v>
      </c>
      <c r="S157" s="19">
        <f t="shared" ref="S157" ca="1" si="945">BSdelta(1,P157,Strike,R157/AnnualVarConvtr,Dividend,RiskFreeRate,G157/250)</f>
        <v>0.99861136866417022</v>
      </c>
      <c r="T157" s="19">
        <f t="shared" ca="1" si="815"/>
        <v>0.21332755687494517</v>
      </c>
      <c r="U157" s="19">
        <f t="shared" ca="1" si="816"/>
        <v>-82.161232694589415</v>
      </c>
      <c r="V157" s="21">
        <f t="shared" ca="1" si="805"/>
        <v>2.7026144609739703E-4</v>
      </c>
      <c r="W157">
        <f t="shared" ca="1" si="806"/>
        <v>1.6439630351604534E-2</v>
      </c>
      <c r="X157" s="22">
        <f t="shared" ref="X157" ca="1" si="946">BSdelta(1,P157,Strike,W157*AnnualVarConvtr,Dividend,RiskFreeRate,G157/250)</f>
        <v>0.73330082528328877</v>
      </c>
      <c r="Y157" s="22">
        <f t="shared" ca="1" si="818"/>
        <v>-2.0876295069858291</v>
      </c>
      <c r="Z157" s="22">
        <f t="shared" ca="1" si="819"/>
        <v>-50.678959521327222</v>
      </c>
      <c r="AA157">
        <f t="shared" si="799"/>
        <v>0.73884103340948371</v>
      </c>
      <c r="AB157">
        <f t="shared" ref="AB157" ca="1" si="947">BSdelta(1,P157,Strike,AA157/AnnualVarConvtr,Dividend,RiskFreeRate,G157/250)</f>
        <v>0.99876317800063774</v>
      </c>
      <c r="AC157">
        <f t="shared" ca="1" si="809"/>
        <v>0.19745667401546652</v>
      </c>
      <c r="AD157">
        <f t="shared" ca="1" si="810"/>
        <v>-82.175612235754173</v>
      </c>
    </row>
    <row r="158" spans="7:30">
      <c r="G158" s="19">
        <v>97</v>
      </c>
      <c r="H158" s="19">
        <f t="shared" ca="1" si="557"/>
        <v>0.65702087574161383</v>
      </c>
      <c r="I158" s="19">
        <f t="shared" ca="1" si="557"/>
        <v>0.62356762112919295</v>
      </c>
      <c r="J158" s="19">
        <f t="shared" ca="1" si="792"/>
        <v>-0.6539110847286711</v>
      </c>
      <c r="K158" s="19">
        <f t="shared" ca="1" si="793"/>
        <v>-0.64224548779489388</v>
      </c>
      <c r="L158" s="19">
        <f t="array" aca="1" ref="L158:M158" ca="1">MMULT(J158:K158,TRANSPOSE($B$10:$C$11))</f>
        <v>-0.6539110847286711</v>
      </c>
      <c r="M158" s="19">
        <f ca="1"/>
        <v>2.0505130452947495E-2</v>
      </c>
      <c r="N158" s="20">
        <f t="shared" ref="N158" ca="1" si="948">GetVariance(N157,Variance_Avg,Lambda,Eta,M158,"Daily")</f>
        <v>8.8183998763537944E-3</v>
      </c>
      <c r="O158" s="20">
        <f t="shared" ref="O158" ca="1" si="949">GetStockReturns(0,RiskFreeRate,N158,L158,"Daily")</f>
        <v>-3.8836813468490486E-3</v>
      </c>
      <c r="P158" s="19">
        <f t="shared" ca="1" si="895"/>
        <v>108.7884358584727</v>
      </c>
      <c r="Q158" s="19">
        <f ca="1">HCTrans(P158,Strike,RiskFreeRate,Dividend,Variance_T0*AnnualVarConvtr,(Simulation!G158)/250,0.5,Variance_Avg*AnnualVarConvtr,Lambda,SQRT(Simulation!N158),Rho,1,"Call")</f>
        <v>23.921360449656902</v>
      </c>
      <c r="R158" s="19">
        <f t="shared" ref="R158" ca="1" si="950">BSvol(1,P158,Strike,Q158,Dividend,RiskFreeRate,G158/250)</f>
        <v>0.74756121593413394</v>
      </c>
      <c r="S158" s="19">
        <f t="shared" ref="S158" ca="1" si="951">BSdelta(1,P158,Strike,R158/AnnualVarConvtr,Dividend,RiskFreeRate,G158/250)</f>
        <v>0.99797950255863033</v>
      </c>
      <c r="T158" s="19">
        <f t="shared" ca="1" si="815"/>
        <v>-6.8739725293669382E-2</v>
      </c>
      <c r="U158" s="19">
        <f t="shared" ca="1" si="816"/>
        <v>-82.469486077481804</v>
      </c>
      <c r="V158" s="21">
        <f t="shared" ca="1" si="805"/>
        <v>1.3871701621750239E-4</v>
      </c>
      <c r="W158">
        <f t="shared" ca="1" si="806"/>
        <v>1.1777818822579264E-2</v>
      </c>
      <c r="X158" s="22">
        <f t="shared" ref="X158" ca="1" si="952">BSdelta(1,P158,Strike,W158*AnnualVarConvtr,Dividend,RiskFreeRate,G158/250)</f>
        <v>0.78353090227145283</v>
      </c>
      <c r="Y158" s="22">
        <f t="shared" ca="1" si="818"/>
        <v>5.4644515085930312</v>
      </c>
      <c r="Z158" s="22">
        <f t="shared" ca="1" si="819"/>
        <v>-56.520404138106308</v>
      </c>
      <c r="AA158">
        <f t="shared" si="799"/>
        <v>0.73884103340948371</v>
      </c>
      <c r="AB158">
        <f t="shared" ref="AB158" ca="1" si="953">BSdelta(1,P158,Strike,AA158/AnnualVarConvtr,Dividend,RiskFreeRate,G158/250)</f>
        <v>0.99818433688096642</v>
      </c>
      <c r="AC158">
        <f t="shared" ca="1" si="809"/>
        <v>-6.297122001961046E-2</v>
      </c>
      <c r="AD158">
        <f t="shared" ca="1" si="810"/>
        <v>-82.489634123920624</v>
      </c>
    </row>
    <row r="159" spans="7:30">
      <c r="G159" s="19">
        <v>96</v>
      </c>
      <c r="H159" s="19">
        <f t="shared" ref="H159:I222" ca="1" si="954">RAND()</f>
        <v>0.60135113433510545</v>
      </c>
      <c r="I159" s="19">
        <f t="shared" ca="1" si="954"/>
        <v>0.24500274149109291</v>
      </c>
      <c r="J159" s="19">
        <f t="shared" ca="1" si="792"/>
        <v>3.1661636874446654E-2</v>
      </c>
      <c r="K159" s="19">
        <f t="shared" ca="1" si="793"/>
        <v>1.0080426928341912</v>
      </c>
      <c r="L159" s="19">
        <f t="array" aca="1" ref="L159:M159" ca="1">MMULT(J159:K159,TRANSPOSE($B$10:$C$11))</f>
        <v>3.1661636874446654E-2</v>
      </c>
      <c r="M159" s="19">
        <f ca="1"/>
        <v>0.68051200721716776</v>
      </c>
      <c r="N159" s="20">
        <f t="shared" ref="N159" ca="1" si="955">GetVariance(N158,Variance_Avg,Lambda,Eta,M159,"Daily")</f>
        <v>1.0445566462299015E-2</v>
      </c>
      <c r="O159" s="20">
        <f t="shared" ref="O159" ca="1" si="956">GetStockReturns(0,RiskFreeRate,N159,L159,"Daily")</f>
        <v>2.0465829782466901E-4</v>
      </c>
      <c r="P159" s="19">
        <f t="shared" ca="1" si="895"/>
        <v>108.81070259303678</v>
      </c>
      <c r="Q159" s="19">
        <f ca="1">HCTrans(P159,Strike,RiskFreeRate,Dividend,Variance_T0*AnnualVarConvtr,(Simulation!G159)/250,0.5,Variance_Avg*AnnualVarConvtr,Lambda,SQRT(Simulation!N159),Rho,1,"Call")</f>
        <v>23.839293403109295</v>
      </c>
      <c r="R159" s="19">
        <f t="shared" ref="R159" ca="1" si="957">BSvol(1,P159,Strike,Q159,Dividend,RiskFreeRate,G159/250)</f>
        <v>0.74752509200875161</v>
      </c>
      <c r="S159" s="19">
        <f t="shared" ref="S159" ca="1" si="958">BSdelta(1,P159,Strike,R159/AnnualVarConvtr,Dividend,RiskFreeRate,G159/250)</f>
        <v>0.99811534987738559</v>
      </c>
      <c r="T159" s="19">
        <f t="shared" ca="1" si="815"/>
        <v>1.478164219914079E-2</v>
      </c>
      <c r="U159" s="19">
        <f t="shared" ca="1" si="816"/>
        <v>-82.56633476622855</v>
      </c>
      <c r="V159" s="21">
        <f t="shared" ca="1" si="805"/>
        <v>1.6714521050210824E-5</v>
      </c>
      <c r="W159">
        <f t="shared" ca="1" si="806"/>
        <v>4.0883396446737179E-3</v>
      </c>
      <c r="X159" s="22">
        <f t="shared" ref="X159" ca="1" si="959">BSdelta(1,P159,Strike,W159*AnnualVarConvtr,Dividend,RiskFreeRate,G159/250)</f>
        <v>0.98333114428466573</v>
      </c>
      <c r="Y159" s="22">
        <f t="shared" ca="1" si="818"/>
        <v>21.740404711716479</v>
      </c>
      <c r="Z159" s="22">
        <f t="shared" ca="1" si="819"/>
        <v>-78.342875896370401</v>
      </c>
      <c r="AA159">
        <f t="shared" si="799"/>
        <v>0.73884103340948371</v>
      </c>
      <c r="AB159">
        <f t="shared" ref="AB159" ca="1" si="960">BSdelta(1,P159,Strike,AA159/AnnualVarConvtr,Dividend,RiskFreeRate,G159/250)</f>
        <v>0.99830822030188049</v>
      </c>
      <c r="AC159">
        <f t="shared" ca="1" si="809"/>
        <v>1.3479842069289155E-2</v>
      </c>
      <c r="AD159">
        <f t="shared" ca="1" si="810"/>
        <v>-82.585181012537518</v>
      </c>
    </row>
    <row r="160" spans="7:30">
      <c r="G160" s="19">
        <v>95</v>
      </c>
      <c r="H160" s="19">
        <f t="shared" ca="1" si="954"/>
        <v>0.39267079387600834</v>
      </c>
      <c r="I160" s="19">
        <f t="shared" ca="1" si="954"/>
        <v>0.59839706292281125</v>
      </c>
      <c r="J160" s="19">
        <f t="shared" ca="1" si="792"/>
        <v>-1.1142243008381476</v>
      </c>
      <c r="K160" s="19">
        <f t="shared" ca="1" si="793"/>
        <v>-0.79250968004805766</v>
      </c>
      <c r="L160" s="19">
        <f t="array" aca="1" ref="L160:M160" ca="1">MMULT(J160:K160,TRANSPOSE($B$10:$C$11))</f>
        <v>-1.1142243008381476</v>
      </c>
      <c r="M160" s="19">
        <f ca="1"/>
        <v>0.24549718898940087</v>
      </c>
      <c r="N160" s="20">
        <f t="shared" ref="N160" ca="1" si="961">GetVariance(N159,Variance_Avg,Lambda,Eta,M160,"Daily")</f>
        <v>1.1051833860400539E-2</v>
      </c>
      <c r="O160" s="20">
        <f t="shared" ref="O160" ca="1" si="962">GetStockReturns(0,RiskFreeRate,N160,L160,"Daily")</f>
        <v>-7.4083210616066597E-3</v>
      </c>
      <c r="P160" s="19">
        <f t="shared" ca="1" si="895"/>
        <v>108.00757655423804</v>
      </c>
      <c r="Q160" s="19">
        <f ca="1">HCTrans(P160,Strike,RiskFreeRate,Dividend,Variance_T0*AnnualVarConvtr,(Simulation!G160)/250,0.5,Variance_Avg*AnnualVarConvtr,Lambda,SQRT(Simulation!N160),Rho,1,"Call")</f>
        <v>23.211020013553025</v>
      </c>
      <c r="R160" s="19">
        <f t="shared" ref="R160" ca="1" si="963">BSvol(1,P160,Strike,Q160,Dividend,RiskFreeRate,G160/250)</f>
        <v>0.74736866663999457</v>
      </c>
      <c r="S160" s="19">
        <f t="shared" ref="S160" ca="1" si="964">BSdelta(1,P160,Strike,R160/AnnualVarConvtr,Dividend,RiskFreeRate,G160/250)</f>
        <v>0.99607268168769592</v>
      </c>
      <c r="T160" s="19">
        <f t="shared" ca="1" si="815"/>
        <v>-0.22062364087281475</v>
      </c>
      <c r="U160" s="19">
        <f t="shared" ca="1" si="816"/>
        <v>-82.973984514912004</v>
      </c>
      <c r="V160" s="21">
        <f t="shared" ca="1" si="805"/>
        <v>5.7957454727127447E-5</v>
      </c>
      <c r="W160">
        <f t="shared" ca="1" si="806"/>
        <v>7.6129793594313291E-3</v>
      </c>
      <c r="X160" s="22">
        <f t="shared" ref="X160" ca="1" si="965">BSdelta(1,P160,Strike,W160*AnnualVarConvtr,Dividend,RiskFreeRate,G160/250)</f>
        <v>0.8588635119323399</v>
      </c>
      <c r="Y160" s="22">
        <f t="shared" ca="1" si="818"/>
        <v>-13.443447329818587</v>
      </c>
      <c r="Z160" s="22">
        <f t="shared" ca="1" si="819"/>
        <v>-65.527701956108089</v>
      </c>
      <c r="AA160">
        <f t="shared" si="799"/>
        <v>0.73884103340948371</v>
      </c>
      <c r="AB160">
        <f t="shared" ref="AB160" ca="1" si="966">BSdelta(1,P160,Strike,AA160/AnnualVarConvtr,Dividend,RiskFreeRate,G160/250)</f>
        <v>0.99641240711189227</v>
      </c>
      <c r="AC160">
        <f t="shared" ca="1" si="809"/>
        <v>-0.20476218825018644</v>
      </c>
      <c r="AD160">
        <f t="shared" ca="1" si="810"/>
        <v>-83.008692213843602</v>
      </c>
    </row>
    <row r="161" spans="7:30">
      <c r="G161" s="19">
        <v>94</v>
      </c>
      <c r="H161" s="19">
        <f t="shared" ca="1" si="954"/>
        <v>6.7591947335360558E-2</v>
      </c>
      <c r="I161" s="19">
        <f t="shared" ca="1" si="954"/>
        <v>0.55672326245726023</v>
      </c>
      <c r="J161" s="19">
        <f t="shared" ca="1" si="792"/>
        <v>-2.1754448293940225</v>
      </c>
      <c r="K161" s="19">
        <f t="shared" ca="1" si="793"/>
        <v>-0.80992138188619756</v>
      </c>
      <c r="L161" s="19">
        <f t="array" aca="1" ref="L161:M161" ca="1">MMULT(J161:K161,TRANSPOSE($B$10:$C$11))</f>
        <v>-2.1754448293940225</v>
      </c>
      <c r="M161" s="19">
        <f ca="1"/>
        <v>0.99371551925919044</v>
      </c>
      <c r="N161" s="20">
        <f t="shared" ref="N161" ca="1" si="967">GetVariance(N160,Variance_Avg,Lambda,Eta,M161,"Daily")</f>
        <v>1.3740588046583938E-2</v>
      </c>
      <c r="O161" s="20">
        <f t="shared" ref="O161" ca="1" si="968">GetStockReturns(0,RiskFreeRate,N161,L161,"Daily")</f>
        <v>-1.6128007960401213E-2</v>
      </c>
      <c r="P161" s="19">
        <f t="shared" ca="1" si="895"/>
        <v>106.27960135419879</v>
      </c>
      <c r="Q161" s="19">
        <f ca="1">HCTrans(P161,Strike,RiskFreeRate,Dividend,Variance_T0*AnnualVarConvtr,(Simulation!G161)/250,0.5,Variance_Avg*AnnualVarConvtr,Lambda,SQRT(Simulation!N161),Rho,1,"Call")</f>
        <v>21.983262028463145</v>
      </c>
      <c r="R161" s="19">
        <f t="shared" ref="R161" ca="1" si="969">BSvol(1,P161,Strike,Q161,Dividend,RiskFreeRate,G161/250)</f>
        <v>0.74690058044769114</v>
      </c>
      <c r="S161" s="19">
        <f t="shared" ref="S161" ca="1" si="970">BSdelta(1,P161,Strike,R161/AnnualVarConvtr,Dividend,RiskFreeRate,G161/250)</f>
        <v>0.98287290161931651</v>
      </c>
      <c r="T161" s="19">
        <f t="shared" ca="1" si="815"/>
        <v>-1.4028673636304623</v>
      </c>
      <c r="U161" s="19">
        <f t="shared" ca="1" si="816"/>
        <v>-82.798875136371421</v>
      </c>
      <c r="V161" s="21">
        <f t="shared" ca="1" si="805"/>
        <v>7.6032939613009381E-5</v>
      </c>
      <c r="W161">
        <f t="shared" ca="1" si="806"/>
        <v>8.7196868987945535E-3</v>
      </c>
      <c r="X161" s="22">
        <f t="shared" ref="X161" ca="1" si="971">BSdelta(1,P161,Strike,W161*AnnualVarConvtr,Dividend,RiskFreeRate,G161/250)</f>
        <v>0.7771706919346163</v>
      </c>
      <c r="Y161" s="22">
        <f t="shared" ca="1" si="818"/>
        <v>-8.6822803428583821</v>
      </c>
      <c r="Z161" s="22">
        <f t="shared" ca="1" si="819"/>
        <v>-58.073179598339586</v>
      </c>
      <c r="AA161">
        <f t="shared" si="799"/>
        <v>0.73884103340948371</v>
      </c>
      <c r="AB161">
        <f t="shared" ref="AB161" ca="1" si="972">BSdelta(1,P161,Strike,AA161/AnnualVarConvtr,Dividend,RiskFreeRate,G161/250)</f>
        <v>0.98381639514400965</v>
      </c>
      <c r="AC161">
        <f t="shared" ca="1" si="809"/>
        <v>-1.3386991305992824</v>
      </c>
      <c r="AD161">
        <f t="shared" ca="1" si="810"/>
        <v>-82.897751068334202</v>
      </c>
    </row>
    <row r="162" spans="7:30">
      <c r="G162" s="19">
        <v>93</v>
      </c>
      <c r="H162" s="19">
        <f t="shared" ca="1" si="954"/>
        <v>0.20090168016519883</v>
      </c>
      <c r="I162" s="19">
        <f t="shared" ca="1" si="954"/>
        <v>0.16138482943654675</v>
      </c>
      <c r="J162" s="19">
        <f t="shared" ca="1" si="792"/>
        <v>0.94679610221129706</v>
      </c>
      <c r="K162" s="19">
        <f t="shared" ca="1" si="793"/>
        <v>1.52100507193325</v>
      </c>
      <c r="L162" s="19">
        <f t="array" aca="1" ref="L162:M162" ca="1">MMULT(J162:K162,TRANSPOSE($B$10:$C$11))</f>
        <v>0.94679610221129706</v>
      </c>
      <c r="M162" s="19">
        <f ca="1"/>
        <v>0.38265409680432849</v>
      </c>
      <c r="N162" s="20">
        <f t="shared" ref="N162" ca="1" si="973">GetVariance(N161,Variance_Avg,Lambda,Eta,M162,"Daily")</f>
        <v>1.482696029103029E-2</v>
      </c>
      <c r="O162" s="20">
        <f t="shared" ref="O162" ca="1" si="974">GetStockReturns(0,RiskFreeRate,N162,L162,"Daily")</f>
        <v>7.2914267840455743E-3</v>
      </c>
      <c r="P162" s="19">
        <f t="shared" ca="1" si="895"/>
        <v>107.05736333758873</v>
      </c>
      <c r="Q162" s="19">
        <f ca="1">HCTrans(P162,Strike,RiskFreeRate,Dividend,Variance_T0*AnnualVarConvtr,(Simulation!G162)/250,0.5,Variance_Avg*AnnualVarConvtr,Lambda,SQRT(Simulation!N162),Rho,1,"Call")</f>
        <v>22.390934963653237</v>
      </c>
      <c r="R162" s="19">
        <f t="shared" ref="R162" ca="1" si="975">BSvol(1,P162,Strike,Q162,Dividend,RiskFreeRate,G162/250)</f>
        <v>0.74705368703768227</v>
      </c>
      <c r="S162" s="19">
        <f t="shared" ref="S162" ca="1" si="976">BSdelta(1,P162,Strike,R162/AnnualVarConvtr,Dividend,RiskFreeRate,G162/250)</f>
        <v>0.99136375975682134</v>
      </c>
      <c r="T162" s="19">
        <f t="shared" ca="1" si="815"/>
        <v>0.90900888467477658</v>
      </c>
      <c r="U162" s="19">
        <f t="shared" ca="1" si="816"/>
        <v>-83.300211085856105</v>
      </c>
      <c r="V162" s="21">
        <f t="shared" ca="1" si="805"/>
        <v>5.484699237494014E-4</v>
      </c>
      <c r="W162">
        <f t="shared" ca="1" si="806"/>
        <v>2.3419434744446788E-2</v>
      </c>
      <c r="X162" s="22">
        <f t="shared" ref="X162" ca="1" si="977">BSdelta(1,P162,Strike,W162*AnnualVarConvtr,Dividend,RiskFreeRate,G162/250)</f>
        <v>0.66088235513129212</v>
      </c>
      <c r="Y162" s="22">
        <f t="shared" ca="1" si="818"/>
        <v>-12.449522725077367</v>
      </c>
      <c r="Z162" s="22">
        <f t="shared" ca="1" si="819"/>
        <v>-45.215983938072128</v>
      </c>
      <c r="AA162">
        <f t="shared" si="799"/>
        <v>0.73884103340948371</v>
      </c>
      <c r="AB162">
        <f t="shared" ref="AB162" ca="1" si="978">BSdelta(1,P162,Strike,AA162/AnnualVarConvtr,Dividend,RiskFreeRate,G162/250)</f>
        <v>0.99195795179737334</v>
      </c>
      <c r="AC162">
        <f t="shared" ca="1" si="809"/>
        <v>0.87161358877271955</v>
      </c>
      <c r="AD162">
        <f t="shared" ca="1" si="810"/>
        <v>-83.361691721916827</v>
      </c>
    </row>
    <row r="163" spans="7:30">
      <c r="G163" s="19">
        <v>92</v>
      </c>
      <c r="H163" s="19">
        <f t="shared" ca="1" si="954"/>
        <v>0.94309856960577143</v>
      </c>
      <c r="I163" s="19">
        <f t="shared" ca="1" si="954"/>
        <v>0.78988531957776753</v>
      </c>
      <c r="J163" s="19">
        <f t="shared" ca="1" si="792"/>
        <v>8.4887504254938337E-2</v>
      </c>
      <c r="K163" s="19">
        <f t="shared" ca="1" si="793"/>
        <v>-0.33160678502785873</v>
      </c>
      <c r="L163" s="19">
        <f t="array" aca="1" ref="L163:M163" ca="1">MMULT(J163:K163,TRANSPOSE($B$10:$C$11))</f>
        <v>8.4887504254938337E-2</v>
      </c>
      <c r="M163" s="19">
        <f ca="1"/>
        <v>-0.29214650943385734</v>
      </c>
      <c r="N163" s="20">
        <f t="shared" ref="N163" ca="1" si="979">GetVariance(N162,Variance_Avg,Lambda,Eta,M163,"Daily")</f>
        <v>1.3926266542096725E-2</v>
      </c>
      <c r="O163" s="20">
        <f t="shared" ref="O163" ca="1" si="980">GetStockReturns(0,RiskFreeRate,N163,L163,"Daily")</f>
        <v>6.3356490506791447E-4</v>
      </c>
      <c r="P163" s="19">
        <f t="shared" ca="1" si="895"/>
        <v>107.12521261702008</v>
      </c>
      <c r="Q163" s="19">
        <f ca="1">HCTrans(P163,Strike,RiskFreeRate,Dividend,Variance_T0*AnnualVarConvtr,(Simulation!G163)/250,0.5,Variance_Avg*AnnualVarConvtr,Lambda,SQRT(Simulation!N163),Rho,1,"Call")</f>
        <v>22.339132017897072</v>
      </c>
      <c r="R163" s="19">
        <f t="shared" ref="R163" ca="1" si="981">BSvol(1,P163,Strike,Q163,Dividend,RiskFreeRate,G163/250)</f>
        <v>0.74713599550391296</v>
      </c>
      <c r="S163" s="19">
        <f t="shared" ref="S163" ca="1" si="982">BSdelta(1,P163,Strike,R163/AnnualVarConvtr,Dividend,RiskFreeRate,G163/250)</f>
        <v>0.99214202526846318</v>
      </c>
      <c r="T163" s="19">
        <f t="shared" ca="1" si="815"/>
        <v>8.3371858407126048E-2</v>
      </c>
      <c r="U163" s="19">
        <f t="shared" ca="1" si="816"/>
        <v>-83.43538589001939</v>
      </c>
      <c r="V163" s="21">
        <f t="shared" ca="1" si="805"/>
        <v>4.4327124799543933E-5</v>
      </c>
      <c r="W163">
        <f t="shared" ca="1" si="806"/>
        <v>6.6578618789776599E-3</v>
      </c>
      <c r="X163" s="22">
        <f t="shared" ref="X163" ca="1" si="983">BSdelta(1,P163,Strike,W163*AnnualVarConvtr,Dividend,RiskFreeRate,G163/250)</f>
        <v>0.86644197159899505</v>
      </c>
      <c r="Y163" s="22">
        <f t="shared" ca="1" si="818"/>
        <v>22.020617619575781</v>
      </c>
      <c r="Z163" s="22">
        <f t="shared" ca="1" si="819"/>
        <v>-67.288404503404081</v>
      </c>
      <c r="AA163">
        <f t="shared" si="799"/>
        <v>0.73884103340948371</v>
      </c>
      <c r="AB163">
        <f t="shared" ref="AB163" ca="1" si="984">BSdelta(1,P163,Strike,AA163/AnnualVarConvtr,Dividend,RiskFreeRate,G163/250)</f>
        <v>0.99270186583656495</v>
      </c>
      <c r="AC163">
        <f t="shared" ca="1" si="809"/>
        <v>7.9691949617187063E-2</v>
      </c>
      <c r="AD163">
        <f t="shared" ca="1" si="810"/>
        <v>-83.493186617290178</v>
      </c>
    </row>
    <row r="164" spans="7:30">
      <c r="G164" s="19">
        <v>91</v>
      </c>
      <c r="H164" s="19">
        <f t="shared" ca="1" si="954"/>
        <v>0.15374296711206403</v>
      </c>
      <c r="I164" s="19">
        <f t="shared" ca="1" si="954"/>
        <v>0.8060292030977394</v>
      </c>
      <c r="J164" s="19">
        <f t="shared" ca="1" si="792"/>
        <v>0.66728160103865131</v>
      </c>
      <c r="K164" s="19">
        <f t="shared" ca="1" si="793"/>
        <v>-1.8165025450903887</v>
      </c>
      <c r="L164" s="19">
        <f t="array" aca="1" ref="L164:M164" ca="1">MMULT(J164:K164,TRANSPOSE($B$10:$C$11))</f>
        <v>0.66728160103865131</v>
      </c>
      <c r="M164" s="19">
        <f ca="1"/>
        <v>-1.7452759939800346</v>
      </c>
      <c r="N164" s="20">
        <f t="shared" ref="N164" ca="1" si="985">GetVariance(N163,Variance_Avg,Lambda,Eta,M164,"Daily")</f>
        <v>9.2974535208087128E-3</v>
      </c>
      <c r="O164" s="20">
        <f t="shared" ref="O164" ca="1" si="986">GetStockReturns(0,RiskFreeRate,N164,L164,"Daily")</f>
        <v>4.0693135435379054E-3</v>
      </c>
      <c r="P164" s="19">
        <f t="shared" ca="1" si="895"/>
        <v>107.56202685985562</v>
      </c>
      <c r="Q164" s="19">
        <f ca="1">HCTrans(P164,Strike,RiskFreeRate,Dividend,Variance_T0*AnnualVarConvtr,(Simulation!G164)/250,0.5,Variance_Avg*AnnualVarConvtr,Lambda,SQRT(Simulation!N164),Rho,1,"Call")</f>
        <v>22.531942935031282</v>
      </c>
      <c r="R164" s="19">
        <f t="shared" ref="R164" ca="1" si="987">BSvol(1,P164,Strike,Q164,Dividend,RiskFreeRate,G164/250)</f>
        <v>0.74745212612447809</v>
      </c>
      <c r="S164" s="19">
        <f t="shared" ref="S164" ca="1" si="988">BSdelta(1,P164,Strike,R164/AnnualVarConvtr,Dividend,RiskFreeRate,G164/250)</f>
        <v>0.99491783023034519</v>
      </c>
      <c r="T164" s="19">
        <f t="shared" ca="1" si="815"/>
        <v>0.29857120786767338</v>
      </c>
      <c r="U164" s="19">
        <f t="shared" ca="1" si="816"/>
        <v>-83.541146180752847</v>
      </c>
      <c r="V164" s="21">
        <f t="shared" ca="1" si="805"/>
        <v>1.1804368706748397E-5</v>
      </c>
      <c r="W164">
        <f t="shared" ca="1" si="806"/>
        <v>3.435748638469991E-3</v>
      </c>
      <c r="X164" s="22">
        <f t="shared" ref="X164" ca="1" si="989">BSdelta(1,P164,Strike,W164*AnnualVarConvtr,Dividend,RiskFreeRate,G164/250)</f>
        <v>0.98747304026670835</v>
      </c>
      <c r="Y164" s="22">
        <f t="shared" ca="1" si="818"/>
        <v>13.018347058913607</v>
      </c>
      <c r="Z164" s="22">
        <f t="shared" ca="1" si="819"/>
        <v>-80.113940645183476</v>
      </c>
      <c r="AA164">
        <f t="shared" si="799"/>
        <v>0.73884103340948371</v>
      </c>
      <c r="AB164">
        <f t="shared" ref="AB164" ca="1" si="990">BSdelta(1,P164,Strike,AA164/AnnualVarConvtr,Dividend,RiskFreeRate,G164/250)</f>
        <v>0.99533626460618785</v>
      </c>
      <c r="AC164">
        <f t="shared" ca="1" si="809"/>
        <v>0.28336127121774929</v>
      </c>
      <c r="AD164">
        <f t="shared" ca="1" si="810"/>
        <v>-83.58373697137371</v>
      </c>
    </row>
    <row r="165" spans="7:30">
      <c r="G165" s="19">
        <v>90</v>
      </c>
      <c r="H165" s="19">
        <f t="shared" ca="1" si="954"/>
        <v>0.67752582907924896</v>
      </c>
      <c r="I165" s="19">
        <f t="shared" ca="1" si="954"/>
        <v>0.49270931203556834</v>
      </c>
      <c r="J165" s="19">
        <f t="shared" ca="1" si="792"/>
        <v>-0.88146609134750964</v>
      </c>
      <c r="K165" s="19">
        <f t="shared" ca="1" si="793"/>
        <v>4.0407122021881597E-2</v>
      </c>
      <c r="L165" s="19">
        <f t="array" aca="1" ref="L165:M165" ca="1">MMULT(J165:K165,TRANSPOSE($B$10:$C$11))</f>
        <v>-0.88146609134750964</v>
      </c>
      <c r="M165" s="19">
        <f ca="1"/>
        <v>0.65975794117103381</v>
      </c>
      <c r="N165" s="20">
        <f t="shared" ref="N165" ca="1" si="991">GetVariance(N164,Variance_Avg,Lambda,Eta,M165,"Daily")</f>
        <v>1.091082908772387E-2</v>
      </c>
      <c r="O165" s="20">
        <f t="shared" ref="O165" ca="1" si="992">GetStockReturns(0,RiskFreeRate,N165,L165,"Daily")</f>
        <v>-5.8232372221849685E-3</v>
      </c>
      <c r="P165" s="19">
        <f t="shared" ca="1" si="895"/>
        <v>106.93748784561581</v>
      </c>
      <c r="Q165" s="19">
        <f ca="1">HCTrans(P165,Strike,RiskFreeRate,Dividend,Variance_T0*AnnualVarConvtr,(Simulation!G165)/250,0.5,Variance_Avg*AnnualVarConvtr,Lambda,SQRT(Simulation!N165),Rho,1,"Call")</f>
        <v>22.024169294378211</v>
      </c>
      <c r="R165" s="19">
        <f t="shared" ref="R165" ca="1" si="993">BSvol(1,P165,Strike,Q165,Dividend,RiskFreeRate,G165/250)</f>
        <v>0.74728203267507443</v>
      </c>
      <c r="S165" s="19">
        <f t="shared" ref="S165" ca="1" si="994">BSdelta(1,P165,Strike,R165/AnnualVarConvtr,Dividend,RiskFreeRate,G165/250)</f>
        <v>0.99133191637057383</v>
      </c>
      <c r="T165" s="19">
        <f t="shared" ca="1" si="815"/>
        <v>-0.38346861979472524</v>
      </c>
      <c r="U165" s="19">
        <f t="shared" ca="1" si="816"/>
        <v>-83.665451201611191</v>
      </c>
      <c r="V165" s="21">
        <f t="shared" ca="1" si="805"/>
        <v>9.7862560652404215E-5</v>
      </c>
      <c r="W165">
        <f t="shared" ca="1" si="806"/>
        <v>9.892550765722874E-3</v>
      </c>
      <c r="X165" s="22">
        <f t="shared" ref="X165" ca="1" si="995">BSdelta(1,P165,Strike,W165*AnnualVarConvtr,Dividend,RiskFreeRate,G165/250)</f>
        <v>0.77685915739049483</v>
      </c>
      <c r="Y165" s="22">
        <f t="shared" ca="1" si="818"/>
        <v>-22.522519540193034</v>
      </c>
      <c r="Z165" s="22">
        <f t="shared" ca="1" si="819"/>
        <v>-58.099194745643516</v>
      </c>
      <c r="AA165">
        <f t="shared" si="799"/>
        <v>0.73884103340948371</v>
      </c>
      <c r="AB165">
        <f t="shared" ref="AB165" ca="1" si="996">BSdelta(1,P165,Strike,AA165/AnnualVarConvtr,Dividend,RiskFreeRate,G165/250)</f>
        <v>0.99194386127377698</v>
      </c>
      <c r="AC165">
        <f t="shared" ca="1" si="809"/>
        <v>-0.3627750901271134</v>
      </c>
      <c r="AD165">
        <f t="shared" ca="1" si="810"/>
        <v>-83.728735521899665</v>
      </c>
    </row>
    <row r="166" spans="7:30">
      <c r="G166" s="19">
        <v>89</v>
      </c>
      <c r="H166" s="19">
        <f t="shared" ca="1" si="954"/>
        <v>0.17653178352216425</v>
      </c>
      <c r="I166" s="19">
        <f t="shared" ca="1" si="954"/>
        <v>0.72773421152979911</v>
      </c>
      <c r="J166" s="19">
        <f t="shared" ca="1" si="792"/>
        <v>-0.25969987709636672</v>
      </c>
      <c r="K166" s="19">
        <f t="shared" ca="1" si="793"/>
        <v>-1.8441975648643885</v>
      </c>
      <c r="L166" s="19">
        <f t="array" aca="1" ref="L166:M166" ca="1">MMULT(J166:K166,TRANSPOSE($B$10:$C$11))</f>
        <v>-0.25969987709636672</v>
      </c>
      <c r="M166" s="19">
        <f ca="1"/>
        <v>-1.1004134531849592</v>
      </c>
      <c r="N166" s="20">
        <f t="shared" ref="N166" ca="1" si="997">GetVariance(N165,Variance_Avg,Lambda,Eta,M166,"Daily")</f>
        <v>8.2539017097784332E-3</v>
      </c>
      <c r="O166" s="20">
        <f t="shared" ref="O166" ca="1" si="998">GetStockReturns(0,RiskFreeRate,N166,L166,"Daily")</f>
        <v>-1.4922149481469368E-3</v>
      </c>
      <c r="P166" s="19">
        <f t="shared" ca="1" si="895"/>
        <v>106.77803312768035</v>
      </c>
      <c r="Q166" s="19">
        <f ca="1">HCTrans(P166,Strike,RiskFreeRate,Dividend,Variance_T0*AnnualVarConvtr,(Simulation!G166)/250,0.5,Variance_Avg*AnnualVarConvtr,Lambda,SQRT(Simulation!N166),Rho,1,"Call")</f>
        <v>21.824854091896498</v>
      </c>
      <c r="R166" s="19">
        <f t="shared" ref="R166" ca="1" si="999">BSvol(1,P166,Strike,Q166,Dividend,RiskFreeRate,G166/250)</f>
        <v>0.74740447671597454</v>
      </c>
      <c r="S166" s="19">
        <f t="shared" ref="S166" ca="1" si="1000">BSdelta(1,P166,Strike,R166/AnnualVarConvtr,Dividend,RiskFreeRate,G166/250)</f>
        <v>0.990342019420412</v>
      </c>
      <c r="T166" s="19">
        <f t="shared" ca="1" si="815"/>
        <v>-0.10569924933736943</v>
      </c>
      <c r="U166" s="19">
        <f t="shared" ca="1" si="816"/>
        <v>-83.759067154755542</v>
      </c>
      <c r="V166" s="21">
        <f t="shared" ca="1" si="805"/>
        <v>1.8757753938213567E-5</v>
      </c>
      <c r="W166">
        <f t="shared" ca="1" si="806"/>
        <v>4.3310222740380322E-3</v>
      </c>
      <c r="X166" s="22">
        <f t="shared" ref="X166" ca="1" si="1001">BSdelta(1,P166,Strike,W166*AnnualVarConvtr,Dividend,RiskFreeRate,G166/250)</f>
        <v>0.94797406872380086</v>
      </c>
      <c r="Y166" s="22">
        <f t="shared" ca="1" si="818"/>
        <v>18.271313670987837</v>
      </c>
      <c r="Z166" s="22">
        <f t="shared" ca="1" si="819"/>
        <v>-76.569823619113066</v>
      </c>
      <c r="AA166">
        <f t="shared" si="799"/>
        <v>0.73884103340948371</v>
      </c>
      <c r="AB166">
        <f t="shared" ref="AB166" ca="1" si="1002">BSdelta(1,P166,Strike,AA166/AnnualVarConvtr,Dividend,RiskFreeRate,G166/250)</f>
        <v>0.99101329940334459</v>
      </c>
      <c r="AC166">
        <f t="shared" ca="1" si="809"/>
        <v>-9.9363566228385838E-2</v>
      </c>
      <c r="AD166">
        <f t="shared" ca="1" si="810"/>
        <v>-83.828687158152988</v>
      </c>
    </row>
    <row r="167" spans="7:30">
      <c r="G167" s="19">
        <v>88</v>
      </c>
      <c r="H167" s="19">
        <f t="shared" ca="1" si="954"/>
        <v>0.48973513270675073</v>
      </c>
      <c r="I167" s="19">
        <f t="shared" ca="1" si="954"/>
        <v>0.35678279852706574</v>
      </c>
      <c r="J167" s="19">
        <f t="shared" ca="1" si="792"/>
        <v>-0.74289131924734653</v>
      </c>
      <c r="K167" s="19">
        <f t="shared" ca="1" si="793"/>
        <v>0.93589189911521942</v>
      </c>
      <c r="L167" s="19">
        <f t="array" aca="1" ref="L167:M167" ca="1">MMULT(J167:K167,TRANSPOSE($B$10:$C$11))</f>
        <v>-0.74289131924734653</v>
      </c>
      <c r="M167" s="19">
        <f ca="1"/>
        <v>1.1851477379503601</v>
      </c>
      <c r="N167" s="20">
        <f t="shared" ref="N167" ca="1" si="1003">GetVariance(N166,Variance_Avg,Lambda,Eta,M167,"Daily")</f>
        <v>1.1098766765755096E-2</v>
      </c>
      <c r="O167" s="20">
        <f t="shared" ref="O167" ca="1" si="1004">GetStockReturns(0,RiskFreeRate,N167,L167,"Daily")</f>
        <v>-4.9498568783291515E-3</v>
      </c>
      <c r="P167" s="19">
        <f t="shared" ca="1" si="895"/>
        <v>106.25080307906531</v>
      </c>
      <c r="Q167" s="19">
        <f ca="1">HCTrans(P167,Strike,RiskFreeRate,Dividend,Variance_T0*AnnualVarConvtr,(Simulation!G167)/250,0.5,Variance_Avg*AnnualVarConvtr,Lambda,SQRT(Simulation!N167),Rho,1,"Call")</f>
        <v>21.381137113049078</v>
      </c>
      <c r="R167" s="19">
        <f t="shared" ref="R167" ca="1" si="1005">BSvol(1,P167,Strike,Q167,Dividend,RiskFreeRate,G167/250)</f>
        <v>0.74718220106858801</v>
      </c>
      <c r="S167" s="19">
        <f t="shared" ref="S167" ca="1" si="1006">BSdelta(1,P167,Strike,R167/AnnualVarConvtr,Dividend,RiskFreeRate,G167/250)</f>
        <v>0.98524531394695958</v>
      </c>
      <c r="T167" s="19">
        <f t="shared" ca="1" si="815"/>
        <v>-0.54152904961178772</v>
      </c>
      <c r="U167" s="19">
        <f t="shared" ca="1" si="816"/>
        <v>-83.661255083991179</v>
      </c>
      <c r="V167" s="21">
        <f t="shared" ca="1" si="805"/>
        <v>1.1955287717354192E-5</v>
      </c>
      <c r="W167">
        <f t="shared" ca="1" si="806"/>
        <v>3.4576419301822147E-3</v>
      </c>
      <c r="X167" s="22">
        <f t="shared" ref="X167" ca="1" si="1007">BSdelta(1,P167,Strike,W167*AnnualVarConvtr,Dividend,RiskFreeRate,G167/250)</f>
        <v>0.9703208371726848</v>
      </c>
      <c r="Y167" s="22">
        <f t="shared" ca="1" si="818"/>
        <v>2.3743620939158379</v>
      </c>
      <c r="Z167" s="22">
        <f t="shared" ca="1" si="819"/>
        <v>-79.38790269187632</v>
      </c>
      <c r="AA167">
        <f t="shared" si="799"/>
        <v>0.73884103340948371</v>
      </c>
      <c r="AB167">
        <f t="shared" ref="AB167" ca="1" si="1008">BSdelta(1,P167,Strike,AA167/AnnualVarConvtr,Dividend,RiskFreeRate,G167/250)</f>
        <v>0.98612746715615018</v>
      </c>
      <c r="AC167">
        <f t="shared" ca="1" si="809"/>
        <v>-0.51912359997400048</v>
      </c>
      <c r="AD167">
        <f t="shared" ca="1" si="810"/>
        <v>-83.753280537026413</v>
      </c>
    </row>
    <row r="168" spans="7:30">
      <c r="G168" s="19">
        <v>87</v>
      </c>
      <c r="H168" s="19">
        <f t="shared" ca="1" si="954"/>
        <v>0.41006933737410423</v>
      </c>
      <c r="I168" s="19">
        <f t="shared" ca="1" si="954"/>
        <v>0.7354762511312114</v>
      </c>
      <c r="J168" s="19">
        <f t="shared" ca="1" si="792"/>
        <v>-0.12167855545041442</v>
      </c>
      <c r="K168" s="19">
        <f t="shared" ca="1" si="793"/>
        <v>-1.3296813021227005</v>
      </c>
      <c r="L168" s="19">
        <f t="array" aca="1" ref="L168:M168" ca="1">MMULT(J168:K168,TRANSPOSE($B$10:$C$11))</f>
        <v>-0.12167855545041442</v>
      </c>
      <c r="M168" s="19">
        <f ca="1"/>
        <v>-0.84038582697273212</v>
      </c>
      <c r="N168" s="20">
        <f t="shared" ref="N168" ca="1" si="1009">GetVariance(N167,Variance_Avg,Lambda,Eta,M168,"Daily")</f>
        <v>9.0125279747879181E-3</v>
      </c>
      <c r="O168" s="20">
        <f t="shared" ref="O168" ca="1" si="1010">GetStockReturns(0,RiskFreeRate,N168,L168,"Daily")</f>
        <v>-7.3057928462201733E-4</v>
      </c>
      <c r="P168" s="19">
        <f t="shared" ca="1" si="895"/>
        <v>106.17320679193266</v>
      </c>
      <c r="Q168" s="19">
        <f ca="1">HCTrans(P168,Strike,RiskFreeRate,Dividend,Variance_T0*AnnualVarConvtr,(Simulation!G168)/250,0.5,Variance_Avg*AnnualVarConvtr,Lambda,SQRT(Simulation!N168),Rho,1,"Call")</f>
        <v>21.233819480904202</v>
      </c>
      <c r="R168" s="19">
        <f t="shared" ref="R168" ca="1" si="1011">BSvol(1,P168,Strike,Q168,Dividend,RiskFreeRate,G168/250)</f>
        <v>0.74729827908798807</v>
      </c>
      <c r="S168" s="19">
        <f t="shared" ref="S168" ca="1" si="1012">BSdelta(1,P168,Strike,R168/AnnualVarConvtr,Dividend,RiskFreeRate,G168/250)</f>
        <v>0.98470588158875461</v>
      </c>
      <c r="T168" s="19">
        <f t="shared" ca="1" si="815"/>
        <v>-5.7273263317956388E-2</v>
      </c>
      <c r="U168" s="19">
        <f t="shared" ca="1" si="816"/>
        <v>-83.751299452818103</v>
      </c>
      <c r="V168" s="21">
        <f t="shared" ca="1" si="805"/>
        <v>1.7802303412759066E-5</v>
      </c>
      <c r="W168">
        <f t="shared" ca="1" si="806"/>
        <v>4.2192775937071342E-3</v>
      </c>
      <c r="X168" s="22">
        <f t="shared" ref="X168" ca="1" si="1013">BSdelta(1,P168,Strike,W168*AnnualVarConvtr,Dividend,RiskFreeRate,G168/250)</f>
        <v>0.93843509475006071</v>
      </c>
      <c r="Y168" s="22">
        <f t="shared" ca="1" si="818"/>
        <v>-3.3854115239515679</v>
      </c>
      <c r="Z168" s="22">
        <f t="shared" ca="1" si="819"/>
        <v>-76.149808800069621</v>
      </c>
      <c r="AA168">
        <f t="shared" si="799"/>
        <v>0.73884103340948371</v>
      </c>
      <c r="AB168">
        <f t="shared" ref="AB168" ca="1" si="1014">BSdelta(1,P168,Strike,AA168/AnnualVarConvtr,Dividend,RiskFreeRate,G168/250)</f>
        <v>0.98562228782684325</v>
      </c>
      <c r="AC168">
        <f t="shared" ca="1" si="809"/>
        <v>-5.3636509397515304E-2</v>
      </c>
      <c r="AD168">
        <f t="shared" ca="1" si="810"/>
        <v>-83.846961659773768</v>
      </c>
    </row>
    <row r="169" spans="7:30">
      <c r="G169" s="19">
        <v>86</v>
      </c>
      <c r="H169" s="19">
        <f t="shared" ca="1" si="954"/>
        <v>0.84851173125873824</v>
      </c>
      <c r="I169" s="19">
        <f t="shared" ca="1" si="954"/>
        <v>0.97097211080697976</v>
      </c>
      <c r="J169" s="19">
        <f t="shared" ca="1" si="792"/>
        <v>0.56367928288535585</v>
      </c>
      <c r="K169" s="19">
        <f t="shared" ca="1" si="793"/>
        <v>-0.10396346999671316</v>
      </c>
      <c r="L169" s="19">
        <f t="array" aca="1" ref="L169:M169" ca="1">MMULT(J169:K169,TRANSPOSE($B$10:$C$11))</f>
        <v>0.56367928288535585</v>
      </c>
      <c r="M169" s="19">
        <f ca="1"/>
        <v>-0.47639978082766488</v>
      </c>
      <c r="N169" s="20">
        <f t="shared" ref="N169" ca="1" si="1015">GetVariance(N168,Variance_Avg,Lambda,Eta,M169,"Daily")</f>
        <v>7.9272439051348755E-3</v>
      </c>
      <c r="O169" s="20">
        <f t="shared" ref="O169" ca="1" si="1016">GetStockReturns(0,RiskFreeRate,N169,L169,"Daily")</f>
        <v>3.1741188145941335E-3</v>
      </c>
      <c r="P169" s="19">
        <f t="shared" ca="1" si="895"/>
        <v>106.51074858069266</v>
      </c>
      <c r="Q169" s="19">
        <f ca="1">HCTrans(P169,Strike,RiskFreeRate,Dividend,Variance_T0*AnnualVarConvtr,(Simulation!G169)/250,0.5,Variance_Avg*AnnualVarConvtr,Lambda,SQRT(Simulation!N169),Rho,1,"Call")</f>
        <v>21.352189288973619</v>
      </c>
      <c r="R169" s="19">
        <f t="shared" ref="R169" ca="1" si="1017">BSvol(1,P169,Strike,Q169,Dividend,RiskFreeRate,G169/250)</f>
        <v>0.74743686398692821</v>
      </c>
      <c r="S169" s="19">
        <f t="shared" ref="S169" ca="1" si="1018">BSdelta(1,P169,Strike,R169/AnnualVarConvtr,Dividend,RiskFreeRate,G169/250)</f>
        <v>0.98895589589012578</v>
      </c>
      <c r="T169" s="19">
        <f t="shared" ca="1" si="815"/>
        <v>0.45267220471769332</v>
      </c>
      <c r="U169" s="19">
        <f t="shared" ca="1" si="816"/>
        <v>-84.085601849466386</v>
      </c>
      <c r="V169" s="21">
        <f t="shared" ca="1" si="805"/>
        <v>1.5246667246022221E-5</v>
      </c>
      <c r="W169">
        <f t="shared" ca="1" si="806"/>
        <v>3.9046980992161508E-3</v>
      </c>
      <c r="X169" s="22">
        <f t="shared" ref="X169" ca="1" si="1019">BSdelta(1,P169,Strike,W169*AnnualVarConvtr,Dividend,RiskFreeRate,G169/250)</f>
        <v>0.96079733448577076</v>
      </c>
      <c r="Y169" s="22">
        <f t="shared" ca="1" si="818"/>
        <v>2.3818188941913889</v>
      </c>
      <c r="Z169" s="22">
        <f t="shared" ca="1" si="819"/>
        <v>-78.413257886191587</v>
      </c>
      <c r="AA169">
        <f t="shared" si="799"/>
        <v>0.73884103340948371</v>
      </c>
      <c r="AB169">
        <f t="shared" ref="AB169" ca="1" si="1020">BSdelta(1,P169,Strike,AA169/AnnualVarConvtr,Dividend,RiskFreeRate,G169/250)</f>
        <v>0.98969779711204475</v>
      </c>
      <c r="AC169">
        <f t="shared" ca="1" si="809"/>
        <v>0.43408554481437611</v>
      </c>
      <c r="AD169">
        <f t="shared" ca="1" si="810"/>
        <v>-84.162677396518731</v>
      </c>
    </row>
    <row r="170" spans="7:30">
      <c r="G170" s="19">
        <v>85</v>
      </c>
      <c r="H170" s="19">
        <f t="shared" ca="1" si="954"/>
        <v>0.45741535503568809</v>
      </c>
      <c r="I170" s="19">
        <f t="shared" ca="1" si="954"/>
        <v>0.67947239321838904</v>
      </c>
      <c r="J170" s="19">
        <f t="shared" ca="1" si="792"/>
        <v>-0.53628385165011161</v>
      </c>
      <c r="K170" s="19">
        <f t="shared" ca="1" si="793"/>
        <v>-1.1299232212228292</v>
      </c>
      <c r="L170" s="19">
        <f t="array" aca="1" ref="L170:M170" ca="1">MMULT(J170:K170,TRANSPOSE($B$10:$C$11))</f>
        <v>-0.53628385165011161</v>
      </c>
      <c r="M170" s="19">
        <f ca="1"/>
        <v>-0.403972473619649</v>
      </c>
      <c r="N170" s="20">
        <f t="shared" ref="N170" ca="1" si="1021">GetVariance(N169,Variance_Avg,Lambda,Eta,M170,"Daily")</f>
        <v>7.0651617845344421E-3</v>
      </c>
      <c r="O170" s="20">
        <f t="shared" ref="O170" ca="1" si="1022">GetStockReturns(0,RiskFreeRate,N170,L170,"Daily")</f>
        <v>-2.8509248605298517E-3</v>
      </c>
      <c r="P170" s="19">
        <f t="shared" ca="1" si="895"/>
        <v>106.20752687617454</v>
      </c>
      <c r="Q170" s="19">
        <f ca="1">HCTrans(P170,Strike,RiskFreeRate,Dividend,Variance_T0*AnnualVarConvtr,(Simulation!G170)/250,0.5,Variance_Avg*AnnualVarConvtr,Lambda,SQRT(Simulation!N170),Rho,1,"Call")</f>
        <v>21.056676149486407</v>
      </c>
      <c r="R170" s="19">
        <f t="shared" ref="R170" ca="1" si="1023">BSvol(1,P170,Strike,Q170,Dividend,RiskFreeRate,G170/250)</f>
        <v>0.74745190035290066</v>
      </c>
      <c r="S170" s="19">
        <f t="shared" ref="S170" ca="1" si="1024">BSdelta(1,P170,Strike,R170/AnnualVarConvtr,Dividend,RiskFreeRate,G170/250)</f>
        <v>0.98604814073986247</v>
      </c>
      <c r="T170" s="19">
        <f t="shared" ca="1" si="815"/>
        <v>-0.30882548327092585</v>
      </c>
      <c r="U170" s="19">
        <f t="shared" ca="1" si="816"/>
        <v>-84.072289505682676</v>
      </c>
      <c r="V170" s="21">
        <f t="shared" ca="1" si="805"/>
        <v>3.6301151287151538E-5</v>
      </c>
      <c r="W170">
        <f t="shared" ca="1" si="806"/>
        <v>6.0250436751239853E-3</v>
      </c>
      <c r="X170" s="22">
        <f t="shared" ref="X170" ca="1" si="1025">BSdelta(1,P170,Strike,W170*AnnualVarConvtr,Dividend,RiskFreeRate,G170/250)</f>
        <v>0.86692334715232011</v>
      </c>
      <c r="Y170" s="22">
        <f t="shared" ca="1" si="818"/>
        <v>-9.9701240326911282</v>
      </c>
      <c r="Z170" s="22">
        <f t="shared" ca="1" si="819"/>
        <v>-68.738646992987668</v>
      </c>
      <c r="AA170">
        <f t="shared" si="799"/>
        <v>0.73884103340948371</v>
      </c>
      <c r="AB170">
        <f t="shared" ref="AB170" ca="1" si="1026">BSdelta(1,P170,Strike,AA170/AnnualVarConvtr,Dividend,RiskFreeRate,G170/250)</f>
        <v>0.98692383007360129</v>
      </c>
      <c r="AC170">
        <f t="shared" ca="1" si="809"/>
        <v>-0.29461617878910595</v>
      </c>
      <c r="AD170">
        <f t="shared" ca="1" si="810"/>
        <v>-84.163574357216831</v>
      </c>
    </row>
    <row r="171" spans="7:30">
      <c r="G171" s="19">
        <v>84</v>
      </c>
      <c r="H171" s="19">
        <f t="shared" ca="1" si="954"/>
        <v>0.78545820666394417</v>
      </c>
      <c r="I171" s="19">
        <f t="shared" ca="1" si="954"/>
        <v>7.1832225650409143E-2</v>
      </c>
      <c r="J171" s="19">
        <f t="shared" ca="1" si="792"/>
        <v>0.62537486519348973</v>
      </c>
      <c r="K171" s="19">
        <f t="shared" ca="1" si="793"/>
        <v>0.3031209914321879</v>
      </c>
      <c r="L171" s="19">
        <f t="array" aca="1" ref="L171:M171" ca="1">MMULT(J171:K171,TRANSPOSE($B$10:$C$11))</f>
        <v>0.62537486519348973</v>
      </c>
      <c r="M171" s="19">
        <f ca="1"/>
        <v>-0.23662780017477122</v>
      </c>
      <c r="N171" s="20">
        <f t="shared" ref="N171" ca="1" si="1027">GetVariance(N170,Variance_Avg,Lambda,Eta,M171,"Daily")</f>
        <v>6.5857756301147419E-3</v>
      </c>
      <c r="O171" s="20">
        <f t="shared" ref="O171" ca="1" si="1028">GetStockReturns(0,RiskFreeRate,N171,L171,"Daily")</f>
        <v>3.2097697758826029E-3</v>
      </c>
      <c r="P171" s="19">
        <f t="shared" ca="1" si="895"/>
        <v>106.54897627974877</v>
      </c>
      <c r="Q171" s="19">
        <f ca="1">HCTrans(P171,Strike,RiskFreeRate,Dividend,Variance_T0*AnnualVarConvtr,(Simulation!G171)/250,0.5,Variance_Avg*AnnualVarConvtr,Lambda,SQRT(Simulation!N171),Rho,1,"Call")</f>
        <v>21.175354822966483</v>
      </c>
      <c r="R171" s="19">
        <f t="shared" ref="R171" ca="1" si="1029">BSvol(1,P171,Strike,Q171,Dividend,RiskFreeRate,G171/250)</f>
        <v>0.74755171127211628</v>
      </c>
      <c r="S171" s="19">
        <f t="shared" ref="S171" ca="1" si="1030">BSdelta(1,P171,Strike,R171/AnnualVarConvtr,Dividend,RiskFreeRate,G171/250)</f>
        <v>0.99005327831832535</v>
      </c>
      <c r="T171" s="19">
        <f t="shared" ca="1" si="815"/>
        <v>0.42674330884477191</v>
      </c>
      <c r="U171" s="19">
        <f t="shared" ca="1" si="816"/>
        <v>-84.380354141047377</v>
      </c>
      <c r="V171" s="21">
        <f t="shared" ca="1" si="805"/>
        <v>3.6732019475838687E-5</v>
      </c>
      <c r="W171">
        <f t="shared" ca="1" si="806"/>
        <v>6.0606946364124541E-3</v>
      </c>
      <c r="X171" s="22">
        <f t="shared" ref="X171" ca="1" si="1031">BSdelta(1,P171,Strike,W171*AnnualVarConvtr,Dividend,RiskFreeRate,G171/250)</f>
        <v>0.87895279603398546</v>
      </c>
      <c r="Y171" s="22">
        <f t="shared" ca="1" si="818"/>
        <v>1.2817254635510118</v>
      </c>
      <c r="Z171" s="22">
        <f t="shared" ca="1" si="819"/>
        <v>-69.901693783058604</v>
      </c>
      <c r="AA171">
        <f t="shared" si="799"/>
        <v>0.73884103340948371</v>
      </c>
      <c r="AB171">
        <f t="shared" ref="AB171" ca="1" si="1032">BSdelta(1,P171,Strike,AA171/AnnualVarConvtr,Dividend,RiskFreeRate,G171/250)</f>
        <v>0.99075062337424402</v>
      </c>
      <c r="AC171">
        <f t="shared" ca="1" si="809"/>
        <v>0.40774090861768353</v>
      </c>
      <c r="AD171">
        <f t="shared" ca="1" si="810"/>
        <v>-84.452636592354438</v>
      </c>
    </row>
    <row r="172" spans="7:30">
      <c r="G172" s="19">
        <v>83</v>
      </c>
      <c r="H172" s="19">
        <f t="shared" ca="1" si="954"/>
        <v>0.13950281384789331</v>
      </c>
      <c r="I172" s="19">
        <f t="shared" ca="1" si="954"/>
        <v>4.5306194339368444E-2</v>
      </c>
      <c r="J172" s="19">
        <f t="shared" ca="1" si="792"/>
        <v>1.904900284431216</v>
      </c>
      <c r="K172" s="19">
        <f t="shared" ca="1" si="793"/>
        <v>0.55740104082867292</v>
      </c>
      <c r="L172" s="19">
        <f t="array" aca="1" ref="L172:M172" ca="1">MMULT(J172:K172,TRANSPOSE($B$10:$C$11))</f>
        <v>1.904900284431216</v>
      </c>
      <c r="M172" s="19">
        <f ca="1"/>
        <v>-0.9760252830150824</v>
      </c>
      <c r="N172" s="20">
        <f t="shared" ref="N172" ca="1" si="1033">GetVariance(N171,Variance_Avg,Lambda,Eta,M172,"Daily")</f>
        <v>4.7892208407345161E-3</v>
      </c>
      <c r="O172" s="20">
        <f t="shared" ref="O172" ca="1" si="1034">GetStockReturns(0,RiskFreeRate,N172,L172,"Daily")</f>
        <v>8.337477485672342E-3</v>
      </c>
      <c r="P172" s="19">
        <f t="shared" ca="1" si="895"/>
        <v>107.44103958191828</v>
      </c>
      <c r="Q172" s="19">
        <f ca="1">HCTrans(P172,Strike,RiskFreeRate,Dividend,Variance_T0*AnnualVarConvtr,(Simulation!G172)/250,0.5,Variance_Avg*AnnualVarConvtr,Lambda,SQRT(Simulation!N172),Rho,1,"Call")</f>
        <v>21.653313587642643</v>
      </c>
      <c r="R172" s="19">
        <f t="shared" ref="R172" ca="1" si="1035">BSvol(1,P172,Strike,Q172,Dividend,RiskFreeRate,G172/250)</f>
        <v>0.74778617112722845</v>
      </c>
      <c r="S172" s="19">
        <f t="shared" ref="S172" ca="1" si="1036">BSdelta(1,P172,Strike,R172/AnnualVarConvtr,Dividend,RiskFreeRate,G172/250)</f>
        <v>0.99594434848854796</v>
      </c>
      <c r="T172" s="19">
        <f t="shared" ca="1" si="815"/>
        <v>0.63294270333874569</v>
      </c>
      <c r="U172" s="19">
        <f t="shared" ca="1" si="816"/>
        <v>-84.535338079709959</v>
      </c>
      <c r="V172" s="21">
        <f t="shared" ca="1" si="805"/>
        <v>2.6293386357037137E-5</v>
      </c>
      <c r="W172">
        <f t="shared" ca="1" si="806"/>
        <v>5.1277077097897396E-3</v>
      </c>
      <c r="X172" s="22">
        <f t="shared" ref="X172" ca="1" si="1037">BSdelta(1,P172,Strike,W172*AnnualVarConvtr,Dividend,RiskFreeRate,G172/250)</f>
        <v>0.94058671215658562</v>
      </c>
      <c r="Y172" s="22">
        <f t="shared" ca="1" si="818"/>
        <v>6.6220120217169152</v>
      </c>
      <c r="Z172" s="22">
        <f t="shared" ca="1" si="819"/>
        <v>-76.045747040099357</v>
      </c>
      <c r="AA172">
        <f t="shared" si="799"/>
        <v>0.73884103340948371</v>
      </c>
      <c r="AB172">
        <f t="shared" ref="AB172" ca="1" si="1038">BSdelta(1,P172,Strike,AA172/AnnualVarConvtr,Dividend,RiskFreeRate,G172/250)</f>
        <v>0.99630926295447708</v>
      </c>
      <c r="AC172">
        <f t="shared" ca="1" si="809"/>
        <v>0.59722601516143781</v>
      </c>
      <c r="AD172">
        <f t="shared" ca="1" si="810"/>
        <v>-84.571903842839717</v>
      </c>
    </row>
    <row r="173" spans="7:30">
      <c r="G173" s="19">
        <v>82</v>
      </c>
      <c r="H173" s="19">
        <f t="shared" ca="1" si="954"/>
        <v>0.20891230559422524</v>
      </c>
      <c r="I173" s="19">
        <f t="shared" ca="1" si="954"/>
        <v>0.15741678996596065</v>
      </c>
      <c r="J173" s="19">
        <f t="shared" ca="1" si="792"/>
        <v>0.97235454875761651</v>
      </c>
      <c r="K173" s="19">
        <f t="shared" ca="1" si="793"/>
        <v>1.478583119938458</v>
      </c>
      <c r="L173" s="19">
        <f t="array" aca="1" ref="L173:M173" ca="1">MMULT(J173:K173,TRANSPOSE($B$10:$C$11))</f>
        <v>0.97235454875761651</v>
      </c>
      <c r="M173" s="19">
        <f ca="1"/>
        <v>0.33474846375300615</v>
      </c>
      <c r="N173" s="20">
        <f t="shared" ref="N173" ca="1" si="1039">GetVariance(N172,Variance_Avg,Lambda,Eta,M173,"Daily")</f>
        <v>5.3860640317819168E-3</v>
      </c>
      <c r="O173" s="20">
        <f t="shared" ref="O173" ca="1" si="1040">GetStockReturns(0,RiskFreeRate,N173,L173,"Daily")</f>
        <v>4.5132605078943436E-3</v>
      </c>
      <c r="P173" s="19">
        <f t="shared" ca="1" si="895"/>
        <v>107.92704489210269</v>
      </c>
      <c r="Q173" s="19">
        <f ca="1">HCTrans(P173,Strike,RiskFreeRate,Dividend,Variance_T0*AnnualVarConvtr,(Simulation!G173)/250,0.5,Variance_Avg*AnnualVarConvtr,Lambda,SQRT(Simulation!N173),Rho,1,"Call")</f>
        <v>21.867148403314928</v>
      </c>
      <c r="R173" s="19">
        <f t="shared" ref="R173" ca="1" si="1041">BSvol(1,P173,Strike,Q173,Dividend,RiskFreeRate,G173/250)</f>
        <v>0.74784642639790488</v>
      </c>
      <c r="S173" s="19">
        <f t="shared" ref="S173" ca="1" si="1042">BSdelta(1,P173,Strike,R173/AnnualVarConvtr,Dividend,RiskFreeRate,G173/250)</f>
        <v>0.99767064483527856</v>
      </c>
      <c r="T173" s="19">
        <f t="shared" ca="1" si="815"/>
        <v>0.18631406331066683</v>
      </c>
      <c r="U173" s="19">
        <f t="shared" ca="1" si="816"/>
        <v>-84.507817327348334</v>
      </c>
      <c r="V173" s="21">
        <f t="shared" ca="1" si="805"/>
        <v>1.4624635493125488E-5</v>
      </c>
      <c r="W173">
        <f t="shared" ca="1" si="806"/>
        <v>3.8242169777779984E-3</v>
      </c>
      <c r="X173" s="22">
        <f t="shared" ref="X173" ca="1" si="1043">BSdelta(1,P173,Strike,W173*AnnualVarConvtr,Dividend,RiskFreeRate,G173/250)</f>
        <v>0.98679732924732011</v>
      </c>
      <c r="Y173" s="22">
        <f t="shared" ca="1" si="818"/>
        <v>4.9873753452434686</v>
      </c>
      <c r="Z173" s="22">
        <f t="shared" ca="1" si="819"/>
        <v>-80.819287569670536</v>
      </c>
      <c r="AA173">
        <f t="shared" si="799"/>
        <v>0.73884103340948371</v>
      </c>
      <c r="AB173">
        <f t="shared" ref="AB173" ca="1" si="1044">BSdelta(1,P173,Strike,AA173/AnnualVarConvtr,Dividend,RiskFreeRate,G173/250)</f>
        <v>0.99790765640905676</v>
      </c>
      <c r="AC173">
        <f t="shared" ca="1" si="809"/>
        <v>0.17250988212766455</v>
      </c>
      <c r="AD173">
        <f t="shared" ca="1" si="810"/>
        <v>-84.530578909295102</v>
      </c>
    </row>
    <row r="174" spans="7:30">
      <c r="G174" s="19">
        <v>81</v>
      </c>
      <c r="H174" s="19">
        <f t="shared" ca="1" si="954"/>
        <v>0.49283531222321231</v>
      </c>
      <c r="I174" s="19">
        <f t="shared" ca="1" si="954"/>
        <v>0.21245806865000016</v>
      </c>
      <c r="J174" s="19">
        <f t="shared" ca="1" si="792"/>
        <v>0.2780125552988798</v>
      </c>
      <c r="K174" s="19">
        <f t="shared" ca="1" si="793"/>
        <v>1.1566630646657716</v>
      </c>
      <c r="L174" s="19">
        <f t="array" aca="1" ref="L174:M174" ca="1">MMULT(J174:K174,TRANSPOSE($B$10:$C$11))</f>
        <v>0.2780125552988798</v>
      </c>
      <c r="M174" s="19">
        <f ca="1"/>
        <v>0.60767722706547522</v>
      </c>
      <c r="N174" s="20">
        <f t="shared" ref="N174" ca="1" si="1045">GetVariance(N173,Variance_Avg,Lambda,Eta,M174,"Daily")</f>
        <v>6.5439079101250628E-3</v>
      </c>
      <c r="O174" s="20">
        <f t="shared" ref="O174" ca="1" si="1046">GetStockReturns(0,RiskFreeRate,N174,L174,"Daily")</f>
        <v>1.4223713457712584E-3</v>
      </c>
      <c r="P174" s="19">
        <f t="shared" ca="1" si="895"/>
        <v>108.08066645574627</v>
      </c>
      <c r="Q174" s="19">
        <f ca="1">HCTrans(P174,Strike,RiskFreeRate,Dividend,Variance_T0*AnnualVarConvtr,(Simulation!G174)/250,0.5,Variance_Avg*AnnualVarConvtr,Lambda,SQRT(Simulation!N174),Rho,1,"Call")</f>
        <v>21.86313962192564</v>
      </c>
      <c r="R174" s="19">
        <f t="shared" ref="R174" ca="1" si="1047">BSvol(1,P174,Strike,Q174,Dividend,RiskFreeRate,G174/250)</f>
        <v>0.74785099712318326</v>
      </c>
      <c r="S174" s="19">
        <f t="shared" ref="S174" ca="1" si="1048">BSdelta(1,P174,Strike,R174/AnnualVarConvtr,Dividend,RiskFreeRate,G174/250)</f>
        <v>0.99813295791896395</v>
      </c>
      <c r="T174" s="19">
        <f t="shared" ca="1" si="815"/>
        <v>4.9967106195927494E-2</v>
      </c>
      <c r="U174" s="19">
        <f t="shared" ca="1" si="816"/>
        <v>-84.561793214933545</v>
      </c>
      <c r="V174" s="21">
        <f t="shared" ca="1" si="805"/>
        <v>9.5535958125299487E-6</v>
      </c>
      <c r="W174">
        <f t="shared" ca="1" si="806"/>
        <v>3.0908891621230852E-3</v>
      </c>
      <c r="X174" s="22">
        <f t="shared" ref="X174" ca="1" si="1049">BSdelta(1,P174,Strike,W174*AnnualVarConvtr,Dividend,RiskFreeRate,G174/250)</f>
        <v>0.99750237660531482</v>
      </c>
      <c r="Y174" s="22">
        <f t="shared" ca="1" si="818"/>
        <v>1.1570086528923944</v>
      </c>
      <c r="Z174" s="22">
        <f t="shared" ca="1" si="819"/>
        <v>-81.980305003952225</v>
      </c>
      <c r="AA174">
        <f t="shared" si="799"/>
        <v>0.73884103340948371</v>
      </c>
      <c r="AB174">
        <f t="shared" ref="AB174" ca="1" si="1050">BSdelta(1,P174,Strike,AA174/AnnualVarConvtr,Dividend,RiskFreeRate,G174/250)</f>
        <v>0.99833134485319408</v>
      </c>
      <c r="AC174">
        <f t="shared" ca="1" si="809"/>
        <v>4.5792529411959298E-2</v>
      </c>
      <c r="AD174">
        <f t="shared" ca="1" si="810"/>
        <v>-84.580380220096345</v>
      </c>
    </row>
    <row r="175" spans="7:30">
      <c r="G175" s="19">
        <v>80</v>
      </c>
      <c r="H175" s="19">
        <f t="shared" ca="1" si="954"/>
        <v>0.4621638103944572</v>
      </c>
      <c r="I175" s="19">
        <f t="shared" ca="1" si="954"/>
        <v>0.60455911840386389</v>
      </c>
      <c r="J175" s="19">
        <f t="shared" ca="1" si="792"/>
        <v>-0.98383054338455556</v>
      </c>
      <c r="K175" s="19">
        <f t="shared" ca="1" si="793"/>
        <v>-0.75878140955510331</v>
      </c>
      <c r="L175" s="19">
        <f t="array" aca="1" ref="L175:M175" ca="1">MMULT(J175:K175,TRANSPOSE($B$10:$C$11))</f>
        <v>-0.98383054338455556</v>
      </c>
      <c r="M175" s="19">
        <f ca="1"/>
        <v>0.17559846788290934</v>
      </c>
      <c r="N175" s="20">
        <f t="shared" ref="N175" ca="1" si="1051">GetVariance(N174,Variance_Avg,Lambda,Eta,M175,"Daily")</f>
        <v>6.8995126878964629E-3</v>
      </c>
      <c r="O175" s="20">
        <f t="shared" ref="O175" ca="1" si="1052">GetStockReturns(0,RiskFreeRate,N175,L175,"Daily")</f>
        <v>-5.1684403188957161E-3</v>
      </c>
      <c r="P175" s="19">
        <f t="shared" ca="1" si="895"/>
        <v>107.52349906503659</v>
      </c>
      <c r="Q175" s="19">
        <f ca="1">HCTrans(P175,Strike,RiskFreeRate,Dividend,Variance_T0*AnnualVarConvtr,(Simulation!G175)/250,0.5,Variance_Avg*AnnualVarConvtr,Lambda,SQRT(Simulation!N175),Rho,1,"Call")</f>
        <v>21.393286361299289</v>
      </c>
      <c r="R175" s="19">
        <f t="shared" ref="R175" ca="1" si="1053">BSvol(1,P175,Strike,Q175,Dividend,RiskFreeRate,G175/250)</f>
        <v>0.7477710001549992</v>
      </c>
      <c r="S175" s="19">
        <f t="shared" ref="S175" ca="1" si="1054">BSdelta(1,P175,Strike,R175/AnnualVarConvtr,Dividend,RiskFreeRate,G175/250)</f>
        <v>0.99678309981076518</v>
      </c>
      <c r="T175" s="19">
        <f t="shared" ca="1" si="815"/>
        <v>-0.14514146703484196</v>
      </c>
      <c r="U175" s="19">
        <f t="shared" ca="1" si="816"/>
        <v>-84.886505008525049</v>
      </c>
      <c r="V175" s="21">
        <f t="shared" ca="1" si="805"/>
        <v>4.3438798399110252E-5</v>
      </c>
      <c r="W175">
        <f t="shared" ca="1" si="806"/>
        <v>6.5908116646669745E-3</v>
      </c>
      <c r="X175" s="22">
        <f t="shared" ref="X175" ca="1" si="1055">BSdelta(1,P175,Strike,W175*AnnualVarConvtr,Dividend,RiskFreeRate,G175/250)</f>
        <v>0.89616461795071767</v>
      </c>
      <c r="Y175" s="22">
        <f t="shared" ca="1" si="818"/>
        <v>-10.89619039795048</v>
      </c>
      <c r="Z175" s="22">
        <f t="shared" ca="1" si="819"/>
        <v>-71.553967866628099</v>
      </c>
      <c r="AA175">
        <f t="shared" si="799"/>
        <v>0.73884103340948371</v>
      </c>
      <c r="AB175">
        <f t="shared" ref="AB175" ca="1" si="1056">BSdelta(1,P175,Strike,AA175/AnnualVarConvtr,Dividend,RiskFreeRate,G175/250)</f>
        <v>0.99708706622976861</v>
      </c>
      <c r="AC175">
        <f t="shared" ca="1" si="809"/>
        <v>-0.13378919140253304</v>
      </c>
      <c r="AD175">
        <f t="shared" ca="1" si="810"/>
        <v>-84.916444289320168</v>
      </c>
    </row>
    <row r="176" spans="7:30">
      <c r="G176" s="19">
        <v>79</v>
      </c>
      <c r="H176" s="19">
        <f t="shared" ca="1" si="954"/>
        <v>9.0064687394199261E-2</v>
      </c>
      <c r="I176" s="19">
        <f t="shared" ca="1" si="954"/>
        <v>0.41862054378706159</v>
      </c>
      <c r="J176" s="19">
        <f t="shared" ca="1" si="792"/>
        <v>-1.9135462302828596</v>
      </c>
      <c r="K176" s="19">
        <f t="shared" ca="1" si="793"/>
        <v>1.0736829422960936</v>
      </c>
      <c r="L176" s="19">
        <f t="array" aca="1" ref="L176:M176" ca="1">MMULT(J176:K176,TRANSPOSE($B$10:$C$11))</f>
        <v>-1.9135462302828596</v>
      </c>
      <c r="M176" s="19">
        <f ca="1"/>
        <v>2.1200432347321407</v>
      </c>
      <c r="N176" s="20">
        <f t="shared" ref="N176" ca="1" si="1057">GetVariance(N175,Variance_Avg,Lambda,Eta,M176,"Daily")</f>
        <v>1.1893845817326389E-2</v>
      </c>
      <c r="O176" s="20">
        <f t="shared" ref="O176" ca="1" si="1058">GetStockReturns(0,RiskFreeRate,N176,L176,"Daily")</f>
        <v>-1.3198668064340408E-2</v>
      </c>
      <c r="P176" s="19">
        <f t="shared" ca="1" si="895"/>
        <v>106.11365657997489</v>
      </c>
      <c r="Q176" s="19">
        <f ca="1">HCTrans(P176,Strike,RiskFreeRate,Dividend,Variance_T0*AnnualVarConvtr,(Simulation!G176)/250,0.5,Variance_Avg*AnnualVarConvtr,Lambda,SQRT(Simulation!N176),Rho,1,"Call")</f>
        <v>20.371156881608144</v>
      </c>
      <c r="R176" s="19">
        <f t="shared" ref="R176" ca="1" si="1059">BSvol(1,P176,Strike,Q176,Dividend,RiskFreeRate,G176/250)</f>
        <v>0.74734300046664082</v>
      </c>
      <c r="S176" s="19">
        <f t="shared" ref="S176" ca="1" si="1060">BSdelta(1,P176,Strike,R176/AnnualVarConvtr,Dividend,RiskFreeRate,G176/250)</f>
        <v>0.98766854780570346</v>
      </c>
      <c r="T176" s="19">
        <f t="shared" ca="1" si="815"/>
        <v>-0.96717844134544162</v>
      </c>
      <c r="U176" s="19">
        <f t="shared" ca="1" si="816"/>
        <v>-84.941456046870755</v>
      </c>
      <c r="V176" s="21">
        <f t="shared" ca="1" si="805"/>
        <v>6.4484557643709761E-5</v>
      </c>
      <c r="W176">
        <f t="shared" ca="1" si="806"/>
        <v>8.030227745444693E-3</v>
      </c>
      <c r="X176" s="22">
        <f t="shared" ref="X176" ca="1" si="1061">BSdelta(1,P176,Strike,W176*AnnualVarConvtr,Dividend,RiskFreeRate,G176/250)</f>
        <v>0.80705299209010573</v>
      </c>
      <c r="Y176" s="22">
        <f t="shared" ca="1" si="818"/>
        <v>-9.4559604638561847</v>
      </c>
      <c r="Z176" s="22">
        <f t="shared" ca="1" si="819"/>
        <v>-63.120136882463058</v>
      </c>
      <c r="AA176">
        <f t="shared" si="799"/>
        <v>0.73884103340948371</v>
      </c>
      <c r="AB176">
        <f t="shared" ref="AB176" ca="1" si="1062">BSdelta(1,P176,Strike,AA176/AnnualVarConvtr,Dividend,RiskFreeRate,G176/250)</f>
        <v>0.98846250129688351</v>
      </c>
      <c r="AC176">
        <f t="shared" ca="1" si="809"/>
        <v>-0.91518412143986405</v>
      </c>
      <c r="AD176">
        <f t="shared" ca="1" si="810"/>
        <v>-85.023389647571449</v>
      </c>
    </row>
    <row r="177" spans="7:30">
      <c r="G177" s="19">
        <v>78</v>
      </c>
      <c r="H177" s="19">
        <f t="shared" ca="1" si="954"/>
        <v>0.76286521816590591</v>
      </c>
      <c r="I177" s="19">
        <f t="shared" ca="1" si="954"/>
        <v>0.38931274455847498</v>
      </c>
      <c r="J177" s="19">
        <f t="shared" ca="1" si="792"/>
        <v>-0.56488500037457401</v>
      </c>
      <c r="K177" s="19">
        <f t="shared" ca="1" si="793"/>
        <v>0.47143690713478864</v>
      </c>
      <c r="L177" s="19">
        <f t="array" aca="1" ref="L177:M177" ca="1">MMULT(J177:K177,TRANSPOSE($B$10:$C$11))</f>
        <v>-0.56488500037457401</v>
      </c>
      <c r="M177" s="19">
        <f ca="1"/>
        <v>0.73360840356544543</v>
      </c>
      <c r="N177" s="20">
        <f t="shared" ref="N177" ca="1" si="1063">GetVariance(N176,Variance_Avg,Lambda,Eta,M177,"Daily")</f>
        <v>1.3910824338915362E-2</v>
      </c>
      <c r="O177" s="20">
        <f t="shared" ref="O177" ca="1" si="1064">GetStockReturns(0,RiskFreeRate,N177,L177,"Daily")</f>
        <v>-4.2137277452749047E-3</v>
      </c>
      <c r="P177" s="19">
        <f t="shared" ca="1" si="895"/>
        <v>105.6674632498973</v>
      </c>
      <c r="Q177" s="19">
        <f ca="1">HCTrans(P177,Strike,RiskFreeRate,Dividend,Variance_T0*AnnualVarConvtr,(Simulation!G177)/250,0.5,Variance_Avg*AnnualVarConvtr,Lambda,SQRT(Simulation!N177),Rho,1,"Call")</f>
        <v>19.978106172885603</v>
      </c>
      <c r="R177" s="19">
        <f t="shared" ref="R177" ca="1" si="1065">BSvol(1,P177,Strike,Q177,Dividend,RiskFreeRate,G177/250)</f>
        <v>0.7471886315753532</v>
      </c>
      <c r="S177" s="19">
        <f t="shared" ref="S177" ca="1" si="1066">BSdelta(1,P177,Strike,R177/AnnualVarConvtr,Dividend,RiskFreeRate,G177/250)</f>
        <v>0.9822082441599792</v>
      </c>
      <c r="T177" s="19">
        <f t="shared" ca="1" si="815"/>
        <v>-0.57697643481784755</v>
      </c>
      <c r="U177" s="19">
        <f t="shared" ca="1" si="816"/>
        <v>-84.757530320775444</v>
      </c>
      <c r="V177" s="21">
        <f t="shared" ca="1" si="805"/>
        <v>8.072915253716891E-5</v>
      </c>
      <c r="W177">
        <f t="shared" ca="1" si="806"/>
        <v>8.9849403190655035E-3</v>
      </c>
      <c r="X177" s="22">
        <f t="shared" ref="X177" ca="1" si="1067">BSdelta(1,P177,Strike,W177*AnnualVarConvtr,Dividend,RiskFreeRate,G177/250)</f>
        <v>0.76864192423777711</v>
      </c>
      <c r="Y177" s="22">
        <f t="shared" ca="1" si="818"/>
        <v>-4.0588001006752457</v>
      </c>
      <c r="Z177" s="22">
        <f t="shared" ca="1" si="819"/>
        <v>-59.454387490510356</v>
      </c>
      <c r="AA177">
        <f t="shared" si="799"/>
        <v>0.73884103340948371</v>
      </c>
      <c r="AB177">
        <f t="shared" ref="AB177" ca="1" si="1068">BSdelta(1,P177,Strike,AA177/AnnualVarConvtr,Dividend,RiskFreeRate,G177/250)</f>
        <v>0.98321100643448789</v>
      </c>
      <c r="AC177">
        <f t="shared" ca="1" si="809"/>
        <v>-0.55491214037921388</v>
      </c>
      <c r="AD177">
        <f t="shared" ca="1" si="810"/>
        <v>-84.861528215914774</v>
      </c>
    </row>
    <row r="178" spans="7:30">
      <c r="G178" s="19">
        <v>77</v>
      </c>
      <c r="H178" s="19">
        <f t="shared" ca="1" si="954"/>
        <v>0.29764106032228943</v>
      </c>
      <c r="I178" s="19">
        <f t="shared" ca="1" si="954"/>
        <v>0.84303153638710082</v>
      </c>
      <c r="J178" s="19">
        <f t="shared" ca="1" si="792"/>
        <v>0.85907867227871904</v>
      </c>
      <c r="K178" s="19">
        <f t="shared" ca="1" si="793"/>
        <v>-1.2983519795843046</v>
      </c>
      <c r="L178" s="19">
        <f t="array" aca="1" ref="L178:M178" ca="1">MMULT(J178:K178,TRANSPOSE($B$10:$C$11))</f>
        <v>0.85907867227871904</v>
      </c>
      <c r="M178" s="19">
        <f ca="1"/>
        <v>-1.5212434496575384</v>
      </c>
      <c r="N178" s="20">
        <f t="shared" ref="N178" ca="1" si="1069">GetVariance(N177,Variance_Avg,Lambda,Eta,M178,"Daily")</f>
        <v>9.8228031111048629E-3</v>
      </c>
      <c r="O178" s="20">
        <f t="shared" ref="O178" ca="1" si="1070">GetStockReturns(0,RiskFreeRate,N178,L178,"Daily")</f>
        <v>5.3849373193084636E-3</v>
      </c>
      <c r="P178" s="19">
        <f t="shared" ca="1" si="895"/>
        <v>106.23801071866092</v>
      </c>
      <c r="Q178" s="19">
        <f ca="1">HCTrans(P178,Strike,RiskFreeRate,Dividend,Variance_T0*AnnualVarConvtr,(Simulation!G178)/250,0.5,Variance_Avg*AnnualVarConvtr,Lambda,SQRT(Simulation!N178),Rho,1,"Call")</f>
        <v>20.240863643147051</v>
      </c>
      <c r="R178" s="19">
        <f t="shared" ref="R178" ca="1" si="1071">BSvol(1,P178,Strike,Q178,Dividend,RiskFreeRate,G178/250)</f>
        <v>0.74749986010041436</v>
      </c>
      <c r="S178" s="19">
        <f t="shared" ref="S178" ca="1" si="1072">BSdelta(1,P178,Strike,R178/AnnualVarConvtr,Dividend,RiskFreeRate,G178/250)</f>
        <v>0.98981492077212119</v>
      </c>
      <c r="T178" s="19">
        <f t="shared" ca="1" si="815"/>
        <v>0.80811819145412722</v>
      </c>
      <c r="U178" s="19">
        <f t="shared" ca="1" si="816"/>
        <v>-85.302891041968124</v>
      </c>
      <c r="V178" s="21">
        <f t="shared" ca="1" si="805"/>
        <v>9.2134371022053259E-5</v>
      </c>
      <c r="W178">
        <f t="shared" ca="1" si="806"/>
        <v>9.5986650645833692E-3</v>
      </c>
      <c r="X178" s="22">
        <f t="shared" ref="X178" ca="1" si="1073">BSdelta(1,P178,Strike,W178*AnnualVarConvtr,Dividend,RiskFreeRate,G178/250)</f>
        <v>0.776534873623274</v>
      </c>
      <c r="Y178" s="22">
        <f t="shared" ca="1" si="818"/>
        <v>0.83853124141826718</v>
      </c>
      <c r="Z178" s="22">
        <f t="shared" ca="1" si="819"/>
        <v>-60.030161261667175</v>
      </c>
      <c r="AA178">
        <f t="shared" si="799"/>
        <v>0.73884103340948371</v>
      </c>
      <c r="AB178">
        <f t="shared" ref="AB178" ca="1" si="1074">BSdelta(1,P178,Strike,AA178/AnnualVarConvtr,Dividend,RiskFreeRate,G178/250)</f>
        <v>0.99052050104515976</v>
      </c>
      <c r="AC178">
        <f t="shared" ca="1" si="809"/>
        <v>0.77654616679655275</v>
      </c>
      <c r="AD178">
        <f t="shared" ca="1" si="810"/>
        <v>-85.375316912449875</v>
      </c>
    </row>
    <row r="179" spans="7:30">
      <c r="G179" s="19">
        <v>76</v>
      </c>
      <c r="H179" s="19">
        <f t="shared" ca="1" si="954"/>
        <v>0.840403274413422</v>
      </c>
      <c r="I179" s="19">
        <f t="shared" ca="1" si="954"/>
        <v>0.47199847434273523</v>
      </c>
      <c r="J179" s="19">
        <f t="shared" ca="1" si="792"/>
        <v>-0.58059721435105294</v>
      </c>
      <c r="K179" s="19">
        <f t="shared" ca="1" si="793"/>
        <v>0.10321677292886132</v>
      </c>
      <c r="L179" s="19">
        <f t="array" aca="1" ref="L179:M179" ca="1">MMULT(J179:K179,TRANSPOSE($B$10:$C$11))</f>
        <v>-0.58059721435105294</v>
      </c>
      <c r="M179" s="19">
        <f ca="1"/>
        <v>0.48800059248716421</v>
      </c>
      <c r="N179" s="20">
        <f t="shared" ref="N179" ca="1" si="1075">GetVariance(N178,Variance_Avg,Lambda,Eta,M179,"Daily")</f>
        <v>1.1029820611145101E-2</v>
      </c>
      <c r="O179" s="20">
        <f t="shared" ref="O179" ca="1" si="1076">GetStockReturns(0,RiskFreeRate,N179,L179,"Daily")</f>
        <v>-3.856462991625279E-3</v>
      </c>
      <c r="P179" s="19">
        <f t="shared" ca="1" si="895"/>
        <v>105.82909674960577</v>
      </c>
      <c r="Q179" s="19">
        <f ca="1">HCTrans(P179,Strike,RiskFreeRate,Dividend,Variance_T0*AnnualVarConvtr,(Simulation!G179)/250,0.5,Variance_Avg*AnnualVarConvtr,Lambda,SQRT(Simulation!N179),Rho,1,"Call")</f>
        <v>19.870776911334971</v>
      </c>
      <c r="R179" s="19">
        <f t="shared" ref="R179" ca="1" si="1077">BSvol(1,P179,Strike,Q179,Dividend,RiskFreeRate,G179/250)</f>
        <v>0.74739370025192275</v>
      </c>
      <c r="S179" s="19">
        <f t="shared" ref="S179" ca="1" si="1078">BSdelta(1,P179,Strike,R179/AnnualVarConvtr,Dividend,RiskFreeRate,G179/250)</f>
        <v>0.98562346064426398</v>
      </c>
      <c r="T179" s="19">
        <f t="shared" ca="1" si="815"/>
        <v>-0.44357843939311509</v>
      </c>
      <c r="U179" s="19">
        <f t="shared" ca="1" si="816"/>
        <v>-85.229399334387082</v>
      </c>
      <c r="V179" s="21">
        <f t="shared" ca="1" si="805"/>
        <v>8.5403479706926277E-5</v>
      </c>
      <c r="W179">
        <f t="shared" ca="1" si="806"/>
        <v>9.2414003109337426E-3</v>
      </c>
      <c r="X179" s="22">
        <f t="shared" ref="X179" ca="1" si="1079">BSdelta(1,P179,Strike,W179*AnnualVarConvtr,Dividend,RiskFreeRate,G179/250)</f>
        <v>0.77141356767918656</v>
      </c>
      <c r="Y179" s="22">
        <f t="shared" ca="1" si="818"/>
        <v>-0.54198318224116082</v>
      </c>
      <c r="Z179" s="22">
        <f t="shared" ca="1" si="819"/>
        <v>-59.858264811238094</v>
      </c>
      <c r="AA179">
        <f t="shared" si="799"/>
        <v>0.73884103340948371</v>
      </c>
      <c r="AB179">
        <f t="shared" ref="AB179" ca="1" si="1080">BSdelta(1,P179,Strike,AA179/AnnualVarConvtr,Dividend,RiskFreeRate,G179/250)</f>
        <v>0.98651217728401808</v>
      </c>
      <c r="AC179">
        <f t="shared" ca="1" si="809"/>
        <v>-0.42419728312160709</v>
      </c>
      <c r="AD179">
        <f t="shared" ca="1" si="810"/>
        <v>-85.321206361140355</v>
      </c>
    </row>
    <row r="180" spans="7:30">
      <c r="G180" s="19">
        <v>75</v>
      </c>
      <c r="H180" s="19">
        <f t="shared" ca="1" si="954"/>
        <v>0.27501348179512886</v>
      </c>
      <c r="I180" s="19">
        <f t="shared" ca="1" si="954"/>
        <v>0.26274823691389138</v>
      </c>
      <c r="J180" s="19">
        <f t="shared" ca="1" si="792"/>
        <v>-0.12856794612922917</v>
      </c>
      <c r="K180" s="19">
        <f t="shared" ca="1" si="793"/>
        <v>1.601668067623085</v>
      </c>
      <c r="L180" s="19">
        <f t="array" aca="1" ref="L180:M180" ca="1">MMULT(J180:K180,TRANSPOSE($B$10:$C$11))</f>
        <v>-0.12856794612922917</v>
      </c>
      <c r="M180" s="19">
        <f ca="1"/>
        <v>1.2094219019821155</v>
      </c>
      <c r="N180" s="20">
        <f t="shared" ref="N180" ca="1" si="1081">GetVariance(N179,Variance_Avg,Lambda,Eta,M180,"Daily")</f>
        <v>1.434305756435757E-2</v>
      </c>
      <c r="O180" s="20">
        <f t="shared" ref="O180" ca="1" si="1082">GetStockReturns(0,RiskFreeRate,N180,L180,"Daily")</f>
        <v>-9.7383094874156E-4</v>
      </c>
      <c r="P180" s="19">
        <f t="shared" ca="1" si="895"/>
        <v>105.72608726496644</v>
      </c>
      <c r="Q180" s="19">
        <f ca="1">HCTrans(P180,Strike,RiskFreeRate,Dividend,Variance_T0*AnnualVarConvtr,(Simulation!G180)/250,0.5,Variance_Avg*AnnualVarConvtr,Lambda,SQRT(Simulation!N180),Rho,1,"Call")</f>
        <v>19.694550185545722</v>
      </c>
      <c r="R180" s="19">
        <f t="shared" ref="R180" ca="1" si="1083">BSvol(1,P180,Strike,Q180,Dividend,RiskFreeRate,G180/250)</f>
        <v>0.74727109555946447</v>
      </c>
      <c r="S180" s="19">
        <f t="shared" ref="S180" ca="1" si="1084">BSdelta(1,P180,Strike,R180/AnnualVarConvtr,Dividend,RiskFreeRate,G180/250)</f>
        <v>0.98476593922645783</v>
      </c>
      <c r="T180" s="19">
        <f t="shared" ca="1" si="815"/>
        <v>-9.0662384250550843E-2</v>
      </c>
      <c r="U180" s="19">
        <f t="shared" ca="1" si="816"/>
        <v>-85.314963675925782</v>
      </c>
      <c r="V180" s="21">
        <f t="shared" ca="1" si="805"/>
        <v>8.3095674946599641E-6</v>
      </c>
      <c r="W180">
        <f t="shared" ca="1" si="806"/>
        <v>2.8826320428837191E-3</v>
      </c>
      <c r="X180" s="22">
        <f t="shared" ref="X180" ca="1" si="1085">BSdelta(1,P180,Strike,W180*AnnualVarConvtr,Dividend,RiskFreeRate,G180/250)</f>
        <v>0.98754914795602788</v>
      </c>
      <c r="Y180" s="22">
        <f t="shared" ca="1" si="818"/>
        <v>22.851169221413485</v>
      </c>
      <c r="Z180" s="22">
        <f t="shared" ca="1" si="819"/>
        <v>-82.885660758440821</v>
      </c>
      <c r="AA180">
        <f t="shared" si="799"/>
        <v>0.73884103340948371</v>
      </c>
      <c r="AB180">
        <f t="shared" ref="AB180" ca="1" si="1086">BSdelta(1,P180,Strike,AA180/AnnualVarConvtr,Dividend,RiskFreeRate,G180/250)</f>
        <v>0.9856778505230781</v>
      </c>
      <c r="AC180">
        <f t="shared" ca="1" si="809"/>
        <v>-8.8210103934636491E-2</v>
      </c>
      <c r="AD180">
        <f t="shared" ca="1" si="810"/>
        <v>-85.409222982994962</v>
      </c>
    </row>
    <row r="181" spans="7:30">
      <c r="G181" s="19">
        <v>74</v>
      </c>
      <c r="H181" s="19">
        <f t="shared" ca="1" si="954"/>
        <v>0.56565962700241634</v>
      </c>
      <c r="I181" s="19">
        <f t="shared" ca="1" si="954"/>
        <v>0.53869450432970689</v>
      </c>
      <c r="J181" s="19">
        <f t="shared" ca="1" si="792"/>
        <v>-1.0360913501842339</v>
      </c>
      <c r="K181" s="19">
        <f t="shared" ca="1" si="793"/>
        <v>-0.25698289604042568</v>
      </c>
      <c r="L181" s="19">
        <f t="array" aca="1" ref="L181:M181" ca="1">MMULT(J181:K181,TRANSPOSE($B$10:$C$11))</f>
        <v>-1.0360913501842339</v>
      </c>
      <c r="M181" s="19">
        <f ca="1"/>
        <v>0.56309150143480735</v>
      </c>
      <c r="N181" s="20">
        <f t="shared" ref="N181" ca="1" si="1087">GetVariance(N180,Variance_Avg,Lambda,Eta,M181,"Daily")</f>
        <v>1.6005614479078029E-2</v>
      </c>
      <c r="O181" s="20">
        <f t="shared" ref="O181" ca="1" si="1088">GetStockReturns(0,RiskFreeRate,N181,L181,"Daily")</f>
        <v>-8.2901849522200241E-3</v>
      </c>
      <c r="P181" s="19">
        <f t="shared" ca="1" si="895"/>
        <v>104.85322155547689</v>
      </c>
      <c r="Q181" s="19">
        <f ca="1">HCTrans(P181,Strike,RiskFreeRate,Dividend,Variance_T0*AnnualVarConvtr,(Simulation!G181)/250,0.5,Variance_Avg*AnnualVarConvtr,Lambda,SQRT(Simulation!N181),Rho,1,"Call")</f>
        <v>19.030857882231416</v>
      </c>
      <c r="R181" s="19">
        <f t="shared" ref="R181" ca="1" si="1089">BSvol(1,P181,Strike,Q181,Dividend,RiskFreeRate,G181/250)</f>
        <v>0.74702104337460418</v>
      </c>
      <c r="S181" s="19">
        <f t="shared" ref="S181" ca="1" si="1090">BSdelta(1,P181,Strike,R181/AnnualVarConvtr,Dividend,RiskFreeRate,G181/250)</f>
        <v>0.96831245031894908</v>
      </c>
      <c r="T181" s="19">
        <f t="shared" ca="1" si="815"/>
        <v>-1.7252013177795964</v>
      </c>
      <c r="U181" s="19">
        <f t="shared" ca="1" si="816"/>
        <v>-84.253454661460495</v>
      </c>
      <c r="V181" s="21">
        <f t="shared" ca="1" si="805"/>
        <v>5.3529035904215346E-5</v>
      </c>
      <c r="W181">
        <f t="shared" ca="1" si="806"/>
        <v>7.3163540034784638E-3</v>
      </c>
      <c r="X181" s="22">
        <f t="shared" ref="X181" ca="1" si="1091">BSdelta(1,P181,Strike,W181*AnnualVarConvtr,Dividend,RiskFreeRate,G181/250)</f>
        <v>0.7836139285846988</v>
      </c>
      <c r="Y181" s="22">
        <f t="shared" ca="1" si="818"/>
        <v>-21.38326473970675</v>
      </c>
      <c r="Z181" s="22">
        <f t="shared" ca="1" si="819"/>
        <v>-62.166088322048381</v>
      </c>
      <c r="AA181">
        <f t="shared" si="799"/>
        <v>0.73884103340948371</v>
      </c>
      <c r="AB181">
        <f t="shared" ref="AB181" ca="1" si="1092">BSdelta(1,P181,Strike,AA181/AnnualVarConvtr,Dividend,RiskFreeRate,G181/250)</f>
        <v>0.96972877565580473</v>
      </c>
      <c r="AC181">
        <f t="shared" ca="1" si="809"/>
        <v>-1.672311880663103</v>
      </c>
      <c r="AD181">
        <f t="shared" ca="1" si="810"/>
        <v>-84.400603405646166</v>
      </c>
    </row>
    <row r="182" spans="7:30">
      <c r="G182" s="19">
        <v>73</v>
      </c>
      <c r="H182" s="19">
        <f t="shared" ca="1" si="954"/>
        <v>0.87682427806002239</v>
      </c>
      <c r="I182" s="19">
        <f t="shared" ca="1" si="954"/>
        <v>0.18833507976756358</v>
      </c>
      <c r="J182" s="19">
        <f t="shared" ca="1" si="792"/>
        <v>0.19372704821867515</v>
      </c>
      <c r="K182" s="19">
        <f t="shared" ca="1" si="793"/>
        <v>0.47472853121061925</v>
      </c>
      <c r="L182" s="19">
        <f t="array" aca="1" ref="L182:M182" ca="1">MMULT(J182:K182,TRANSPOSE($B$10:$C$11))</f>
        <v>0.19372704821867515</v>
      </c>
      <c r="M182" s="19">
        <f ca="1"/>
        <v>0.19235906521321589</v>
      </c>
      <c r="N182" s="20">
        <f t="shared" ref="N182" ca="1" si="1093">GetVariance(N181,Variance_Avg,Lambda,Eta,M182,"Daily")</f>
        <v>1.6560404071543713E-2</v>
      </c>
      <c r="O182" s="20">
        <f t="shared" ref="O182" ca="1" si="1094">GetStockReturns(0,RiskFreeRate,N182,L182,"Daily")</f>
        <v>1.576724157252872E-3</v>
      </c>
      <c r="P182" s="19">
        <f t="shared" ca="1" si="895"/>
        <v>105.01867656704846</v>
      </c>
      <c r="Q182" s="19">
        <f ca="1">HCTrans(P182,Strike,RiskFreeRate,Dividend,Variance_T0*AnnualVarConvtr,(Simulation!G182)/250,0.5,Variance_Avg*AnnualVarConvtr,Lambda,SQRT(Simulation!N182),Rho,1,"Call")</f>
        <v>19.026001113100364</v>
      </c>
      <c r="R182" s="19">
        <f t="shared" ref="R182" ca="1" si="1095">BSvol(1,P182,Strike,Q182,Dividend,RiskFreeRate,G182/250)</f>
        <v>0.74707218931952424</v>
      </c>
      <c r="S182" s="19">
        <f t="shared" ref="S182" ca="1" si="1096">BSdelta(1,P182,Strike,R182/AnnualVarConvtr,Dividend,RiskFreeRate,G182/250)</f>
        <v>0.97323852311792203</v>
      </c>
      <c r="T182" s="19">
        <f t="shared" ca="1" si="815"/>
        <v>0.51732964602107501</v>
      </c>
      <c r="U182" s="19">
        <f t="shared" ca="1" si="816"/>
        <v>-84.775641076612629</v>
      </c>
      <c r="V182" s="21">
        <f t="shared" ca="1" si="805"/>
        <v>9.7355895374599217E-5</v>
      </c>
      <c r="W182">
        <f t="shared" ca="1" si="806"/>
        <v>9.8669091094728961E-3</v>
      </c>
      <c r="X182" s="22">
        <f t="shared" ref="X182" ca="1" si="1097">BSdelta(1,P182,Strike,W182*AnnualVarConvtr,Dividend,RiskFreeRate,G182/250)</f>
        <v>0.73336085191172129</v>
      </c>
      <c r="Y182" s="22">
        <f t="shared" ca="1" si="818"/>
        <v>-5.2775116056185132</v>
      </c>
      <c r="Z182" s="22">
        <f t="shared" ca="1" si="819"/>
        <v>-56.893433485560919</v>
      </c>
      <c r="AA182">
        <f t="shared" si="799"/>
        <v>0.73884103340948371</v>
      </c>
      <c r="AB182">
        <f t="shared" ref="AB182" ca="1" si="1098">BSdelta(1,P182,Strike,AA182/AnnualVarConvtr,Dividend,RiskFreeRate,G182/250)</f>
        <v>0.97452517088647406</v>
      </c>
      <c r="AC182">
        <f t="shared" ca="1" si="809"/>
        <v>0.50371107941739568</v>
      </c>
      <c r="AD182">
        <f t="shared" ca="1" si="810"/>
        <v>-84.909171254194618</v>
      </c>
    </row>
    <row r="183" spans="7:30">
      <c r="G183" s="19">
        <v>72</v>
      </c>
      <c r="H183" s="19">
        <f t="shared" ca="1" si="954"/>
        <v>1.6366074948640952E-2</v>
      </c>
      <c r="I183" s="19">
        <f t="shared" ca="1" si="954"/>
        <v>0.72267828071583118</v>
      </c>
      <c r="J183" s="19">
        <f t="shared" ca="1" si="792"/>
        <v>-0.48991757396515456</v>
      </c>
      <c r="K183" s="19">
        <f t="shared" ca="1" si="793"/>
        <v>-2.8257866418801845</v>
      </c>
      <c r="L183" s="19">
        <f t="array" aca="1" ref="L183:M183" ca="1">MMULT(J183:K183,TRANSPOSE($B$10:$C$11))</f>
        <v>-0.48991757396515456</v>
      </c>
      <c r="M183" s="19">
        <f ca="1"/>
        <v>-1.620206342502081</v>
      </c>
      <c r="N183" s="20">
        <f t="shared" ref="N183" ca="1" si="1099">GetVariance(N182,Variance_Avg,Lambda,Eta,M183,"Daily")</f>
        <v>1.1792063080021927E-2</v>
      </c>
      <c r="O183" s="20">
        <f t="shared" ref="O183" ca="1" si="1100">GetStockReturns(0,RiskFreeRate,N183,L183,"Daily")</f>
        <v>-3.3647121077957668E-3</v>
      </c>
      <c r="P183" s="19">
        <f t="shared" ca="1" si="895"/>
        <v>104.66591276159397</v>
      </c>
      <c r="Q183" s="19">
        <f ca="1">HCTrans(P183,Strike,RiskFreeRate,Dividend,Variance_T0*AnnualVarConvtr,(Simulation!G183)/250,0.5,Variance_Avg*AnnualVarConvtr,Lambda,SQRT(Simulation!N183),Rho,1,"Call")</f>
        <v>18.698237725284073</v>
      </c>
      <c r="R183" s="19">
        <f t="shared" ref="R183" ca="1" si="1101">BSvol(1,P183,Strike,Q183,Dividend,RiskFreeRate,G183/250)</f>
        <v>0.74721393558458793</v>
      </c>
      <c r="S183" s="19">
        <f t="shared" ref="S183" ca="1" si="1102">BSdelta(1,P183,Strike,R183/AnnualVarConvtr,Dividend,RiskFreeRate,G183/250)</f>
        <v>0.96491621736396538</v>
      </c>
      <c r="T183" s="19">
        <f t="shared" ca="1" si="815"/>
        <v>-0.87106172801893822</v>
      </c>
      <c r="U183" s="19">
        <f t="shared" ca="1" si="816"/>
        <v>-84.232342736409976</v>
      </c>
      <c r="V183" s="21">
        <f t="shared" ca="1" si="805"/>
        <v>2.4417792361537843E-5</v>
      </c>
      <c r="W183">
        <f t="shared" ca="1" si="806"/>
        <v>4.9414362650486389E-3</v>
      </c>
      <c r="X183" s="22">
        <f t="shared" ref="X183" ca="1" si="1103">BSdelta(1,P183,Strike,W183*AnnualVarConvtr,Dividend,RiskFreeRate,G183/250)</f>
        <v>0.86619516538270469</v>
      </c>
      <c r="Y183" s="22">
        <f t="shared" ca="1" si="818"/>
        <v>13.903224665500176</v>
      </c>
      <c r="Z183" s="22">
        <f t="shared" ca="1" si="819"/>
        <v>-71.124421538877385</v>
      </c>
      <c r="AA183">
        <f t="shared" si="799"/>
        <v>0.73884103340948371</v>
      </c>
      <c r="AB183">
        <f t="shared" ref="AB183" ca="1" si="1104">BSdelta(1,P183,Strike,AA183/AnnualVarConvtr,Dividend,RiskFreeRate,G183/250)</f>
        <v>0.96645441682190625</v>
      </c>
      <c r="AC183">
        <f t="shared" ca="1" si="809"/>
        <v>-0.84473284084233424</v>
      </c>
      <c r="AD183">
        <f t="shared" ca="1" si="810"/>
        <v>-84.392201801168568</v>
      </c>
    </row>
    <row r="184" spans="7:30">
      <c r="G184" s="19">
        <v>71</v>
      </c>
      <c r="H184" s="19">
        <f t="shared" ca="1" si="954"/>
        <v>0.32121619415960723</v>
      </c>
      <c r="I184" s="19">
        <f t="shared" ca="1" si="954"/>
        <v>0.34973993178634233</v>
      </c>
      <c r="J184" s="19">
        <f t="shared" ca="1" si="792"/>
        <v>-0.88384425943048339</v>
      </c>
      <c r="K184" s="19">
        <f t="shared" ca="1" si="793"/>
        <v>1.2206969673378287</v>
      </c>
      <c r="L184" s="19">
        <f t="array" aca="1" ref="L184:M184" ca="1">MMULT(J184:K184,TRANSPOSE($B$10:$C$11))</f>
        <v>-0.88384425943048339</v>
      </c>
      <c r="M184" s="19">
        <f ca="1"/>
        <v>1.48481685873102</v>
      </c>
      <c r="N184" s="20">
        <f t="shared" ref="N184" ca="1" si="1105">GetVariance(N183,Variance_Avg,Lambda,Eta,M184,"Daily")</f>
        <v>1.6051898433055746E-2</v>
      </c>
      <c r="O184" s="20">
        <f t="shared" ref="O184" ca="1" si="1106">GetStockReturns(0,RiskFreeRate,N184,L184,"Daily")</f>
        <v>-7.0822123243556379E-3</v>
      </c>
      <c r="P184" s="19">
        <f t="shared" ca="1" si="895"/>
        <v>103.92726526091455</v>
      </c>
      <c r="Q184" s="19">
        <f ca="1">HCTrans(P184,Strike,RiskFreeRate,Dividend,Variance_T0*AnnualVarConvtr,(Simulation!G184)/250,0.5,Variance_Avg*AnnualVarConvtr,Lambda,SQRT(Simulation!N184),Rho,1,"Call")</f>
        <v>18.12218779372067</v>
      </c>
      <c r="R184" s="19">
        <f t="shared" ref="R184" ca="1" si="1107">BSvol(1,P184,Strike,Q184,Dividend,RiskFreeRate,G184/250)</f>
        <v>0.74687236990128691</v>
      </c>
      <c r="S184" s="19">
        <f t="shared" ref="S184" ca="1" si="1108">BSdelta(1,P184,Strike,R184/AnnualVarConvtr,Dividend,RiskFreeRate,G184/250)</f>
        <v>0.93856507066299888</v>
      </c>
      <c r="T184" s="19">
        <f t="shared" ca="1" si="815"/>
        <v>-2.7386026131206189</v>
      </c>
      <c r="U184" s="19">
        <f t="shared" ca="1" si="816"/>
        <v>-82.06979005485276</v>
      </c>
      <c r="V184" s="21">
        <f t="shared" ca="1" si="805"/>
        <v>1.3819807860122688E-5</v>
      </c>
      <c r="W184">
        <f t="shared" ca="1" si="806"/>
        <v>3.717500216559871E-3</v>
      </c>
      <c r="X184" s="22">
        <f t="shared" ref="X184" ca="1" si="1109">BSdelta(1,P184,Strike,W184*AnnualVarConvtr,Dividend,RiskFreeRate,G184/250)</f>
        <v>0.89351069360930246</v>
      </c>
      <c r="Y184" s="22">
        <f t="shared" ca="1" si="818"/>
        <v>2.8388281477476256</v>
      </c>
      <c r="Z184" s="22">
        <f t="shared" ca="1" si="819"/>
        <v>-74.539299618188409</v>
      </c>
      <c r="AA184">
        <f t="shared" si="799"/>
        <v>0.73884103340948371</v>
      </c>
      <c r="AB184">
        <f t="shared" ref="AB184" ca="1" si="1110">BSdelta(1,P184,Strike,AA184/AnnualVarConvtr,Dividend,RiskFreeRate,G184/250)</f>
        <v>0.94054176534494904</v>
      </c>
      <c r="AC184">
        <f t="shared" ca="1" si="809"/>
        <v>-2.6930310036593608</v>
      </c>
      <c r="AD184">
        <f t="shared" ca="1" si="810"/>
        <v>-82.275220729072615</v>
      </c>
    </row>
    <row r="185" spans="7:30">
      <c r="G185" s="19">
        <v>70</v>
      </c>
      <c r="H185" s="19">
        <f t="shared" ca="1" si="954"/>
        <v>0.65223872198002497</v>
      </c>
      <c r="I185" s="19">
        <f t="shared" ca="1" si="954"/>
        <v>0.43873216380747504</v>
      </c>
      <c r="J185" s="19">
        <f t="shared" ca="1" si="792"/>
        <v>-0.85683452894918322</v>
      </c>
      <c r="K185" s="19">
        <f t="shared" ca="1" si="793"/>
        <v>0.34716549673517272</v>
      </c>
      <c r="L185" s="19">
        <f t="array" aca="1" ref="L185:M185" ca="1">MMULT(J185:K185,TRANSPOSE($B$10:$C$11))</f>
        <v>-0.85683452894918322</v>
      </c>
      <c r="M185" s="19">
        <f ca="1"/>
        <v>0.85610010907213963</v>
      </c>
      <c r="N185" s="20">
        <f t="shared" ref="N185" ca="1" si="1111">GetVariance(N184,Variance_Avg,Lambda,Eta,M185,"Daily")</f>
        <v>1.8773902569559821E-2</v>
      </c>
      <c r="O185" s="20">
        <f t="shared" ref="O185" ca="1" si="1112">GetStockReturns(0,RiskFreeRate,N185,L185,"Daily")</f>
        <v>-7.425132962384672E-3</v>
      </c>
      <c r="P185" s="19">
        <f t="shared" ca="1" si="895"/>
        <v>103.15844931049489</v>
      </c>
      <c r="Q185" s="19">
        <f ca="1">HCTrans(P185,Strike,RiskFreeRate,Dividend,Variance_T0*AnnualVarConvtr,(Simulation!G185)/250,0.5,Variance_Avg*AnnualVarConvtr,Lambda,SQRT(Simulation!N185),Rho,1,"Call")</f>
        <v>17.533337912051891</v>
      </c>
      <c r="R185" s="19">
        <f t="shared" ref="R185" ca="1" si="1113">BSvol(1,P185,Strike,Q185,Dividend,RiskFreeRate,G185/250)</f>
        <v>0.74656945085097182</v>
      </c>
      <c r="S185" s="19">
        <f t="shared" ref="S185" ca="1" si="1114">BSdelta(1,P185,Strike,R185/AnnualVarConvtr,Dividend,RiskFreeRate,G185/250)</f>
        <v>0.89563732794254436</v>
      </c>
      <c r="T185" s="19">
        <f t="shared" ca="1" si="815"/>
        <v>-4.4283593714419736</v>
      </c>
      <c r="U185" s="19">
        <f t="shared" ca="1" si="816"/>
        <v>-78.230280565079568</v>
      </c>
      <c r="V185" s="21">
        <f t="shared" ca="1" si="805"/>
        <v>1.1759456398623987E-7</v>
      </c>
      <c r="W185">
        <f t="shared" ca="1" si="806"/>
        <v>3.4292063802903415E-4</v>
      </c>
      <c r="X185" s="22">
        <f t="shared" ref="X185" ca="1" si="1115">BSdelta(1,P185,Strike,W185*AnnualVarConvtr,Dividend,RiskFreeRate,G185/250)</f>
        <v>1</v>
      </c>
      <c r="Y185" s="22">
        <f t="shared" ca="1" si="818"/>
        <v>10.98527171541453</v>
      </c>
      <c r="Z185" s="22">
        <f t="shared" ca="1" si="819"/>
        <v>-86.113421215271714</v>
      </c>
      <c r="AA185">
        <f t="shared" si="799"/>
        <v>0.73884103340948371</v>
      </c>
      <c r="AB185">
        <f t="shared" ref="AB185" ca="1" si="1116">BSdelta(1,P185,Strike,AA185/AnnualVarConvtr,Dividend,RiskFreeRate,G185/250)</f>
        <v>0.89795188126079961</v>
      </c>
      <c r="AC185">
        <f t="shared" ca="1" si="809"/>
        <v>-4.3935063984345826</v>
      </c>
      <c r="AD185">
        <f t="shared" ca="1" si="810"/>
        <v>-78.470564212306812</v>
      </c>
    </row>
    <row r="186" spans="7:30">
      <c r="G186" s="19">
        <v>69</v>
      </c>
      <c r="H186" s="19">
        <f t="shared" ca="1" si="954"/>
        <v>0.26787444373087732</v>
      </c>
      <c r="I186" s="19">
        <f t="shared" ca="1" si="954"/>
        <v>7.7039600030942346E-2</v>
      </c>
      <c r="J186" s="19">
        <f t="shared" ca="1" si="792"/>
        <v>1.4366365514468522</v>
      </c>
      <c r="K186" s="19">
        <f t="shared" ca="1" si="793"/>
        <v>0.75534708752151558</v>
      </c>
      <c r="L186" s="19">
        <f t="array" aca="1" ref="L186:M186" ca="1">MMULT(J186:K186,TRANSPOSE($B$10:$C$11))</f>
        <v>1.4366365514468522</v>
      </c>
      <c r="M186" s="19">
        <f ca="1"/>
        <v>-0.5024297113776699</v>
      </c>
      <c r="N186" s="20">
        <f t="shared" ref="N186" ca="1" si="1117">GetVariance(N185,Variance_Avg,Lambda,Eta,M186,"Daily")</f>
        <v>1.7061650351976175E-2</v>
      </c>
      <c r="O186" s="20">
        <f t="shared" ref="O186" ca="1" si="1118">GetStockReturns(0,RiskFreeRate,N186,L186,"Daily")</f>
        <v>1.186827022831395E-2</v>
      </c>
      <c r="P186" s="19">
        <f t="shared" ca="1" si="895"/>
        <v>104.39005572557465</v>
      </c>
      <c r="Q186" s="19">
        <f ca="1">HCTrans(P186,Strike,RiskFreeRate,Dividend,Variance_T0*AnnualVarConvtr,(Simulation!G186)/250,0.5,Variance_Avg*AnnualVarConvtr,Lambda,SQRT(Simulation!N186),Rho,1,"Call")</f>
        <v>18.186983090007203</v>
      </c>
      <c r="R186" s="19">
        <f t="shared" ref="R186" ca="1" si="1119">BSvol(1,P186,Strike,Q186,Dividend,RiskFreeRate,G186/250)</f>
        <v>0.74701328876553741</v>
      </c>
      <c r="S186" s="19">
        <f t="shared" ref="S186" ca="1" si="1120">BSdelta(1,P186,Strike,R186/AnnualVarConvtr,Dividend,RiskFreeRate,G186/250)</f>
        <v>0.95936801910865732</v>
      </c>
      <c r="T186" s="19">
        <f t="shared" ca="1" si="815"/>
        <v>6.6528504022599204</v>
      </c>
      <c r="U186" s="19">
        <f t="shared" ca="1" si="816"/>
        <v>-84.229485789384171</v>
      </c>
      <c r="V186" s="21">
        <f t="shared" ca="1" si="805"/>
        <v>3.722354066788597E-4</v>
      </c>
      <c r="W186">
        <f t="shared" ca="1" si="806"/>
        <v>1.9293403190698621E-2</v>
      </c>
      <c r="X186" s="22">
        <f t="shared" ref="X186" ca="1" si="1121">BSdelta(1,P186,Strike,W186*AnnualVarConvtr,Dividend,RiskFreeRate,G186/250)</f>
        <v>0.63616147966910397</v>
      </c>
      <c r="Y186" s="22">
        <f t="shared" ca="1" si="818"/>
        <v>-37.981123412452867</v>
      </c>
      <c r="Z186" s="22">
        <f t="shared" ca="1" si="819"/>
        <v>-47.478652624863535</v>
      </c>
      <c r="AA186">
        <f t="shared" si="799"/>
        <v>0.73884103340948371</v>
      </c>
      <c r="AB186">
        <f t="shared" ref="AB186" ca="1" si="1122">BSdelta(1,P186,Strike,AA186/AnnualVarConvtr,Dividend,RiskFreeRate,G186/250)</f>
        <v>0.96099992720437022</v>
      </c>
      <c r="AC186">
        <f t="shared" ca="1" si="809"/>
        <v>6.5815890294379269</v>
      </c>
      <c r="AD186">
        <f t="shared" ca="1" si="810"/>
        <v>-84.398508063789421</v>
      </c>
    </row>
    <row r="187" spans="7:30">
      <c r="G187" s="19">
        <v>68</v>
      </c>
      <c r="H187" s="19">
        <f t="shared" ca="1" si="954"/>
        <v>0.48588017807811323</v>
      </c>
      <c r="I187" s="19">
        <f t="shared" ca="1" si="954"/>
        <v>0.24510254931830167</v>
      </c>
      <c r="J187" s="19">
        <f t="shared" ca="1" si="792"/>
        <v>3.6966029009707919E-2</v>
      </c>
      <c r="K187" s="19">
        <f t="shared" ca="1" si="793"/>
        <v>1.2009246345990199</v>
      </c>
      <c r="L187" s="19">
        <f t="array" aca="1" ref="L187:M187" ca="1">MMULT(J187:K187,TRANSPOSE($B$10:$C$11))</f>
        <v>3.6966029009707919E-2</v>
      </c>
      <c r="M187" s="19">
        <f ca="1"/>
        <v>0.81126336297941026</v>
      </c>
      <c r="N187" s="20">
        <f t="shared" ref="N187" ca="1" si="1123">GetVariance(N186,Variance_Avg,Lambda,Eta,M187,"Daily")</f>
        <v>1.9705834594371592E-2</v>
      </c>
      <c r="O187" s="20">
        <f t="shared" ref="O187" ca="1" si="1124">GetStockReturns(0,RiskFreeRate,N187,L187,"Daily")</f>
        <v>3.2819367893864842E-4</v>
      </c>
      <c r="P187" s="19">
        <f t="shared" ca="1" si="895"/>
        <v>104.42432150460633</v>
      </c>
      <c r="Q187" s="19">
        <f ca="1">HCTrans(P187,Strike,RiskFreeRate,Dividend,Variance_T0*AnnualVarConvtr,(Simulation!G187)/250,0.5,Variance_Avg*AnnualVarConvtr,Lambda,SQRT(Simulation!N187),Rho,1,"Call")</f>
        <v>18.093623892900553</v>
      </c>
      <c r="R187" s="19">
        <f t="shared" ref="R187" ca="1" si="1125">BSvol(1,P187,Strike,Q187,Dividend,RiskFreeRate,G187/250)</f>
        <v>0.74695760860010685</v>
      </c>
      <c r="S187" s="19">
        <f t="shared" ref="S187" ca="1" si="1126">BSdelta(1,P187,Strike,R187/AnnualVarConvtr,Dividend,RiskFreeRate,G187/250)</f>
        <v>0.9615897269365633</v>
      </c>
      <c r="T187" s="19">
        <f t="shared" ca="1" si="815"/>
        <v>0.23200033251055496</v>
      </c>
      <c r="U187" s="19">
        <f t="shared" ca="1" si="816"/>
        <v>-84.554845319001373</v>
      </c>
      <c r="V187" s="21">
        <f t="shared" ca="1" si="805"/>
        <v>1.3317336676544177E-4</v>
      </c>
      <c r="W187">
        <f t="shared" ca="1" si="806"/>
        <v>1.1540076549375302E-2</v>
      </c>
      <c r="X187" s="22">
        <f t="shared" ref="X187" ca="1" si="1127">BSdelta(1,P187,Strike,W187*AnnualVarConvtr,Dividend,RiskFreeRate,G187/250)</f>
        <v>0.69234747621591053</v>
      </c>
      <c r="Y187" s="22">
        <f t="shared" ca="1" si="818"/>
        <v>5.8671845674604288</v>
      </c>
      <c r="Z187" s="22">
        <f t="shared" ca="1" si="819"/>
        <v>-53.439196389430613</v>
      </c>
      <c r="AA187">
        <f t="shared" si="799"/>
        <v>0.73884103340948371</v>
      </c>
      <c r="AB187">
        <f t="shared" ref="AB187" ca="1" si="1128">BSdelta(1,P187,Strike,AA187/AnnualVarConvtr,Dividend,RiskFreeRate,G187/250)</f>
        <v>0.96316106793594225</v>
      </c>
      <c r="AC187">
        <f t="shared" ca="1" si="809"/>
        <v>0.22567565457037789</v>
      </c>
      <c r="AD187">
        <f t="shared" ca="1" si="810"/>
        <v>-84.717542915466453</v>
      </c>
    </row>
    <row r="188" spans="7:30">
      <c r="G188" s="19">
        <v>67</v>
      </c>
      <c r="H188" s="19">
        <f t="shared" ca="1" si="954"/>
        <v>0.43836125254252689</v>
      </c>
      <c r="I188" s="19">
        <f t="shared" ca="1" si="954"/>
        <v>0.63418454573926475</v>
      </c>
      <c r="J188" s="19">
        <f t="shared" ca="1" si="792"/>
        <v>-0.85424693730387147</v>
      </c>
      <c r="K188" s="19">
        <f t="shared" ca="1" si="793"/>
        <v>-0.95900262367406242</v>
      </c>
      <c r="L188" s="19">
        <f t="array" aca="1" ref="L188:M188" ca="1">MMULT(J188:K188,TRANSPOSE($B$10:$C$11))</f>
        <v>-0.85424693730387147</v>
      </c>
      <c r="M188" s="19">
        <f ca="1"/>
        <v>-5.6919920255105838E-2</v>
      </c>
      <c r="N188" s="20">
        <f t="shared" ref="N188" ca="1" si="1129">GetVariance(N187,Variance_Avg,Lambda,Eta,M188,"Daily")</f>
        <v>1.9443284268492771E-2</v>
      </c>
      <c r="O188" s="20">
        <f t="shared" ref="O188" ca="1" si="1130">GetStockReturns(0,RiskFreeRate,N188,L188,"Daily")</f>
        <v>-7.5335250893810626E-3</v>
      </c>
      <c r="P188" s="19">
        <f t="shared" ca="1" si="895"/>
        <v>103.64059408035207</v>
      </c>
      <c r="Q188" s="19">
        <f ca="1">HCTrans(P188,Strike,RiskFreeRate,Dividend,Variance_T0*AnnualVarConvtr,(Simulation!G188)/250,0.5,Variance_Avg*AnnualVarConvtr,Lambda,SQRT(Simulation!N188),Rho,1,"Call")</f>
        <v>17.492655090637911</v>
      </c>
      <c r="R188" s="19">
        <f t="shared" ref="R188" ca="1" si="1131">BSvol(1,P188,Strike,Q188,Dividend,RiskFreeRate,G188/250)</f>
        <v>0.74677696557811279</v>
      </c>
      <c r="S188" s="19">
        <f t="shared" ref="S188" ca="1" si="1132">BSdelta(1,P188,Strike,R188/AnnualVarConvtr,Dividend,RiskFreeRate,G188/250)</f>
        <v>0.92985678615255551</v>
      </c>
      <c r="T188" s="19">
        <f t="shared" ca="1" si="815"/>
        <v>-3.2888208347712009</v>
      </c>
      <c r="U188" s="19">
        <f t="shared" ca="1" si="816"/>
        <v>-81.866993286492814</v>
      </c>
      <c r="V188" s="21">
        <f t="shared" ca="1" si="805"/>
        <v>6.1806621992150382E-5</v>
      </c>
      <c r="W188">
        <f t="shared" ca="1" si="806"/>
        <v>7.8617187683197101E-3</v>
      </c>
      <c r="X188" s="22">
        <f t="shared" ref="X188" ca="1" si="1133">BSdelta(1,P188,Strike,W188*AnnualVarConvtr,Dividend,RiskFreeRate,G188/250)</f>
        <v>0.72168727958496093</v>
      </c>
      <c r="Y188" s="22">
        <f t="shared" ca="1" si="818"/>
        <v>3.0407946513690987</v>
      </c>
      <c r="Z188" s="22">
        <f t="shared" ca="1" si="819"/>
        <v>-57.080959843062352</v>
      </c>
      <c r="AA188">
        <f t="shared" si="799"/>
        <v>0.73884103340948371</v>
      </c>
      <c r="AB188">
        <f t="shared" ref="AB188" ca="1" si="1134">BSdelta(1,P188,Strike,AA188/AnnualVarConvtr,Dividend,RiskFreeRate,G188/250)</f>
        <v>0.93192785448972348</v>
      </c>
      <c r="AC188">
        <f t="shared" ca="1" si="809"/>
        <v>-3.2370287966045534</v>
      </c>
      <c r="AD188">
        <f t="shared" ca="1" si="810"/>
        <v>-82.081482921124547</v>
      </c>
    </row>
    <row r="189" spans="7:30">
      <c r="G189" s="19">
        <v>66</v>
      </c>
      <c r="H189" s="19">
        <f t="shared" ca="1" si="954"/>
        <v>0.26800111239558522</v>
      </c>
      <c r="I189" s="19">
        <f t="shared" ca="1" si="954"/>
        <v>3.8540985581767995E-2</v>
      </c>
      <c r="J189" s="19">
        <f t="shared" ca="1" si="792"/>
        <v>1.5754648162806959</v>
      </c>
      <c r="K189" s="19">
        <f t="shared" ca="1" si="793"/>
        <v>0.38915152339651837</v>
      </c>
      <c r="L189" s="19">
        <f t="array" aca="1" ref="L189:M189" ca="1">MMULT(J189:K189,TRANSPOSE($B$10:$C$11))</f>
        <v>1.5754648162806959</v>
      </c>
      <c r="M189" s="19">
        <f ca="1"/>
        <v>-0.85735346156958336</v>
      </c>
      <c r="N189" s="20">
        <f t="shared" ref="N189" ca="1" si="1135">GetVariance(N188,Variance_Avg,Lambda,Eta,M189,"Daily")</f>
        <v>1.6556680613814136E-2</v>
      </c>
      <c r="O189" s="20">
        <f t="shared" ref="O189" ca="1" si="1136">GetStockReturns(0,RiskFreeRate,N189,L189,"Daily")</f>
        <v>1.2821101550350338E-2</v>
      </c>
      <c r="P189" s="19">
        <f t="shared" ca="1" si="895"/>
        <v>104.97793543709669</v>
      </c>
      <c r="Q189" s="19">
        <f ca="1">HCTrans(P189,Strike,RiskFreeRate,Dividend,Variance_T0*AnnualVarConvtr,(Simulation!G189)/250,0.5,Variance_Avg*AnnualVarConvtr,Lambda,SQRT(Simulation!N189),Rho,1,"Call")</f>
        <v>18.215280905312298</v>
      </c>
      <c r="R189" s="19">
        <f t="shared" ref="R189" ca="1" si="1137">BSvol(1,P189,Strike,Q189,Dividend,RiskFreeRate,G189/250)</f>
        <v>0.7472814654572536</v>
      </c>
      <c r="S189" s="19">
        <f t="shared" ref="S189" ca="1" si="1138">BSdelta(1,P189,Strike,R189/AnnualVarConvtr,Dividend,RiskFreeRate,G189/250)</f>
        <v>0.9779245240738923</v>
      </c>
      <c r="T189" s="19">
        <f t="shared" ca="1" si="815"/>
        <v>5.0460518881133769</v>
      </c>
      <c r="U189" s="19">
        <f t="shared" ca="1" si="816"/>
        <v>-86.190419359931809</v>
      </c>
      <c r="V189" s="21">
        <f t="shared" ca="1" si="805"/>
        <v>4.143108256428632E-4</v>
      </c>
      <c r="W189">
        <f t="shared" ca="1" si="806"/>
        <v>2.03546266397314E-2</v>
      </c>
      <c r="X189" s="22">
        <f t="shared" ref="X189" ca="1" si="1139">BSdelta(1,P189,Strike,W189*AnnualVarConvtr,Dividend,RiskFreeRate,G189/250)</f>
        <v>0.64671290672874926</v>
      </c>
      <c r="Y189" s="22">
        <f t="shared" ca="1" si="818"/>
        <v>-7.8706548731362034</v>
      </c>
      <c r="Z189" s="22">
        <f t="shared" ca="1" si="819"/>
        <v>-48.487679155251762</v>
      </c>
      <c r="AA189">
        <f t="shared" si="799"/>
        <v>0.73884103340948371</v>
      </c>
      <c r="AB189">
        <f t="shared" ref="AB189" ca="1" si="1140">BSdelta(1,P189,Strike,AA189/AnnualVarConvtr,Dividend,RiskFreeRate,G189/250)</f>
        <v>0.97909323836884998</v>
      </c>
      <c r="AC189">
        <f t="shared" ca="1" si="809"/>
        <v>4.9513246237288229</v>
      </c>
      <c r="AD189">
        <f t="shared" ca="1" si="810"/>
        <v>-86.310181730178982</v>
      </c>
    </row>
    <row r="190" spans="7:30">
      <c r="G190" s="19">
        <v>65</v>
      </c>
      <c r="H190" s="19">
        <f t="shared" ca="1" si="954"/>
        <v>0.79944578438552472</v>
      </c>
      <c r="I190" s="19">
        <f t="shared" ca="1" si="954"/>
        <v>0.42789283967426428</v>
      </c>
      <c r="J190" s="19">
        <f t="shared" ca="1" si="792"/>
        <v>-0.60158042013489077</v>
      </c>
      <c r="K190" s="19">
        <f t="shared" ca="1" si="793"/>
        <v>0.29287219042836771</v>
      </c>
      <c r="L190" s="19">
        <f t="array" aca="1" ref="L190:M190" ca="1">MMULT(J190:K190,TRANSPOSE($B$10:$C$11))</f>
        <v>-0.60158042013489077</v>
      </c>
      <c r="M190" s="19">
        <f ca="1"/>
        <v>0.63533623048106691</v>
      </c>
      <c r="N190" s="20">
        <f t="shared" ref="N190" ca="1" si="1141">GetVariance(N189,Variance_Avg,Lambda,Eta,M190,"Daily")</f>
        <v>1.8571481126701928E-2</v>
      </c>
      <c r="O190" s="20">
        <f t="shared" ref="O190" ca="1" si="1142">GetStockReturns(0,RiskFreeRate,N190,L190,"Daily")</f>
        <v>-5.1849784891998558E-3</v>
      </c>
      <c r="P190" s="19">
        <f t="shared" ca="1" si="895"/>
        <v>104.43503577781806</v>
      </c>
      <c r="Q190" s="19">
        <f ca="1">HCTrans(P190,Strike,RiskFreeRate,Dividend,Variance_T0*AnnualVarConvtr,(Simulation!G190)/250,0.5,Variance_Avg*AnnualVarConvtr,Lambda,SQRT(Simulation!N190),Rho,1,"Call")</f>
        <v>17.757609211495279</v>
      </c>
      <c r="R190" s="19">
        <f t="shared" ref="R190" ca="1" si="1143">BSvol(1,P190,Strike,Q190,Dividend,RiskFreeRate,G190/250)</f>
        <v>0.74710183461207769</v>
      </c>
      <c r="S190" s="19">
        <f t="shared" ref="S190" ca="1" si="1144">BSdelta(1,P190,Strike,R190/AnnualVarConvtr,Dividend,RiskFreeRate,G190/250)</f>
        <v>0.96509720183823799</v>
      </c>
      <c r="T190" s="19">
        <f t="shared" ca="1" si="815"/>
        <v>-1.3396218566141582</v>
      </c>
      <c r="U190" s="19">
        <f t="shared" ca="1" si="816"/>
        <v>-85.30846919713467</v>
      </c>
      <c r="V190" s="21">
        <f t="shared" ca="1" si="805"/>
        <v>3.2421891839068791E-4</v>
      </c>
      <c r="W190">
        <f t="shared" ca="1" si="806"/>
        <v>1.8006080039550194E-2</v>
      </c>
      <c r="X190" s="22">
        <f t="shared" ref="X190" ca="1" si="1145">BSdelta(1,P190,Strike,W190*AnnualVarConvtr,Dividend,RiskFreeRate,G190/250)</f>
        <v>0.64487155578405009</v>
      </c>
      <c r="Y190" s="22">
        <f t="shared" ca="1" si="818"/>
        <v>-0.19230155178917707</v>
      </c>
      <c r="Z190" s="22">
        <f t="shared" ca="1" si="819"/>
        <v>-48.753049297279603</v>
      </c>
      <c r="AA190">
        <f t="shared" si="799"/>
        <v>0.73884103340948371</v>
      </c>
      <c r="AB190">
        <f t="shared" ref="AB190" ca="1" si="1146">BSdelta(1,P190,Strike,AA190/AnnualVarConvtr,Dividend,RiskFreeRate,G190/250)</f>
        <v>0.96661170828588772</v>
      </c>
      <c r="AC190">
        <f t="shared" ca="1" si="809"/>
        <v>-1.3035090407760768</v>
      </c>
      <c r="AD190">
        <f t="shared" ca="1" si="810"/>
        <v>-85.464344383219924</v>
      </c>
    </row>
    <row r="191" spans="7:30">
      <c r="G191" s="19">
        <v>64</v>
      </c>
      <c r="H191" s="19">
        <f t="shared" ca="1" si="954"/>
        <v>0.99826282096458341</v>
      </c>
      <c r="I191" s="19">
        <f t="shared" ca="1" si="954"/>
        <v>0.10659606178843095</v>
      </c>
      <c r="J191" s="19">
        <f t="shared" ca="1" si="792"/>
        <v>4.6230106148791285E-2</v>
      </c>
      <c r="K191" s="19">
        <f t="shared" ca="1" si="793"/>
        <v>3.6608150005535744E-2</v>
      </c>
      <c r="L191" s="19">
        <f t="array" aca="1" ref="L191:M191" ca="1">MMULT(J191:K191,TRANSPOSE($B$10:$C$11))</f>
        <v>4.6230106148791285E-2</v>
      </c>
      <c r="M191" s="19">
        <f ca="1"/>
        <v>-7.5864981740191156E-3</v>
      </c>
      <c r="N191" s="20">
        <f t="shared" ref="N191" ca="1" si="1147">GetVariance(N190,Variance_Avg,Lambda,Eta,M191,"Daily")</f>
        <v>1.8485039104730473E-2</v>
      </c>
      <c r="O191" s="20">
        <f t="shared" ref="O191" ca="1" si="1148">GetStockReturns(0,RiskFreeRate,N191,L191,"Daily")</f>
        <v>3.9752557378653123E-4</v>
      </c>
      <c r="P191" s="19">
        <f t="shared" ca="1" si="895"/>
        <v>104.47655962818845</v>
      </c>
      <c r="Q191" s="19">
        <f ca="1">HCTrans(P191,Strike,RiskFreeRate,Dividend,Variance_T0*AnnualVarConvtr,(Simulation!G191)/250,0.5,Variance_Avg*AnnualVarConvtr,Lambda,SQRT(Simulation!N191),Rho,1,"Call")</f>
        <v>17.667279227161131</v>
      </c>
      <c r="R191" s="19">
        <f t="shared" ref="R191" ca="1" si="1149">BSvol(1,P191,Strike,Q191,Dividend,RiskFreeRate,G191/250)</f>
        <v>0.74714994866858986</v>
      </c>
      <c r="S191" s="19">
        <f t="shared" ref="S191" ca="1" si="1150">BSdelta(1,P191,Strike,R191/AnnualVarConvtr,Dividend,RiskFreeRate,G191/250)</f>
        <v>0.9673795926744313</v>
      </c>
      <c r="T191" s="19">
        <f t="shared" ca="1" si="815"/>
        <v>0.23845634229238066</v>
      </c>
      <c r="U191" s="19">
        <f t="shared" ca="1" si="816"/>
        <v>-85.637255523761198</v>
      </c>
      <c r="V191" s="21">
        <f t="shared" ca="1" si="805"/>
        <v>3.116435161325952E-5</v>
      </c>
      <c r="W191">
        <f t="shared" ca="1" si="806"/>
        <v>5.5825040629863872E-3</v>
      </c>
      <c r="X191" s="22">
        <f t="shared" ref="X191" ca="1" si="1151">BSdelta(1,P191,Strike,W191*AnnualVarConvtr,Dividend,RiskFreeRate,G191/250)</f>
        <v>0.84204686520475569</v>
      </c>
      <c r="Y191" s="22">
        <f t="shared" ca="1" si="818"/>
        <v>20.600197971898858</v>
      </c>
      <c r="Z191" s="22">
        <f t="shared" ca="1" si="819"/>
        <v>-69.443577253512615</v>
      </c>
      <c r="AA191">
        <f t="shared" si="799"/>
        <v>0.73884103340948371</v>
      </c>
      <c r="AB191">
        <f t="shared" ref="AB191" ca="1" si="1152">BSdelta(1,P191,Strike,AA191/AnnualVarConvtr,Dividend,RiskFreeRate,G191/250)</f>
        <v>0.96884406016481561</v>
      </c>
      <c r="AC191">
        <f t="shared" ca="1" si="809"/>
        <v>0.23322844418990887</v>
      </c>
      <c r="AD191">
        <f t="shared" ca="1" si="810"/>
        <v>-85.787902811743976</v>
      </c>
    </row>
    <row r="192" spans="7:30">
      <c r="G192" s="19">
        <v>63</v>
      </c>
      <c r="H192" s="19">
        <f t="shared" ca="1" si="954"/>
        <v>0.94531815730419244</v>
      </c>
      <c r="I192" s="19">
        <f t="shared" ca="1" si="954"/>
        <v>0.91006748641775115</v>
      </c>
      <c r="J192" s="19">
        <f t="shared" ca="1" si="792"/>
        <v>0.2832314164212632</v>
      </c>
      <c r="K192" s="19">
        <f t="shared" ca="1" si="793"/>
        <v>-0.17957570064200207</v>
      </c>
      <c r="L192" s="19">
        <f t="array" aca="1" ref="L192:M192" ca="1">MMULT(J192:K192,TRANSPOSE($B$10:$C$11))</f>
        <v>0.2832314164212632</v>
      </c>
      <c r="M192" s="19">
        <f ca="1"/>
        <v>-0.3282050005514911</v>
      </c>
      <c r="N192" s="20">
        <f t="shared" ref="N192" ca="1" si="1153">GetVariance(N191,Variance_Avg,Lambda,Eta,M192,"Daily")</f>
        <v>1.7346427850606111E-2</v>
      </c>
      <c r="O192" s="20">
        <f t="shared" ref="O192" ca="1" si="1154">GetStockReturns(0,RiskFreeRate,N192,L192,"Daily")</f>
        <v>2.3592634898225548E-3</v>
      </c>
      <c r="P192" s="19">
        <f t="shared" ca="1" si="895"/>
        <v>104.7233383544142</v>
      </c>
      <c r="Q192" s="19">
        <f ca="1">HCTrans(P192,Strike,RiskFreeRate,Dividend,Variance_T0*AnnualVarConvtr,(Simulation!G192)/250,0.5,Variance_Avg*AnnualVarConvtr,Lambda,SQRT(Simulation!N192),Rho,1,"Call")</f>
        <v>17.705212029325367</v>
      </c>
      <c r="R192" s="19">
        <f t="shared" ref="R192" ca="1" si="1155">BSvol(1,P192,Strike,Q192,Dividend,RiskFreeRate,G192/250)</f>
        <v>0.74728636812353111</v>
      </c>
      <c r="S192" s="19">
        <f t="shared" ref="S192" ca="1" si="1156">BSdelta(1,P192,Strike,R192/AnnualVarConvtr,Dividend,RiskFreeRate,G192/250)</f>
        <v>0.9748318499329236</v>
      </c>
      <c r="T192" s="19">
        <f t="shared" ca="1" si="815"/>
        <v>0.78042525838522836</v>
      </c>
      <c r="U192" s="19">
        <f t="shared" ca="1" si="816"/>
        <v>-86.379747979982184</v>
      </c>
      <c r="V192" s="21">
        <f t="shared" ca="1" si="805"/>
        <v>3.8484156512133612E-6</v>
      </c>
      <c r="W192">
        <f t="shared" ca="1" si="806"/>
        <v>1.9617379160360238E-3</v>
      </c>
      <c r="X192" s="22">
        <f t="shared" ref="X192" ca="1" si="1157">BSdelta(1,P192,Strike,W192*AnnualVarConvtr,Dividend,RiskFreeRate,G192/250)</f>
        <v>0.99851960973475395</v>
      </c>
      <c r="Y192" s="22">
        <f t="shared" ca="1" si="818"/>
        <v>16.38634816865882</v>
      </c>
      <c r="Z192" s="22">
        <f t="shared" ca="1" si="819"/>
        <v>-85.791992620007193</v>
      </c>
      <c r="AA192">
        <f t="shared" si="799"/>
        <v>0.73884103340948371</v>
      </c>
      <c r="AB192">
        <f t="shared" ref="AB192" ca="1" si="1158">BSdelta(1,P192,Strike,AA192/AnnualVarConvtr,Dividend,RiskFreeRate,G192/250)</f>
        <v>0.97610302528355275</v>
      </c>
      <c r="AC192">
        <f t="shared" ca="1" si="809"/>
        <v>0.76018306023239968</v>
      </c>
      <c r="AD192">
        <f t="shared" ca="1" si="810"/>
        <v>-86.510153069812134</v>
      </c>
    </row>
    <row r="193" spans="7:30">
      <c r="G193" s="19">
        <v>62</v>
      </c>
      <c r="H193" s="19">
        <f t="shared" ca="1" si="954"/>
        <v>0.64503635012029314</v>
      </c>
      <c r="I193" s="19">
        <f t="shared" ca="1" si="954"/>
        <v>0.95383217053233693</v>
      </c>
      <c r="J193" s="19">
        <f t="shared" ca="1" si="792"/>
        <v>0.89730460105991505</v>
      </c>
      <c r="K193" s="19">
        <f t="shared" ca="1" si="793"/>
        <v>-0.26784634945077407</v>
      </c>
      <c r="L193" s="19">
        <f t="array" aca="1" ref="L193:M193" ca="1">MMULT(J193:K193,TRANSPOSE($B$10:$C$11))</f>
        <v>0.89730460105991505</v>
      </c>
      <c r="M193" s="19">
        <f ca="1"/>
        <v>-0.82976490249802526</v>
      </c>
      <c r="N193" s="20">
        <f t="shared" ref="N193" ca="1" si="1159">GetVariance(N192,Variance_Avg,Lambda,Eta,M193,"Daily")</f>
        <v>1.4715614751150267E-2</v>
      </c>
      <c r="O193" s="20">
        <f t="shared" ref="O193" ca="1" si="1160">GetStockReturns(0,RiskFreeRate,N193,L193,"Daily")</f>
        <v>6.8842890252020584E-3</v>
      </c>
      <c r="P193" s="19">
        <f t="shared" ca="1" si="895"/>
        <v>105.44677138721163</v>
      </c>
      <c r="Q193" s="19">
        <f ca="1">HCTrans(P193,Strike,RiskFreeRate,Dividend,Variance_T0*AnnualVarConvtr,(Simulation!G193)/250,0.5,Variance_Avg*AnnualVarConvtr,Lambda,SQRT(Simulation!N193),Rho,1,"Call")</f>
        <v>18.044309754516519</v>
      </c>
      <c r="R193" s="19">
        <f t="shared" ref="R193" ca="1" si="1161">BSvol(1,P193,Strike,Q193,Dividend,RiskFreeRate,G193/250)</f>
        <v>0.7475771119265362</v>
      </c>
      <c r="S193" s="19">
        <f t="shared" ref="S193" ca="1" si="1162">BSdelta(1,P193,Strike,R193/AnnualVarConvtr,Dividend,RiskFreeRate,G193/250)</f>
        <v>0.98822052970612906</v>
      </c>
      <c r="T193" s="19">
        <f t="shared" ca="1" si="815"/>
        <v>1.4117930552217803</v>
      </c>
      <c r="U193" s="19">
        <f t="shared" ca="1" si="816"/>
        <v>-87.452443310012811</v>
      </c>
      <c r="V193" s="21">
        <f t="shared" ca="1" si="805"/>
        <v>2.0475856095836558E-5</v>
      </c>
      <c r="W193">
        <f t="shared" ca="1" si="806"/>
        <v>4.5250255353795031E-3</v>
      </c>
      <c r="X193" s="22">
        <f t="shared" ref="X193" ca="1" si="1163">BSdelta(1,P193,Strike,W193*AnnualVarConvtr,Dividend,RiskFreeRate,G193/250)</f>
        <v>0.93400942960172562</v>
      </c>
      <c r="Y193" s="22">
        <f t="shared" ca="1" si="818"/>
        <v>-6.8023902166352803</v>
      </c>
      <c r="Z193" s="22">
        <f t="shared" ca="1" si="819"/>
        <v>-78.650504678180766</v>
      </c>
      <c r="AA193">
        <f t="shared" si="799"/>
        <v>0.73884103340948371</v>
      </c>
      <c r="AB193">
        <f t="shared" ref="AB193" ca="1" si="1164">BSdelta(1,P193,Strike,AA193/AnnualVarConvtr,Dividend,RiskFreeRate,G193/250)</f>
        <v>0.98901084529714323</v>
      </c>
      <c r="AC193">
        <f t="shared" ca="1" si="809"/>
        <v>1.3610879460803498</v>
      </c>
      <c r="AD193">
        <f t="shared" ca="1" si="810"/>
        <v>-87.532143290701327</v>
      </c>
    </row>
    <row r="194" spans="7:30">
      <c r="G194" s="19">
        <v>61</v>
      </c>
      <c r="H194" s="19">
        <f t="shared" ca="1" si="954"/>
        <v>0.6730356904374093</v>
      </c>
      <c r="I194" s="19">
        <f t="shared" ca="1" si="954"/>
        <v>0.51326820389622974</v>
      </c>
      <c r="J194" s="19">
        <f t="shared" ca="1" si="792"/>
        <v>-0.88680481803453559</v>
      </c>
      <c r="K194" s="19">
        <f t="shared" ca="1" si="793"/>
        <v>-7.4101636222283371E-2</v>
      </c>
      <c r="L194" s="19">
        <f t="array" aca="1" ref="L194:M194" ca="1">MMULT(J194:K194,TRANSPOSE($B$10:$C$11))</f>
        <v>-0.88680481803453559</v>
      </c>
      <c r="M194" s="19">
        <f ca="1"/>
        <v>0.58370330724613051</v>
      </c>
      <c r="N194" s="20">
        <f t="shared" ref="N194" ca="1" si="1165">GetVariance(N193,Variance_Avg,Lambda,Eta,M194,"Daily")</f>
        <v>1.6462397614443011E-2</v>
      </c>
      <c r="O194" s="20">
        <f t="shared" ref="O194" ca="1" si="1166">GetStockReturns(0,RiskFreeRate,N194,L194,"Daily")</f>
        <v>-7.1962225047561279E-3</v>
      </c>
      <c r="P194" s="19">
        <f t="shared" ca="1" si="895"/>
        <v>104.69067673348215</v>
      </c>
      <c r="Q194" s="19">
        <f ca="1">HCTrans(P194,Strike,RiskFreeRate,Dividend,Variance_T0*AnnualVarConvtr,(Simulation!G194)/250,0.5,Variance_Avg*AnnualVarConvtr,Lambda,SQRT(Simulation!N194),Rho,1,"Call")</f>
        <v>17.447525560366671</v>
      </c>
      <c r="R194" s="19">
        <f t="shared" ref="R194" ca="1" si="1167">BSvol(1,P194,Strike,Q194,Dividend,RiskFreeRate,G194/250)</f>
        <v>0.74736850863951199</v>
      </c>
      <c r="S194" s="19">
        <f t="shared" ref="S194" ca="1" si="1168">BSdelta(1,P194,Strike,R194/AnnualVarConvtr,Dividend,RiskFreeRate,G194/250)</f>
        <v>0.9758637238212724</v>
      </c>
      <c r="T194" s="19">
        <f t="shared" ca="1" si="815"/>
        <v>-1.2936423703499182</v>
      </c>
      <c r="U194" s="19">
        <f t="shared" ca="1" si="816"/>
        <v>-86.755585133812744</v>
      </c>
      <c r="V194" s="21">
        <f t="shared" ca="1" si="805"/>
        <v>1.9826080494528541E-4</v>
      </c>
      <c r="W194">
        <f t="shared" ca="1" si="806"/>
        <v>1.4080511529958185E-2</v>
      </c>
      <c r="X194" s="22">
        <f t="shared" ref="X194" ca="1" si="1169">BSdelta(1,P194,Strike,W194*AnnualVarConvtr,Dividend,RiskFreeRate,G194/250)</f>
        <v>0.68147138749726144</v>
      </c>
      <c r="Y194" s="22">
        <f t="shared" ca="1" si="818"/>
        <v>-26.438378528864963</v>
      </c>
      <c r="Z194" s="22">
        <f t="shared" ca="1" si="819"/>
        <v>-52.808910343465655</v>
      </c>
      <c r="AA194">
        <f t="shared" si="799"/>
        <v>0.73884103340948371</v>
      </c>
      <c r="AB194">
        <f t="shared" ref="AB194" ca="1" si="1170">BSdelta(1,P194,Strike,AA194/AnnualVarConvtr,Dividend,RiskFreeRate,G194/250)</f>
        <v>0.97711388204793137</v>
      </c>
      <c r="AC194">
        <f t="shared" ca="1" si="809"/>
        <v>-1.2455011336333559</v>
      </c>
      <c r="AD194">
        <f t="shared" ca="1" si="810"/>
        <v>-86.883426351217821</v>
      </c>
    </row>
    <row r="195" spans="7:30">
      <c r="G195" s="19">
        <v>60</v>
      </c>
      <c r="H195" s="19">
        <f t="shared" ca="1" si="954"/>
        <v>0.49071359674771342</v>
      </c>
      <c r="I195" s="19">
        <f t="shared" ca="1" si="954"/>
        <v>0.86155868809283032</v>
      </c>
      <c r="J195" s="19">
        <f t="shared" ca="1" si="792"/>
        <v>0.76955865313554717</v>
      </c>
      <c r="K195" s="19">
        <f t="shared" ca="1" si="793"/>
        <v>-0.91190390621123918</v>
      </c>
      <c r="L195" s="19">
        <f t="array" aca="1" ref="L195:M195" ca="1">MMULT(J195:K195,TRANSPOSE($B$10:$C$11))</f>
        <v>0.76955865313554717</v>
      </c>
      <c r="M195" s="19">
        <f ca="1"/>
        <v>-1.1875211684843558</v>
      </c>
      <c r="N195" s="20">
        <f t="shared" ref="N195" ca="1" si="1171">GetVariance(N194,Variance_Avg,Lambda,Eta,M195,"Daily")</f>
        <v>1.2888389526734122E-2</v>
      </c>
      <c r="O195" s="20">
        <f t="shared" ref="O195" ca="1" si="1172">GetStockReturns(0,RiskFreeRate,N195,L195,"Daily")</f>
        <v>5.5254931926197043E-3</v>
      </c>
      <c r="P195" s="19">
        <f t="shared" ca="1" si="895"/>
        <v>105.27074546216681</v>
      </c>
      <c r="Q195" s="19">
        <f ca="1">HCTrans(P195,Strike,RiskFreeRate,Dividend,Variance_T0*AnnualVarConvtr,(Simulation!G195)/250,0.5,Variance_Avg*AnnualVarConvtr,Lambda,SQRT(Simulation!N195),Rho,1,"Call")</f>
        <v>17.693717464620548</v>
      </c>
      <c r="R195" s="19">
        <f t="shared" ref="R195" ca="1" si="1173">BSvol(1,P195,Strike,Q195,Dividend,RiskFreeRate,G195/250)</f>
        <v>0.74763877886379027</v>
      </c>
      <c r="S195" s="19">
        <f t="shared" ref="S195" ca="1" si="1174">BSdelta(1,P195,Strike,R195/AnnualVarConvtr,Dividend,RiskFreeRate,G195/250)</f>
        <v>0.98709228659115344</v>
      </c>
      <c r="T195" s="19">
        <f t="shared" ca="1" si="815"/>
        <v>1.1820391732541102</v>
      </c>
      <c r="U195" s="19">
        <f t="shared" ca="1" si="816"/>
        <v>-87.691432402812978</v>
      </c>
      <c r="V195" s="21">
        <f t="shared" ca="1" si="805"/>
        <v>1.6184205028485865E-4</v>
      </c>
      <c r="W195">
        <f t="shared" ca="1" si="806"/>
        <v>1.2721715697375832E-2</v>
      </c>
      <c r="X195" s="22">
        <f t="shared" ref="X195" ca="1" si="1175">BSdelta(1,P195,Strike,W195*AnnualVarConvtr,Dividend,RiskFreeRate,G195/250)</f>
        <v>0.7158390565132362</v>
      </c>
      <c r="Y195" s="22">
        <f t="shared" ca="1" si="818"/>
        <v>3.6179101371086766</v>
      </c>
      <c r="Z195" s="22">
        <f t="shared" ca="1" si="819"/>
        <v>-56.180628576320458</v>
      </c>
      <c r="AA195">
        <f t="shared" si="799"/>
        <v>0.73884103340948371</v>
      </c>
      <c r="AB195">
        <f t="shared" ref="AB195" ca="1" si="1176">BSdelta(1,P195,Strike,AA195/AnnualVarConvtr,Dividend,RiskFreeRate,G195/250)</f>
        <v>0.9879410052582992</v>
      </c>
      <c r="AC195">
        <f t="shared" ca="1" si="809"/>
        <v>1.13977933156615</v>
      </c>
      <c r="AD195">
        <f t="shared" ca="1" si="810"/>
        <v>-87.77701377853009</v>
      </c>
    </row>
    <row r="196" spans="7:30">
      <c r="G196" s="19">
        <v>59</v>
      </c>
      <c r="H196" s="19">
        <f t="shared" ca="1" si="954"/>
        <v>0.27556100525609484</v>
      </c>
      <c r="I196" s="19">
        <f t="shared" ca="1" si="954"/>
        <v>0.93594604024258121</v>
      </c>
      <c r="J196" s="19">
        <f t="shared" ca="1" si="792"/>
        <v>1.4772942498021466</v>
      </c>
      <c r="K196" s="19">
        <f t="shared" ca="1" si="793"/>
        <v>-0.62888328005536343</v>
      </c>
      <c r="L196" s="19">
        <f t="array" aca="1" ref="L196:M196" ca="1">MMULT(J196:K196,TRANSPOSE($B$10:$C$11))</f>
        <v>1.4772942498021466</v>
      </c>
      <c r="M196" s="19">
        <f ca="1"/>
        <v>-1.4971821881075238</v>
      </c>
      <c r="N196" s="20">
        <f t="shared" ref="N196" ca="1" si="1177">GetVariance(N195,Variance_Avg,Lambda,Eta,M196,"Daily")</f>
        <v>9.0266158263070731E-3</v>
      </c>
      <c r="O196" s="20">
        <f t="shared" ref="O196" ca="1" si="1178">GetStockReturns(0,RiskFreeRate,N196,L196,"Daily")</f>
        <v>8.876862292180791E-3</v>
      </c>
      <c r="P196" s="19">
        <f t="shared" ca="1" si="895"/>
        <v>106.20937927097717</v>
      </c>
      <c r="Q196" s="19">
        <f ca="1">HCTrans(P196,Strike,RiskFreeRate,Dividend,Variance_T0*AnnualVarConvtr,(Simulation!G196)/250,0.5,Variance_Avg*AnnualVarConvtr,Lambda,SQRT(Simulation!N196),Rho,1,"Call")</f>
        <v>18.170032119041309</v>
      </c>
      <c r="R196" s="19">
        <f t="shared" ref="R196" ca="1" si="1179">BSvol(1,P196,Strike,Q196,Dividend,RiskFreeRate,G196/250)</f>
        <v>0.74794545551501146</v>
      </c>
      <c r="S196" s="19">
        <f t="shared" ref="S196" ca="1" si="1180">BSdelta(1,P196,Strike,R196/AnnualVarConvtr,Dividend,RiskFreeRate,G196/250)</f>
        <v>0.99576780618221505</v>
      </c>
      <c r="T196" s="19">
        <f t="shared" ca="1" si="815"/>
        <v>0.9214215506198552</v>
      </c>
      <c r="U196" s="19">
        <f t="shared" ca="1" si="816"/>
        <v>-88.136539299012071</v>
      </c>
      <c r="V196" s="21">
        <f t="shared" ca="1" si="805"/>
        <v>1.1231674841492889E-5</v>
      </c>
      <c r="W196">
        <f t="shared" ca="1" si="806"/>
        <v>3.3513690995610867E-3</v>
      </c>
      <c r="X196" s="22">
        <f t="shared" ref="X196" ca="1" si="1181">BSdelta(1,P196,Strike,W196*AnnualVarConvtr,Dividend,RiskFreeRate,G196/250)</f>
        <v>0.99069044370711845</v>
      </c>
      <c r="Y196" s="22">
        <f t="shared" ca="1" si="818"/>
        <v>29.191795225629235</v>
      </c>
      <c r="Z196" s="22">
        <f t="shared" ca="1" si="819"/>
        <v>-84.896109147528932</v>
      </c>
      <c r="AA196">
        <f t="shared" si="799"/>
        <v>0.73884103340948371</v>
      </c>
      <c r="AB196">
        <f t="shared" ref="AB196" ca="1" si="1182">BSdelta(1,P196,Strike,AA196/AnnualVarConvtr,Dividend,RiskFreeRate,G196/250)</f>
        <v>0.99615201641405648</v>
      </c>
      <c r="AC196">
        <f t="shared" ca="1" si="809"/>
        <v>0.87208639804005017</v>
      </c>
      <c r="AD196">
        <f t="shared" ca="1" si="810"/>
        <v>-88.172785522149383</v>
      </c>
    </row>
    <row r="197" spans="7:30">
      <c r="G197" s="19">
        <v>58</v>
      </c>
      <c r="H197" s="19">
        <f t="shared" ca="1" si="954"/>
        <v>0.38467955950368449</v>
      </c>
      <c r="I197" s="19">
        <f t="shared" ca="1" si="954"/>
        <v>0.68376637250907035</v>
      </c>
      <c r="J197" s="19">
        <f t="shared" ca="1" si="792"/>
        <v>-0.55878472235286702</v>
      </c>
      <c r="K197" s="19">
        <f t="shared" ca="1" si="793"/>
        <v>-1.2642977665637711</v>
      </c>
      <c r="L197" s="19">
        <f t="array" aca="1" ref="L197:M197" ca="1">MMULT(J197:K197,TRANSPOSE($B$10:$C$11))</f>
        <v>-0.55878472235286702</v>
      </c>
      <c r="M197" s="19">
        <f ca="1"/>
        <v>-0.4815885479952427</v>
      </c>
      <c r="N197" s="20">
        <f t="shared" ref="N197" ca="1" si="1183">GetVariance(N196,Variance_Avg,Lambda,Eta,M197,"Daily")</f>
        <v>7.9290498921950111E-3</v>
      </c>
      <c r="O197" s="20">
        <f t="shared" ref="O197" ca="1" si="1184">GetStockReturns(0,RiskFreeRate,N197,L197,"Daily")</f>
        <v>-3.1469155945818505E-3</v>
      </c>
      <c r="P197" s="19">
        <f t="shared" ca="1" si="895"/>
        <v>105.87567266770888</v>
      </c>
      <c r="Q197" s="19">
        <f ca="1">HCTrans(P197,Strike,RiskFreeRate,Dividend,Variance_T0*AnnualVarConvtr,(Simulation!G197)/250,0.5,Variance_Avg*AnnualVarConvtr,Lambda,SQRT(Simulation!N197),Rho,1,"Call")</f>
        <v>17.834653552878237</v>
      </c>
      <c r="R197" s="19">
        <f t="shared" ref="R197" ca="1" si="1185">BSvol(1,P197,Strike,Q197,Dividend,RiskFreeRate,G197/250)</f>
        <v>0.74792527793912922</v>
      </c>
      <c r="S197" s="19">
        <f t="shared" ref="S197" ca="1" si="1186">BSdelta(1,P197,Strike,R197/AnnualVarConvtr,Dividend,RiskFreeRate,G197/250)</f>
        <v>0.99408740570261922</v>
      </c>
      <c r="T197" s="19">
        <f t="shared" ca="1" si="815"/>
        <v>-0.17791353112834951</v>
      </c>
      <c r="U197" s="19">
        <f t="shared" ca="1" si="816"/>
        <v>-88.294004334046789</v>
      </c>
      <c r="V197" s="21">
        <f t="shared" ca="1" si="805"/>
        <v>1.4457123467020229E-4</v>
      </c>
      <c r="W197">
        <f t="shared" ca="1" si="806"/>
        <v>1.2023777886762642E-2</v>
      </c>
      <c r="X197" s="22">
        <f t="shared" ref="X197" ca="1" si="1187">BSdelta(1,P197,Strike,W197*AnnualVarConvtr,Dividend,RiskFreeRate,G197/250)</f>
        <v>0.7483473842276005</v>
      </c>
      <c r="Y197" s="22">
        <f t="shared" ca="1" si="818"/>
        <v>-25.658234438744547</v>
      </c>
      <c r="Z197" s="22">
        <f t="shared" ca="1" si="819"/>
        <v>-59.573253274947461</v>
      </c>
      <c r="AA197">
        <f t="shared" si="799"/>
        <v>0.73884103340948371</v>
      </c>
      <c r="AB197">
        <f t="shared" ref="AB197" ca="1" si="1188">BSdelta(1,P197,Strike,AA197/AnnualVarConvtr,Dividend,RiskFreeRate,G197/250)</f>
        <v>0.99458273875698056</v>
      </c>
      <c r="AC197">
        <f t="shared" ca="1" si="809"/>
        <v>-0.16614832754532019</v>
      </c>
      <c r="AD197">
        <f t="shared" ca="1" si="810"/>
        <v>-88.34201576076714</v>
      </c>
    </row>
    <row r="198" spans="7:30">
      <c r="G198" s="19">
        <v>57</v>
      </c>
      <c r="H198" s="19">
        <f t="shared" ca="1" si="954"/>
        <v>0.82461231012805869</v>
      </c>
      <c r="I198" s="19">
        <f t="shared" ca="1" si="954"/>
        <v>0.84352586244555994</v>
      </c>
      <c r="J198" s="19">
        <f t="shared" ref="J198:J254" ca="1" si="1189">SQRT(-2*LN(H198))*COS(2*PI()*I198)</f>
        <v>0.34430073996063765</v>
      </c>
      <c r="K198" s="19">
        <f t="shared" ref="K198:K254" ca="1" si="1190">SQRT(-2*LN(H198))*SIN(2*PI()*I198)</f>
        <v>-0.51685671214871742</v>
      </c>
      <c r="L198" s="19">
        <f t="array" aca="1" ref="L198:M198" ca="1">MMULT(J198:K198,TRANSPOSE($B$10:$C$11))</f>
        <v>0.34430073996063765</v>
      </c>
      <c r="M198" s="19">
        <f ca="1"/>
        <v>-0.60724405064761977</v>
      </c>
      <c r="N198" s="20">
        <f t="shared" ref="N198" ca="1" si="1191">GetVariance(N197,Variance_Avg,Lambda,Eta,M198,"Daily")</f>
        <v>6.6539281698183191E-3</v>
      </c>
      <c r="O198" s="20">
        <f t="shared" ref="O198" ca="1" si="1192">GetStockReturns(0,RiskFreeRate,N198,L198,"Daily")</f>
        <v>1.7762619220790042E-3</v>
      </c>
      <c r="P198" s="19">
        <f t="shared" ca="1" si="895"/>
        <v>106.06390271698712</v>
      </c>
      <c r="Q198" s="19">
        <f ca="1">HCTrans(P198,Strike,RiskFreeRate,Dividend,Variance_T0*AnnualVarConvtr,(Simulation!G198)/250,0.5,Variance_Avg*AnnualVarConvtr,Lambda,SQRT(Simulation!N198),Rho,1,"Call")</f>
        <v>17.830934355856414</v>
      </c>
      <c r="R198" s="19">
        <f t="shared" ref="R198" ca="1" si="1193">BSvol(1,P198,Strike,Q198,Dividend,RiskFreeRate,G198/250)</f>
        <v>0.74800196138970954</v>
      </c>
      <c r="S198" s="19">
        <f t="shared" ref="S198" ca="1" si="1194">BSdelta(1,P198,Strike,R198/AnnualVarConvtr,Dividend,RiskFreeRate,G198/250)</f>
        <v>0.99557093490538195</v>
      </c>
      <c r="T198" s="19">
        <f t="shared" ca="1" si="815"/>
        <v>0.15734889703963612</v>
      </c>
      <c r="U198" s="19">
        <f t="shared" ca="1" si="816"/>
        <v>-88.455072428108252</v>
      </c>
      <c r="V198" s="21">
        <f t="shared" ca="1" si="805"/>
        <v>2.4237676860554938E-5</v>
      </c>
      <c r="W198">
        <f t="shared" ca="1" si="806"/>
        <v>4.9231775166608547E-3</v>
      </c>
      <c r="X198" s="22">
        <f t="shared" ref="X198" ca="1" si="1195">BSdelta(1,P198,Strike,W198*AnnualVarConvtr,Dividend,RiskFreeRate,G198/250)</f>
        <v>0.94547374944265972</v>
      </c>
      <c r="Y198" s="22">
        <f t="shared" ca="1" si="818"/>
        <v>20.907991623123316</v>
      </c>
      <c r="Z198" s="22">
        <f t="shared" ca="1" si="819"/>
        <v>-80.484964095092607</v>
      </c>
      <c r="AA198">
        <f t="shared" ref="AA198:AA240" si="1196">$R$5</f>
        <v>0.73884103340948371</v>
      </c>
      <c r="AB198">
        <f t="shared" ref="AB198" ca="1" si="1197">BSdelta(1,P198,Strike,AA198/AnnualVarConvtr,Dividend,RiskFreeRate,G198/250)</f>
        <v>0.99597132813127065</v>
      </c>
      <c r="AC198">
        <f t="shared" ca="1" si="809"/>
        <v>0.1472792083085466</v>
      </c>
      <c r="AD198">
        <f t="shared" ca="1" si="810"/>
        <v>-88.49301416609751</v>
      </c>
    </row>
    <row r="199" spans="7:30">
      <c r="G199" s="19">
        <v>56</v>
      </c>
      <c r="H199" s="19">
        <f t="shared" ca="1" si="954"/>
        <v>0.67418043485466139</v>
      </c>
      <c r="I199" s="19">
        <f t="shared" ca="1" si="954"/>
        <v>0.42129144976402144</v>
      </c>
      <c r="J199" s="19">
        <f t="shared" ca="1" si="1189"/>
        <v>-0.78159162517684655</v>
      </c>
      <c r="K199" s="19">
        <f t="shared" ca="1" si="1190"/>
        <v>0.42146117762920698</v>
      </c>
      <c r="L199" s="19">
        <f t="array" aca="1" ref="L199:M199" ca="1">MMULT(J199:K199,TRANSPOSE($B$10:$C$11))</f>
        <v>-0.78159162517684655</v>
      </c>
      <c r="M199" s="19">
        <f ca="1"/>
        <v>0.85401627645303102</v>
      </c>
      <c r="N199" s="20">
        <f t="shared" ref="N199" ca="1" si="1198">GetVariance(N198,Variance_Avg,Lambda,Eta,M199,"Daily")</f>
        <v>8.4738038031845937E-3</v>
      </c>
      <c r="O199" s="20">
        <f t="shared" ref="O199" ca="1" si="1199">GetStockReturns(0,RiskFreeRate,N199,L199,"Daily")</f>
        <v>-4.5503949748039452E-3</v>
      </c>
      <c r="P199" s="19">
        <f t="shared" ca="1" si="895"/>
        <v>105.58236648796826</v>
      </c>
      <c r="Q199" s="19">
        <f ca="1">HCTrans(P199,Strike,RiskFreeRate,Dividend,Variance_T0*AnnualVarConvtr,(Simulation!G199)/250,0.5,Variance_Avg*AnnualVarConvtr,Lambda,SQRT(Simulation!N199),Rho,1,"Call")</f>
        <v>17.39931196972087</v>
      </c>
      <c r="R199" s="19">
        <f t="shared" ref="R199" ca="1" si="1200">BSvol(1,P199,Strike,Q199,Dividend,RiskFreeRate,G199/250)</f>
        <v>0.7479061941727092</v>
      </c>
      <c r="S199" s="19">
        <f t="shared" ref="S199" ca="1" si="1201">BSdelta(1,P199,Strike,R199/AnnualVarConvtr,Dividend,RiskFreeRate,G199/250)</f>
        <v>0.99260796140461038</v>
      </c>
      <c r="T199" s="19">
        <f t="shared" ca="1" si="815"/>
        <v>-0.31283775405260228</v>
      </c>
      <c r="U199" s="19">
        <f t="shared" ca="1" si="816"/>
        <v>-88.573857060191187</v>
      </c>
      <c r="V199" s="21">
        <f t="shared" ref="V199:V254" ca="1" si="1202">(O199-O198)^2</f>
        <v>4.0026587490876598E-5</v>
      </c>
      <c r="W199">
        <f t="shared" ref="W199:W254" ca="1" si="1203">SQRT(V199)</f>
        <v>6.3266568968829498E-3</v>
      </c>
      <c r="X199" s="22">
        <f t="shared" ref="X199" ca="1" si="1204">BSdelta(1,P199,Strike,W199*AnnualVarConvtr,Dividend,RiskFreeRate,G199/250)</f>
        <v>0.87920774433391291</v>
      </c>
      <c r="Y199" s="22">
        <f t="shared" ca="1" si="818"/>
        <v>-6.9965216370852819</v>
      </c>
      <c r="Z199" s="22">
        <f t="shared" ca="1" si="819"/>
        <v>-73.920064844142871</v>
      </c>
      <c r="AA199">
        <f t="shared" si="1196"/>
        <v>0.73884103340948371</v>
      </c>
      <c r="AB199">
        <f t="shared" ref="AB199" ca="1" si="1205">BSdelta(1,P199,Strike,AA199/AnnualVarConvtr,Dividend,RiskFreeRate,G199/250)</f>
        <v>0.99319244372048165</v>
      </c>
      <c r="AC199">
        <f t="shared" ref="AC199:AC254" ca="1" si="1206">(AB199-AB198)*P199</f>
        <v>-0.29340119228762546</v>
      </c>
      <c r="AD199">
        <f t="shared" ref="AD199:AD254" ca="1" si="1207">(Q199-Q198)+AD198-AC199</f>
        <v>-88.631235359945421</v>
      </c>
    </row>
    <row r="200" spans="7:30">
      <c r="G200" s="19">
        <v>55</v>
      </c>
      <c r="H200" s="19">
        <f t="shared" ca="1" si="954"/>
        <v>0.13941269977853654</v>
      </c>
      <c r="I200" s="19">
        <f t="shared" ca="1" si="954"/>
        <v>0.97858540501951419</v>
      </c>
      <c r="J200" s="19">
        <f t="shared" ca="1" si="1189"/>
        <v>1.9671605984674709</v>
      </c>
      <c r="K200" s="19">
        <f t="shared" ca="1" si="1190"/>
        <v>-0.2662940914778904</v>
      </c>
      <c r="L200" s="19">
        <f t="array" aca="1" ref="L200:M200" ca="1">MMULT(J200:K200,TRANSPOSE($B$10:$C$11))</f>
        <v>1.9671605984674709</v>
      </c>
      <c r="M200" s="19">
        <f ca="1"/>
        <v>-1.5952338895162304</v>
      </c>
      <c r="N200" s="20">
        <f t="shared" ref="N200" ca="1" si="1208">GetVariance(N199,Variance_Avg,Lambda,Eta,M200,"Daily")</f>
        <v>5.2480213744471515E-3</v>
      </c>
      <c r="O200" s="20">
        <f t="shared" ref="O200" ca="1" si="1209">GetStockReturns(0,RiskFreeRate,N200,L200,"Daily")</f>
        <v>9.0129634587871373E-3</v>
      </c>
      <c r="P200" s="19">
        <f t="shared" ca="1" si="895"/>
        <v>106.53827782499782</v>
      </c>
      <c r="Q200" s="19">
        <f ca="1">HCTrans(P200,Strike,RiskFreeRate,Dividend,Variance_T0*AnnualVarConvtr,(Simulation!G200)/250,0.5,Variance_Avg*AnnualVarConvtr,Lambda,SQRT(Simulation!N200),Rho,1,"Call")</f>
        <v>17.883188835324106</v>
      </c>
      <c r="R200" s="19">
        <f t="shared" ref="R200" ca="1" si="1210">BSvol(1,P200,Strike,Q200,Dividend,RiskFreeRate,G200/250)</f>
        <v>0.74813178867762165</v>
      </c>
      <c r="S200" s="19">
        <f t="shared" ref="S200" ca="1" si="1211">BSdelta(1,P200,Strike,R200/AnnualVarConvtr,Dividend,RiskFreeRate,G200/250)</f>
        <v>0.99791405521856058</v>
      </c>
      <c r="T200" s="19">
        <f t="shared" ref="T200:T254" ca="1" si="1212">(S200-S199)*P200</f>
        <v>0.56530209691612832</v>
      </c>
      <c r="U200" s="19">
        <f t="shared" ref="U200:U254" ca="1" si="1213">(Q200-Q199)+U199-T200</f>
        <v>-88.655282291504079</v>
      </c>
      <c r="V200" s="21">
        <f t="shared" ca="1" si="1202"/>
        <v>1.8396469199806635E-4</v>
      </c>
      <c r="W200">
        <f t="shared" ca="1" si="1203"/>
        <v>1.3563358433591082E-2</v>
      </c>
      <c r="X200" s="22">
        <f t="shared" ref="X200" ca="1" si="1214">BSdelta(1,P200,Strike,W200*AnnualVarConvtr,Dividend,RiskFreeRate,G200/250)</f>
        <v>0.75172561183502773</v>
      </c>
      <c r="Y200" s="22">
        <f t="shared" ref="Y200:Y254" ca="1" si="1215">(X200-X199)*P200</f>
        <v>-13.581726849889414</v>
      </c>
      <c r="Z200" s="22">
        <f t="shared" ref="Z200:Z254" ca="1" si="1216">(Q200-Q199)+Z199-Y200</f>
        <v>-59.854461128650222</v>
      </c>
      <c r="AA200">
        <f t="shared" si="1196"/>
        <v>0.73884103340948371</v>
      </c>
      <c r="AB200">
        <f t="shared" ref="AB200" ca="1" si="1217">BSdelta(1,P200,Strike,AA200/AnnualVarConvtr,Dividend,RiskFreeRate,G200/250)</f>
        <v>0.99813782174358212</v>
      </c>
      <c r="AC200">
        <f t="shared" ca="1" si="1206"/>
        <v>0.52687205777471591</v>
      </c>
      <c r="AD200">
        <f t="shared" ca="1" si="1207"/>
        <v>-88.674230552116896</v>
      </c>
    </row>
    <row r="201" spans="7:30">
      <c r="G201" s="19">
        <v>54</v>
      </c>
      <c r="H201" s="19">
        <f t="shared" ca="1" si="954"/>
        <v>0.90447630412215774</v>
      </c>
      <c r="I201" s="19">
        <f t="shared" ca="1" si="954"/>
        <v>0.19551987240173663</v>
      </c>
      <c r="J201" s="19">
        <f t="shared" ca="1" si="1189"/>
        <v>0.15041226239034572</v>
      </c>
      <c r="K201" s="19">
        <f t="shared" ca="1" si="1190"/>
        <v>0.42210720893062209</v>
      </c>
      <c r="L201" s="19">
        <f t="array" aca="1" ref="L201:M201" ca="1">MMULT(J201:K201,TRANSPOSE($B$10:$C$11))</f>
        <v>0.15041226239034572</v>
      </c>
      <c r="M201" s="19">
        <f ca="1"/>
        <v>0.18668615410760445</v>
      </c>
      <c r="N201" s="20">
        <f t="shared" ref="N201" ca="1" si="1218">GetVariance(N200,Variance_Avg,Lambda,Eta,M201,"Daily")</f>
        <v>5.5944065336939915E-3</v>
      </c>
      <c r="O201" s="20">
        <f t="shared" ref="O201" ca="1" si="1219">GetStockReturns(0,RiskFreeRate,N201,L201,"Daily")</f>
        <v>7.1152514181313715E-4</v>
      </c>
      <c r="P201" s="19">
        <f t="shared" ca="1" si="895"/>
        <v>106.61410946309503</v>
      </c>
      <c r="Q201" s="19">
        <f ca="1">HCTrans(P201,Strike,RiskFreeRate,Dividend,Variance_T0*AnnualVarConvtr,(Simulation!G201)/250,0.5,Variance_Avg*AnnualVarConvtr,Lambda,SQRT(Simulation!N201),Rho,1,"Call")</f>
        <v>17.804363539911989</v>
      </c>
      <c r="R201" s="19">
        <f t="shared" ref="R201" ca="1" si="1220">BSvol(1,P201,Strike,Q201,Dividend,RiskFreeRate,G201/250)</f>
        <v>0.74816028952061531</v>
      </c>
      <c r="S201" s="19">
        <f t="shared" ref="S201" ca="1" si="1221">BSdelta(1,P201,Strike,R201/AnnualVarConvtr,Dividend,RiskFreeRate,G201/250)</f>
        <v>0.99826834393711827</v>
      </c>
      <c r="T201" s="19">
        <f t="shared" ca="1" si="1212"/>
        <v>3.7772176221849627E-2</v>
      </c>
      <c r="U201" s="19">
        <f t="shared" ca="1" si="1213"/>
        <v>-88.771879763138045</v>
      </c>
      <c r="V201" s="21">
        <f t="shared" ca="1" si="1202"/>
        <v>6.8913878130524129E-5</v>
      </c>
      <c r="W201">
        <f t="shared" ca="1" si="1203"/>
        <v>8.3014383169740004E-3</v>
      </c>
      <c r="X201" s="22">
        <f t="shared" ref="X201" ca="1" si="1222">BSdelta(1,P201,Strike,W201*AnnualVarConvtr,Dividend,RiskFreeRate,G201/250)</f>
        <v>0.86001377962284042</v>
      </c>
      <c r="Y201" s="22">
        <f t="shared" ca="1" si="1215"/>
        <v>11.545046574087864</v>
      </c>
      <c r="Z201" s="22">
        <f t="shared" ca="1" si="1216"/>
        <v>-71.478332998150208</v>
      </c>
      <c r="AA201">
        <f t="shared" si="1196"/>
        <v>0.73884103340948371</v>
      </c>
      <c r="AB201">
        <f t="shared" ref="AB201" ca="1" si="1223">BSdelta(1,P201,Strike,AA201/AnnualVarConvtr,Dividend,RiskFreeRate,G201/250)</f>
        <v>0.99846134207258075</v>
      </c>
      <c r="AC201">
        <f t="shared" ca="1" si="1206"/>
        <v>3.4491831769396214E-2</v>
      </c>
      <c r="AD201">
        <f t="shared" ca="1" si="1207"/>
        <v>-88.787547679298413</v>
      </c>
    </row>
    <row r="202" spans="7:30">
      <c r="G202" s="19">
        <v>53</v>
      </c>
      <c r="H202" s="19">
        <f t="shared" ca="1" si="954"/>
        <v>0.95386849967989829</v>
      </c>
      <c r="I202" s="19">
        <f t="shared" ca="1" si="954"/>
        <v>0.29066833600727948</v>
      </c>
      <c r="J202" s="19">
        <f t="shared" ca="1" si="1189"/>
        <v>-7.7682159817976423E-2</v>
      </c>
      <c r="K202" s="19">
        <f t="shared" ca="1" si="1190"/>
        <v>0.29736240200872155</v>
      </c>
      <c r="L202" s="19">
        <f t="array" aca="1" ref="L202:M202" ca="1">MMULT(J202:K202,TRANSPOSE($B$10:$C$11))</f>
        <v>-7.7682159817976423E-2</v>
      </c>
      <c r="M202" s="19">
        <f ca="1"/>
        <v>0.26309544059982448</v>
      </c>
      <c r="N202" s="20">
        <f t="shared" ref="N202" ca="1" si="1224">GetVariance(N201,Variance_Avg,Lambda,Eta,M202,"Daily")</f>
        <v>6.0950259853151927E-3</v>
      </c>
      <c r="O202" s="20">
        <f t="shared" ref="O202" ca="1" si="1225">GetStockReturns(0,RiskFreeRate,N202,L202,"Daily")</f>
        <v>-3.8356508568113172E-4</v>
      </c>
      <c r="P202" s="19">
        <f t="shared" ca="1" si="895"/>
        <v>106.57322385471122</v>
      </c>
      <c r="Q202" s="19">
        <f ca="1">HCTrans(P202,Strike,RiskFreeRate,Dividend,Variance_T0*AnnualVarConvtr,(Simulation!G202)/250,0.5,Variance_Avg*AnnualVarConvtr,Lambda,SQRT(Simulation!N202),Rho,1,"Call")</f>
        <v>17.64939084708999</v>
      </c>
      <c r="R202" s="19">
        <f t="shared" ref="R202" ca="1" si="1226">BSvol(1,P202,Strike,Q202,Dividend,RiskFreeRate,G202/250)</f>
        <v>0.74817194559220301</v>
      </c>
      <c r="S202" s="19">
        <f t="shared" ref="S202" ca="1" si="1227">BSdelta(1,P202,Strike,R202/AnnualVarConvtr,Dividend,RiskFreeRate,G202/250)</f>
        <v>0.99832095868891435</v>
      </c>
      <c r="T202" s="19">
        <f t="shared" ca="1" si="1212"/>
        <v>5.6073237212232998E-3</v>
      </c>
      <c r="U202" s="19">
        <f t="shared" ca="1" si="1213"/>
        <v>-88.932459779681267</v>
      </c>
      <c r="V202" s="21">
        <f t="shared" ca="1" si="1202"/>
        <v>1.1992226063534494E-6</v>
      </c>
      <c r="W202">
        <f t="shared" ca="1" si="1203"/>
        <v>1.0950902274942688E-3</v>
      </c>
      <c r="X202" s="22">
        <f t="shared" ref="X202" ca="1" si="1228">BSdelta(1,P202,Strike,W202*AnnualVarConvtr,Dividend,RiskFreeRate,G202/250)</f>
        <v>0.99999999999999933</v>
      </c>
      <c r="Y202" s="22">
        <f t="shared" ca="1" si="1215"/>
        <v>14.918782800829893</v>
      </c>
      <c r="Z202" s="22">
        <f t="shared" ca="1" si="1216"/>
        <v>-86.552088491802095</v>
      </c>
      <c r="AA202">
        <f t="shared" si="1196"/>
        <v>0.73884103340948371</v>
      </c>
      <c r="AB202">
        <f t="shared" ref="AB202" ca="1" si="1229">BSdelta(1,P202,Strike,AA202/AnnualVarConvtr,Dividend,RiskFreeRate,G202/250)</f>
        <v>0.99850940115536102</v>
      </c>
      <c r="AC202">
        <f t="shared" ca="1" si="1206"/>
        <v>5.1218113873940062E-3</v>
      </c>
      <c r="AD202">
        <f t="shared" ca="1" si="1207"/>
        <v>-88.94764218350781</v>
      </c>
    </row>
    <row r="203" spans="7:30">
      <c r="G203" s="19">
        <v>52</v>
      </c>
      <c r="H203" s="19">
        <f t="shared" ca="1" si="954"/>
        <v>0.28616131255159383</v>
      </c>
      <c r="I203" s="19">
        <f t="shared" ca="1" si="954"/>
        <v>0.189466102726497</v>
      </c>
      <c r="J203" s="19">
        <f t="shared" ca="1" si="1189"/>
        <v>0.58726591128051853</v>
      </c>
      <c r="K203" s="19">
        <f t="shared" ca="1" si="1190"/>
        <v>1.4688491903463854</v>
      </c>
      <c r="L203" s="19">
        <f t="array" aca="1" ref="L203:M203" ca="1">MMULT(J203:K203,TRANSPOSE($B$10:$C$11))</f>
        <v>0.58726591128051853</v>
      </c>
      <c r="M203" s="19">
        <f ca="1"/>
        <v>0.60387420887393395</v>
      </c>
      <c r="N203" s="20">
        <f t="shared" ref="N203" ca="1" si="1230">GetVariance(N202,Variance_Avg,Lambda,Eta,M203,"Daily")</f>
        <v>7.3108852710233995E-3</v>
      </c>
      <c r="O203" s="20">
        <f t="shared" ref="O203" ca="1" si="1231">GetStockReturns(0,RiskFreeRate,N203,L203,"Daily")</f>
        <v>3.1757753414961552E-3</v>
      </c>
      <c r="P203" s="19">
        <f t="shared" ca="1" si="895"/>
        <v>106.91221446519484</v>
      </c>
      <c r="Q203" s="19">
        <f ca="1">HCTrans(P203,Strike,RiskFreeRate,Dividend,Variance_T0*AnnualVarConvtr,(Simulation!G203)/250,0.5,Variance_Avg*AnnualVarConvtr,Lambda,SQRT(Simulation!N203),Rho,1,"Call")</f>
        <v>17.737935871264298</v>
      </c>
      <c r="R203" s="19">
        <f t="shared" ref="R203" ca="1" si="1232">BSvol(1,P203,Strike,Q203,Dividend,RiskFreeRate,G203/250)</f>
        <v>0.7482498662743523</v>
      </c>
      <c r="S203" s="19">
        <f t="shared" ref="S203" ca="1" si="1233">BSdelta(1,P203,Strike,R203/AnnualVarConvtr,Dividend,RiskFreeRate,G203/250)</f>
        <v>0.99905693493547831</v>
      </c>
      <c r="T203" s="19">
        <f t="shared" ca="1" si="1212"/>
        <v>7.8684850313935531E-2</v>
      </c>
      <c r="U203" s="19">
        <f t="shared" ca="1" si="1213"/>
        <v>-88.922599605820892</v>
      </c>
      <c r="V203" s="21">
        <f t="shared" ca="1" si="1202"/>
        <v>1.2668904276538591E-5</v>
      </c>
      <c r="W203">
        <f t="shared" ca="1" si="1203"/>
        <v>3.5593404271772868E-3</v>
      </c>
      <c r="X203" s="22">
        <f t="shared" ref="X203" ca="1" si="1234">BSdelta(1,P203,Strike,W203*AnnualVarConvtr,Dividend,RiskFreeRate,G203/250)</f>
        <v>0.99556333797779883</v>
      </c>
      <c r="Y203" s="22">
        <f t="shared" ca="1" si="1215"/>
        <v>-0.47433336162708478</v>
      </c>
      <c r="Z203" s="22">
        <f t="shared" ca="1" si="1216"/>
        <v>-85.989210106000698</v>
      </c>
      <c r="AA203">
        <f t="shared" si="1196"/>
        <v>0.73884103340948371</v>
      </c>
      <c r="AB203">
        <f t="shared" ref="AB203" ca="1" si="1235">BSdelta(1,P203,Strike,AA203/AnnualVarConvtr,Dividend,RiskFreeRate,G203/250)</f>
        <v>0.99917494619715197</v>
      </c>
      <c r="AC203">
        <f t="shared" ca="1" si="1206"/>
        <v>7.1154894244201017E-2</v>
      </c>
      <c r="AD203">
        <f t="shared" ca="1" si="1207"/>
        <v>-88.930252053577703</v>
      </c>
    </row>
    <row r="204" spans="7:30">
      <c r="G204" s="19">
        <v>51</v>
      </c>
      <c r="H204" s="19">
        <f t="shared" ca="1" si="954"/>
        <v>0.49929926700749294</v>
      </c>
      <c r="I204" s="19">
        <f t="shared" ca="1" si="954"/>
        <v>0.48785494540082586</v>
      </c>
      <c r="J204" s="19">
        <f t="shared" ca="1" si="1189"/>
        <v>-1.1751706265428072</v>
      </c>
      <c r="K204" s="19">
        <f t="shared" ca="1" si="1190"/>
        <v>8.9851307975056791E-2</v>
      </c>
      <c r="L204" s="19">
        <f t="array" aca="1" ref="L204:M204" ca="1">MMULT(J204:K204,TRANSPOSE($B$10:$C$11))</f>
        <v>-1.1751706265428072</v>
      </c>
      <c r="M204" s="19">
        <f ca="1"/>
        <v>0.90468886650106528</v>
      </c>
      <c r="N204" s="20">
        <f t="shared" ref="N204" ca="1" si="1236">GetVariance(N203,Variance_Avg,Lambda,Eta,M204,"Daily")</f>
        <v>9.3292537784609806E-3</v>
      </c>
      <c r="O204" s="20">
        <f t="shared" ref="O204" ca="1" si="1237">GetStockReturns(0,RiskFreeRate,N204,L204,"Daily")</f>
        <v>-7.1788417011504702E-3</v>
      </c>
      <c r="P204" s="19">
        <f t="shared" ca="1" si="895"/>
        <v>106.14745692265969</v>
      </c>
      <c r="Q204" s="19">
        <f ca="1">HCTrans(P204,Strike,RiskFreeRate,Dividend,Variance_T0*AnnualVarConvtr,(Simulation!G204)/250,0.5,Variance_Avg*AnnualVarConvtr,Lambda,SQRT(Simulation!N204),Rho,1,"Call")</f>
        <v>17.115447123186968</v>
      </c>
      <c r="R204" s="19">
        <f t="shared" ref="R204" ca="1" si="1238">BSvol(1,P204,Strike,Q204,Dividend,RiskFreeRate,G204/250)</f>
        <v>0.74812680875719129</v>
      </c>
      <c r="S204" s="19">
        <f t="shared" ref="S204" ca="1" si="1239">BSdelta(1,P204,Strike,R204/AnnualVarConvtr,Dividend,RiskFreeRate,G204/250)</f>
        <v>0.99746304365593863</v>
      </c>
      <c r="T204" s="19">
        <f t="shared" ca="1" si="1212"/>
        <v>-0.16918750593434145</v>
      </c>
      <c r="U204" s="19">
        <f t="shared" ca="1" si="1213"/>
        <v>-89.375900847963877</v>
      </c>
      <c r="V204" s="21">
        <f t="shared" ca="1" si="1202"/>
        <v>1.0721809409986796E-4</v>
      </c>
      <c r="W204">
        <f t="shared" ca="1" si="1203"/>
        <v>1.0354617042646626E-2</v>
      </c>
      <c r="X204" s="22">
        <f t="shared" ref="X204" ca="1" si="1240">BSdelta(1,P204,Strike,W204*AnnualVarConvtr,Dividend,RiskFreeRate,G204/250)</f>
        <v>0.8005974427690471</v>
      </c>
      <c r="Y204" s="22">
        <f t="shared" ca="1" si="1215"/>
        <v>-20.695133963058758</v>
      </c>
      <c r="Z204" s="22">
        <f t="shared" ca="1" si="1216"/>
        <v>-65.916564891019277</v>
      </c>
      <c r="AA204">
        <f t="shared" si="1196"/>
        <v>0.73884103340948371</v>
      </c>
      <c r="AB204">
        <f t="shared" ref="AB204" ca="1" si="1241">BSdelta(1,P204,Strike,AA204/AnnualVarConvtr,Dividend,RiskFreeRate,G204/250)</f>
        <v>0.99772484396722905</v>
      </c>
      <c r="AC204">
        <f t="shared" ca="1" si="1206"/>
        <v>-0.15392466398419619</v>
      </c>
      <c r="AD204">
        <f t="shared" ca="1" si="1207"/>
        <v>-89.398816137670835</v>
      </c>
    </row>
    <row r="205" spans="7:30">
      <c r="G205" s="19">
        <v>50</v>
      </c>
      <c r="H205" s="19">
        <f t="shared" ca="1" si="954"/>
        <v>0.12643454454573977</v>
      </c>
      <c r="I205" s="19">
        <f t="shared" ca="1" si="954"/>
        <v>0.34494144637227597</v>
      </c>
      <c r="J205" s="19">
        <f t="shared" ca="1" si="1189"/>
        <v>-1.1425073806144992</v>
      </c>
      <c r="K205" s="19">
        <f t="shared" ca="1" si="1190"/>
        <v>1.6824797067255683</v>
      </c>
      <c r="L205" s="19">
        <f t="array" aca="1" ref="L205:M205" ca="1">MMULT(J205:K205,TRANSPOSE($B$10:$C$11))</f>
        <v>-1.1425073806144992</v>
      </c>
      <c r="M205" s="19">
        <f ca="1"/>
        <v>1.9922826630584873</v>
      </c>
      <c r="N205" s="20">
        <f t="shared" ref="N205" ca="1" si="1242">GetVariance(N204,Variance_Avg,Lambda,Eta,M205,"Daily")</f>
        <v>1.463222204900508E-2</v>
      </c>
      <c r="O205" s="20">
        <f t="shared" ref="O205" ca="1" si="1243">GetStockReturns(0,RiskFreeRate,N205,L205,"Daily")</f>
        <v>-8.7406584788211096E-3</v>
      </c>
      <c r="P205" s="19">
        <f t="shared" ca="1" si="895"/>
        <v>105.22370125089422</v>
      </c>
      <c r="Q205" s="19">
        <f ca="1">HCTrans(P205,Strike,RiskFreeRate,Dividend,Variance_T0*AnnualVarConvtr,(Simulation!G205)/250,0.5,Variance_Avg*AnnualVarConvtr,Lambda,SQRT(Simulation!N205),Rho,1,"Call")</f>
        <v>16.39630382592739</v>
      </c>
      <c r="R205" s="19">
        <f t="shared" ref="R205" ca="1" si="1244">BSvol(1,P205,Strike,Q205,Dividend,RiskFreeRate,G205/250)</f>
        <v>0.74789548724190158</v>
      </c>
      <c r="S205" s="19">
        <f t="shared" ref="S205" ca="1" si="1245">BSdelta(1,P205,Strike,R205/AnnualVarConvtr,Dividend,RiskFreeRate,G205/250)</f>
        <v>0.99218938542242308</v>
      </c>
      <c r="T205" s="19">
        <f t="shared" ca="1" si="1212"/>
        <v>-0.55491383846275932</v>
      </c>
      <c r="U205" s="19">
        <f t="shared" ca="1" si="1213"/>
        <v>-89.540130306760702</v>
      </c>
      <c r="V205" s="21">
        <f t="shared" ca="1" si="1202"/>
        <v>2.4392716470134994E-6</v>
      </c>
      <c r="W205">
        <f t="shared" ca="1" si="1203"/>
        <v>1.5618167776706394E-3</v>
      </c>
      <c r="X205" s="22">
        <f t="shared" ref="X205" ca="1" si="1246">BSdelta(1,P205,Strike,W205*AnnualVarConvtr,Dividend,RiskFreeRate,G205/250)</f>
        <v>0.9999980453224383</v>
      </c>
      <c r="Y205" s="22">
        <f t="shared" ca="1" si="1215"/>
        <v>20.981669432326331</v>
      </c>
      <c r="Z205" s="22">
        <f t="shared" ca="1" si="1216"/>
        <v>-87.617377620605183</v>
      </c>
      <c r="AA205">
        <f t="shared" si="1196"/>
        <v>0.73884103340948371</v>
      </c>
      <c r="AB205">
        <f t="shared" ref="AB205" ca="1" si="1247">BSdelta(1,P205,Strike,AA205/AnnualVarConvtr,Dividend,RiskFreeRate,G205/250)</f>
        <v>0.99279780390858918</v>
      </c>
      <c r="AC205">
        <f t="shared" ca="1" si="1206"/>
        <v>-0.51844139118150945</v>
      </c>
      <c r="AD205">
        <f t="shared" ca="1" si="1207"/>
        <v>-89.599518043748901</v>
      </c>
    </row>
    <row r="206" spans="7:30">
      <c r="G206" s="19">
        <v>49</v>
      </c>
      <c r="H206" s="19">
        <f t="shared" ca="1" si="954"/>
        <v>0.77774008155317764</v>
      </c>
      <c r="I206" s="19">
        <f t="shared" ca="1" si="954"/>
        <v>9.3436261601987702E-2</v>
      </c>
      <c r="J206" s="19">
        <f t="shared" ca="1" si="1189"/>
        <v>0.59031359222155355</v>
      </c>
      <c r="K206" s="19">
        <f t="shared" ca="1" si="1190"/>
        <v>0.3927539368336796</v>
      </c>
      <c r="L206" s="19">
        <f t="array" aca="1" ref="L206:M206" ca="1">MMULT(J206:K206,TRANSPOSE($B$10:$C$11))</f>
        <v>0.59031359222155355</v>
      </c>
      <c r="M206" s="19">
        <f ca="1"/>
        <v>-0.14897961241978525</v>
      </c>
      <c r="N206" s="20">
        <f t="shared" ref="N206" ca="1" si="1248">GetVariance(N205,Variance_Avg,Lambda,Eta,M206,"Daily")</f>
        <v>1.4153457558327262E-2</v>
      </c>
      <c r="O206" s="20">
        <f t="shared" ref="O206" ca="1" si="1249">GetStockReturns(0,RiskFreeRate,N206,L206,"Daily")</f>
        <v>4.4416471254074101E-3</v>
      </c>
      <c r="P206" s="19">
        <f t="shared" ca="1" si="895"/>
        <v>105.69210727815403</v>
      </c>
      <c r="Q206" s="19">
        <f ca="1">HCTrans(P206,Strike,RiskFreeRate,Dividend,Variance_T0*AnnualVarConvtr,(Simulation!G206)/250,0.5,Variance_Avg*AnnualVarConvtr,Lambda,SQRT(Simulation!N206),Rho,1,"Call")</f>
        <v>16.55898710547153</v>
      </c>
      <c r="R206" s="19">
        <f t="shared" ref="R206" ca="1" si="1250">BSvol(1,P206,Strike,Q206,Dividend,RiskFreeRate,G206/250)</f>
        <v>0.74804899805757563</v>
      </c>
      <c r="S206" s="19">
        <f t="shared" ref="S206" ca="1" si="1251">BSdelta(1,P206,Strike,R206/AnnualVarConvtr,Dividend,RiskFreeRate,G206/250)</f>
        <v>0.99601738643972437</v>
      </c>
      <c r="T206" s="19">
        <f t="shared" ca="1" si="1212"/>
        <v>0.40458949418149143</v>
      </c>
      <c r="U206" s="19">
        <f t="shared" ca="1" si="1213"/>
        <v>-89.782036521398055</v>
      </c>
      <c r="V206" s="21">
        <f t="shared" ca="1" si="1202"/>
        <v>1.7377318104327464E-4</v>
      </c>
      <c r="W206">
        <f t="shared" ca="1" si="1203"/>
        <v>1.318230560422852E-2</v>
      </c>
      <c r="X206" s="22">
        <f t="shared" ref="X206" ca="1" si="1252">BSdelta(1,P206,Strike,W206*AnnualVarConvtr,Dividend,RiskFreeRate,G206/250)</f>
        <v>0.74088520195550078</v>
      </c>
      <c r="Y206" s="22">
        <f t="shared" ca="1" si="1215"/>
        <v>-27.386182438285882</v>
      </c>
      <c r="Z206" s="22">
        <f t="shared" ca="1" si="1216"/>
        <v>-60.068511902775157</v>
      </c>
      <c r="AA206">
        <f t="shared" si="1196"/>
        <v>0.73884103340948371</v>
      </c>
      <c r="AB206">
        <f t="shared" ref="AB206" ca="1" si="1253">BSdelta(1,P206,Strike,AA206/AnnualVarConvtr,Dividend,RiskFreeRate,G206/250)</f>
        <v>0.99638814346398163</v>
      </c>
      <c r="AC206">
        <f t="shared" ca="1" si="1206"/>
        <v>0.37947055345353886</v>
      </c>
      <c r="AD206">
        <f t="shared" ca="1" si="1207"/>
        <v>-89.816305317658305</v>
      </c>
    </row>
    <row r="207" spans="7:30">
      <c r="G207" s="19">
        <v>48</v>
      </c>
      <c r="H207" s="19">
        <f t="shared" ca="1" si="954"/>
        <v>0.62689181515882186</v>
      </c>
      <c r="I207" s="19">
        <f t="shared" ca="1" si="954"/>
        <v>0.31482374340075436</v>
      </c>
      <c r="J207" s="19">
        <f t="shared" ca="1" si="1189"/>
        <v>-0.38282815961536332</v>
      </c>
      <c r="K207" s="19">
        <f t="shared" ca="1" si="1190"/>
        <v>0.88735854866640973</v>
      </c>
      <c r="L207" s="19">
        <f t="array" aca="1" ref="L207:M207" ca="1">MMULT(J207:K207,TRANSPOSE($B$10:$C$11))</f>
        <v>-0.38282815961536332</v>
      </c>
      <c r="M207" s="19">
        <f ca="1"/>
        <v>0.89330624530162017</v>
      </c>
      <c r="N207" s="20">
        <f t="shared" ref="N207" ca="1" si="1254">GetVariance(N206,Variance_Avg,Lambda,Eta,M207,"Daily")</f>
        <v>1.6841624421428742E-2</v>
      </c>
      <c r="O207" s="20">
        <f t="shared" ref="O207" ca="1" si="1255">GetStockReturns(0,RiskFreeRate,N207,L207,"Daily")</f>
        <v>-3.1421423796638578E-3</v>
      </c>
      <c r="P207" s="19">
        <f t="shared" ca="1" si="895"/>
        <v>105.36052883482658</v>
      </c>
      <c r="Q207" s="19">
        <f ca="1">HCTrans(P207,Strike,RiskFreeRate,Dividend,Variance_T0*AnnualVarConvtr,(Simulation!G207)/250,0.5,Variance_Avg*AnnualVarConvtr,Lambda,SQRT(Simulation!N207),Rho,1,"Call")</f>
        <v>16.213735782025168</v>
      </c>
      <c r="R207" s="19">
        <f t="shared" ref="R207" ca="1" si="1256">BSvol(1,P207,Strike,Q207,Dividend,RiskFreeRate,G207/250)</f>
        <v>0.74797289788769361</v>
      </c>
      <c r="S207" s="19">
        <f t="shared" ref="S207" ca="1" si="1257">BSdelta(1,P207,Strike,R207/AnnualVarConvtr,Dividend,RiskFreeRate,G207/250)</f>
        <v>0.99428886179471943</v>
      </c>
      <c r="T207" s="19">
        <f t="shared" ca="1" si="1212"/>
        <v>-0.18211827070175216</v>
      </c>
      <c r="U207" s="19">
        <f t="shared" ca="1" si="1213"/>
        <v>-89.945169574142668</v>
      </c>
      <c r="V207" s="21">
        <f t="shared" ca="1" si="1202"/>
        <v>5.7513863257229111E-5</v>
      </c>
      <c r="W207">
        <f t="shared" ca="1" si="1203"/>
        <v>7.5837895050712683E-3</v>
      </c>
      <c r="X207" s="22">
        <f t="shared" ref="X207" ca="1" si="1258">BSdelta(1,P207,Strike,W207*AnnualVarConvtr,Dividend,RiskFreeRate,G207/250)</f>
        <v>0.84615990407780406</v>
      </c>
      <c r="Y207" s="22">
        <f t="shared" ca="1" si="1215"/>
        <v>11.091798288534713</v>
      </c>
      <c r="Z207" s="22">
        <f t="shared" ca="1" si="1216"/>
        <v>-71.505561514756238</v>
      </c>
      <c r="AA207">
        <f t="shared" si="1196"/>
        <v>0.73884103340948371</v>
      </c>
      <c r="AB207">
        <f t="shared" ref="AB207" ca="1" si="1259">BSdelta(1,P207,Strike,AA207/AnnualVarConvtr,Dividend,RiskFreeRate,G207/250)</f>
        <v>0.99477416890331305</v>
      </c>
      <c r="AC207">
        <f t="shared" ca="1" si="1206"/>
        <v>-0.17004921323799904</v>
      </c>
      <c r="AD207">
        <f t="shared" ca="1" si="1207"/>
        <v>-89.991507427866665</v>
      </c>
    </row>
    <row r="208" spans="7:30">
      <c r="G208" s="19">
        <v>47</v>
      </c>
      <c r="H208" s="19">
        <f t="shared" ca="1" si="954"/>
        <v>0.1024685441236155</v>
      </c>
      <c r="I208" s="19">
        <f t="shared" ca="1" si="954"/>
        <v>0.7070107820353595</v>
      </c>
      <c r="J208" s="19">
        <f t="shared" ca="1" si="1189"/>
        <v>-0.56958222529065861</v>
      </c>
      <c r="K208" s="19">
        <f t="shared" ca="1" si="1190"/>
        <v>-2.0571764428061807</v>
      </c>
      <c r="L208" s="19">
        <f t="array" aca="1" ref="L208:M208" ca="1">MMULT(J208:K208,TRANSPOSE($B$10:$C$11))</f>
        <v>-0.56958222529065861</v>
      </c>
      <c r="M208" s="19">
        <f ca="1"/>
        <v>-1.0269540666833792</v>
      </c>
      <c r="N208" s="20">
        <f t="shared" ref="N208" ca="1" si="1260">GetVariance(N207,Variance_Avg,Lambda,Eta,M208,"Daily")</f>
        <v>1.3680317938434385E-2</v>
      </c>
      <c r="O208" s="20">
        <f t="shared" ref="O208" ca="1" si="1261">GetStockReturns(0,RiskFreeRate,N208,L208,"Daily")</f>
        <v>-4.2134177359154975E-3</v>
      </c>
      <c r="P208" s="19">
        <f t="shared" ca="1" si="895"/>
        <v>104.91753482873798</v>
      </c>
      <c r="Q208" s="19">
        <f ca="1">HCTrans(P208,Strike,RiskFreeRate,Dividend,Variance_T0*AnnualVarConvtr,(Simulation!G208)/250,0.5,Variance_Avg*AnnualVarConvtr,Lambda,SQRT(Simulation!N208),Rho,1,"Call")</f>
        <v>15.799445720597575</v>
      </c>
      <c r="R208" s="19">
        <f t="shared" ref="R208" ca="1" si="1262">BSvol(1,P208,Strike,Q208,Dividend,RiskFreeRate,G208/250)</f>
        <v>0.74792471159088547</v>
      </c>
      <c r="S208" s="19">
        <f t="shared" ref="S208" ca="1" si="1263">BSdelta(1,P208,Strike,R208/AnnualVarConvtr,Dividend,RiskFreeRate,G208/250)</f>
        <v>0.99063316698372961</v>
      </c>
      <c r="T208" s="19">
        <f t="shared" ca="1" si="1212"/>
        <v>-0.38354648765526095</v>
      </c>
      <c r="U208" s="19">
        <f t="shared" ca="1" si="1213"/>
        <v>-89.975913147914994</v>
      </c>
      <c r="V208" s="21">
        <f t="shared" ca="1" si="1202"/>
        <v>1.1476308889120777E-6</v>
      </c>
      <c r="W208">
        <f t="shared" ca="1" si="1203"/>
        <v>1.0712753562516397E-3</v>
      </c>
      <c r="X208" s="22">
        <f t="shared" ref="X208" ca="1" si="1264">BSdelta(1,P208,Strike,W208*AnnualVarConvtr,Dividend,RiskFreeRate,G208/250)</f>
        <v>0.99999999996923383</v>
      </c>
      <c r="Y208" s="22">
        <f t="shared" ca="1" si="1215"/>
        <v>16.140523618745476</v>
      </c>
      <c r="Z208" s="22">
        <f t="shared" ca="1" si="1216"/>
        <v>-88.060375194929307</v>
      </c>
      <c r="AA208">
        <f t="shared" si="1196"/>
        <v>0.73884103340948371</v>
      </c>
      <c r="AB208">
        <f t="shared" ref="AB208" ca="1" si="1265">BSdelta(1,P208,Strike,AA208/AnnualVarConvtr,Dividend,RiskFreeRate,G208/250)</f>
        <v>0.9913305145824105</v>
      </c>
      <c r="AC208">
        <f t="shared" ca="1" si="1206"/>
        <v>-0.36129972215142681</v>
      </c>
      <c r="AD208">
        <f t="shared" ca="1" si="1207"/>
        <v>-90.044497767142829</v>
      </c>
    </row>
    <row r="209" spans="7:30">
      <c r="G209" s="19">
        <v>46</v>
      </c>
      <c r="H209" s="19">
        <f t="shared" ca="1" si="954"/>
        <v>0.19033613108858116</v>
      </c>
      <c r="I209" s="19">
        <f t="shared" ca="1" si="954"/>
        <v>0.36723396085592164</v>
      </c>
      <c r="J209" s="19">
        <f t="shared" ca="1" si="1189"/>
        <v>-1.2236505732203999</v>
      </c>
      <c r="K209" s="19">
        <f t="shared" ca="1" si="1190"/>
        <v>1.3492985556884596</v>
      </c>
      <c r="L209" s="19">
        <f t="array" aca="1" ref="L209:M209" ca="1">MMULT(J209:K209,TRANSPOSE($B$10:$C$11))</f>
        <v>-1.2236505732203999</v>
      </c>
      <c r="M209" s="19">
        <f ca="1"/>
        <v>1.8179988905203288</v>
      </c>
      <c r="N209" s="20">
        <f t="shared" ref="N209" ca="1" si="1266">GetVariance(N208,Variance_Avg,Lambda,Eta,M209,"Daily")</f>
        <v>1.9355901601594672E-2</v>
      </c>
      <c r="O209" s="20">
        <f t="shared" ref="O209" ca="1" si="1267">GetStockReturns(0,RiskFreeRate,N209,L209,"Daily")</f>
        <v>-1.0766985209567252E-2</v>
      </c>
      <c r="P209" s="19">
        <f t="shared" ca="1" si="895"/>
        <v>103.79394895382602</v>
      </c>
      <c r="Q209" s="19">
        <f ca="1">HCTrans(P209,Strike,RiskFreeRate,Dividend,Variance_T0*AnnualVarConvtr,(Simulation!G209)/250,0.5,Variance_Avg*AnnualVarConvtr,Lambda,SQRT(Simulation!N209),Rho,1,"Call")</f>
        <v>14.963514055487039</v>
      </c>
      <c r="R209" s="19">
        <f t="shared" ref="R209" ca="1" si="1268">BSvol(1,P209,Strike,Q209,Dividend,RiskFreeRate,G209/250)</f>
        <v>0.74756334087176235</v>
      </c>
      <c r="S209" s="19">
        <f t="shared" ref="S209" ca="1" si="1269">BSdelta(1,P209,Strike,R209/AnnualVarConvtr,Dividend,RiskFreeRate,G209/250)</f>
        <v>0.96757047196638957</v>
      </c>
      <c r="T209" s="19">
        <f t="shared" ca="1" si="1212"/>
        <v>-2.3937681893674498</v>
      </c>
      <c r="U209" s="19">
        <f t="shared" ca="1" si="1213"/>
        <v>-88.418076623658081</v>
      </c>
      <c r="V209" s="21">
        <f t="shared" ca="1" si="1202"/>
        <v>4.294924663170624E-5</v>
      </c>
      <c r="W209">
        <f t="shared" ca="1" si="1203"/>
        <v>6.5535674736517547E-3</v>
      </c>
      <c r="X209" s="22">
        <f t="shared" ref="X209" ca="1" si="1270">BSdelta(1,P209,Strike,W209*AnnualVarConvtr,Dividend,RiskFreeRate,G209/250)</f>
        <v>0.80510329173604955</v>
      </c>
      <c r="Y209" s="22">
        <f t="shared" ca="1" si="1215"/>
        <v>-20.229098985623853</v>
      </c>
      <c r="Z209" s="22">
        <f t="shared" ca="1" si="1216"/>
        <v>-68.667207874415993</v>
      </c>
      <c r="AA209">
        <f t="shared" si="1196"/>
        <v>0.73884103340948371</v>
      </c>
      <c r="AB209">
        <f t="shared" ref="AB209" ca="1" si="1271">BSdelta(1,P209,Strike,AA209/AnnualVarConvtr,Dividend,RiskFreeRate,G209/250)</f>
        <v>0.96910403127741551</v>
      </c>
      <c r="AC209">
        <f t="shared" ca="1" si="1206"/>
        <v>-2.3069744735817164</v>
      </c>
      <c r="AD209">
        <f t="shared" ca="1" si="1207"/>
        <v>-88.573454958671647</v>
      </c>
    </row>
    <row r="210" spans="7:30">
      <c r="G210" s="19">
        <v>45</v>
      </c>
      <c r="H210" s="19">
        <f t="shared" ca="1" si="954"/>
        <v>8.3618148184191998E-2</v>
      </c>
      <c r="I210" s="19">
        <f t="shared" ca="1" si="954"/>
        <v>0.41679448956257414</v>
      </c>
      <c r="J210" s="19">
        <f t="shared" ca="1" si="1189"/>
        <v>-1.9302052689754801</v>
      </c>
      <c r="K210" s="19">
        <f t="shared" ca="1" si="1190"/>
        <v>1.1123385354444797</v>
      </c>
      <c r="L210" s="19">
        <f t="array" aca="1" ref="L210:M210" ca="1">MMULT(J210:K210,TRANSPOSE($B$10:$C$11))</f>
        <v>-1.9302052689754801</v>
      </c>
      <c r="M210" s="19">
        <f ca="1"/>
        <v>2.1589450787436917</v>
      </c>
      <c r="N210" s="20">
        <f t="shared" ref="N210" ca="1" si="1272">GetVariance(N209,Variance_Avg,Lambda,Eta,M210,"Daily")</f>
        <v>2.7356273572327311E-2</v>
      </c>
      <c r="O210" s="20">
        <f t="shared" ref="O210" ca="1" si="1273">GetStockReturns(0,RiskFreeRate,N210,L210,"Daily")</f>
        <v>-2.0191192139547374E-2</v>
      </c>
      <c r="P210" s="19">
        <f t="shared" ca="1" si="895"/>
        <v>101.71924128317212</v>
      </c>
      <c r="Q210" s="19">
        <f ca="1">HCTrans(P210,Strike,RiskFreeRate,Dividend,Variance_T0*AnnualVarConvtr,(Simulation!G210)/250,0.5,Variance_Avg*AnnualVarConvtr,Lambda,SQRT(Simulation!N210),Rho,1,"Call")</f>
        <v>13.572176056323229</v>
      </c>
      <c r="R210" s="19">
        <f t="shared" ref="R210" ca="1" si="1274">BSvol(1,P210,Strike,Q210,Dividend,RiskFreeRate,G210/250)</f>
        <v>0.74672306407173927</v>
      </c>
      <c r="S210" s="19">
        <f t="shared" ref="S210" ca="1" si="1275">BSdelta(1,P210,Strike,R210/AnnualVarConvtr,Dividend,RiskFreeRate,G210/250)</f>
        <v>0.80531838908605646</v>
      </c>
      <c r="T210" s="19">
        <f t="shared" ca="1" si="1212"/>
        <v>-16.504158767201844</v>
      </c>
      <c r="U210" s="19">
        <f t="shared" ca="1" si="1213"/>
        <v>-73.305255855620047</v>
      </c>
      <c r="V210" s="21">
        <f t="shared" ca="1" si="1202"/>
        <v>8.8815676259085347E-5</v>
      </c>
      <c r="W210">
        <f t="shared" ca="1" si="1203"/>
        <v>9.4242069299801216E-3</v>
      </c>
      <c r="X210" s="22">
        <f t="shared" ref="X210" ca="1" si="1276">BSdelta(1,P210,Strike,W210*AnnualVarConvtr,Dividend,RiskFreeRate,G210/250)</f>
        <v>0.6183867009734354</v>
      </c>
      <c r="Y210" s="22">
        <f t="shared" ca="1" si="1215"/>
        <v>-18.992669947353658</v>
      </c>
      <c r="Z210" s="22">
        <f t="shared" ca="1" si="1216"/>
        <v>-51.065875926226141</v>
      </c>
      <c r="AA210">
        <f t="shared" si="1196"/>
        <v>0.73884103340948371</v>
      </c>
      <c r="AB210">
        <f t="shared" ref="AB210" ca="1" si="1277">BSdelta(1,P210,Strike,AA210/AnnualVarConvtr,Dividend,RiskFreeRate,G210/250)</f>
        <v>0.80777954564977761</v>
      </c>
      <c r="AC210">
        <f t="shared" ca="1" si="1206"/>
        <v>-16.409804278441335</v>
      </c>
      <c r="AD210">
        <f t="shared" ca="1" si="1207"/>
        <v>-73.554988679394114</v>
      </c>
    </row>
    <row r="211" spans="7:30">
      <c r="G211" s="19">
        <v>44</v>
      </c>
      <c r="H211" s="19">
        <f t="shared" ca="1" si="954"/>
        <v>0.73971602900225286</v>
      </c>
      <c r="I211" s="19">
        <f t="shared" ca="1" si="954"/>
        <v>0.4609105238184048</v>
      </c>
      <c r="J211" s="19">
        <f t="shared" ca="1" si="1189"/>
        <v>-0.75321324961926828</v>
      </c>
      <c r="K211" s="19">
        <f t="shared" ca="1" si="1190"/>
        <v>0.18880578022539848</v>
      </c>
      <c r="L211" s="19">
        <f t="array" aca="1" ref="L211:M211" ca="1">MMULT(J211:K211,TRANSPOSE($B$10:$C$11))</f>
        <v>-0.75321324961926828</v>
      </c>
      <c r="M211" s="19">
        <f ca="1"/>
        <v>0.67138576840725217</v>
      </c>
      <c r="N211" s="20">
        <f t="shared" ref="N211" ca="1" si="1278">GetVariance(N210,Variance_Avg,Lambda,Eta,M211,"Daily")</f>
        <v>3.0039224630892997E-2</v>
      </c>
      <c r="O211" s="20">
        <f t="shared" ref="O211" ca="1" si="1279">GetStockReturns(0,RiskFreeRate,N211,L211,"Daily")</f>
        <v>-8.256430051717641E-3</v>
      </c>
      <c r="P211" s="19">
        <f t="shared" ca="1" si="895"/>
        <v>100.88286099152778</v>
      </c>
      <c r="Q211" s="19">
        <f ca="1">HCTrans(P211,Strike,RiskFreeRate,Dividend,Variance_T0*AnnualVarConvtr,(Simulation!G211)/250,0.5,Variance_Avg*AnnualVarConvtr,Lambda,SQRT(Simulation!N211),Rho,1,"Call")</f>
        <v>12.942090948935899</v>
      </c>
      <c r="R211" s="19">
        <f t="shared" ref="R211" ca="1" si="1280">BSvol(1,P211,Strike,Q211,Dividend,RiskFreeRate,G211/250)</f>
        <v>0.74637187792988302</v>
      </c>
      <c r="S211" s="19">
        <f t="shared" ref="S211" ca="1" si="1281">BSdelta(1,P211,Strike,R211/AnnualVarConvtr,Dividend,RiskFreeRate,G211/250)</f>
        <v>0.67499786306712251</v>
      </c>
      <c r="T211" s="19">
        <f t="shared" ca="1" si="1212"/>
        <v>-13.147107510710894</v>
      </c>
      <c r="U211" s="19">
        <f t="shared" ca="1" si="1213"/>
        <v>-60.788233452296481</v>
      </c>
      <c r="V211" s="21">
        <f t="shared" ca="1" si="1202"/>
        <v>1.4243854609309793E-4</v>
      </c>
      <c r="W211">
        <f t="shared" ca="1" si="1203"/>
        <v>1.1934762087829733E-2</v>
      </c>
      <c r="X211" s="22">
        <f t="shared" ref="X211" ca="1" si="1282">BSdelta(1,P211,Strike,W211*AnnualVarConvtr,Dividend,RiskFreeRate,G211/250)</f>
        <v>0.55985972809358531</v>
      </c>
      <c r="Y211" s="22">
        <f t="shared" ca="1" si="1215"/>
        <v>-5.9043684692928329</v>
      </c>
      <c r="Z211" s="22">
        <f t="shared" ca="1" si="1216"/>
        <v>-45.791592564320638</v>
      </c>
      <c r="AA211">
        <f t="shared" si="1196"/>
        <v>0.73884103340948371</v>
      </c>
      <c r="AB211">
        <f t="shared" ref="AB211" ca="1" si="1283">BSdelta(1,P211,Strike,AA211/AnnualVarConvtr,Dividend,RiskFreeRate,G211/250)</f>
        <v>0.67658860026475631</v>
      </c>
      <c r="AC211">
        <f t="shared" ca="1" si="1206"/>
        <v>-13.234917906624217</v>
      </c>
      <c r="AD211">
        <f t="shared" ca="1" si="1207"/>
        <v>-60.950155880157226</v>
      </c>
    </row>
    <row r="212" spans="7:30">
      <c r="G212" s="19">
        <v>43</v>
      </c>
      <c r="H212" s="19">
        <f t="shared" ca="1" si="954"/>
        <v>0.32924863291763096</v>
      </c>
      <c r="I212" s="19">
        <f t="shared" ca="1" si="954"/>
        <v>0.84468608627072639</v>
      </c>
      <c r="J212" s="19">
        <f t="shared" ca="1" si="1189"/>
        <v>0.83540743015671526</v>
      </c>
      <c r="K212" s="19">
        <f t="shared" ca="1" si="1190"/>
        <v>-1.2344952841524373</v>
      </c>
      <c r="L212" s="19">
        <f t="array" aca="1" ref="L212:M212" ca="1">MMULT(J212:K212,TRANSPOSE($B$10:$C$11))</f>
        <v>0.83540743015671526</v>
      </c>
      <c r="M212" s="19">
        <f ca="1"/>
        <v>-1.4597373982484143</v>
      </c>
      <c r="N212" s="20">
        <f t="shared" ref="N212" ca="1" si="1284">GetVariance(N211,Variance_Avg,Lambda,Eta,M212,"Daily")</f>
        <v>2.4034004420561628E-2</v>
      </c>
      <c r="O212" s="20">
        <f t="shared" ref="O212" ca="1" si="1285">GetStockReturns(0,RiskFreeRate,N212,L212,"Daily")</f>
        <v>8.1910843383102838E-3</v>
      </c>
      <c r="P212" s="19">
        <f t="shared" ca="1" si="895"/>
        <v>101.71259458395222</v>
      </c>
      <c r="Q212" s="19">
        <f ca="1">HCTrans(P212,Strike,RiskFreeRate,Dividend,Variance_T0*AnnualVarConvtr,(Simulation!G212)/250,0.5,Variance_Avg*AnnualVarConvtr,Lambda,SQRT(Simulation!N212),Rho,1,"Call")</f>
        <v>13.288688670797143</v>
      </c>
      <c r="R212" s="19">
        <f t="shared" ref="R212" ca="1" si="1286">BSvol(1,P212,Strike,Q212,Dividend,RiskFreeRate,G212/250)</f>
        <v>0.74690301641962409</v>
      </c>
      <c r="S212" s="19">
        <f t="shared" ref="S212" ca="1" si="1287">BSdelta(1,P212,Strike,R212/AnnualVarConvtr,Dividend,RiskFreeRate,G212/250)</f>
        <v>0.80963849410162558</v>
      </c>
      <c r="T212" s="19">
        <f t="shared" ca="1" si="1212"/>
        <v>13.694647918939907</v>
      </c>
      <c r="U212" s="19">
        <f t="shared" ca="1" si="1213"/>
        <v>-74.136283649375144</v>
      </c>
      <c r="V212" s="21">
        <f t="shared" ca="1" si="1202"/>
        <v>2.7052072961017561E-4</v>
      </c>
      <c r="W212">
        <f t="shared" ca="1" si="1203"/>
        <v>1.6447514390027923E-2</v>
      </c>
      <c r="X212" s="22">
        <f t="shared" ref="X212" ca="1" si="1288">BSdelta(1,P212,Strike,W212*AnnualVarConvtr,Dividend,RiskFreeRate,G212/250)</f>
        <v>0.58370121591193502</v>
      </c>
      <c r="Y212" s="22">
        <f t="shared" ca="1" si="1215"/>
        <v>2.42497958474604</v>
      </c>
      <c r="Z212" s="22">
        <f t="shared" ca="1" si="1216"/>
        <v>-47.869974427205435</v>
      </c>
      <c r="AA212">
        <f t="shared" si="1196"/>
        <v>0.73884103340948371</v>
      </c>
      <c r="AB212">
        <f t="shared" ref="AB212" ca="1" si="1289">BSdelta(1,P212,Strike,AA212/AnnualVarConvtr,Dividend,RiskFreeRate,G212/250)</f>
        <v>0.81216888887232974</v>
      </c>
      <c r="AC212">
        <f t="shared" ca="1" si="1206"/>
        <v>13.790222928717352</v>
      </c>
      <c r="AD212">
        <f t="shared" ca="1" si="1207"/>
        <v>-74.393781087013338</v>
      </c>
    </row>
    <row r="213" spans="7:30">
      <c r="G213" s="19">
        <v>42</v>
      </c>
      <c r="H213" s="19">
        <f t="shared" ca="1" si="954"/>
        <v>0.37304129405568576</v>
      </c>
      <c r="I213" s="19">
        <f t="shared" ca="1" si="954"/>
        <v>0.40265324555901949</v>
      </c>
      <c r="J213" s="19">
        <f t="shared" ca="1" si="1189"/>
        <v>-1.1497261335166786</v>
      </c>
      <c r="K213" s="19">
        <f t="shared" ca="1" si="1190"/>
        <v>0.80638832642380842</v>
      </c>
      <c r="L213" s="19">
        <f t="array" aca="1" ref="L213:M213" ca="1">MMULT(J213:K213,TRANSPOSE($B$10:$C$11))</f>
        <v>-1.1497261335166786</v>
      </c>
      <c r="M213" s="19">
        <f ca="1"/>
        <v>1.3863048617827869</v>
      </c>
      <c r="N213" s="20">
        <f t="shared" ref="N213" ca="1" si="1290">GetVariance(N212,Variance_Avg,Lambda,Eta,M213,"Daily")</f>
        <v>2.950266317705676E-2</v>
      </c>
      <c r="O213" s="20">
        <f t="shared" ref="O213" ca="1" si="1291">GetStockReturns(0,RiskFreeRate,N213,L213,"Daily")</f>
        <v>-1.2489786346616455E-2</v>
      </c>
      <c r="P213" s="19">
        <f t="shared" ref="P213:P254" ca="1" si="1292">P212*EXP(O213)</f>
        <v>100.45012639927938</v>
      </c>
      <c r="Q213" s="19">
        <f ca="1">HCTrans(P213,Strike,RiskFreeRate,Dividend,Variance_T0*AnnualVarConvtr,(Simulation!G213)/250,0.5,Variance_Avg*AnnualVarConvtr,Lambda,SQRT(Simulation!N213),Rho,1,"Call")</f>
        <v>12.409873475156701</v>
      </c>
      <c r="R213" s="19">
        <f t="shared" ref="R213" ca="1" si="1293">BSvol(1,P213,Strike,Q213,Dividend,RiskFreeRate,G213/250)</f>
        <v>0.74631451370316415</v>
      </c>
      <c r="S213" s="19">
        <f t="shared" ref="S213" ca="1" si="1294">BSdelta(1,P213,Strike,R213/AnnualVarConvtr,Dividend,RiskFreeRate,G213/250)</f>
        <v>0.59553809089661625</v>
      </c>
      <c r="T213" s="19">
        <f t="shared" ca="1" si="1212"/>
        <v>-21.50641256407987</v>
      </c>
      <c r="U213" s="19">
        <f t="shared" ca="1" si="1213"/>
        <v>-53.50868628093572</v>
      </c>
      <c r="V213" s="21">
        <f t="shared" ca="1" si="1202"/>
        <v>4.2769841228666212E-4</v>
      </c>
      <c r="W213">
        <f t="shared" ca="1" si="1203"/>
        <v>2.0680870684926737E-2</v>
      </c>
      <c r="X213" s="22">
        <f t="shared" ref="X213" ca="1" si="1295">BSdelta(1,P213,Strike,W213*AnnualVarConvtr,Dividend,RiskFreeRate,G213/250)</f>
        <v>0.54003543185599989</v>
      </c>
      <c r="Y213" s="22">
        <f t="shared" ca="1" si="1215"/>
        <v>-4.3862335277423226</v>
      </c>
      <c r="Z213" s="22">
        <f t="shared" ca="1" si="1216"/>
        <v>-44.362556095103557</v>
      </c>
      <c r="AA213">
        <f t="shared" si="1196"/>
        <v>0.73884103340948371</v>
      </c>
      <c r="AB213">
        <f t="shared" ref="AB213" ca="1" si="1296">BSdelta(1,P213,Strike,AA213/AnnualVarConvtr,Dividend,RiskFreeRate,G213/250)</f>
        <v>0.59641010259258231</v>
      </c>
      <c r="AC213">
        <f t="shared" ca="1" si="1206"/>
        <v>-21.672997353555736</v>
      </c>
      <c r="AD213">
        <f t="shared" ca="1" si="1207"/>
        <v>-53.599598929098043</v>
      </c>
    </row>
    <row r="214" spans="7:30">
      <c r="G214" s="19">
        <v>41</v>
      </c>
      <c r="H214" s="19">
        <f t="shared" ca="1" si="954"/>
        <v>0.90145527707534878</v>
      </c>
      <c r="I214" s="19">
        <f t="shared" ca="1" si="954"/>
        <v>0.80583641109458992</v>
      </c>
      <c r="J214" s="19">
        <f t="shared" ca="1" si="1189"/>
        <v>0.15654882564925471</v>
      </c>
      <c r="K214" s="19">
        <f t="shared" ca="1" si="1190"/>
        <v>-0.42776413972970906</v>
      </c>
      <c r="L214" s="19">
        <f t="array" aca="1" ref="L214:M214" ca="1">MMULT(J214:K214,TRANSPOSE($B$10:$C$11))</f>
        <v>0.15654882564925471</v>
      </c>
      <c r="M214" s="19">
        <f ca="1"/>
        <v>-0.41056997559000785</v>
      </c>
      <c r="N214" s="20">
        <f t="shared" ref="N214" ca="1" si="1297">GetVariance(N213,Variance_Avg,Lambda,Eta,M214,"Daily")</f>
        <v>2.7679758979377612E-2</v>
      </c>
      <c r="O214" s="20">
        <f t="shared" ref="O214" ca="1" si="1298">GetStockReturns(0,RiskFreeRate,N214,L214,"Daily")</f>
        <v>1.6472554832560927E-3</v>
      </c>
      <c r="P214" s="19">
        <f t="shared" ca="1" si="1292"/>
        <v>100.61572977887552</v>
      </c>
      <c r="Q214" s="19">
        <f ca="1">HCTrans(P214,Strike,RiskFreeRate,Dividend,Variance_T0*AnnualVarConvtr,(Simulation!G214)/250,0.5,Variance_Avg*AnnualVarConvtr,Lambda,SQRT(Simulation!N214),Rho,1,"Call")</f>
        <v>12.361678942622135</v>
      </c>
      <c r="R214" s="19">
        <f t="shared" ref="R214" ca="1" si="1299">BSvol(1,P214,Strike,Q214,Dividend,RiskFreeRate,G214/250)</f>
        <v>0.7464828609873766</v>
      </c>
      <c r="S214" s="19">
        <f t="shared" ref="S214" ca="1" si="1300">BSdelta(1,P214,Strike,R214/AnnualVarConvtr,Dividend,RiskFreeRate,G214/250)</f>
        <v>0.62953369897322664</v>
      </c>
      <c r="T214" s="19">
        <f t="shared" ca="1" si="1212"/>
        <v>3.4204929159047897</v>
      </c>
      <c r="U214" s="19">
        <f t="shared" ca="1" si="1213"/>
        <v>-56.977373729375074</v>
      </c>
      <c r="V214" s="21">
        <f t="shared" ca="1" si="1202"/>
        <v>1.9985595169956619E-4</v>
      </c>
      <c r="W214">
        <f t="shared" ca="1" si="1203"/>
        <v>1.4137041829872549E-2</v>
      </c>
      <c r="X214" s="22">
        <f t="shared" ref="X214" ca="1" si="1301">BSdelta(1,P214,Strike,W214*AnnualVarConvtr,Dividend,RiskFreeRate,G214/250)</f>
        <v>0.54501347785097864</v>
      </c>
      <c r="Y214" s="22">
        <f t="shared" ca="1" si="1215"/>
        <v>0.50086973065759566</v>
      </c>
      <c r="Z214" s="22">
        <f t="shared" ca="1" si="1216"/>
        <v>-44.911620358295721</v>
      </c>
      <c r="AA214">
        <f t="shared" si="1196"/>
        <v>0.73884103340948371</v>
      </c>
      <c r="AB214">
        <f t="shared" ref="AB214" ca="1" si="1302">BSdelta(1,P214,Strike,AA214/AnnualVarConvtr,Dividend,RiskFreeRate,G214/250)</f>
        <v>0.63075039365027863</v>
      </c>
      <c r="AC214">
        <f t="shared" ca="1" si="1206"/>
        <v>3.4551734455891077</v>
      </c>
      <c r="AD214">
        <f t="shared" ca="1" si="1207"/>
        <v>-57.10296690722172</v>
      </c>
    </row>
    <row r="215" spans="7:30">
      <c r="G215" s="19">
        <v>40</v>
      </c>
      <c r="H215" s="19">
        <f t="shared" ca="1" si="954"/>
        <v>0.50370725361221846</v>
      </c>
      <c r="I215" s="19">
        <f t="shared" ca="1" si="954"/>
        <v>0.56572901096939354</v>
      </c>
      <c r="J215" s="19">
        <f t="shared" ca="1" si="1189"/>
        <v>-1.0726583145998658</v>
      </c>
      <c r="K215" s="19">
        <f t="shared" ca="1" si="1190"/>
        <v>-0.47002573490087152</v>
      </c>
      <c r="L215" s="19">
        <f t="array" aca="1" ref="L215:M215" ca="1">MMULT(J215:K215,TRANSPOSE($B$10:$C$11))</f>
        <v>-1.0726583145998658</v>
      </c>
      <c r="M215" s="19">
        <f ca="1"/>
        <v>0.44067579714777444</v>
      </c>
      <c r="N215" s="20">
        <f t="shared" ref="N215" ca="1" si="1303">GetVariance(N214,Variance_Avg,Lambda,Eta,M215,"Daily")</f>
        <v>2.9397300917070719E-2</v>
      </c>
      <c r="O215" s="20">
        <f t="shared" ref="O215" ca="1" si="1304">GetStockReturns(0,RiskFreeRate,N215,L215,"Daily")</f>
        <v>-1.1631751841719235E-2</v>
      </c>
      <c r="P215" s="19">
        <f t="shared" ca="1" si="1292"/>
        <v>99.452172800574388</v>
      </c>
      <c r="Q215" s="19">
        <f ca="1">HCTrans(P215,Strike,RiskFreeRate,Dividend,Variance_T0*AnnualVarConvtr,(Simulation!G215)/250,0.5,Variance_Avg*AnnualVarConvtr,Lambda,SQRT(Simulation!N215),Rho,1,"Call")</f>
        <v>11.556393824055036</v>
      </c>
      <c r="R215" s="19">
        <f t="shared" ref="R215" ca="1" si="1305">BSvol(1,P215,Strike,Q215,Dividend,RiskFreeRate,G215/250)</f>
        <v>0.74602459129811838</v>
      </c>
      <c r="S215" s="19">
        <f t="shared" ref="S215" ca="1" si="1306">BSdelta(1,P215,Strike,R215/AnnualVarConvtr,Dividend,RiskFreeRate,G215/250)</f>
        <v>0.38911349328134492</v>
      </c>
      <c r="T215" s="19">
        <f t="shared" ca="1" si="1212"/>
        <v>-23.910311841218657</v>
      </c>
      <c r="U215" s="19">
        <f t="shared" ca="1" si="1213"/>
        <v>-33.872347006723516</v>
      </c>
      <c r="V215" s="21">
        <f t="shared" ca="1" si="1202"/>
        <v>1.7633203553674842E-4</v>
      </c>
      <c r="W215">
        <f t="shared" ca="1" si="1203"/>
        <v>1.3279007324975329E-2</v>
      </c>
      <c r="X215" s="22">
        <f t="shared" ref="X215" ca="1" si="1307">BSdelta(1,P215,Strike,W215*AnnualVarConvtr,Dividend,RiskFreeRate,G215/250)</f>
        <v>0.49065861806227284</v>
      </c>
      <c r="Y215" s="22">
        <f t="shared" ca="1" si="1215"/>
        <v>-5.4057089082573615</v>
      </c>
      <c r="Z215" s="22">
        <f t="shared" ca="1" si="1216"/>
        <v>-40.31119656860546</v>
      </c>
      <c r="AA215">
        <f t="shared" si="1196"/>
        <v>0.73884103340948371</v>
      </c>
      <c r="AB215">
        <f t="shared" ref="AB215" ca="1" si="1308">BSdelta(1,P215,Strike,AA215/AnnualVarConvtr,Dividend,RiskFreeRate,G215/250)</f>
        <v>0.38799401846394432</v>
      </c>
      <c r="AC215">
        <f t="shared" ca="1" si="1206"/>
        <v>-24.142648973472387</v>
      </c>
      <c r="AD215">
        <f t="shared" ca="1" si="1207"/>
        <v>-33.765603052316436</v>
      </c>
    </row>
    <row r="216" spans="7:30">
      <c r="G216" s="19">
        <v>39</v>
      </c>
      <c r="H216" s="19">
        <f t="shared" ca="1" si="954"/>
        <v>0.52861081204484806</v>
      </c>
      <c r="I216" s="19">
        <f t="shared" ca="1" si="954"/>
        <v>0.81781281146141116</v>
      </c>
      <c r="J216" s="19">
        <f t="shared" ca="1" si="1189"/>
        <v>0.46668795225974513</v>
      </c>
      <c r="K216" s="19">
        <f t="shared" ca="1" si="1190"/>
        <v>-1.0282062055002186</v>
      </c>
      <c r="L216" s="19">
        <f t="array" aca="1" ref="L216:M216" ca="1">MMULT(J216:K216,TRANSPOSE($B$10:$C$11))</f>
        <v>0.46668795225974513</v>
      </c>
      <c r="M216" s="19">
        <f ca="1"/>
        <v>-1.0516452939836467</v>
      </c>
      <c r="N216" s="20">
        <f t="shared" ref="N216" ca="1" si="1309">GetVariance(N215,Variance_Avg,Lambda,Eta,M216,"Daily")</f>
        <v>2.5023761053381104E-2</v>
      </c>
      <c r="O216" s="20">
        <f t="shared" ref="O216" ca="1" si="1310">GetStockReturns(0,RiskFreeRate,N216,L216,"Daily")</f>
        <v>4.6690967953444077E-3</v>
      </c>
      <c r="P216" s="19">
        <f t="shared" ca="1" si="1292"/>
        <v>99.917610362840165</v>
      </c>
      <c r="Q216" s="19">
        <f ca="1">HCTrans(P216,Strike,RiskFreeRate,Dividend,Variance_T0*AnnualVarConvtr,(Simulation!G216)/250,0.5,Variance_Avg*AnnualVarConvtr,Lambda,SQRT(Simulation!N216),Rho,1,"Call")</f>
        <v>11.672714891069717</v>
      </c>
      <c r="R216" s="19">
        <f t="shared" ref="R216" ca="1" si="1311">BSvol(1,P216,Strike,Q216,Dividend,RiskFreeRate,G216/250)</f>
        <v>0.74640959170210253</v>
      </c>
      <c r="S216" s="19">
        <f t="shared" ref="S216" ca="1" si="1312">BSdelta(1,P216,Strike,R216/AnnualVarConvtr,Dividend,RiskFreeRate,G216/250)</f>
        <v>0.48608634598310452</v>
      </c>
      <c r="T216" s="19">
        <f t="shared" ca="1" si="1212"/>
        <v>9.6892957120275067</v>
      </c>
      <c r="U216" s="19">
        <f t="shared" ca="1" si="1213"/>
        <v>-43.445321651736343</v>
      </c>
      <c r="V216" s="21">
        <f t="shared" ca="1" si="1202"/>
        <v>2.6571766628845968E-4</v>
      </c>
      <c r="W216">
        <f t="shared" ca="1" si="1203"/>
        <v>1.6300848637063645E-2</v>
      </c>
      <c r="X216" s="22">
        <f t="shared" ref="X216" ca="1" si="1313">BSdelta(1,P216,Strike,W216*AnnualVarConvtr,Dividend,RiskFreeRate,G216/250)</f>
        <v>0.51707058023508046</v>
      </c>
      <c r="Y216" s="22">
        <f t="shared" ca="1" si="1215"/>
        <v>2.6390201453006643</v>
      </c>
      <c r="Z216" s="22">
        <f t="shared" ca="1" si="1216"/>
        <v>-42.833895646891442</v>
      </c>
      <c r="AA216">
        <f t="shared" si="1196"/>
        <v>0.73884103340948371</v>
      </c>
      <c r="AB216">
        <f t="shared" ref="AB216" ca="1" si="1314">BSdelta(1,P216,Strike,AA216/AnnualVarConvtr,Dividend,RiskFreeRate,G216/250)</f>
        <v>0.48586811159891152</v>
      </c>
      <c r="AC216">
        <f t="shared" ca="1" si="1206"/>
        <v>9.7793455024759819</v>
      </c>
      <c r="AD216">
        <f t="shared" ca="1" si="1207"/>
        <v>-43.428627487777739</v>
      </c>
    </row>
    <row r="217" spans="7:30">
      <c r="G217" s="19">
        <v>38</v>
      </c>
      <c r="H217" s="19">
        <f t="shared" ca="1" si="954"/>
        <v>0.92460976426581709</v>
      </c>
      <c r="I217" s="19">
        <f t="shared" ca="1" si="954"/>
        <v>0.49871863671757599</v>
      </c>
      <c r="J217" s="19">
        <f t="shared" ca="1" si="1189"/>
        <v>-0.39592531189687558</v>
      </c>
      <c r="K217" s="19">
        <f t="shared" ca="1" si="1190"/>
        <v>3.1876805654885839E-3</v>
      </c>
      <c r="L217" s="19">
        <f t="array" aca="1" ref="L217:M217" ca="1">MMULT(J217:K217,TRANSPOSE($B$10:$C$11))</f>
        <v>-0.39592531189687558</v>
      </c>
      <c r="M217" s="19">
        <f ca="1"/>
        <v>0.28590417078790203</v>
      </c>
      <c r="N217" s="20">
        <f t="shared" ref="N217" ca="1" si="1315">GetVariance(N216,Variance_Avg,Lambda,Eta,M217,"Daily")</f>
        <v>2.604972000978904E-2</v>
      </c>
      <c r="O217" s="20">
        <f t="shared" ref="O217" ca="1" si="1316">GetStockReturns(0,RiskFreeRate,N217,L217,"Daily")</f>
        <v>-4.0415205652637211E-3</v>
      </c>
      <c r="P217" s="19">
        <f t="shared" ca="1" si="1292"/>
        <v>99.514606209066343</v>
      </c>
      <c r="Q217" s="19">
        <f ca="1">HCTrans(P217,Strike,RiskFreeRate,Dividend,Variance_T0*AnnualVarConvtr,(Simulation!G217)/250,0.5,Variance_Avg*AnnualVarConvtr,Lambda,SQRT(Simulation!N217),Rho,1,"Call")</f>
        <v>11.297174902677668</v>
      </c>
      <c r="R217" s="19">
        <f t="shared" ref="R217" ca="1" si="1317">BSvol(1,P217,Strike,Q217,Dividend,RiskFreeRate,G217/250)</f>
        <v>0.74626617423101482</v>
      </c>
      <c r="S217" s="19">
        <f t="shared" ref="S217" ca="1" si="1318">BSdelta(1,P217,Strike,R217/AnnualVarConvtr,Dividend,RiskFreeRate,G217/250)</f>
        <v>0.39927434423747354</v>
      </c>
      <c r="T217" s="19">
        <f t="shared" ca="1" si="1212"/>
        <v>-8.6390621679372455</v>
      </c>
      <c r="U217" s="19">
        <f t="shared" ca="1" si="1213"/>
        <v>-35.181799472191145</v>
      </c>
      <c r="V217" s="21">
        <f t="shared" ca="1" si="1202"/>
        <v>7.5874854802927727E-5</v>
      </c>
      <c r="W217">
        <f t="shared" ca="1" si="1203"/>
        <v>8.7106173606081288E-3</v>
      </c>
      <c r="X217" s="22">
        <f t="shared" ref="X217" ca="1" si="1319">BSdelta(1,P217,Strike,W217*AnnualVarConvtr,Dividend,RiskFreeRate,G217/250)</f>
        <v>0.47457705509449621</v>
      </c>
      <c r="Y217" s="22">
        <f t="shared" ca="1" si="1215"/>
        <v>-4.2287264208003013</v>
      </c>
      <c r="Z217" s="22">
        <f t="shared" ca="1" si="1216"/>
        <v>-38.980709214483191</v>
      </c>
      <c r="AA217">
        <f t="shared" si="1196"/>
        <v>0.73884103340948371</v>
      </c>
      <c r="AB217">
        <f t="shared" ref="AB217" ca="1" si="1320">BSdelta(1,P217,Strike,AA217/AnnualVarConvtr,Dividend,RiskFreeRate,G217/250)</f>
        <v>0.39821318766455638</v>
      </c>
      <c r="AC217">
        <f t="shared" ca="1" si="1206"/>
        <v>-8.7229452376130165</v>
      </c>
      <c r="AD217">
        <f t="shared" ca="1" si="1207"/>
        <v>-35.081222238556769</v>
      </c>
    </row>
    <row r="218" spans="7:30">
      <c r="G218" s="19">
        <v>37</v>
      </c>
      <c r="H218" s="19">
        <f t="shared" ca="1" si="954"/>
        <v>0.62887441969900992</v>
      </c>
      <c r="I218" s="19">
        <f t="shared" ca="1" si="954"/>
        <v>0.76729341364503378</v>
      </c>
      <c r="J218" s="19">
        <f t="shared" ca="1" si="1189"/>
        <v>0.10444728150412971</v>
      </c>
      <c r="K218" s="19">
        <f t="shared" ca="1" si="1190"/>
        <v>-0.95746443863440478</v>
      </c>
      <c r="L218" s="19">
        <f t="array" aca="1" ref="L218:M218" ca="1">MMULT(J218:K218,TRANSPOSE($B$10:$C$11))</f>
        <v>0.10444728150412971</v>
      </c>
      <c r="M218" s="19">
        <f ca="1"/>
        <v>-0.74275131000328587</v>
      </c>
      <c r="N218" s="20">
        <f t="shared" ref="N218" ca="1" si="1321">GetVariance(N217,Variance_Avg,Lambda,Eta,M218,"Daily")</f>
        <v>2.30924184355151E-2</v>
      </c>
      <c r="O218" s="20">
        <f t="shared" ref="O218" ca="1" si="1322">GetStockReturns(0,RiskFreeRate,N218,L218,"Daily")</f>
        <v>1.0038338717308227E-3</v>
      </c>
      <c r="P218" s="19">
        <f t="shared" ca="1" si="1292"/>
        <v>99.61455249785314</v>
      </c>
      <c r="Q218" s="19">
        <f ca="1">HCTrans(P218,Strike,RiskFreeRate,Dividend,Variance_T0*AnnualVarConvtr,(Simulation!G218)/250,0.5,Variance_Avg*AnnualVarConvtr,Lambda,SQRT(Simulation!N218),Rho,1,"Call")</f>
        <v>11.203422811826982</v>
      </c>
      <c r="R218" s="19">
        <f t="shared" ref="R218" ca="1" si="1323">BSvol(1,P218,Strike,Q218,Dividend,RiskFreeRate,G218/250)</f>
        <v>0.7464592365953775</v>
      </c>
      <c r="S218" s="19">
        <f t="shared" ref="S218" ca="1" si="1324">BSdelta(1,P218,Strike,R218/AnnualVarConvtr,Dividend,RiskFreeRate,G218/250)</f>
        <v>0.41935069049682772</v>
      </c>
      <c r="T218" s="19">
        <f t="shared" ca="1" si="1212"/>
        <v>1.9998962484175136</v>
      </c>
      <c r="U218" s="19">
        <f t="shared" ca="1" si="1213"/>
        <v>-37.275447811459344</v>
      </c>
      <c r="V218" s="21">
        <f t="shared" ca="1" si="1202"/>
        <v>2.5455601394900533E-5</v>
      </c>
      <c r="W218">
        <f t="shared" ca="1" si="1203"/>
        <v>5.045354436994544E-3</v>
      </c>
      <c r="X218" s="22">
        <f t="shared" ref="X218" ca="1" si="1325">BSdelta(1,P218,Strike,W218*AnnualVarConvtr,Dividend,RiskFreeRate,G218/250)</f>
        <v>0.45600922910771069</v>
      </c>
      <c r="Y218" s="22">
        <f t="shared" ca="1" si="1215"/>
        <v>-1.8496256765316483</v>
      </c>
      <c r="Z218" s="22">
        <f t="shared" ca="1" si="1216"/>
        <v>-37.224835628802225</v>
      </c>
      <c r="AA218">
        <f t="shared" si="1196"/>
        <v>0.73884103340948371</v>
      </c>
      <c r="AB218">
        <f t="shared" ref="AB218" ca="1" si="1326">BSdelta(1,P218,Strike,AA218/AnnualVarConvtr,Dividend,RiskFreeRate,G218/250)</f>
        <v>0.41845793977260048</v>
      </c>
      <c r="AC218">
        <f t="shared" ca="1" si="1206"/>
        <v>2.0166719216727826</v>
      </c>
      <c r="AD218">
        <f t="shared" ca="1" si="1207"/>
        <v>-37.191646251080236</v>
      </c>
    </row>
    <row r="219" spans="7:30">
      <c r="G219" s="19">
        <v>36</v>
      </c>
      <c r="H219" s="19">
        <f t="shared" ca="1" si="954"/>
        <v>0.97413430122449629</v>
      </c>
      <c r="I219" s="19">
        <f t="shared" ca="1" si="954"/>
        <v>0.59887493506149814</v>
      </c>
      <c r="J219" s="19">
        <f t="shared" ca="1" si="1189"/>
        <v>-0.18616061634900938</v>
      </c>
      <c r="K219" s="19">
        <f t="shared" ca="1" si="1190"/>
        <v>-0.13325322538586479</v>
      </c>
      <c r="L219" s="19">
        <f t="array" aca="1" ref="L219:M219" ca="1">MMULT(J219:K219,TRANSPOSE($B$10:$C$11))</f>
        <v>-0.18616061634900938</v>
      </c>
      <c r="M219" s="19">
        <f ca="1"/>
        <v>4.0428351705867657E-2</v>
      </c>
      <c r="N219" s="20">
        <f t="shared" ref="N219" ca="1" si="1327">GetVariance(N218,Variance_Avg,Lambda,Eta,M219,"Daily")</f>
        <v>2.3158239935790116E-2</v>
      </c>
      <c r="O219" s="20">
        <f t="shared" ref="O219" ca="1" si="1328">GetStockReturns(0,RiskFreeRate,N219,L219,"Daily")</f>
        <v>-1.7917218025692693E-3</v>
      </c>
      <c r="P219" s="19">
        <f t="shared" ca="1" si="1292"/>
        <v>99.436230731492927</v>
      </c>
      <c r="Q219" s="19">
        <f ca="1">HCTrans(P219,Strike,RiskFreeRate,Dividend,Variance_T0*AnnualVarConvtr,(Simulation!G219)/250,0.5,Variance_Avg*AnnualVarConvtr,Lambda,SQRT(Simulation!N219),Rho,1,"Call")</f>
        <v>10.951048079248991</v>
      </c>
      <c r="R219" s="19">
        <f t="shared" ref="R219" ca="1" si="1329">BSvol(1,P219,Strike,Q219,Dividend,RiskFreeRate,G219/250)</f>
        <v>0.7464345899338195</v>
      </c>
      <c r="S219" s="19">
        <f t="shared" ref="S219" ca="1" si="1330">BSdelta(1,P219,Strike,R219/AnnualVarConvtr,Dividend,RiskFreeRate,G219/250)</f>
        <v>0.37956082255078183</v>
      </c>
      <c r="T219" s="19">
        <f t="shared" ca="1" si="1212"/>
        <v>-3.9565544898586533</v>
      </c>
      <c r="U219" s="19">
        <f t="shared" ca="1" si="1213"/>
        <v>-33.571268054178681</v>
      </c>
      <c r="V219" s="21">
        <f t="shared" ca="1" si="1202"/>
        <v>7.8151315281114432E-6</v>
      </c>
      <c r="W219">
        <f t="shared" ca="1" si="1203"/>
        <v>2.7955556743000922E-3</v>
      </c>
      <c r="X219" s="22">
        <f t="shared" ref="X219" ca="1" si="1331">BSdelta(1,P219,Strike,W219*AnnualVarConvtr,Dividend,RiskFreeRate,G219/250)</f>
        <v>0.37120075464157121</v>
      </c>
      <c r="Y219" s="22">
        <f t="shared" ca="1" si="1215"/>
        <v>-8.4330350350009713</v>
      </c>
      <c r="Z219" s="22">
        <f t="shared" ca="1" si="1216"/>
        <v>-29.044175326379246</v>
      </c>
      <c r="AA219">
        <f t="shared" si="1196"/>
        <v>0.73884103340948371</v>
      </c>
      <c r="AB219">
        <f t="shared" ref="AB219" ca="1" si="1332">BSdelta(1,P219,Strike,AA219/AnnualVarConvtr,Dividend,RiskFreeRate,G219/250)</f>
        <v>0.37829222928984063</v>
      </c>
      <c r="AC219">
        <f t="shared" ca="1" si="1206"/>
        <v>-3.9939268550580529</v>
      </c>
      <c r="AD219">
        <f t="shared" ca="1" si="1207"/>
        <v>-33.450094128600171</v>
      </c>
    </row>
    <row r="220" spans="7:30">
      <c r="G220" s="19">
        <v>35</v>
      </c>
      <c r="H220" s="19">
        <f t="shared" ca="1" si="954"/>
        <v>0.845298008958971</v>
      </c>
      <c r="I220" s="19">
        <f t="shared" ca="1" si="954"/>
        <v>0.70220329042116347</v>
      </c>
      <c r="J220" s="19">
        <f t="shared" ca="1" si="1189"/>
        <v>-0.17150823656323863</v>
      </c>
      <c r="K220" s="19">
        <f t="shared" ca="1" si="1190"/>
        <v>-0.55382037317318022</v>
      </c>
      <c r="L220" s="19">
        <f t="array" aca="1" ref="L220:M220" ca="1">MMULT(J220:K220,TRANSPOSE($B$10:$C$11))</f>
        <v>-0.17150823656323863</v>
      </c>
      <c r="M220" s="19">
        <f ca="1"/>
        <v>-0.26345229174748386</v>
      </c>
      <c r="N220" s="20">
        <f t="shared" ref="N220" ca="1" si="1333">GetVariance(N219,Variance_Avg,Lambda,Eta,M220,"Daily")</f>
        <v>2.2100196144122907E-2</v>
      </c>
      <c r="O220" s="20">
        <f t="shared" ref="O220" ca="1" si="1334">GetStockReturns(0,RiskFreeRate,N220,L220,"Daily")</f>
        <v>-1.612549449429357E-3</v>
      </c>
      <c r="P220" s="19">
        <f t="shared" ca="1" si="1292"/>
        <v>99.276014105707191</v>
      </c>
      <c r="Q220" s="19">
        <f ca="1">HCTrans(P220,Strike,RiskFreeRate,Dividend,Variance_T0*AnnualVarConvtr,(Simulation!G220)/250,0.5,Variance_Avg*AnnualVarConvtr,Lambda,SQRT(Simulation!N220),Rho,1,"Call")</f>
        <v>10.70788858488612</v>
      </c>
      <c r="R220" s="19">
        <f t="shared" ref="R220" ca="1" si="1335">BSvol(1,P220,Strike,Q220,Dividend,RiskFreeRate,G220/250)</f>
        <v>0.74646191781817972</v>
      </c>
      <c r="S220" s="19">
        <f t="shared" ref="S220" ca="1" si="1336">BSdelta(1,P220,Strike,R220/AnnualVarConvtr,Dividend,RiskFreeRate,G220/250)</f>
        <v>0.34365367266789493</v>
      </c>
      <c r="T220" s="19">
        <f t="shared" ca="1" si="1212"/>
        <v>-3.5647187182692224</v>
      </c>
      <c r="U220" s="19">
        <f t="shared" ca="1" si="1213"/>
        <v>-30.249708830272329</v>
      </c>
      <c r="V220" s="21">
        <f t="shared" ca="1" si="1202"/>
        <v>3.2102732129693437E-8</v>
      </c>
      <c r="W220">
        <f t="shared" ca="1" si="1203"/>
        <v>1.7917235313991229E-4</v>
      </c>
      <c r="X220" s="22">
        <f t="shared" ref="X220" ca="1" si="1337">BSdelta(1,P220,Strike,W220*AnnualVarConvtr,Dividend,RiskFreeRate,G220/250)</f>
        <v>3.5810415249315867E-12</v>
      </c>
      <c r="Y220" s="22">
        <f t="shared" ca="1" si="1215"/>
        <v>-36.851331353490266</v>
      </c>
      <c r="Z220" s="22">
        <f t="shared" ca="1" si="1216"/>
        <v>7.5639965327481491</v>
      </c>
      <c r="AA220">
        <f t="shared" si="1196"/>
        <v>0.73884103340948371</v>
      </c>
      <c r="AB220">
        <f t="shared" ref="AB220" ca="1" si="1338">BSdelta(1,P220,Strike,AA220/AnnualVarConvtr,Dividend,RiskFreeRate,G220/250)</f>
        <v>0.34206094488575944</v>
      </c>
      <c r="AC220">
        <f t="shared" ca="1" si="1206"/>
        <v>-3.5968975015674531</v>
      </c>
      <c r="AD220">
        <f t="shared" ca="1" si="1207"/>
        <v>-30.096356121395587</v>
      </c>
    </row>
    <row r="221" spans="7:30">
      <c r="G221" s="19">
        <v>34</v>
      </c>
      <c r="H221" s="19">
        <f t="shared" ca="1" si="954"/>
        <v>0.96190951452812623</v>
      </c>
      <c r="I221" s="19">
        <f t="shared" ca="1" si="954"/>
        <v>0.45556240870352838</v>
      </c>
      <c r="J221" s="19">
        <f t="shared" ca="1" si="1189"/>
        <v>-0.26790020767473777</v>
      </c>
      <c r="K221" s="19">
        <f t="shared" ca="1" si="1190"/>
        <v>7.6806664376396702E-2</v>
      </c>
      <c r="L221" s="19">
        <f t="array" aca="1" ref="L221:M221" ca="1">MMULT(J221:K221,TRANSPOSE($B$10:$C$11))</f>
        <v>-0.26790020767473777</v>
      </c>
      <c r="M221" s="19">
        <f ca="1"/>
        <v>0.2455298363965765</v>
      </c>
      <c r="N221" s="20">
        <f t="shared" ref="N221" ca="1" si="1339">GetVariance(N220,Variance_Avg,Lambda,Eta,M221,"Daily")</f>
        <v>2.2924461785456617E-2</v>
      </c>
      <c r="O221" s="20">
        <f t="shared" ref="O221" ca="1" si="1340">GetStockReturns(0,RiskFreeRate,N221,L221,"Daily")</f>
        <v>-2.5653854074786562E-3</v>
      </c>
      <c r="P221" s="19">
        <f t="shared" ca="1" si="1292"/>
        <v>99.021659266401002</v>
      </c>
      <c r="Q221" s="19">
        <f ca="1">HCTrans(P221,Strike,RiskFreeRate,Dividend,Variance_T0*AnnualVarConvtr,(Simulation!G221)/250,0.5,Variance_Avg*AnnualVarConvtr,Lambda,SQRT(Simulation!N221),Rho,1,"Call")</f>
        <v>10.410555011630635</v>
      </c>
      <c r="R221" s="19">
        <f t="shared" ref="R221" ca="1" si="1341">BSvol(1,P221,Strike,Q221,Dividend,RiskFreeRate,G221/250)</f>
        <v>0.7463795744040379</v>
      </c>
      <c r="S221" s="19">
        <f t="shared" ref="S221" ca="1" si="1342">BSdelta(1,P221,Strike,R221/AnnualVarConvtr,Dividend,RiskFreeRate,G221/250)</f>
        <v>0.28908628519684787</v>
      </c>
      <c r="T221" s="19">
        <f t="shared" ca="1" si="1212"/>
        <v>-5.4033532492157006</v>
      </c>
      <c r="U221" s="19">
        <f t="shared" ca="1" si="1213"/>
        <v>-25.143689154312113</v>
      </c>
      <c r="V221" s="21">
        <f t="shared" ca="1" si="1202"/>
        <v>9.0789636295172575E-7</v>
      </c>
      <c r="W221">
        <f t="shared" ca="1" si="1203"/>
        <v>9.5283595804929915E-4</v>
      </c>
      <c r="X221" s="22">
        <f t="shared" ref="X221" ca="1" si="1343">BSdelta(1,P221,Strike,W221*AnnualVarConvtr,Dividend,RiskFreeRate,G221/250)</f>
        <v>3.8632233938549865E-2</v>
      </c>
      <c r="Y221" s="22">
        <f t="shared" ca="1" si="1215"/>
        <v>3.8254279054083771</v>
      </c>
      <c r="Z221" s="22">
        <f t="shared" ca="1" si="1216"/>
        <v>3.4412350540842862</v>
      </c>
      <c r="AA221">
        <f t="shared" si="1196"/>
        <v>0.73884103340948371</v>
      </c>
      <c r="AB221">
        <f t="shared" ref="AB221" ca="1" si="1344">BSdelta(1,P221,Strike,AA221/AnnualVarConvtr,Dividend,RiskFreeRate,G221/250)</f>
        <v>0.28708993826263862</v>
      </c>
      <c r="AC221">
        <f t="shared" ca="1" si="1206"/>
        <v>-5.4433202873657427</v>
      </c>
      <c r="AD221">
        <f t="shared" ca="1" si="1207"/>
        <v>-24.950369407285329</v>
      </c>
    </row>
    <row r="222" spans="7:30">
      <c r="G222" s="19">
        <v>33</v>
      </c>
      <c r="H222" s="19">
        <f t="shared" ca="1" si="954"/>
        <v>0.30028247650486439</v>
      </c>
      <c r="I222" s="19">
        <f t="shared" ca="1" si="954"/>
        <v>0.39406907707994066</v>
      </c>
      <c r="J222" s="19">
        <f t="shared" ca="1" si="1189"/>
        <v>-1.2200663904810112</v>
      </c>
      <c r="K222" s="19">
        <f t="shared" ca="1" si="1190"/>
        <v>0.95786289248717171</v>
      </c>
      <c r="L222" s="19">
        <f t="array" aca="1" ref="L222:M222" ca="1">MMULT(J222:K222,TRANSPOSE($B$10:$C$11))</f>
        <v>-1.2200663904810112</v>
      </c>
      <c r="M222" s="19">
        <f ca="1"/>
        <v>1.5423703578494052</v>
      </c>
      <c r="N222" s="20">
        <f t="shared" ref="N222" ca="1" si="1345">GetVariance(N221,Variance_Avg,Lambda,Eta,M222,"Daily")</f>
        <v>2.8924029706624752E-2</v>
      </c>
      <c r="O222" s="20">
        <f t="shared" ref="O222" ca="1" si="1346">GetStockReturns(0,RiskFreeRate,N222,L222,"Daily")</f>
        <v>-1.3123294011280311E-2</v>
      </c>
      <c r="P222" s="19">
        <f t="shared" ca="1" si="1292"/>
        <v>97.730658537480338</v>
      </c>
      <c r="Q222" s="19">
        <f ca="1">HCTrans(P222,Strike,RiskFreeRate,Dividend,Variance_T0*AnnualVarConvtr,(Simulation!G222)/250,0.5,Variance_Avg*AnnualVarConvtr,Lambda,SQRT(Simulation!N222),Rho,1,"Call")</f>
        <v>9.556209019685113</v>
      </c>
      <c r="R222" s="19">
        <f t="shared" ref="R222" ca="1" si="1347">BSvol(1,P222,Strike,Q222,Dividend,RiskFreeRate,G222/250)</f>
        <v>0.74568138185558397</v>
      </c>
      <c r="S222" s="19">
        <f t="shared" ref="S222" ca="1" si="1348">BSdelta(1,P222,Strike,R222/AnnualVarConvtr,Dividend,RiskFreeRate,G222/250)</f>
        <v>9.1574144082799069E-2</v>
      </c>
      <c r="T222" s="19">
        <f t="shared" ca="1" si="1212"/>
        <v>-19.302991620223736</v>
      </c>
      <c r="U222" s="19">
        <f t="shared" ca="1" si="1213"/>
        <v>-6.6950435260338992</v>
      </c>
      <c r="V222" s="21">
        <f t="shared" ca="1" si="1202"/>
        <v>1.11469434086229E-4</v>
      </c>
      <c r="W222">
        <f t="shared" ca="1" si="1203"/>
        <v>1.0557908603801654E-2</v>
      </c>
      <c r="X222" s="22">
        <f t="shared" ref="X222" ca="1" si="1349">BSdelta(1,P222,Strike,W222*AnnualVarConvtr,Dividend,RiskFreeRate,G222/250)</f>
        <v>0.36386294679089426</v>
      </c>
      <c r="Y222" s="22">
        <f t="shared" ca="1" si="1215"/>
        <v>31.785011743673788</v>
      </c>
      <c r="Z222" s="22">
        <f t="shared" ca="1" si="1216"/>
        <v>-29.198122681535025</v>
      </c>
      <c r="AA222">
        <f t="shared" si="1196"/>
        <v>0.73884103340948371</v>
      </c>
      <c r="AB222">
        <f t="shared" ref="AB222" ca="1" si="1350">BSdelta(1,P222,Strike,AA222/AnnualVarConvtr,Dividend,RiskFreeRate,G222/250)</f>
        <v>8.953799376767213E-2</v>
      </c>
      <c r="AC222">
        <f t="shared" ca="1" si="1206"/>
        <v>-19.306881630852839</v>
      </c>
      <c r="AD222">
        <f t="shared" ca="1" si="1207"/>
        <v>-6.4978337683780119</v>
      </c>
    </row>
    <row r="223" spans="7:30">
      <c r="G223" s="19">
        <v>32</v>
      </c>
      <c r="H223" s="19">
        <f t="shared" ref="H223:I254" ca="1" si="1351">RAND()</f>
        <v>0.50704256235410972</v>
      </c>
      <c r="I223" s="19">
        <f t="shared" ca="1" si="1351"/>
        <v>0.15131054467599747</v>
      </c>
      <c r="J223" s="19">
        <f t="shared" ca="1" si="1189"/>
        <v>0.6772589374051009</v>
      </c>
      <c r="K223" s="19">
        <f t="shared" ca="1" si="1190"/>
        <v>0.94849406466311204</v>
      </c>
      <c r="L223" s="19">
        <f t="array" aca="1" ref="L223:M223" ca="1">MMULT(J223:K223,TRANSPOSE($B$10:$C$11))</f>
        <v>0.6772589374051009</v>
      </c>
      <c r="M223" s="19">
        <f ca="1"/>
        <v>0.17640118706798302</v>
      </c>
      <c r="N223" s="20">
        <f t="shared" ref="N223" ca="1" si="1352">GetVariance(N222,Variance_Avg,Lambda,Eta,M223,"Daily")</f>
        <v>2.9548351495099257E-2</v>
      </c>
      <c r="O223" s="20">
        <f t="shared" ref="O223" ca="1" si="1353">GetStockReturns(0,RiskFreeRate,N223,L223,"Daily")</f>
        <v>7.362941820342939E-3</v>
      </c>
      <c r="P223" s="19">
        <f t="shared" ca="1" si="1292"/>
        <v>98.452899335950178</v>
      </c>
      <c r="Q223" s="19">
        <f ca="1">HCTrans(P223,Strike,RiskFreeRate,Dividend,Variance_T0*AnnualVarConvtr,(Simulation!G223)/250,0.5,Variance_Avg*AnnualVarConvtr,Lambda,SQRT(Simulation!N223),Rho,1,"Call")</f>
        <v>9.7781076124614685</v>
      </c>
      <c r="R223" s="19">
        <f t="shared" ref="R223" ca="1" si="1354">BSvol(1,P223,Strike,Q223,Dividend,RiskFreeRate,G223/250)</f>
        <v>0.74598443875556253</v>
      </c>
      <c r="S223" s="19">
        <f t="shared" ref="S223" ca="1" si="1355">BSdelta(1,P223,Strike,R223/AnnualVarConvtr,Dividend,RiskFreeRate,G223/250)</f>
        <v>0.18002517840774945</v>
      </c>
      <c r="T223" s="19">
        <f t="shared" ca="1" si="1212"/>
        <v>8.7082607785550135</v>
      </c>
      <c r="U223" s="19">
        <f t="shared" ca="1" si="1213"/>
        <v>-15.181405711812557</v>
      </c>
      <c r="V223" s="21">
        <f t="shared" ca="1" si="1202"/>
        <v>4.1968585854888427E-4</v>
      </c>
      <c r="W223">
        <f t="shared" ca="1" si="1203"/>
        <v>2.0486235831623248E-2</v>
      </c>
      <c r="X223" s="22">
        <f t="shared" ref="X223" ca="1" si="1356">BSdelta(1,P223,Strike,W223*AnnualVarConvtr,Dividend,RiskFreeRate,G223/250)</f>
        <v>0.46947100386429463</v>
      </c>
      <c r="Y223" s="22">
        <f t="shared" ca="1" si="1215"/>
        <v>10.397419412112768</v>
      </c>
      <c r="Z223" s="22">
        <f t="shared" ca="1" si="1216"/>
        <v>-39.373643500871438</v>
      </c>
      <c r="AA223">
        <f t="shared" si="1196"/>
        <v>0.73884103340948371</v>
      </c>
      <c r="AB223">
        <f t="shared" ref="AB223" ca="1" si="1357">BSdelta(1,P223,Strike,AA223/AnnualVarConvtr,Dividend,RiskFreeRate,G223/250)</f>
        <v>0.17767008453579325</v>
      </c>
      <c r="AC223">
        <f t="shared" ca="1" si="1206"/>
        <v>8.6768598606606524</v>
      </c>
      <c r="AD223">
        <f t="shared" ca="1" si="1207"/>
        <v>-14.952795036262309</v>
      </c>
    </row>
    <row r="224" spans="7:30">
      <c r="G224" s="19">
        <v>31</v>
      </c>
      <c r="H224" s="19">
        <f t="shared" ca="1" si="1351"/>
        <v>0.77455304746467135</v>
      </c>
      <c r="I224" s="19">
        <f t="shared" ca="1" si="1351"/>
        <v>0.47566503472985477</v>
      </c>
      <c r="J224" s="19">
        <f t="shared" ca="1" si="1189"/>
        <v>-0.70646016161661807</v>
      </c>
      <c r="K224" s="19">
        <f t="shared" ca="1" si="1190"/>
        <v>0.10886825951387509</v>
      </c>
      <c r="L224" s="19">
        <f t="array" aca="1" ref="L224:M224" ca="1">MMULT(J224:K224,TRANSPOSE($B$10:$C$11))</f>
        <v>-0.70646016161661807</v>
      </c>
      <c r="M224" s="19">
        <f ca="1"/>
        <v>0.5821237982915114</v>
      </c>
      <c r="N224" s="20">
        <f t="shared" ref="N224" ca="1" si="1358">GetVariance(N223,Variance_Avg,Lambda,Eta,M224,"Daily")</f>
        <v>3.1933619359062596E-2</v>
      </c>
      <c r="O224" s="20">
        <f t="shared" ref="O224" ca="1" si="1359">GetStockReturns(0,RiskFreeRate,N224,L224,"Daily")</f>
        <v>-7.9843900387041884E-3</v>
      </c>
      <c r="P224" s="19">
        <f t="shared" ca="1" si="1292"/>
        <v>97.66994286163127</v>
      </c>
      <c r="Q224" s="19">
        <f ca="1">HCTrans(P224,Strike,RiskFreeRate,Dividend,Variance_T0*AnnualVarConvtr,(Simulation!G224)/250,0.5,Variance_Avg*AnnualVarConvtr,Lambda,SQRT(Simulation!N224),Rho,1,"Call")</f>
        <v>9.1991768258800448</v>
      </c>
      <c r="R224" s="19">
        <f t="shared" ref="R224" ca="1" si="1360">BSvol(1,P224,Strike,Q224,Dividend,RiskFreeRate,G224/250)</f>
        <v>0.74561456208541399</v>
      </c>
      <c r="S224" s="19">
        <f t="shared" ref="S224" ca="1" si="1361">BSdelta(1,P224,Strike,R224/AnnualVarConvtr,Dividend,RiskFreeRate,G224/250)</f>
        <v>7.9052088409685695E-2</v>
      </c>
      <c r="T224" s="19">
        <f t="shared" ca="1" si="1212"/>
        <v>-9.8620359306732386</v>
      </c>
      <c r="U224" s="19">
        <f t="shared" ca="1" si="1213"/>
        <v>-5.8983005677207423</v>
      </c>
      <c r="V224" s="21">
        <f t="shared" ca="1" si="1202"/>
        <v>2.3554059519172296E-4</v>
      </c>
      <c r="W224">
        <f t="shared" ca="1" si="1203"/>
        <v>1.5347331859047127E-2</v>
      </c>
      <c r="X224" s="22">
        <f t="shared" ref="X224" ca="1" si="1362">BSdelta(1,P224,Strike,W224*AnnualVarConvtr,Dividend,RiskFreeRate,G224/250)</f>
        <v>0.40781020449014649</v>
      </c>
      <c r="Y224" s="22">
        <f t="shared" ca="1" si="1215"/>
        <v>-6.0224067516755584</v>
      </c>
      <c r="Z224" s="22">
        <f t="shared" ca="1" si="1216"/>
        <v>-33.930167535777301</v>
      </c>
      <c r="AA224">
        <f t="shared" si="1196"/>
        <v>0.73884103340948371</v>
      </c>
      <c r="AB224">
        <f t="shared" ref="AB224" ca="1" si="1363">BSdelta(1,P224,Strike,AA224/AnnualVarConvtr,Dividend,RiskFreeRate,G224/250)</f>
        <v>7.714104516887943E-2</v>
      </c>
      <c r="AC224">
        <f t="shared" ca="1" si="1206"/>
        <v>-9.8186655309011535</v>
      </c>
      <c r="AD224">
        <f t="shared" ca="1" si="1207"/>
        <v>-5.713060291942579</v>
      </c>
    </row>
    <row r="225" spans="7:30">
      <c r="G225" s="19">
        <v>30</v>
      </c>
      <c r="H225" s="19">
        <f t="shared" ca="1" si="1351"/>
        <v>0.51550291306377982</v>
      </c>
      <c r="I225" s="19">
        <f t="shared" ca="1" si="1351"/>
        <v>0.27263344413013346</v>
      </c>
      <c r="J225" s="19">
        <f t="shared" ca="1" si="1189"/>
        <v>-0.16315877531499987</v>
      </c>
      <c r="K225" s="19">
        <f t="shared" ca="1" si="1190"/>
        <v>1.1395630141521593</v>
      </c>
      <c r="L225" s="19">
        <f t="array" aca="1" ref="L225:M225" ca="1">MMULT(J225:K225,TRANSPOSE($B$10:$C$11))</f>
        <v>-0.16315877531499987</v>
      </c>
      <c r="M225" s="19">
        <f ca="1"/>
        <v>0.91184771095081363</v>
      </c>
      <c r="N225" s="20">
        <f t="shared" ref="N225" ca="1" si="1364">GetVariance(N224,Variance_Avg,Lambda,Eta,M225,"Daily")</f>
        <v>3.5922172433937027E-2</v>
      </c>
      <c r="O225" s="20">
        <f t="shared" ref="O225" ca="1" si="1365">GetStockReturns(0,RiskFreeRate,N225,L225,"Daily")</f>
        <v>-1.9557877836455912E-3</v>
      </c>
      <c r="P225" s="19">
        <f t="shared" ca="1" si="1292"/>
        <v>97.479107857768085</v>
      </c>
      <c r="Q225" s="19">
        <f ca="1">HCTrans(P225,Strike,RiskFreeRate,Dividend,Variance_T0*AnnualVarConvtr,(Simulation!G225)/250,0.5,Variance_Avg*AnnualVarConvtr,Lambda,SQRT(Simulation!N225),Rho,1,"Call")</f>
        <v>8.9322452679799795</v>
      </c>
      <c r="R225" s="19">
        <f t="shared" ref="R225" ca="1" si="1366">BSvol(1,P225,Strike,Q225,Dividend,RiskFreeRate,G225/250)</f>
        <v>0.74541474995875545</v>
      </c>
      <c r="S225" s="19">
        <f t="shared" ref="S225" ca="1" si="1367">BSdelta(1,P225,Strike,R225/AnnualVarConvtr,Dividend,RiskFreeRate,G225/250)</f>
        <v>5.9945990921320136E-2</v>
      </c>
      <c r="T225" s="19">
        <f t="shared" ca="1" si="1212"/>
        <v>-1.8624453378094181</v>
      </c>
      <c r="U225" s="19">
        <f t="shared" ca="1" si="1213"/>
        <v>-4.3027867878113897</v>
      </c>
      <c r="V225" s="21">
        <f t="shared" ca="1" si="1202"/>
        <v>3.6344045149697596E-5</v>
      </c>
      <c r="W225">
        <f t="shared" ca="1" si="1203"/>
        <v>6.0286022550585967E-3</v>
      </c>
      <c r="X225" s="22">
        <f t="shared" ref="X225" ca="1" si="1368">BSdelta(1,P225,Strike,W225*AnnualVarConvtr,Dividend,RiskFreeRate,G225/250)</f>
        <v>0.22460842202039299</v>
      </c>
      <c r="Y225" s="22">
        <f t="shared" ca="1" si="1215"/>
        <v>-17.858346313104466</v>
      </c>
      <c r="Z225" s="22">
        <f t="shared" ca="1" si="1216"/>
        <v>-16.3387527805729</v>
      </c>
      <c r="AA225">
        <f t="shared" si="1196"/>
        <v>0.73884103340948371</v>
      </c>
      <c r="AB225">
        <f t="shared" ref="AB225" ca="1" si="1369">BSdelta(1,P225,Strike,AA225/AnnualVarConvtr,Dividend,RiskFreeRate,G225/250)</f>
        <v>5.8299602348931057E-2</v>
      </c>
      <c r="AC225">
        <f t="shared" ca="1" si="1206"/>
        <v>-1.8366470368417176</v>
      </c>
      <c r="AD225">
        <f t="shared" ca="1" si="1207"/>
        <v>-4.1433448130009269</v>
      </c>
    </row>
    <row r="226" spans="7:30">
      <c r="G226" s="19">
        <v>29</v>
      </c>
      <c r="H226" s="19">
        <f t="shared" ca="1" si="1351"/>
        <v>0.39704657370289098</v>
      </c>
      <c r="I226" s="19">
        <f t="shared" ca="1" si="1351"/>
        <v>0.21656309521543893</v>
      </c>
      <c r="J226" s="19">
        <f t="shared" ca="1" si="1189"/>
        <v>0.28345706183766534</v>
      </c>
      <c r="K226" s="19">
        <f t="shared" ca="1" si="1190"/>
        <v>1.3293063891442127</v>
      </c>
      <c r="L226" s="19">
        <f t="array" aca="1" ref="L226:M226" ca="1">MMULT(J226:K226,TRANSPOSE($B$10:$C$11))</f>
        <v>0.28345706183766534</v>
      </c>
      <c r="M226" s="19">
        <f ca="1"/>
        <v>0.72420999269209907</v>
      </c>
      <c r="N226" s="20">
        <f t="shared" ref="N226" ca="1" si="1370">GetVariance(N225,Variance_Avg,Lambda,Eta,M226,"Daily")</f>
        <v>3.9213598863782159E-2</v>
      </c>
      <c r="O226" s="20">
        <f t="shared" ref="O226" ca="1" si="1371">GetStockReturns(0,RiskFreeRate,N226,L226,"Daily")</f>
        <v>3.5500594652646371E-3</v>
      </c>
      <c r="P226" s="19">
        <f t="shared" ca="1" si="1292"/>
        <v>97.825779475623719</v>
      </c>
      <c r="Q226" s="19">
        <f ca="1">HCTrans(P226,Strike,RiskFreeRate,Dividend,Variance_T0*AnnualVarConvtr,(Simulation!G226)/250,0.5,Variance_Avg*AnnualVarConvtr,Lambda,SQRT(Simulation!N226),Rho,1,"Call")</f>
        <v>8.9425563367121583</v>
      </c>
      <c r="R226" s="19">
        <f t="shared" ref="R226" ca="1" si="1372">BSvol(1,P226,Strike,Q226,Dividend,RiskFreeRate,G226/250)</f>
        <v>0.74549568496601903</v>
      </c>
      <c r="S226" s="19">
        <f t="shared" ref="S226" ca="1" si="1373">BSdelta(1,P226,Strike,R226/AnnualVarConvtr,Dividend,RiskFreeRate,G226/250)</f>
        <v>8.6781082117319164E-2</v>
      </c>
      <c r="T226" s="19">
        <f t="shared" ca="1" si="1212"/>
        <v>2.6251637135480523</v>
      </c>
      <c r="U226" s="19">
        <f t="shared" ca="1" si="1213"/>
        <v>-6.9176394326272632</v>
      </c>
      <c r="V226" s="21">
        <f t="shared" ca="1" si="1202"/>
        <v>3.0314353928332335E-5</v>
      </c>
      <c r="W226">
        <f t="shared" ca="1" si="1203"/>
        <v>5.5058472489102287E-3</v>
      </c>
      <c r="X226" s="22">
        <f t="shared" ref="X226" ca="1" si="1374">BSdelta(1,P226,Strike,W226*AnnualVarConvtr,Dividend,RiskFreeRate,G226/250)</f>
        <v>0.23374710694022727</v>
      </c>
      <c r="Y226" s="22">
        <f t="shared" ca="1" si="1215"/>
        <v>0.8939989756649156</v>
      </c>
      <c r="Z226" s="22">
        <f t="shared" ca="1" si="1216"/>
        <v>-17.222440687505635</v>
      </c>
      <c r="AA226">
        <f t="shared" si="1196"/>
        <v>0.73884103340948371</v>
      </c>
      <c r="AB226">
        <f t="shared" ref="AB226" ca="1" si="1375">BSdelta(1,P226,Strike,AA226/AnnualVarConvtr,Dividend,RiskFreeRate,G226/250)</f>
        <v>8.4837693894135535E-2</v>
      </c>
      <c r="AC226">
        <f t="shared" ca="1" si="1206"/>
        <v>2.5961094912050875</v>
      </c>
      <c r="AD226">
        <f t="shared" ca="1" si="1207"/>
        <v>-6.7291432354738356</v>
      </c>
    </row>
    <row r="227" spans="7:30">
      <c r="G227" s="19">
        <v>28</v>
      </c>
      <c r="H227" s="19">
        <f t="shared" ca="1" si="1351"/>
        <v>0.133485316232552</v>
      </c>
      <c r="I227" s="19">
        <f t="shared" ca="1" si="1351"/>
        <v>0.6700336471902455</v>
      </c>
      <c r="J227" s="19">
        <f t="shared" ca="1" si="1189"/>
        <v>-0.96644522679574441</v>
      </c>
      <c r="K227" s="19">
        <f t="shared" ca="1" si="1190"/>
        <v>-1.758838031065125</v>
      </c>
      <c r="L227" s="19">
        <f t="array" aca="1" ref="L227:M227" ca="1">MMULT(J227:K227,TRANSPOSE($B$10:$C$11))</f>
        <v>-0.96644522679574441</v>
      </c>
      <c r="M227" s="19">
        <f ca="1"/>
        <v>-0.53448470122444558</v>
      </c>
      <c r="N227" s="20">
        <f t="shared" ref="N227" ca="1" si="1376">GetVariance(N226,Variance_Avg,Lambda,Eta,M227,"Daily")</f>
        <v>3.6490759580935846E-2</v>
      </c>
      <c r="O227" s="20">
        <f t="shared" ref="O227" ca="1" si="1377">GetStockReturns(0,RiskFreeRate,N227,L227,"Daily")</f>
        <v>-1.1676123849246113E-2</v>
      </c>
      <c r="P227" s="19">
        <f t="shared" ca="1" si="1292"/>
        <v>96.690196066402237</v>
      </c>
      <c r="Q227" s="19">
        <f ca="1">HCTrans(P227,Strike,RiskFreeRate,Dividend,Variance_T0*AnnualVarConvtr,(Simulation!G227)/250,0.5,Variance_Avg*AnnualVarConvtr,Lambda,SQRT(Simulation!N227),Rho,1,"Call")</f>
        <v>8.1919083868463929</v>
      </c>
      <c r="R227" s="19">
        <f t="shared" ref="R227" ca="1" si="1378">BSvol(1,P227,Strike,Q227,Dividend,RiskFreeRate,G227/250)</f>
        <v>0.74513774460290372</v>
      </c>
      <c r="S227" s="19">
        <f t="shared" ref="S227" ca="1" si="1379">BSdelta(1,P227,Strike,R227/AnnualVarConvtr,Dividend,RiskFreeRate,G227/250)</f>
        <v>1.6742670695481299E-2</v>
      </c>
      <c r="T227" s="19">
        <f t="shared" ca="1" si="1212"/>
        <v>-6.7720277325568494</v>
      </c>
      <c r="U227" s="19">
        <f t="shared" ca="1" si="1213"/>
        <v>-0.89625964993617924</v>
      </c>
      <c r="V227" s="21">
        <f t="shared" ca="1" si="1202"/>
        <v>2.3183665832708557E-4</v>
      </c>
      <c r="W227">
        <f t="shared" ca="1" si="1203"/>
        <v>1.522618331451075E-2</v>
      </c>
      <c r="X227" s="22">
        <f t="shared" ref="X227" ca="1" si="1380">BSdelta(1,P227,Strike,W227*AnnualVarConvtr,Dividend,RiskFreeRate,G227/250)</f>
        <v>0.35291248519049323</v>
      </c>
      <c r="Y227" s="22">
        <f t="shared" ca="1" si="1215"/>
        <v>11.522123787345201</v>
      </c>
      <c r="Z227" s="22">
        <f t="shared" ca="1" si="1216"/>
        <v>-29.495212424716602</v>
      </c>
      <c r="AA227">
        <f t="shared" si="1196"/>
        <v>0.73884103340948371</v>
      </c>
      <c r="AB227">
        <f t="shared" ref="AB227" ca="1" si="1381">BSdelta(1,P227,Strike,AA227/AnnualVarConvtr,Dividend,RiskFreeRate,G227/250)</f>
        <v>1.5997640140488212E-2</v>
      </c>
      <c r="AC227">
        <f t="shared" ca="1" si="1206"/>
        <v>-6.6561582946618287</v>
      </c>
      <c r="AD227">
        <f t="shared" ca="1" si="1207"/>
        <v>-0.82363289067777234</v>
      </c>
    </row>
    <row r="228" spans="7:30">
      <c r="G228" s="19">
        <v>27</v>
      </c>
      <c r="H228" s="19">
        <f t="shared" ca="1" si="1351"/>
        <v>2.6404941195219855E-2</v>
      </c>
      <c r="I228" s="19">
        <f t="shared" ca="1" si="1351"/>
        <v>0.76925267957372778</v>
      </c>
      <c r="J228" s="19">
        <f t="shared" ca="1" si="1189"/>
        <v>0.32533515665834983</v>
      </c>
      <c r="K228" s="19">
        <f t="shared" ca="1" si="1190"/>
        <v>-2.6762969333684818</v>
      </c>
      <c r="L228" s="19">
        <f t="array" aca="1" ref="L228:M228" ca="1">MMULT(J228:K228,TRANSPOSE($B$10:$C$11))</f>
        <v>0.32533515665834983</v>
      </c>
      <c r="M228" s="19">
        <f ca="1"/>
        <v>-2.1000528330483288</v>
      </c>
      <c r="N228" s="20">
        <f t="shared" ref="N228" ca="1" si="1382">GetVariance(N227,Variance_Avg,Lambda,Eta,M228,"Daily")</f>
        <v>2.7160916428597318E-2</v>
      </c>
      <c r="O228" s="20">
        <f t="shared" ref="O228" ca="1" si="1383">GetStockReturns(0,RiskFreeRate,N228,L228,"Daily")</f>
        <v>3.3910422610448827E-3</v>
      </c>
      <c r="P228" s="19">
        <f t="shared" ca="1" si="1292"/>
        <v>97.018633164803148</v>
      </c>
      <c r="Q228" s="19">
        <f ca="1">HCTrans(P228,Strike,RiskFreeRate,Dividend,Variance_T0*AnnualVarConvtr,(Simulation!G228)/250,0.5,Variance_Avg*AnnualVarConvtr,Lambda,SQRT(Simulation!N228),Rho,1,"Call")</f>
        <v>8.1894604404987206</v>
      </c>
      <c r="R228" s="19">
        <f t="shared" ref="R228" ca="1" si="1384">BSvol(1,P228,Strike,Q228,Dividend,RiskFreeRate,G228/250)</f>
        <v>0.74574399262470858</v>
      </c>
      <c r="S228" s="19">
        <f t="shared" ref="S228" ca="1" si="1385">BSdelta(1,P228,Strike,R228/AnnualVarConvtr,Dividend,RiskFreeRate,G228/250)</f>
        <v>2.5889388768791544E-2</v>
      </c>
      <c r="T228" s="19">
        <f t="shared" ca="1" si="1212"/>
        <v>0.88740208541636167</v>
      </c>
      <c r="U228" s="19">
        <f t="shared" ca="1" si="1213"/>
        <v>-1.7861096817002133</v>
      </c>
      <c r="V228" s="21">
        <f t="shared" ca="1" si="1202"/>
        <v>2.2701949459510146E-4</v>
      </c>
      <c r="W228">
        <f t="shared" ca="1" si="1203"/>
        <v>1.5067166110290995E-2</v>
      </c>
      <c r="X228" s="22">
        <f t="shared" ref="X228" ca="1" si="1386">BSdelta(1,P228,Strike,W228*AnnualVarConvtr,Dividend,RiskFreeRate,G228/250)</f>
        <v>0.36412635488150824</v>
      </c>
      <c r="Y228" s="22">
        <f t="shared" ca="1" si="1215"/>
        <v>1.0879543099104898</v>
      </c>
      <c r="Z228" s="22">
        <f t="shared" ca="1" si="1216"/>
        <v>-30.585614680974764</v>
      </c>
      <c r="AA228">
        <f t="shared" si="1196"/>
        <v>0.73884103340948371</v>
      </c>
      <c r="AB228">
        <f t="shared" ref="AB228" ca="1" si="1387">BSdelta(1,P228,Strike,AA228/AnnualVarConvtr,Dividend,RiskFreeRate,G228/250)</f>
        <v>2.4806572360376089E-2</v>
      </c>
      <c r="AC228">
        <f t="shared" ca="1" si="1206"/>
        <v>0.85463056361491707</v>
      </c>
      <c r="AD228">
        <f t="shared" ca="1" si="1207"/>
        <v>-1.6807114006403618</v>
      </c>
    </row>
    <row r="229" spans="7:30">
      <c r="G229" s="19">
        <v>26</v>
      </c>
      <c r="H229" s="19">
        <f t="shared" ca="1" si="1351"/>
        <v>0.5344755492683726</v>
      </c>
      <c r="I229" s="19">
        <f t="shared" ca="1" si="1351"/>
        <v>0.52956901296295134</v>
      </c>
      <c r="J229" s="19">
        <f t="shared" ca="1" si="1189"/>
        <v>-1.1000846253473751</v>
      </c>
      <c r="K229" s="19">
        <f t="shared" ca="1" si="1190"/>
        <v>-0.20676655026880753</v>
      </c>
      <c r="L229" s="19">
        <f t="array" aca="1" ref="L229:M229" ca="1">MMULT(J229:K229,TRANSPOSE($B$10:$C$11))</f>
        <v>-1.1000846253473751</v>
      </c>
      <c r="M229" s="19">
        <f ca="1"/>
        <v>0.64397295767359353</v>
      </c>
      <c r="N229" s="20">
        <f t="shared" ref="N229" ca="1" si="1388">GetVariance(N228,Variance_Avg,Lambda,Eta,M229,"Daily")</f>
        <v>2.9718966020772522E-2</v>
      </c>
      <c r="O229" s="20">
        <f t="shared" ref="O229" ca="1" si="1389">GetStockReturns(0,RiskFreeRate,N229,L229,"Daily")</f>
        <v>-1.1994245628496446E-2</v>
      </c>
      <c r="P229" s="19">
        <f t="shared" ca="1" si="1292"/>
        <v>95.861918674176323</v>
      </c>
      <c r="Q229" s="19">
        <f ca="1">HCTrans(P229,Strike,RiskFreeRate,Dividend,Variance_T0*AnnualVarConvtr,(Simulation!G229)/250,0.5,Variance_Avg*AnnualVarConvtr,Lambda,SQRT(Simulation!N229),Rho,1,"Call")</f>
        <v>7.4411278336901177</v>
      </c>
      <c r="R229" s="19">
        <f t="shared" ref="R229" ca="1" si="1390">BSvol(1,P229,Strike,Q229,Dividend,RiskFreeRate,G229/250)</f>
        <v>0.74519774373906511</v>
      </c>
      <c r="S229" s="19">
        <f t="shared" ref="S229" ca="1" si="1391">BSdelta(1,P229,Strike,R229/AnnualVarConvtr,Dividend,RiskFreeRate,G229/250)</f>
        <v>2.7778164881089307E-3</v>
      </c>
      <c r="T229" s="19">
        <f t="shared" ca="1" si="1212"/>
        <v>-2.2155196624031444</v>
      </c>
      <c r="U229" s="19">
        <f t="shared" ca="1" si="1213"/>
        <v>-0.3189226261056719</v>
      </c>
      <c r="V229" s="21">
        <f t="shared" ca="1" si="1202"/>
        <v>2.3670708344406707E-4</v>
      </c>
      <c r="W229">
        <f t="shared" ca="1" si="1203"/>
        <v>1.5385287889541329E-2</v>
      </c>
      <c r="X229" s="22">
        <f t="shared" ref="X229" ca="1" si="1392">BSdelta(1,P229,Strike,W229*AnnualVarConvtr,Dividend,RiskFreeRate,G229/250)</f>
        <v>0.3087204688388846</v>
      </c>
      <c r="Y229" s="22">
        <f t="shared" ca="1" si="1215"/>
        <v>-5.3113145418886685</v>
      </c>
      <c r="Z229" s="22">
        <f t="shared" ca="1" si="1216"/>
        <v>-26.022632745894697</v>
      </c>
      <c r="AA229">
        <f t="shared" si="1196"/>
        <v>0.73884103340948371</v>
      </c>
      <c r="AB229">
        <f t="shared" ref="AB229" ca="1" si="1393">BSdelta(1,P229,Strike,AA229/AnnualVarConvtr,Dividend,RiskFreeRate,G229/250)</f>
        <v>2.5797422419429061E-3</v>
      </c>
      <c r="AC229">
        <f t="shared" ca="1" si="1206"/>
        <v>-2.1307065811979746</v>
      </c>
      <c r="AD229">
        <f t="shared" ca="1" si="1207"/>
        <v>-0.29833742625099013</v>
      </c>
    </row>
    <row r="230" spans="7:30">
      <c r="G230" s="19">
        <v>25</v>
      </c>
      <c r="H230" s="19">
        <f t="shared" ca="1" si="1351"/>
        <v>0.91634830933072919</v>
      </c>
      <c r="I230" s="19">
        <f t="shared" ca="1" si="1351"/>
        <v>0.70228218695149347</v>
      </c>
      <c r="J230" s="19">
        <f t="shared" ca="1" si="1189"/>
        <v>-0.12345320356816455</v>
      </c>
      <c r="K230" s="19">
        <f t="shared" ca="1" si="1190"/>
        <v>-0.39934543815642692</v>
      </c>
      <c r="L230" s="19">
        <f t="array" aca="1" ref="L230:M230" ca="1">MMULT(J230:K230,TRANSPOSE($B$10:$C$11))</f>
        <v>-0.12345320356816455</v>
      </c>
      <c r="M230" s="19">
        <f ca="1"/>
        <v>-0.19012400228564719</v>
      </c>
      <c r="N230" s="20">
        <f t="shared" ref="N230" ca="1" si="1394">GetVariance(N229,Variance_Avg,Lambda,Eta,M230,"Daily")</f>
        <v>2.8800530954254774E-2</v>
      </c>
      <c r="O230" s="20">
        <f t="shared" ref="O230" ca="1" si="1395">GetStockReturns(0,RiskFreeRate,N230,L230,"Daily")</f>
        <v>-1.3250510391420148E-3</v>
      </c>
      <c r="P230" s="19">
        <f t="shared" ca="1" si="1292"/>
        <v>95.734980857338712</v>
      </c>
      <c r="Q230" s="19">
        <f ca="1">HCTrans(P230,Strike,RiskFreeRate,Dividend,Variance_T0*AnnualVarConvtr,(Simulation!G230)/250,0.5,Variance_Avg*AnnualVarConvtr,Lambda,SQRT(Simulation!N230),Rho,1,"Call")</f>
        <v>7.2032301336227675</v>
      </c>
      <c r="R230" s="19">
        <f t="shared" ref="R230" ca="1" si="1396">BSvol(1,P230,Strike,Q230,Dividend,RiskFreeRate,G230/250)</f>
        <v>0.74523800894604997</v>
      </c>
      <c r="S230" s="19">
        <f t="shared" ref="S230" ca="1" si="1397">BSdelta(1,P230,Strike,R230/AnnualVarConvtr,Dividend,RiskFreeRate,G230/250)</f>
        <v>1.7677758207348404E-3</v>
      </c>
      <c r="T230" s="19">
        <f t="shared" ca="1" si="1212"/>
        <v>-9.6696223956192151E-2</v>
      </c>
      <c r="U230" s="19">
        <f t="shared" ca="1" si="1213"/>
        <v>-0.46012410221682987</v>
      </c>
      <c r="V230" s="21">
        <f t="shared" ca="1" si="1202"/>
        <v>1.1383171318550988E-4</v>
      </c>
      <c r="W230">
        <f t="shared" ca="1" si="1203"/>
        <v>1.0669194589354431E-2</v>
      </c>
      <c r="X230" s="22">
        <f t="shared" ref="X230" ca="1" si="1398">BSdelta(1,P230,Strike,W230*AnnualVarConvtr,Dividend,RiskFreeRate,G230/250)</f>
        <v>0.21465325892818043</v>
      </c>
      <c r="Y230" s="22">
        <f t="shared" ca="1" si="1215"/>
        <v>-9.0055225401045256</v>
      </c>
      <c r="Z230" s="22">
        <f t="shared" ca="1" si="1216"/>
        <v>-17.255007905857521</v>
      </c>
      <c r="AA230">
        <f t="shared" si="1196"/>
        <v>0.73884103340948371</v>
      </c>
      <c r="AB230">
        <f t="shared" ref="AB230" ca="1" si="1399">BSdelta(1,P230,Strike,AA230/AnnualVarConvtr,Dividend,RiskFreeRate,G230/250)</f>
        <v>1.62913028646261E-3</v>
      </c>
      <c r="AC230">
        <f t="shared" ca="1" si="1206"/>
        <v>-9.1006817360663461E-2</v>
      </c>
      <c r="AD230">
        <f t="shared" ca="1" si="1207"/>
        <v>-0.44522830895767679</v>
      </c>
    </row>
    <row r="231" spans="7:30">
      <c r="G231" s="19">
        <v>24</v>
      </c>
      <c r="H231" s="19">
        <f t="shared" ca="1" si="1351"/>
        <v>0.52496671411352325</v>
      </c>
      <c r="I231" s="19">
        <f t="shared" ca="1" si="1351"/>
        <v>0.80486645052700867</v>
      </c>
      <c r="J231" s="19">
        <f t="shared" ca="1" si="1189"/>
        <v>0.38366298524049164</v>
      </c>
      <c r="K231" s="19">
        <f t="shared" ca="1" si="1190"/>
        <v>-1.0684772126416076</v>
      </c>
      <c r="L231" s="19">
        <f t="array" aca="1" ref="L231:M231" ca="1">MMULT(J231:K231,TRANSPOSE($B$10:$C$11))</f>
        <v>0.38366298524049164</v>
      </c>
      <c r="M231" s="19">
        <f ca="1"/>
        <v>-1.0202504398513241</v>
      </c>
      <c r="N231" s="20">
        <f t="shared" ref="N231" ca="1" si="1400">GetVariance(N230,Variance_Avg,Lambda,Eta,M231,"Daily")</f>
        <v>2.4596126440819682E-2</v>
      </c>
      <c r="O231" s="20">
        <f t="shared" ref="O231" ca="1" si="1401">GetStockReturns(0,RiskFreeRate,N231,L231,"Daily")</f>
        <v>3.8055134025223132E-3</v>
      </c>
      <c r="P231" s="19">
        <f t="shared" ca="1" si="1292"/>
        <v>96.099995704017189</v>
      </c>
      <c r="Q231" s="19">
        <f ca="1">HCTrans(P231,Strike,RiskFreeRate,Dividend,Variance_T0*AnnualVarConvtr,(Simulation!G231)/250,0.5,Variance_Avg*AnnualVarConvtr,Lambda,SQRT(Simulation!N231),Rho,1,"Call")</f>
        <v>7.1997045353058411</v>
      </c>
      <c r="R231" s="19">
        <f t="shared" ref="R231" ca="1" si="1402">BSvol(1,P231,Strike,Q231,Dividend,RiskFreeRate,G231/250)</f>
        <v>0.74564596878484157</v>
      </c>
      <c r="S231" s="19">
        <f t="shared" ref="S231" ca="1" si="1403">BSdelta(1,P231,Strike,R231/AnnualVarConvtr,Dividend,RiskFreeRate,G231/250)</f>
        <v>3.3113074065461712E-3</v>
      </c>
      <c r="T231" s="19">
        <f t="shared" ca="1" si="1212"/>
        <v>0.14833337876548372</v>
      </c>
      <c r="U231" s="19">
        <f t="shared" ca="1" si="1213"/>
        <v>-0.61198307929924001</v>
      </c>
      <c r="V231" s="21">
        <f t="shared" ca="1" si="1202"/>
        <v>2.63226914900704E-5</v>
      </c>
      <c r="W231">
        <f t="shared" ca="1" si="1203"/>
        <v>5.1305644416643282E-3</v>
      </c>
      <c r="X231" s="22">
        <f t="shared" ref="X231" ca="1" si="1404">BSdelta(1,P231,Strike,W231*AnnualVarConvtr,Dividend,RiskFreeRate,G231/250)</f>
        <v>5.8189830692839895E-2</v>
      </c>
      <c r="Y231" s="22">
        <f t="shared" ca="1" si="1215"/>
        <v>-15.036134781252027</v>
      </c>
      <c r="Z231" s="22">
        <f t="shared" ca="1" si="1216"/>
        <v>-2.2223987229224207</v>
      </c>
      <c r="AA231">
        <f t="shared" si="1196"/>
        <v>0.73884103340948371</v>
      </c>
      <c r="AB231">
        <f t="shared" ref="AB231" ca="1" si="1405">BSdelta(1,P231,Strike,AA231/AnnualVarConvtr,Dividend,RiskFreeRate,G231/250)</f>
        <v>3.0683140267964149E-3</v>
      </c>
      <c r="AC231">
        <f t="shared" ca="1" si="1206"/>
        <v>0.13830555126337002</v>
      </c>
      <c r="AD231">
        <f t="shared" ca="1" si="1207"/>
        <v>-0.58705945853797326</v>
      </c>
    </row>
    <row r="232" spans="7:30">
      <c r="G232" s="19">
        <v>23</v>
      </c>
      <c r="H232" s="19">
        <f t="shared" ca="1" si="1351"/>
        <v>0.6006413599756264</v>
      </c>
      <c r="I232" s="19">
        <f t="shared" ca="1" si="1351"/>
        <v>0.51065218924276068</v>
      </c>
      <c r="J232" s="19">
        <f t="shared" ca="1" si="1189"/>
        <v>-1.0074494226850321</v>
      </c>
      <c r="K232" s="19">
        <f t="shared" ca="1" si="1190"/>
        <v>-6.7529130624767036E-2</v>
      </c>
      <c r="L232" s="19">
        <f t="array" aca="1" ref="L232:M232" ca="1">MMULT(J232:K232,TRANSPOSE($B$10:$C$11))</f>
        <v>-1.0074494226850321</v>
      </c>
      <c r="M232" s="19">
        <f ca="1"/>
        <v>0.67473006154077875</v>
      </c>
      <c r="N232" s="20">
        <f t="shared" ref="N232" ca="1" si="1406">GetVariance(N231,Variance_Avg,Lambda,Eta,M232,"Daily")</f>
        <v>2.7166231788550262E-2</v>
      </c>
      <c r="O232" s="20">
        <f t="shared" ref="O232" ca="1" si="1407">GetStockReturns(0,RiskFreeRate,N232,L232,"Daily")</f>
        <v>-1.050190170118924E-2</v>
      </c>
      <c r="P232" s="19">
        <f t="shared" ca="1" si="1292"/>
        <v>95.096043924232362</v>
      </c>
      <c r="Q232" s="19">
        <f ca="1">HCTrans(P232,Strike,RiskFreeRate,Dividend,Variance_T0*AnnualVarConvtr,(Simulation!G232)/250,0.5,Variance_Avg*AnnualVarConvtr,Lambda,SQRT(Simulation!N232),Rho,1,"Call")</f>
        <v>6.5403631013929413</v>
      </c>
      <c r="R232" s="19">
        <f t="shared" ref="R232" ca="1" si="1408">BSvol(1,P232,Strike,Q232,Dividend,RiskFreeRate,G232/250)</f>
        <v>0.74515626722394102</v>
      </c>
      <c r="S232" s="19">
        <f t="shared" ref="S232" ca="1" si="1409">BSdelta(1,P232,Strike,R232/AnnualVarConvtr,Dividend,RiskFreeRate,G232/250)</f>
        <v>2.2365940899837788E-4</v>
      </c>
      <c r="T232" s="19">
        <f t="shared" ca="1" si="1212"/>
        <v>-0.29362310959737303</v>
      </c>
      <c r="U232" s="19">
        <f t="shared" ca="1" si="1213"/>
        <v>-0.97770140361476676</v>
      </c>
      <c r="V232" s="21">
        <f t="shared" ca="1" si="1202"/>
        <v>2.0470212694991349E-4</v>
      </c>
      <c r="W232">
        <f t="shared" ca="1" si="1203"/>
        <v>1.4307415103711554E-2</v>
      </c>
      <c r="X232" s="22">
        <f t="shared" ref="X232" ca="1" si="1410">BSdelta(1,P232,Strike,W232*AnnualVarConvtr,Dividend,RiskFreeRate,G232/250)</f>
        <v>0.24243000470827214</v>
      </c>
      <c r="Y232" s="22">
        <f t="shared" ca="1" si="1215"/>
        <v>17.520511680779759</v>
      </c>
      <c r="Z232" s="22">
        <f t="shared" ca="1" si="1216"/>
        <v>-20.402251837615079</v>
      </c>
      <c r="AA232">
        <f t="shared" si="1196"/>
        <v>0.73884103340948371</v>
      </c>
      <c r="AB232">
        <f t="shared" ref="AB232" ca="1" si="1411">BSdelta(1,P232,Strike,AA232/AnnualVarConvtr,Dividend,RiskFreeRate,G232/250)</f>
        <v>1.9961275994129224E-4</v>
      </c>
      <c r="AC232">
        <f t="shared" ca="1" si="1206"/>
        <v>-0.27280214167835576</v>
      </c>
      <c r="AD232">
        <f t="shared" ca="1" si="1207"/>
        <v>-0.97359875077251745</v>
      </c>
    </row>
    <row r="233" spans="7:30">
      <c r="G233" s="19">
        <v>22</v>
      </c>
      <c r="H233" s="19">
        <f t="shared" ca="1" si="1351"/>
        <v>0.89440976459214738</v>
      </c>
      <c r="I233" s="19">
        <f t="shared" ca="1" si="1351"/>
        <v>0.65855821919825885</v>
      </c>
      <c r="J233" s="19">
        <f t="shared" ca="1" si="1189"/>
        <v>-0.25673935005461795</v>
      </c>
      <c r="K233" s="19">
        <f t="shared" ca="1" si="1190"/>
        <v>-0.39656957076876265</v>
      </c>
      <c r="L233" s="19">
        <f t="array" aca="1" ref="L233:M233" ca="1">MMULT(J233:K233,TRANSPOSE($B$10:$C$11))</f>
        <v>-0.25673935005461795</v>
      </c>
      <c r="M233" s="19">
        <f ca="1"/>
        <v>-9.2688069071205387E-2</v>
      </c>
      <c r="N233" s="20">
        <f t="shared" ref="N233" ca="1" si="1412">GetVariance(N232,Variance_Avg,Lambda,Eta,M233,"Daily")</f>
        <v>2.6686263654338498E-2</v>
      </c>
      <c r="O233" s="20">
        <f t="shared" ref="O233" ca="1" si="1413">GetStockReturns(0,RiskFreeRate,N233,L233,"Daily")</f>
        <v>-2.6525667371216327E-3</v>
      </c>
      <c r="P233" s="19">
        <f t="shared" ca="1" si="1292"/>
        <v>94.844129578801812</v>
      </c>
      <c r="Q233" s="19">
        <f ca="1">HCTrans(P233,Strike,RiskFreeRate,Dividend,Variance_T0*AnnualVarConvtr,(Simulation!G233)/250,0.5,Variance_Avg*AnnualVarConvtr,Lambda,SQRT(Simulation!N233),Rho,1,"Call")</f>
        <v>6.2391193175486563</v>
      </c>
      <c r="R233" s="19">
        <f t="shared" ref="R233" ca="1" si="1414">BSvol(1,P233,Strike,Q233,Dividend,RiskFreeRate,G233/250)</f>
        <v>0.74512575732285946</v>
      </c>
      <c r="S233" s="19">
        <f t="shared" ref="S233" ca="1" si="1415">BSdelta(1,P233,Strike,R233/AnnualVarConvtr,Dividend,RiskFreeRate,G233/250)</f>
        <v>7.854882766467064E-5</v>
      </c>
      <c r="T233" s="19">
        <f t="shared" ca="1" si="1212"/>
        <v>-1.3762886779269389E-2</v>
      </c>
      <c r="U233" s="19">
        <f t="shared" ca="1" si="1213"/>
        <v>-1.2651823006797822</v>
      </c>
      <c r="V233" s="21">
        <f t="shared" ca="1" si="1202"/>
        <v>6.1612059378134211E-5</v>
      </c>
      <c r="W233">
        <f t="shared" ca="1" si="1203"/>
        <v>7.8493349640676065E-3</v>
      </c>
      <c r="X233" s="22">
        <f t="shared" ref="X233" ca="1" si="1416">BSdelta(1,P233,Strike,W233*AnnualVarConvtr,Dividend,RiskFreeRate,G233/250)</f>
        <v>7.7890799091798413E-2</v>
      </c>
      <c r="Y233" s="22">
        <f t="shared" ca="1" si="1215"/>
        <v>-15.60557773828195</v>
      </c>
      <c r="Z233" s="22">
        <f t="shared" ca="1" si="1216"/>
        <v>-5.0979178831774146</v>
      </c>
      <c r="AA233">
        <f t="shared" si="1196"/>
        <v>0.73884103340948371</v>
      </c>
      <c r="AB233">
        <f t="shared" ref="AB233" ca="1" si="1417">BSdelta(1,P233,Strike,AA233/AnnualVarConvtr,Dividend,RiskFreeRate,G233/250)</f>
        <v>6.8967801487351821E-5</v>
      </c>
      <c r="AC233">
        <f t="shared" ca="1" si="1206"/>
        <v>-1.2390907368422705E-2</v>
      </c>
      <c r="AD233">
        <f t="shared" ca="1" si="1207"/>
        <v>-1.2624516272483797</v>
      </c>
    </row>
    <row r="234" spans="7:30">
      <c r="G234" s="19">
        <v>21</v>
      </c>
      <c r="H234" s="19">
        <f t="shared" ca="1" si="1351"/>
        <v>5.0559534007534435E-2</v>
      </c>
      <c r="I234" s="19">
        <f t="shared" ca="1" si="1351"/>
        <v>0.92768470680067971</v>
      </c>
      <c r="J234" s="19">
        <f t="shared" ca="1" si="1189"/>
        <v>2.1953034725945422</v>
      </c>
      <c r="K234" s="19">
        <f t="shared" ca="1" si="1190"/>
        <v>-1.0723106615308013</v>
      </c>
      <c r="L234" s="19">
        <f t="array" aca="1" ref="L234:M234" ca="1">MMULT(J234:K234,TRANSPOSE($B$10:$C$11))</f>
        <v>2.1953034725945422</v>
      </c>
      <c r="M234" s="19">
        <f ca="1"/>
        <v>-2.3209650135009032</v>
      </c>
      <c r="N234" s="20">
        <f t="shared" ref="N234" ca="1" si="1418">GetVariance(N233,Variance_Avg,Lambda,Eta,M234,"Daily")</f>
        <v>1.8094951785129602E-2</v>
      </c>
      <c r="O234" s="20">
        <f t="shared" ref="O234" ca="1" si="1419">GetStockReturns(0,RiskFreeRate,N234,L234,"Daily")</f>
        <v>1.8676834704461784E-2</v>
      </c>
      <c r="P234" s="19">
        <f t="shared" ca="1" si="1292"/>
        <v>96.632163137774768</v>
      </c>
      <c r="Q234" s="19">
        <f ca="1">HCTrans(P234,Strike,RiskFreeRate,Dividend,Variance_T0*AnnualVarConvtr,(Simulation!G234)/250,0.5,Variance_Avg*AnnualVarConvtr,Lambda,SQRT(Simulation!N234),Rho,1,"Call")</f>
        <v>6.8887777391083773</v>
      </c>
      <c r="R234" s="19">
        <f t="shared" ref="R234" ca="1" si="1420">BSvol(1,P234,Strike,Q234,Dividend,RiskFreeRate,G234/250)</f>
        <v>0.74629107442679066</v>
      </c>
      <c r="S234" s="19">
        <f t="shared" ref="S234" ca="1" si="1421">BSdelta(1,P234,Strike,R234/AnnualVarConvtr,Dividend,RiskFreeRate,G234/250)</f>
        <v>6.253846641935068E-3</v>
      </c>
      <c r="T234" s="19">
        <f t="shared" ca="1" si="1212"/>
        <v>0.59673238581292098</v>
      </c>
      <c r="U234" s="19">
        <f t="shared" ca="1" si="1213"/>
        <v>-1.2122562649329822</v>
      </c>
      <c r="V234" s="21">
        <f t="shared" ca="1" si="1202"/>
        <v>4.5494336585622072E-4</v>
      </c>
      <c r="W234">
        <f t="shared" ca="1" si="1203"/>
        <v>2.1329401441583417E-2</v>
      </c>
      <c r="X234" s="22">
        <f t="shared" ref="X234" ca="1" si="1422">BSdelta(1,P234,Strike,W234*AnnualVarConvtr,Dividend,RiskFreeRate,G234/250)</f>
        <v>0.38147002391521023</v>
      </c>
      <c r="Y234" s="22">
        <f t="shared" ca="1" si="1215"/>
        <v>29.335517178375135</v>
      </c>
      <c r="Z234" s="22">
        <f t="shared" ca="1" si="1216"/>
        <v>-33.78377663999283</v>
      </c>
      <c r="AA234">
        <f t="shared" si="1196"/>
        <v>0.73884103340948371</v>
      </c>
      <c r="AB234">
        <f t="shared" ref="AB234" ca="1" si="1423">BSdelta(1,P234,Strike,AA234/AnnualVarConvtr,Dividend,RiskFreeRate,G234/250)</f>
        <v>5.8211008779400775E-3</v>
      </c>
      <c r="AC234">
        <f t="shared" ca="1" si="1206"/>
        <v>0.55584106183397008</v>
      </c>
      <c r="AD234">
        <f t="shared" ca="1" si="1207"/>
        <v>-1.1686342675226289</v>
      </c>
    </row>
    <row r="235" spans="7:30">
      <c r="G235" s="19">
        <v>20</v>
      </c>
      <c r="H235" s="19">
        <f t="shared" ca="1" si="1351"/>
        <v>0.1587316627742732</v>
      </c>
      <c r="I235" s="19">
        <f t="shared" ca="1" si="1351"/>
        <v>0.9269607078900659</v>
      </c>
      <c r="J235" s="19">
        <f t="shared" ca="1" si="1189"/>
        <v>1.7200984222550681</v>
      </c>
      <c r="K235" s="19">
        <f t="shared" ca="1" si="1190"/>
        <v>-0.84990689706846201</v>
      </c>
      <c r="L235" s="19">
        <f t="array" aca="1" ref="L235:M235" ca="1">MMULT(J235:K235,TRANSPOSE($B$10:$C$11))</f>
        <v>1.7200984222550681</v>
      </c>
      <c r="M235" s="19">
        <f ca="1"/>
        <v>-1.8253345997789903</v>
      </c>
      <c r="N235" s="20">
        <f t="shared" ref="N235" ca="1" si="1424">GetVariance(N234,Variance_Avg,Lambda,Eta,M235,"Daily")</f>
        <v>1.2516492006278449E-2</v>
      </c>
      <c r="O235" s="20">
        <f t="shared" ref="O235" ca="1" si="1425">GetStockReturns(0,RiskFreeRate,N235,L235,"Daily")</f>
        <v>1.2170953588495743E-2</v>
      </c>
      <c r="P235" s="19">
        <f t="shared" ca="1" si="1292"/>
        <v>97.815454998717101</v>
      </c>
      <c r="Q235" s="19">
        <f ca="1">HCTrans(P235,Strike,RiskFreeRate,Dividend,Variance_T0*AnnualVarConvtr,(Simulation!G235)/250,0.5,Variance_Avg*AnnualVarConvtr,Lambda,SQRT(Simulation!N235),Rho,1,"Call")</f>
        <v>7.2739702606361192</v>
      </c>
      <c r="R235" s="19">
        <f t="shared" ref="R235" ca="1" si="1426">BSvol(1,P235,Strike,Q235,Dividend,RiskFreeRate,G235/250)</f>
        <v>0.74695835804291666</v>
      </c>
      <c r="S235" s="19">
        <f t="shared" ref="S235" ca="1" si="1427">BSdelta(1,P235,Strike,R235/AnnualVarConvtr,Dividend,RiskFreeRate,G235/250)</f>
        <v>4.9847407402366928E-2</v>
      </c>
      <c r="T235" s="19">
        <f t="shared" ca="1" si="1212"/>
        <v>4.264123980795862</v>
      </c>
      <c r="U235" s="19">
        <f t="shared" ca="1" si="1213"/>
        <v>-5.0911877242011023</v>
      </c>
      <c r="V235" s="21">
        <f t="shared" ca="1" si="1202"/>
        <v>4.2326489095083533E-5</v>
      </c>
      <c r="W235">
        <f t="shared" ca="1" si="1203"/>
        <v>6.5058811159660404E-3</v>
      </c>
      <c r="X235" s="22">
        <f t="shared" ref="X235" ca="1" si="1428">BSdelta(1,P235,Strike,W235*AnnualVarConvtr,Dividend,RiskFreeRate,G235/250)</f>
        <v>0.22825620904349797</v>
      </c>
      <c r="Y235" s="22">
        <f t="shared" ca="1" si="1215"/>
        <v>-14.986679013765743</v>
      </c>
      <c r="Z235" s="22">
        <f t="shared" ca="1" si="1216"/>
        <v>-18.411905104699343</v>
      </c>
      <c r="AA235">
        <f t="shared" si="1196"/>
        <v>0.73884103340948371</v>
      </c>
      <c r="AB235">
        <f t="shared" ref="AB235" ca="1" si="1429">BSdelta(1,P235,Strike,AA235/AnnualVarConvtr,Dividend,RiskFreeRate,G235/250)</f>
        <v>4.7999433724469021E-2</v>
      </c>
      <c r="AC235">
        <f t="shared" ca="1" si="1206"/>
        <v>4.1256928184705632</v>
      </c>
      <c r="AD235">
        <f t="shared" ca="1" si="1207"/>
        <v>-4.9091345644654503</v>
      </c>
    </row>
    <row r="236" spans="7:30">
      <c r="G236" s="19">
        <v>19</v>
      </c>
      <c r="H236" s="19">
        <f t="shared" ca="1" si="1351"/>
        <v>0.75265511075265179</v>
      </c>
      <c r="I236" s="19">
        <f t="shared" ca="1" si="1351"/>
        <v>9.6902380066535621E-2</v>
      </c>
      <c r="J236" s="19">
        <f t="shared" ca="1" si="1189"/>
        <v>0.61838901801445234</v>
      </c>
      <c r="K236" s="19">
        <f t="shared" ca="1" si="1190"/>
        <v>0.43115122069621908</v>
      </c>
      <c r="L236" s="19">
        <f t="array" aca="1" ref="L236:M236" ca="1">MMULT(J236:K236,TRANSPOSE($B$10:$C$11))</f>
        <v>0.61838901801445234</v>
      </c>
      <c r="M236" s="19">
        <f ca="1"/>
        <v>-0.14231020543548767</v>
      </c>
      <c r="N236" s="20">
        <f t="shared" ref="N236" ca="1" si="1430">GetVariance(N235,Variance_Avg,Lambda,Eta,M236,"Daily")</f>
        <v>1.2100140883385506E-2</v>
      </c>
      <c r="O236" s="20">
        <f t="shared" ref="O236" ca="1" si="1431">GetStockReturns(0,RiskFreeRate,N236,L236,"Daily")</f>
        <v>4.3021641546916881E-3</v>
      </c>
      <c r="P236" s="19">
        <f t="shared" ca="1" si="1292"/>
        <v>98.237179656879732</v>
      </c>
      <c r="Q236" s="19">
        <f ca="1">HCTrans(P236,Strike,RiskFreeRate,Dividend,Variance_T0*AnnualVarConvtr,(Simulation!G236)/250,0.5,Variance_Avg*AnnualVarConvtr,Lambda,SQRT(Simulation!N236),Rho,1,"Call")</f>
        <v>7.2788369360810208</v>
      </c>
      <c r="R236" s="19">
        <f t="shared" ref="R236" ca="1" si="1432">BSvol(1,P236,Strike,Q236,Dividend,RiskFreeRate,G236/250)</f>
        <v>0.74711771487980494</v>
      </c>
      <c r="S236" s="19">
        <f t="shared" ref="S236" ca="1" si="1433">BSdelta(1,P236,Strike,R236/AnnualVarConvtr,Dividend,RiskFreeRate,G236/250)</f>
        <v>8.7101865180573057E-2</v>
      </c>
      <c r="T236" s="19">
        <f t="shared" ca="1" si="1212"/>
        <v>3.659772861777276</v>
      </c>
      <c r="U236" s="19">
        <f t="shared" ca="1" si="1213"/>
        <v>-8.7460939105334763</v>
      </c>
      <c r="V236" s="21">
        <f t="shared" ca="1" si="1202"/>
        <v>6.1917847153546366E-5</v>
      </c>
      <c r="W236">
        <f t="shared" ca="1" si="1203"/>
        <v>7.8687894338040562E-3</v>
      </c>
      <c r="X236" s="22">
        <f t="shared" ref="X236" ca="1" si="1434">BSdelta(1,P236,Strike,W236*AnnualVarConvtr,Dividend,RiskFreeRate,G236/250)</f>
        <v>0.30804930009234521</v>
      </c>
      <c r="Y236" s="22">
        <f t="shared" ca="1" si="1215"/>
        <v>7.8386482207433685</v>
      </c>
      <c r="Z236" s="22">
        <f t="shared" ca="1" si="1216"/>
        <v>-26.245686649997811</v>
      </c>
      <c r="AA236">
        <f t="shared" si="1196"/>
        <v>0.73884103340948371</v>
      </c>
      <c r="AB236">
        <f t="shared" ref="AB236" ca="1" si="1435">BSdelta(1,P236,Strike,AA236/AnnualVarConvtr,Dividend,RiskFreeRate,G236/250)</f>
        <v>8.4691872015510983E-2</v>
      </c>
      <c r="AC236">
        <f t="shared" ca="1" si="1206"/>
        <v>3.6045616524460624</v>
      </c>
      <c r="AD236">
        <f t="shared" ca="1" si="1207"/>
        <v>-8.5088295414666106</v>
      </c>
    </row>
    <row r="237" spans="7:30">
      <c r="G237" s="19">
        <v>18</v>
      </c>
      <c r="H237" s="19">
        <f t="shared" ca="1" si="1351"/>
        <v>0.11378688947541726</v>
      </c>
      <c r="I237" s="19">
        <f t="shared" ca="1" si="1351"/>
        <v>6.5141852360432573E-2</v>
      </c>
      <c r="J237" s="19">
        <f t="shared" ca="1" si="1189"/>
        <v>1.9126984086895951</v>
      </c>
      <c r="K237" s="19">
        <f t="shared" ca="1" si="1190"/>
        <v>0.82972329043303217</v>
      </c>
      <c r="L237" s="19">
        <f t="array" aca="1" ref="L237:M237" ca="1">MMULT(J237:K237,TRANSPOSE($B$10:$C$11))</f>
        <v>1.9126984086895951</v>
      </c>
      <c r="M237" s="19">
        <f ca="1"/>
        <v>-0.79164415303836067</v>
      </c>
      <c r="N237" s="20">
        <f t="shared" ref="N237" ca="1" si="1436">GetVariance(N236,Variance_Avg,Lambda,Eta,M237,"Daily")</f>
        <v>1.00322857123858E-2</v>
      </c>
      <c r="O237" s="20">
        <f t="shared" ref="O237" ca="1" si="1437">GetStockReturns(0,RiskFreeRate,N237,L237,"Daily")</f>
        <v>1.2116479120116734E-2</v>
      </c>
      <c r="P237" s="19">
        <f t="shared" ca="1" si="1292"/>
        <v>99.434708659951824</v>
      </c>
      <c r="Q237" s="19">
        <f ca="1">HCTrans(P237,Strike,RiskFreeRate,Dividend,Variance_T0*AnnualVarConvtr,(Simulation!G237)/250,0.5,Variance_Avg*AnnualVarConvtr,Lambda,SQRT(Simulation!N237),Rho,1,"Call")</f>
        <v>7.6865837960290975</v>
      </c>
      <c r="R237" s="19">
        <f t="shared" ref="R237" ca="1" si="1438">BSvol(1,P237,Strike,Q237,Dividend,RiskFreeRate,G237/250)</f>
        <v>0.74752201900090876</v>
      </c>
      <c r="S237" s="19">
        <f t="shared" ref="S237" ca="1" si="1439">BSdelta(1,P237,Strike,R237/AnnualVarConvtr,Dividend,RiskFreeRate,G237/250)</f>
        <v>0.3297772173597262</v>
      </c>
      <c r="T237" s="19">
        <f t="shared" ca="1" si="1212"/>
        <v>24.130352942885299</v>
      </c>
      <c r="U237" s="19">
        <f t="shared" ca="1" si="1213"/>
        <v>-32.4686999934707</v>
      </c>
      <c r="V237" s="21">
        <f t="shared" ca="1" si="1202"/>
        <v>6.1063518378865814E-5</v>
      </c>
      <c r="W237">
        <f t="shared" ca="1" si="1203"/>
        <v>7.8143149654250448E-3</v>
      </c>
      <c r="X237" s="22">
        <f t="shared" ref="X237" ca="1" si="1440">BSdelta(1,P237,Strike,W237*AnnualVarConvtr,Dividend,RiskFreeRate,G237/250)</f>
        <v>0.43864116404224474</v>
      </c>
      <c r="Y237" s="22">
        <f t="shared" ca="1" si="1215"/>
        <v>12.985363945218324</v>
      </c>
      <c r="Z237" s="22">
        <f t="shared" ca="1" si="1216"/>
        <v>-38.823303735268055</v>
      </c>
      <c r="AA237">
        <f t="shared" si="1196"/>
        <v>0.73884103340948371</v>
      </c>
      <c r="AB237">
        <f t="shared" ref="AB237" ca="1" si="1441">BSdelta(1,P237,Strike,AA237/AnnualVarConvtr,Dividend,RiskFreeRate,G237/250)</f>
        <v>0.32785186999103566</v>
      </c>
      <c r="AC237">
        <f t="shared" ca="1" si="1206"/>
        <v>24.178543556450773</v>
      </c>
      <c r="AD237">
        <f t="shared" ca="1" si="1207"/>
        <v>-32.27962623796931</v>
      </c>
    </row>
    <row r="238" spans="7:30">
      <c r="G238" s="19">
        <v>17</v>
      </c>
      <c r="H238" s="19">
        <f t="shared" ca="1" si="1351"/>
        <v>0.16816383138490054</v>
      </c>
      <c r="I238" s="19">
        <f t="shared" ca="1" si="1351"/>
        <v>0.99558845334932666</v>
      </c>
      <c r="J238" s="19">
        <f t="shared" ca="1" si="1189"/>
        <v>1.8875630676236599</v>
      </c>
      <c r="K238" s="19">
        <f t="shared" ca="1" si="1190"/>
        <v>-5.2333943503818522E-2</v>
      </c>
      <c r="L238" s="19">
        <f t="array" aca="1" ref="L238:M238" ca="1">MMULT(J238:K238,TRANSPOSE($B$10:$C$11))</f>
        <v>1.8875630676236599</v>
      </c>
      <c r="M238" s="19">
        <f ca="1"/>
        <v>-1.3889464213793754</v>
      </c>
      <c r="N238" s="20">
        <f t="shared" ref="N238" ca="1" si="1442">GetVariance(N237,Variance_Avg,Lambda,Eta,M238,"Daily")</f>
        <v>6.8951982721005634E-3</v>
      </c>
      <c r="O238" s="20">
        <f t="shared" ref="O238" ca="1" si="1443">GetStockReturns(0,RiskFreeRate,N238,L238,"Daily")</f>
        <v>9.9129940698549114E-3</v>
      </c>
      <c r="P238" s="19">
        <f t="shared" ca="1" si="1292"/>
        <v>100.42530611865854</v>
      </c>
      <c r="Q238" s="19">
        <f ca="1">HCTrans(P238,Strike,RiskFreeRate,Dividend,Variance_T0*AnnualVarConvtr,(Simulation!G238)/250,0.5,Variance_Avg*AnnualVarConvtr,Lambda,SQRT(Simulation!N238),Rho,1,"Call")</f>
        <v>7.9986721833588774</v>
      </c>
      <c r="R238" s="19">
        <f t="shared" ref="R238" ca="1" si="1444">BSvol(1,P238,Strike,Q238,Dividend,RiskFreeRate,G238/250)</f>
        <v>0.74784851755461534</v>
      </c>
      <c r="S238" s="19">
        <f t="shared" ref="S238" ca="1" si="1445">BSdelta(1,P238,Strike,R238/AnnualVarConvtr,Dividend,RiskFreeRate,G238/250)</f>
        <v>0.63692990101452518</v>
      </c>
      <c r="T238" s="19">
        <f t="shared" ca="1" si="1212"/>
        <v>30.845902281200676</v>
      </c>
      <c r="U238" s="19">
        <f t="shared" ca="1" si="1213"/>
        <v>-63.002513887341593</v>
      </c>
      <c r="V238" s="21">
        <f t="shared" ca="1" si="1202"/>
        <v>4.8553463667273453E-6</v>
      </c>
      <c r="W238">
        <f t="shared" ca="1" si="1203"/>
        <v>2.2034850502618223E-3</v>
      </c>
      <c r="X238" s="22">
        <f t="shared" ref="X238" ca="1" si="1446">BSdelta(1,P238,Strike,W238*AnnualVarConvtr,Dividend,RiskFreeRate,G238/250)</f>
        <v>0.68142259040585129</v>
      </c>
      <c r="Y238" s="22">
        <f t="shared" ca="1" si="1215"/>
        <v>24.381399062489745</v>
      </c>
      <c r="Z238" s="22">
        <f t="shared" ca="1" si="1216"/>
        <v>-62.892614410428024</v>
      </c>
      <c r="AA238">
        <f t="shared" si="1196"/>
        <v>0.73884103340948371</v>
      </c>
      <c r="AB238">
        <f t="shared" ref="AB238" ca="1" si="1447">BSdelta(1,P238,Strike,AA238/AnnualVarConvtr,Dividend,RiskFreeRate,G238/250)</f>
        <v>0.63847490733490686</v>
      </c>
      <c r="AC238">
        <f t="shared" ca="1" si="1206"/>
        <v>31.194413612765768</v>
      </c>
      <c r="AD238">
        <f t="shared" ca="1" si="1207"/>
        <v>-63.161951463405302</v>
      </c>
    </row>
    <row r="239" spans="7:30">
      <c r="G239" s="19">
        <v>16</v>
      </c>
      <c r="H239" s="19">
        <f t="shared" ca="1" si="1351"/>
        <v>0.4638011351230138</v>
      </c>
      <c r="I239" s="19">
        <f t="shared" ca="1" si="1351"/>
        <v>0.17081612953027037</v>
      </c>
      <c r="J239" s="19">
        <f t="shared" ca="1" si="1189"/>
        <v>0.59160195288671569</v>
      </c>
      <c r="K239" s="19">
        <f t="shared" ca="1" si="1190"/>
        <v>1.0893144370596359</v>
      </c>
      <c r="L239" s="19">
        <f t="array" aca="1" ref="L239:M239" ca="1">MMULT(J239:K239,TRANSPOSE($B$10:$C$11))</f>
        <v>0.59160195288671569</v>
      </c>
      <c r="M239" s="19">
        <f ca="1"/>
        <v>0.33600889045648863</v>
      </c>
      <c r="N239" s="20">
        <f t="shared" ref="N239" ca="1" si="1448">GetVariance(N238,Variance_Avg,Lambda,Eta,M239,"Daily")</f>
        <v>7.5971148940353036E-3</v>
      </c>
      <c r="O239" s="20">
        <f t="shared" ref="O239" ca="1" si="1449">GetStockReturns(0,RiskFreeRate,N239,L239,"Daily")</f>
        <v>3.2612488715168704E-3</v>
      </c>
      <c r="P239" s="19">
        <f t="shared" ca="1" si="1292"/>
        <v>100.75335266487254</v>
      </c>
      <c r="Q239" s="19">
        <f ca="1">HCTrans(P239,Strike,RiskFreeRate,Dividend,Variance_T0*AnnualVarConvtr,(Simulation!G239)/250,0.5,Variance_Avg*AnnualVarConvtr,Lambda,SQRT(Simulation!N239),Rho,1,"Call")</f>
        <v>7.9481822094086141</v>
      </c>
      <c r="R239" s="19">
        <f t="shared" ref="R239" ca="1" si="1450">BSvol(1,P239,Strike,Q239,Dividend,RiskFreeRate,G239/250)</f>
        <v>0.74792207413669554</v>
      </c>
      <c r="S239" s="19">
        <f t="shared" ref="S239" ca="1" si="1451">BSdelta(1,P239,Strike,R239/AnnualVarConvtr,Dividend,RiskFreeRate,G239/250)</f>
        <v>0.73668605918544094</v>
      </c>
      <c r="T239" s="19">
        <f t="shared" ca="1" si="1212"/>
        <v>10.050767384687083</v>
      </c>
      <c r="U239" s="19">
        <f t="shared" ca="1" si="1213"/>
        <v>-73.103771245978933</v>
      </c>
      <c r="V239" s="21">
        <f t="shared" ca="1" si="1202"/>
        <v>4.4245714183613182E-5</v>
      </c>
      <c r="W239">
        <f t="shared" ca="1" si="1203"/>
        <v>6.651745198338041E-3</v>
      </c>
      <c r="X239" s="22">
        <f t="shared" ref="X239" ca="1" si="1452">BSdelta(1,P239,Strike,W239*AnnualVarConvtr,Dividend,RiskFreeRate,G239/250)</f>
        <v>0.61614944508597691</v>
      </c>
      <c r="Y239" s="22">
        <f t="shared" ca="1" si="1215"/>
        <v>-6.5764882299587777</v>
      </c>
      <c r="Z239" s="22">
        <f t="shared" ca="1" si="1216"/>
        <v>-56.366616154419511</v>
      </c>
      <c r="AA239">
        <f t="shared" si="1196"/>
        <v>0.73884103340948371</v>
      </c>
      <c r="AB239">
        <f t="shared" ref="AB239" ca="1" si="1453">BSdelta(1,P239,Strike,AA239/AnnualVarConvtr,Dividend,RiskFreeRate,G239/250)</f>
        <v>0.73917300813905051</v>
      </c>
      <c r="AC239">
        <f t="shared" ca="1" si="1206"/>
        <v>10.14567126300277</v>
      </c>
      <c r="AD239">
        <f t="shared" ca="1" si="1207"/>
        <v>-73.358112700358333</v>
      </c>
    </row>
    <row r="240" spans="7:30">
      <c r="G240" s="19">
        <v>15</v>
      </c>
      <c r="H240" s="19">
        <f t="shared" ca="1" si="1351"/>
        <v>0.6345933154581731</v>
      </c>
      <c r="I240" s="19">
        <f t="shared" ca="1" si="1351"/>
        <v>0.90109829549541232</v>
      </c>
      <c r="J240" s="19">
        <f t="shared" ca="1" si="1189"/>
        <v>0.77540871215431162</v>
      </c>
      <c r="K240" s="19">
        <f t="shared" ca="1" si="1190"/>
        <v>-0.55523256013835554</v>
      </c>
      <c r="L240" s="19">
        <f t="array" aca="1" ref="L240:M240" ca="1">MMULT(J240:K240,TRANSPOSE($B$10:$C$11))</f>
        <v>0.77540871215431162</v>
      </c>
      <c r="M240" s="19">
        <f ca="1"/>
        <v>-0.94290340890106927</v>
      </c>
      <c r="N240" s="20">
        <f t="shared" ref="N240" ca="1" si="1454">GetVariance(N239,Variance_Avg,Lambda,Eta,M240,"Daily")</f>
        <v>5.7126327760653921E-3</v>
      </c>
      <c r="O240" s="20">
        <f t="shared" ref="O240" ca="1" si="1455">GetStockReturns(0,RiskFreeRate,N240,L240,"Daily")</f>
        <v>3.7066264932901286E-3</v>
      </c>
      <c r="P240" s="19">
        <f t="shared" ca="1" si="1292"/>
        <v>101.12750069628007</v>
      </c>
      <c r="Q240" s="19">
        <f ca="1">HCTrans(P240,Strike,RiskFreeRate,Dividend,Variance_T0*AnnualVarConvtr,(Simulation!G240)/250,0.5,Variance_Avg*AnnualVarConvtr,Lambda,SQRT(Simulation!N240),Rho,1,"Call")</f>
        <v>7.9182914443321977</v>
      </c>
      <c r="R240" s="19">
        <f t="shared" ref="R240" ca="1" si="1456">BSvol(1,P240,Strike,Q240,Dividend,RiskFreeRate,G240/250)</f>
        <v>0.74804182518488738</v>
      </c>
      <c r="S240" s="19">
        <f t="shared" ref="S240" ca="1" si="1457">BSdelta(1,P240,Strike,R240/AnnualVarConvtr,Dividend,RiskFreeRate,G240/250)</f>
        <v>0.83479505280050847</v>
      </c>
      <c r="T240" s="19">
        <f t="shared" ca="1" si="1212"/>
        <v>9.9215173201190776</v>
      </c>
      <c r="U240" s="19">
        <f t="shared" ca="1" si="1213"/>
        <v>-83.055179331174429</v>
      </c>
      <c r="V240" s="21">
        <f t="shared" ca="1" si="1202"/>
        <v>1.9836122597640339E-7</v>
      </c>
      <c r="W240">
        <f t="shared" ca="1" si="1203"/>
        <v>4.4537762177325815E-4</v>
      </c>
      <c r="X240" s="22">
        <f t="shared" ref="X240" ca="1" si="1458">BSdelta(1,P240,Strike,W240*AnnualVarConvtr,Dividend,RiskFreeRate,G240/250)</f>
        <v>0.99999999996003985</v>
      </c>
      <c r="Y240" s="22">
        <f t="shared" ca="1" si="1215"/>
        <v>38.817847255294289</v>
      </c>
      <c r="Z240" s="22">
        <f t="shared" ca="1" si="1216"/>
        <v>-95.214354174790216</v>
      </c>
      <c r="AA240">
        <f t="shared" si="1196"/>
        <v>0.73884103340948371</v>
      </c>
      <c r="AB240">
        <f t="shared" ref="AB240" ca="1" si="1459">BSdelta(1,P240,Strike,AA240/AnnualVarConvtr,Dividend,RiskFreeRate,G240/250)</f>
        <v>0.83775316953185852</v>
      </c>
      <c r="AC240">
        <f t="shared" ca="1" si="1206"/>
        <v>9.9691653398905924</v>
      </c>
      <c r="AD240">
        <f t="shared" ca="1" si="1207"/>
        <v>-83.357168805325344</v>
      </c>
    </row>
    <row r="241" spans="7:30">
      <c r="G241" s="19">
        <v>14</v>
      </c>
      <c r="H241" s="19">
        <f t="shared" ca="1" si="1351"/>
        <v>0.61310999684225931</v>
      </c>
      <c r="I241" s="19">
        <f t="shared" ca="1" si="1351"/>
        <v>0.31734894841188055</v>
      </c>
      <c r="J241" s="19">
        <f t="shared" ca="1" si="1189"/>
        <v>-0.40619448482831322</v>
      </c>
      <c r="K241" s="19">
        <f t="shared" ca="1" si="1190"/>
        <v>0.90190236632517939</v>
      </c>
      <c r="L241" s="19">
        <f t="array" aca="1" ref="L241:M241" ca="1">MMULT(J241:K241,TRANSPOSE($B$10:$C$11))</f>
        <v>-0.40619448482831322</v>
      </c>
      <c r="M241" s="19">
        <f ca="1"/>
        <v>0.92019379677421531</v>
      </c>
      <c r="N241" s="20">
        <f t="shared" ref="N241" ca="1" si="1460">GetVariance(N240,Variance_Avg,Lambda,Eta,M241,"Daily")</f>
        <v>7.5523654294341316E-3</v>
      </c>
      <c r="O241" s="20">
        <f t="shared" ref="O241" ca="1" si="1461">GetStockReturns(0,RiskFreeRate,N241,L241,"Daily")</f>
        <v>-2.2325722168212653E-3</v>
      </c>
      <c r="P241" s="19">
        <f t="shared" ca="1" si="1292"/>
        <v>100.90197808929645</v>
      </c>
      <c r="Q241" s="19">
        <f ca="1">HCTrans(P241,Strike,RiskFreeRate,Dividend,Variance_T0*AnnualVarConvtr,(Simulation!G241)/250,0.5,Variance_Avg*AnnualVarConvtr,Lambda,SQRT(Simulation!N241),Rho,1,"Call")</f>
        <v>7.5443255703938519</v>
      </c>
      <c r="R241" s="19">
        <f t="shared" ref="R241" ca="1" si="1462">BSvol(1,P241,Strike,Q241,Dividend,RiskFreeRate,G241/250)</f>
        <v>0.74800085415112916</v>
      </c>
      <c r="S241" s="19">
        <f t="shared" ref="S241" ca="1" si="1463">BSdelta(1,P241,Strike,R241/AnnualVarConvtr,Dividend,RiskFreeRate,G241/250)</f>
        <v>0.79036235548094225</v>
      </c>
      <c r="T241" s="19">
        <f t="shared" ca="1" si="1212"/>
        <v>-4.4833470513872129</v>
      </c>
      <c r="U241" s="19">
        <f t="shared" ca="1" si="1213"/>
        <v>-78.945798153725562</v>
      </c>
      <c r="V241" s="21">
        <f t="shared" ca="1" si="1202"/>
        <v>3.5274081318188844E-5</v>
      </c>
      <c r="W241">
        <f t="shared" ca="1" si="1203"/>
        <v>5.9391987101113939E-3</v>
      </c>
      <c r="X241" s="22">
        <f t="shared" ref="X241" ca="1" si="1464">BSdelta(1,P241,Strike,W241*AnnualVarConvtr,Dividend,RiskFreeRate,G241/250)</f>
        <v>0.66099408690303441</v>
      </c>
      <c r="Y241" s="22">
        <f t="shared" ca="1" si="1215"/>
        <v>-34.206367211419902</v>
      </c>
      <c r="Z241" s="22">
        <f t="shared" ca="1" si="1216"/>
        <v>-61.38195283730866</v>
      </c>
      <c r="AA241">
        <f>$R$5</f>
        <v>0.73884103340948371</v>
      </c>
      <c r="AB241">
        <f t="shared" ref="AB241" ca="1" si="1465">BSdelta(1,P241,Strike,AA241/AnnualVarConvtr,Dividend,RiskFreeRate,G241/250)</f>
        <v>0.79319418821632137</v>
      </c>
      <c r="AC241">
        <f t="shared" ca="1" si="1206"/>
        <v>-4.4960893563816997</v>
      </c>
      <c r="AD241">
        <f t="shared" ca="1" si="1207"/>
        <v>-79.235045322881987</v>
      </c>
    </row>
    <row r="242" spans="7:30">
      <c r="G242" s="19">
        <v>13</v>
      </c>
      <c r="H242" s="19">
        <f t="shared" ca="1" si="1351"/>
        <v>0.65989448946814422</v>
      </c>
      <c r="I242" s="19">
        <f t="shared" ca="1" si="1351"/>
        <v>0.48151354019307457</v>
      </c>
      <c r="J242" s="19">
        <f t="shared" ca="1" si="1189"/>
        <v>-0.90564046194758474</v>
      </c>
      <c r="K242" s="19">
        <f t="shared" ca="1" si="1190"/>
        <v>0.10566927675759104</v>
      </c>
      <c r="L242" s="19">
        <f t="array" aca="1" ref="L242:M242" ca="1">MMULT(J242:K242,TRANSPOSE($B$10:$C$11))</f>
        <v>-0.90564046194758474</v>
      </c>
      <c r="M242" s="19">
        <f ca="1"/>
        <v>0.72260491440245567</v>
      </c>
      <c r="N242" s="20">
        <f t="shared" ref="N242" ca="1" si="1466">GetVariance(N241,Variance_Avg,Lambda,Eta,M242,"Daily")</f>
        <v>9.1679800339742115E-3</v>
      </c>
      <c r="O242" s="20">
        <f t="shared" ref="O242" ca="1" si="1467">GetStockReturns(0,RiskFreeRate,N242,L242,"Daily")</f>
        <v>-5.484318175162017E-3</v>
      </c>
      <c r="P242" s="19">
        <f t="shared" ca="1" si="1292"/>
        <v>100.35011421871376</v>
      </c>
      <c r="Q242" s="19">
        <f ca="1">HCTrans(P242,Strike,RiskFreeRate,Dividend,Variance_T0*AnnualVarConvtr,(Simulation!G242)/250,0.5,Variance_Avg*AnnualVarConvtr,Lambda,SQRT(Simulation!N242),Rho,1,"Call")</f>
        <v>6.9838805832039839</v>
      </c>
      <c r="R242" s="19">
        <f t="shared" ref="R242" ca="1" si="1468">BSvol(1,P242,Strike,Q242,Dividend,RiskFreeRate,G242/250)</f>
        <v>0.74788674705728375</v>
      </c>
      <c r="S242" s="19">
        <f t="shared" ref="S242" ca="1" si="1469">BSdelta(1,P242,Strike,R242/AnnualVarConvtr,Dividend,RiskFreeRate,G242/250)</f>
        <v>0.62908143890569268</v>
      </c>
      <c r="T242" s="19">
        <f t="shared" ca="1" si="1212"/>
        <v>-16.184558399625139</v>
      </c>
      <c r="U242" s="19">
        <f t="shared" ca="1" si="1213"/>
        <v>-63.321684741290291</v>
      </c>
      <c r="V242" s="21">
        <f t="shared" ca="1" si="1202"/>
        <v>1.0573851777585414E-5</v>
      </c>
      <c r="W242">
        <f t="shared" ca="1" si="1203"/>
        <v>3.2517459583407517E-3</v>
      </c>
      <c r="X242" s="22">
        <f t="shared" ref="X242" ca="1" si="1470">BSdelta(1,P242,Strike,W242*AnnualVarConvtr,Dividend,RiskFreeRate,G242/250)</f>
        <v>0.61942172969073583</v>
      </c>
      <c r="Y242" s="22">
        <f t="shared" ca="1" si="1215"/>
        <v>-4.1717907945953305</v>
      </c>
      <c r="Z242" s="22">
        <f t="shared" ca="1" si="1216"/>
        <v>-57.770607029903196</v>
      </c>
      <c r="AA242">
        <f t="shared" ref="AA242:AA254" si="1471">$R$5</f>
        <v>0.73884103340948371</v>
      </c>
      <c r="AB242">
        <f t="shared" ref="AB242" ca="1" si="1472">BSdelta(1,P242,Strike,AA242/AnnualVarConvtr,Dividend,RiskFreeRate,G242/250)</f>
        <v>0.63055490458231533</v>
      </c>
      <c r="AC242">
        <f t="shared" ca="1" si="1206"/>
        <v>-16.320870689122287</v>
      </c>
      <c r="AD242">
        <f t="shared" ca="1" si="1207"/>
        <v>-63.474619620949568</v>
      </c>
    </row>
    <row r="243" spans="7:30">
      <c r="G243" s="19">
        <v>12</v>
      </c>
      <c r="H243" s="19">
        <f t="shared" ca="1" si="1351"/>
        <v>0.99458914530098075</v>
      </c>
      <c r="I243" s="19">
        <f t="shared" ca="1" si="1351"/>
        <v>4.5387217524770707E-2</v>
      </c>
      <c r="J243" s="19">
        <f t="shared" ca="1" si="1189"/>
        <v>9.9961425448091876E-2</v>
      </c>
      <c r="K243" s="19">
        <f t="shared" ca="1" si="1190"/>
        <v>2.9305395574237628E-2</v>
      </c>
      <c r="L243" s="19">
        <f t="array" aca="1" ref="L243:M243" ca="1">MMULT(J243:K243,TRANSPOSE($B$10:$C$11))</f>
        <v>9.9961425448091876E-2</v>
      </c>
      <c r="M243" s="19">
        <f ca="1"/>
        <v>-5.1179295674445548E-2</v>
      </c>
      <c r="N243" s="20">
        <f t="shared" ref="N243" ca="1" si="1473">GetVariance(N242,Variance_Avg,Lambda,Eta,M243,"Daily")</f>
        <v>9.0369644685429316E-3</v>
      </c>
      <c r="O243" s="20">
        <f t="shared" ref="O243" ca="1" si="1474">GetStockReturns(0,RiskFreeRate,N243,L243,"Daily")</f>
        <v>6.0099896426333405E-4</v>
      </c>
      <c r="P243" s="19">
        <f t="shared" ca="1" si="1292"/>
        <v>100.41044266027248</v>
      </c>
      <c r="Q243" s="19">
        <f ca="1">HCTrans(P243,Strike,RiskFreeRate,Dividend,Variance_T0*AnnualVarConvtr,(Simulation!G243)/250,0.5,Variance_Avg*AnnualVarConvtr,Lambda,SQRT(Simulation!N243),Rho,1,"Call")</f>
        <v>6.750542674295076</v>
      </c>
      <c r="R243" s="19">
        <f t="shared" ref="R243" ca="1" si="1475">BSvol(1,P243,Strike,Q243,Dividend,RiskFreeRate,G243/250)</f>
        <v>0.74792879628445175</v>
      </c>
      <c r="S243" s="19">
        <f t="shared" ref="S243" ca="1" si="1476">BSdelta(1,P243,Strike,R243/AnnualVarConvtr,Dividend,RiskFreeRate,G243/250)</f>
        <v>0.65557404662598706</v>
      </c>
      <c r="T243" s="19">
        <f t="shared" ca="1" si="1212"/>
        <v>2.6601344684197108</v>
      </c>
      <c r="U243" s="19">
        <f t="shared" ca="1" si="1213"/>
        <v>-66.215157118618905</v>
      </c>
      <c r="V243" s="21">
        <f t="shared" ca="1" si="1202"/>
        <v>3.7031084687383942E-5</v>
      </c>
      <c r="W243">
        <f t="shared" ca="1" si="1203"/>
        <v>6.0853171394253513E-3</v>
      </c>
      <c r="X243" s="22">
        <f t="shared" ref="X243" ca="1" si="1477">BSdelta(1,P243,Strike,W243*AnnualVarConvtr,Dividend,RiskFreeRate,G243/250)</f>
        <v>0.58115427917462581</v>
      </c>
      <c r="Y243" s="22">
        <f t="shared" ca="1" si="1215"/>
        <v>-3.8424516458026803</v>
      </c>
      <c r="Z243" s="22">
        <f t="shared" ca="1" si="1216"/>
        <v>-54.161493293009421</v>
      </c>
      <c r="AA243">
        <f t="shared" si="1471"/>
        <v>0.73884103340948371</v>
      </c>
      <c r="AB243">
        <f t="shared" ref="AB243" ca="1" si="1478">BSdelta(1,P243,Strike,AA243/AnnualVarConvtr,Dividend,RiskFreeRate,G243/250)</f>
        <v>0.65733915820339561</v>
      </c>
      <c r="AC243">
        <f t="shared" ca="1" si="1206"/>
        <v>2.6894187624176769</v>
      </c>
      <c r="AD243">
        <f t="shared" ca="1" si="1207"/>
        <v>-66.397376292276149</v>
      </c>
    </row>
    <row r="244" spans="7:30">
      <c r="G244" s="19">
        <v>11</v>
      </c>
      <c r="H244" s="19">
        <f t="shared" ca="1" si="1351"/>
        <v>9.6182834643181003E-2</v>
      </c>
      <c r="I244" s="19">
        <f t="shared" ca="1" si="1351"/>
        <v>8.3573324727241882E-2</v>
      </c>
      <c r="J244" s="19">
        <f t="shared" ca="1" si="1189"/>
        <v>1.8724678245186095</v>
      </c>
      <c r="K244" s="19">
        <f t="shared" ca="1" si="1190"/>
        <v>1.0848377706971382</v>
      </c>
      <c r="L244" s="19">
        <f t="array" aca="1" ref="L244:M244" ca="1">MMULT(J244:K244,TRANSPOSE($B$10:$C$11))</f>
        <v>1.8724678245186095</v>
      </c>
      <c r="M244" s="19">
        <f ca="1"/>
        <v>-0.58485437123446427</v>
      </c>
      <c r="N244" s="20">
        <f t="shared" ref="N244" ca="1" si="1479">GetVariance(N243,Variance_Avg,Lambda,Eta,M244,"Daily")</f>
        <v>7.714544326910701E-3</v>
      </c>
      <c r="O244" s="20">
        <f t="shared" ref="O244" ca="1" si="1480">GetStockReturns(0,RiskFreeRate,N244,L244,"Daily")</f>
        <v>1.0401584434940631E-2</v>
      </c>
      <c r="P244" s="19">
        <f t="shared" ca="1" si="1292"/>
        <v>101.46032109155703</v>
      </c>
      <c r="Q244" s="19">
        <f ca="1">HCTrans(P244,Strike,RiskFreeRate,Dividend,Variance_T0*AnnualVarConvtr,(Simulation!G244)/250,0.5,Variance_Avg*AnnualVarConvtr,Lambda,SQRT(Simulation!N244),Rho,1,"Call")</f>
        <v>7.0572558562439269</v>
      </c>
      <c r="R244" s="19">
        <f t="shared" ref="R244" ca="1" si="1481">BSvol(1,P244,Strike,Q244,Dividend,RiskFreeRate,G244/250)</f>
        <v>0.7481868065006958</v>
      </c>
      <c r="S244" s="19">
        <f t="shared" ref="S244" ca="1" si="1482">BSdelta(1,P244,Strike,R244/AnnualVarConvtr,Dividend,RiskFreeRate,G244/250)</f>
        <v>0.92861573170572276</v>
      </c>
      <c r="T244" s="19">
        <f t="shared" ca="1" si="1212"/>
        <v>27.70289703956978</v>
      </c>
      <c r="U244" s="19">
        <f t="shared" ca="1" si="1213"/>
        <v>-93.611340976239831</v>
      </c>
      <c r="V244" s="21">
        <f t="shared" ca="1" si="1202"/>
        <v>9.6051475568050915E-5</v>
      </c>
      <c r="W244">
        <f t="shared" ca="1" si="1203"/>
        <v>9.8005854706772963E-3</v>
      </c>
      <c r="X244" s="22">
        <f t="shared" ref="X244" ca="1" si="1483">BSdelta(1,P244,Strike,W244*AnnualVarConvtr,Dividend,RiskFreeRate,G244/250)</f>
        <v>0.67805471264680051</v>
      </c>
      <c r="Y244" s="22">
        <f t="shared" ca="1" si="1215"/>
        <v>9.8315490939979053</v>
      </c>
      <c r="Z244" s="22">
        <f t="shared" ca="1" si="1216"/>
        <v>-63.686329205058477</v>
      </c>
      <c r="AA244">
        <f t="shared" si="1471"/>
        <v>0.73884103340948371</v>
      </c>
      <c r="AB244">
        <f t="shared" ref="AB244" ca="1" si="1484">BSdelta(1,P244,Strike,AA244/AnnualVarConvtr,Dividend,RiskFreeRate,G244/250)</f>
        <v>0.93109184852761839</v>
      </c>
      <c r="AC244">
        <f t="shared" ca="1" si="1206"/>
        <v>27.775035859973222</v>
      </c>
      <c r="AD244">
        <f t="shared" ca="1" si="1207"/>
        <v>-93.865698970300514</v>
      </c>
    </row>
    <row r="245" spans="7:30">
      <c r="G245" s="19">
        <v>10</v>
      </c>
      <c r="H245" s="19">
        <f t="shared" ca="1" si="1351"/>
        <v>0.58746722693744791</v>
      </c>
      <c r="I245" s="19">
        <f t="shared" ca="1" si="1351"/>
        <v>0.72300423934674973</v>
      </c>
      <c r="J245" s="19">
        <f t="shared" ca="1" si="1189"/>
        <v>-0.17411458369274754</v>
      </c>
      <c r="K245" s="19">
        <f t="shared" ca="1" si="1190"/>
        <v>-1.0166384552325514</v>
      </c>
      <c r="L245" s="19">
        <f t="array" aca="1" ref="L245:M245" ca="1">MMULT(J245:K245,TRANSPOSE($B$10:$C$11))</f>
        <v>-0.17411458369274754</v>
      </c>
      <c r="M245" s="19">
        <f ca="1"/>
        <v>-0.58444076371115106</v>
      </c>
      <c r="N245" s="20">
        <f t="shared" ref="N245" ca="1" si="1485">GetVariance(N244,Variance_Avg,Lambda,Eta,M245,"Daily")</f>
        <v>6.5036434616820103E-3</v>
      </c>
      <c r="O245" s="20">
        <f t="shared" ref="O245" ca="1" si="1486">GetStockReturns(0,RiskFreeRate,N245,L245,"Daily")</f>
        <v>-8.8806244922629972E-4</v>
      </c>
      <c r="P245" s="19">
        <f t="shared" ca="1" si="1292"/>
        <v>101.37025798705882</v>
      </c>
      <c r="Q245" s="19">
        <f ca="1">HCTrans(P245,Strike,RiskFreeRate,Dividend,Variance_T0*AnnualVarConvtr,(Simulation!G245)/250,0.5,Variance_Avg*AnnualVarConvtr,Lambda,SQRT(Simulation!N245),Rho,1,"Call")</f>
        <v>6.7149053822968057</v>
      </c>
      <c r="R245" s="19">
        <f t="shared" ref="R245" ca="1" si="1487">BSvol(1,P245,Strike,Q245,Dividend,RiskFreeRate,G245/250)</f>
        <v>0.74819181466708795</v>
      </c>
      <c r="S245" s="19">
        <f t="shared" ref="S245" ca="1" si="1488">BSdelta(1,P245,Strike,R245/AnnualVarConvtr,Dividend,RiskFreeRate,G245/250)</f>
        <v>0.92545755135667351</v>
      </c>
      <c r="T245" s="19">
        <f t="shared" ca="1" si="1212"/>
        <v>-0.32014555675278139</v>
      </c>
      <c r="U245" s="19">
        <f t="shared" ca="1" si="1213"/>
        <v>-93.633545893434174</v>
      </c>
      <c r="V245" s="21">
        <f t="shared" ca="1" si="1202"/>
        <v>1.2745612676918008E-4</v>
      </c>
      <c r="W245">
        <f t="shared" ca="1" si="1203"/>
        <v>1.1289646884166931E-2</v>
      </c>
      <c r="X245" s="22">
        <f t="shared" ref="X245" ca="1" si="1489">BSdelta(1,P245,Strike,W245*AnnualVarConvtr,Dividend,RiskFreeRate,G245/250)</f>
        <v>0.65507538630007633</v>
      </c>
      <c r="Y245" s="22">
        <f t="shared" ca="1" si="1215"/>
        <v>-2.3294202401362472</v>
      </c>
      <c r="Z245" s="22">
        <f t="shared" ca="1" si="1216"/>
        <v>-61.699259438869348</v>
      </c>
      <c r="AA245">
        <f t="shared" si="1471"/>
        <v>0.73884103340948371</v>
      </c>
      <c r="AB245">
        <f t="shared" ref="AB245" ca="1" si="1490">BSdelta(1,P245,Strike,AA245/AnnualVarConvtr,Dividend,RiskFreeRate,G245/250)</f>
        <v>0.92798020854979035</v>
      </c>
      <c r="AC245">
        <f t="shared" ca="1" si="1206"/>
        <v>-0.3154277473152744</v>
      </c>
      <c r="AD245">
        <f t="shared" ca="1" si="1207"/>
        <v>-93.892621696932366</v>
      </c>
    </row>
    <row r="246" spans="7:30">
      <c r="G246" s="19">
        <v>9</v>
      </c>
      <c r="H246" s="19">
        <f t="shared" ca="1" si="1351"/>
        <v>0.60745411045060393</v>
      </c>
      <c r="I246" s="19">
        <f t="shared" ca="1" si="1351"/>
        <v>0.33093971707246395</v>
      </c>
      <c r="J246" s="19">
        <f t="shared" ca="1" si="1189"/>
        <v>-0.48617798468943973</v>
      </c>
      <c r="K246" s="19">
        <f t="shared" ca="1" si="1190"/>
        <v>0.87211711206141496</v>
      </c>
      <c r="L246" s="19">
        <f t="array" aca="1" ref="L246:M246" ca="1">MMULT(J246:K246,TRANSPOSE($B$10:$C$11))</f>
        <v>-0.48617798468943973</v>
      </c>
      <c r="M246" s="19">
        <f ca="1"/>
        <v>0.95672416553812045</v>
      </c>
      <c r="N246" s="20">
        <f t="shared" ref="N246" ca="1" si="1491">GetVariance(N245,Variance_Avg,Lambda,Eta,M246,"Daily")</f>
        <v>8.5359689475673611E-3</v>
      </c>
      <c r="O246" s="20">
        <f t="shared" ref="O246" ca="1" si="1492">GetStockReturns(0,RiskFreeRate,N246,L246,"Daily")</f>
        <v>-2.8408722069949116E-3</v>
      </c>
      <c r="P246" s="19">
        <f t="shared" ca="1" si="1292"/>
        <v>101.08268670855875</v>
      </c>
      <c r="Q246" s="19">
        <f ca="1">HCTrans(P246,Strike,RiskFreeRate,Dividend,Variance_T0*AnnualVarConvtr,(Simulation!G246)/250,0.5,Variance_Avg*AnnualVarConvtr,Lambda,SQRT(Simulation!N246),Rho,1,"Call")</f>
        <v>6.246673867341471</v>
      </c>
      <c r="R246" s="19">
        <f t="shared" ref="R246" ca="1" si="1493">BSvol(1,P246,Strike,Q246,Dividend,RiskFreeRate,G246/250)</f>
        <v>0.74815953193064022</v>
      </c>
      <c r="S246" s="19">
        <f t="shared" ref="S246" ca="1" si="1494">BSdelta(1,P246,Strike,R246/AnnualVarConvtr,Dividend,RiskFreeRate,G246/250)</f>
        <v>0.88569592769001981</v>
      </c>
      <c r="T246" s="19">
        <f t="shared" ca="1" si="1212"/>
        <v>-4.0192117481199716</v>
      </c>
      <c r="U246" s="19">
        <f t="shared" ca="1" si="1213"/>
        <v>-90.082565660269537</v>
      </c>
      <c r="V246" s="21">
        <f t="shared" ca="1" si="1202"/>
        <v>3.813465950036305E-6</v>
      </c>
      <c r="W246">
        <f t="shared" ca="1" si="1203"/>
        <v>1.952809757768612E-3</v>
      </c>
      <c r="X246" s="22">
        <f t="shared" ref="X246" ca="1" si="1495">BSdelta(1,P246,Strike,W246*AnnualVarConvtr,Dividend,RiskFreeRate,G246/250)</f>
        <v>0.96719507984100161</v>
      </c>
      <c r="Y246" s="22">
        <f t="shared" ca="1" si="1215"/>
        <v>31.549897197768718</v>
      </c>
      <c r="Z246" s="22">
        <f t="shared" ca="1" si="1216"/>
        <v>-93.717388151593397</v>
      </c>
      <c r="AA246">
        <f t="shared" si="1471"/>
        <v>0.73884103340948371</v>
      </c>
      <c r="AB246">
        <f t="shared" ref="AB246" ca="1" si="1496">BSdelta(1,P246,Strike,AA246/AnnualVarConvtr,Dividend,RiskFreeRate,G246/250)</f>
        <v>0.88858247057002793</v>
      </c>
      <c r="AC246">
        <f t="shared" ca="1" si="1206"/>
        <v>-3.9824292052342116</v>
      </c>
      <c r="AD246">
        <f t="shared" ca="1" si="1207"/>
        <v>-90.378424006653489</v>
      </c>
    </row>
    <row r="247" spans="7:30">
      <c r="G247" s="19">
        <v>8</v>
      </c>
      <c r="H247" s="19">
        <f t="shared" ca="1" si="1351"/>
        <v>8.1108962829842035E-2</v>
      </c>
      <c r="I247" s="19">
        <f t="shared" ca="1" si="1351"/>
        <v>0.44135244244522864</v>
      </c>
      <c r="J247" s="19">
        <f t="shared" ca="1" si="1189"/>
        <v>-2.0909475524157375</v>
      </c>
      <c r="K247" s="19">
        <f t="shared" ca="1" si="1190"/>
        <v>0.80737968107882319</v>
      </c>
      <c r="L247" s="19">
        <f t="array" aca="1" ref="L247:M247" ca="1">MMULT(J247:K247,TRANSPOSE($B$10:$C$11))</f>
        <v>-2.0909475524157375</v>
      </c>
      <c r="M247" s="19">
        <f ca="1"/>
        <v>2.0613815646342375</v>
      </c>
      <c r="N247" s="20">
        <f t="shared" ref="N247" ca="1" si="1497">GetVariance(N246,Variance_Avg,Lambda,Eta,M247,"Daily")</f>
        <v>1.3836718555071481E-2</v>
      </c>
      <c r="O247" s="20">
        <f t="shared" ref="O247" ca="1" si="1498">GetStockReturns(0,RiskFreeRate,N247,L247,"Daily")</f>
        <v>-1.5555704650198314E-2</v>
      </c>
      <c r="P247" s="19">
        <f t="shared" ca="1" si="1292"/>
        <v>99.522441110939766</v>
      </c>
      <c r="Q247" s="19">
        <f ca="1">HCTrans(P247,Strike,RiskFreeRate,Dividend,Variance_T0*AnnualVarConvtr,(Simulation!G247)/250,0.5,Variance_Avg*AnnualVarConvtr,Lambda,SQRT(Simulation!N247),Rho,1,"Call")</f>
        <v>5.0842782212921236</v>
      </c>
      <c r="R247" s="19">
        <f t="shared" ref="R247" ca="1" si="1499">BSvol(1,P247,Strike,Q247,Dividend,RiskFreeRate,G247/250)</f>
        <v>0.74775694070301624</v>
      </c>
      <c r="S247" s="19">
        <f t="shared" ref="S247" ca="1" si="1500">BSdelta(1,P247,Strike,R247/AnnualVarConvtr,Dividend,RiskFreeRate,G247/250)</f>
        <v>0.28718779176543874</v>
      </c>
      <c r="T247" s="19">
        <f t="shared" ca="1" si="1212"/>
        <v>-59.564990711972456</v>
      </c>
      <c r="U247" s="19">
        <f t="shared" ca="1" si="1213"/>
        <v>-31.679970594346429</v>
      </c>
      <c r="V247" s="21">
        <f t="shared" ca="1" si="1202"/>
        <v>1.616669640587378E-4</v>
      </c>
      <c r="W247">
        <f t="shared" ca="1" si="1203"/>
        <v>1.2714832443203402E-2</v>
      </c>
      <c r="X247" s="22">
        <f t="shared" ref="X247" ca="1" si="1501">BSdelta(1,P247,Strike,W247*AnnualVarConvtr,Dividend,RiskFreeRate,G247/250)</f>
        <v>0.45417166824088318</v>
      </c>
      <c r="Y247" s="22">
        <f t="shared" ca="1" si="1215"/>
        <v>-51.057342269506201</v>
      </c>
      <c r="Z247" s="22">
        <f t="shared" ca="1" si="1216"/>
        <v>-43.822441528136544</v>
      </c>
      <c r="AA247">
        <f t="shared" si="1471"/>
        <v>0.73884103340948371</v>
      </c>
      <c r="AB247">
        <f t="shared" ref="AB247" ca="1" si="1502">BSdelta(1,P247,Strike,AA247/AnnualVarConvtr,Dividend,RiskFreeRate,G247/250)</f>
        <v>0.28484848354578507</v>
      </c>
      <c r="AC247">
        <f t="shared" ca="1" si="1206"/>
        <v>-60.085080170293082</v>
      </c>
      <c r="AD247">
        <f t="shared" ca="1" si="1207"/>
        <v>-31.455739482409754</v>
      </c>
    </row>
    <row r="248" spans="7:30">
      <c r="G248" s="19">
        <v>7</v>
      </c>
      <c r="H248" s="19">
        <f t="shared" ca="1" si="1351"/>
        <v>0.5025113340468117</v>
      </c>
      <c r="I248" s="19">
        <f t="shared" ca="1" si="1351"/>
        <v>0.18620569973137613</v>
      </c>
      <c r="J248" s="19">
        <f t="shared" ca="1" si="1189"/>
        <v>0.4577432211677348</v>
      </c>
      <c r="K248" s="19">
        <f t="shared" ca="1" si="1190"/>
        <v>1.0801598545805418</v>
      </c>
      <c r="L248" s="19">
        <f t="array" aca="1" ref="L248:M248" ca="1">MMULT(J248:K248,TRANSPOSE($B$10:$C$11))</f>
        <v>0.4577432211677348</v>
      </c>
      <c r="M248" s="19">
        <f ca="1"/>
        <v>0.42553255316914262</v>
      </c>
      <c r="N248" s="20">
        <f t="shared" ref="N248" ca="1" si="1503">GetVariance(N247,Variance_Avg,Lambda,Eta,M248,"Daily")</f>
        <v>1.5055305563741593E-2</v>
      </c>
      <c r="O248" s="20">
        <f t="shared" ref="O248" ca="1" si="1504">GetStockReturns(0,RiskFreeRate,N248,L248,"Daily")</f>
        <v>3.5521942285891149E-3</v>
      </c>
      <c r="P248" s="19">
        <f t="shared" ca="1" si="1292"/>
        <v>99.876592787246565</v>
      </c>
      <c r="Q248" s="19">
        <f ca="1">HCTrans(P248,Strike,RiskFreeRate,Dividend,Variance_T0*AnnualVarConvtr,(Simulation!G248)/250,0.5,Variance_Avg*AnnualVarConvtr,Lambda,SQRT(Simulation!N248),Rho,1,"Call")</f>
        <v>4.924719578980671</v>
      </c>
      <c r="R248" s="19">
        <f t="shared" ref="R248" ca="1" si="1505">BSvol(1,P248,Strike,Q248,Dividend,RiskFreeRate,G248/250)</f>
        <v>0.74787723969956499</v>
      </c>
      <c r="S248" s="19">
        <f t="shared" ref="S248" ca="1" si="1506">BSdelta(1,P248,Strike,R248/AnnualVarConvtr,Dividend,RiskFreeRate,G248/250)</f>
        <v>0.43957032929588546</v>
      </c>
      <c r="T248" s="19">
        <f t="shared" ca="1" si="1212"/>
        <v>15.219448648815744</v>
      </c>
      <c r="U248" s="19">
        <f t="shared" ca="1" si="1213"/>
        <v>-47.058977885473624</v>
      </c>
      <c r="V248" s="21">
        <f t="shared" ca="1" si="1202"/>
        <v>3.6511179956196589E-4</v>
      </c>
      <c r="W248">
        <f t="shared" ca="1" si="1203"/>
        <v>1.910789887878743E-2</v>
      </c>
      <c r="X248" s="22">
        <f t="shared" ref="X248" ca="1" si="1507">BSdelta(1,P248,Strike,W248*AnnualVarConvtr,Dividend,RiskFreeRate,G248/250)</f>
        <v>0.50033977592343049</v>
      </c>
      <c r="Y248" s="22">
        <f t="shared" ca="1" si="1215"/>
        <v>4.6111132907675279</v>
      </c>
      <c r="Z248" s="22">
        <f t="shared" ca="1" si="1216"/>
        <v>-48.593113461215523</v>
      </c>
      <c r="AA248">
        <f t="shared" si="1471"/>
        <v>0.73884103340948371</v>
      </c>
      <c r="AB248">
        <f t="shared" ref="AB248" ca="1" si="1508">BSdelta(1,P248,Strike,AA248/AnnualVarConvtr,Dividend,RiskFreeRate,G248/250)</f>
        <v>0.43879911048977682</v>
      </c>
      <c r="AC248">
        <f t="shared" ca="1" si="1206"/>
        <v>15.376064076626374</v>
      </c>
      <c r="AD248">
        <f t="shared" ca="1" si="1207"/>
        <v>-46.991362201347584</v>
      </c>
    </row>
    <row r="249" spans="7:30">
      <c r="G249" s="19">
        <v>6</v>
      </c>
      <c r="H249" s="19">
        <f t="shared" ca="1" si="1351"/>
        <v>7.471436373320639E-2</v>
      </c>
      <c r="I249" s="19">
        <f t="shared" ca="1" si="1351"/>
        <v>0.8214536506590111</v>
      </c>
      <c r="J249" s="19">
        <f t="shared" ca="1" si="1189"/>
        <v>0.98860403161686428</v>
      </c>
      <c r="K249" s="19">
        <f t="shared" ca="1" si="1190"/>
        <v>-2.0520301918238033</v>
      </c>
      <c r="L249" s="19">
        <f t="array" aca="1" ref="L249:M249" ca="1">MMULT(J249:K249,TRANSPOSE($B$10:$C$11))</f>
        <v>0.98860403161686428</v>
      </c>
      <c r="M249" s="19">
        <f ca="1"/>
        <v>-2.1398045615035328</v>
      </c>
      <c r="N249" s="20">
        <f t="shared" ref="N249" ca="1" si="1509">GetVariance(N248,Variance_Avg,Lambda,Eta,M249,"Daily")</f>
        <v>9.263178512083841E-3</v>
      </c>
      <c r="O249" s="20">
        <f t="shared" ref="O249" ca="1" si="1510">GetStockReturns(0,RiskFreeRate,N249,L249,"Daily")</f>
        <v>6.0177257247343392E-3</v>
      </c>
      <c r="P249" s="19">
        <f t="shared" ca="1" si="1292"/>
        <v>100.47943477861443</v>
      </c>
      <c r="Q249" s="19">
        <f ca="1">HCTrans(P249,Strike,RiskFreeRate,Dividend,Variance_T0*AnnualVarConvtr,(Simulation!G249)/250,0.5,Variance_Avg*AnnualVarConvtr,Lambda,SQRT(Simulation!N249),Rho,1,"Call")</f>
        <v>4.8757384939399628</v>
      </c>
      <c r="R249" s="19">
        <f t="shared" ref="R249" ca="1" si="1511">BSvol(1,P249,Strike,Q249,Dividend,RiskFreeRate,G249/250)</f>
        <v>0.74810692395738843</v>
      </c>
      <c r="S249" s="19">
        <f t="shared" ref="S249" ca="1" si="1512">BSdelta(1,P249,Strike,R249/AnnualVarConvtr,Dividend,RiskFreeRate,G249/250)</f>
        <v>0.74414618651904907</v>
      </c>
      <c r="T249" s="19">
        <f t="shared" ca="1" si="1212"/>
        <v>30.603609980995451</v>
      </c>
      <c r="U249" s="19">
        <f t="shared" ca="1" si="1213"/>
        <v>-77.711568951509776</v>
      </c>
      <c r="V249" s="21">
        <f t="shared" ca="1" si="1202"/>
        <v>6.0788455584841077E-6</v>
      </c>
      <c r="W249">
        <f t="shared" ca="1" si="1203"/>
        <v>2.4655314961452243E-3</v>
      </c>
      <c r="X249" s="22">
        <f t="shared" ref="X249" ca="1" si="1513">BSdelta(1,P249,Strike,W249*AnnualVarConvtr,Dividend,RiskFreeRate,G249/250)</f>
        <v>0.78668791388474657</v>
      </c>
      <c r="Y249" s="22">
        <f t="shared" ca="1" si="1215"/>
        <v>28.772099052261748</v>
      </c>
      <c r="Z249" s="22">
        <f t="shared" ca="1" si="1216"/>
        <v>-77.414193598517983</v>
      </c>
      <c r="AA249">
        <f t="shared" si="1471"/>
        <v>0.73884103340948371</v>
      </c>
      <c r="AB249">
        <f t="shared" ref="AB249" ca="1" si="1514">BSdelta(1,P249,Strike,AA249/AnnualVarConvtr,Dividend,RiskFreeRate,G249/250)</f>
        <v>0.74675690470734857</v>
      </c>
      <c r="AC249">
        <f t="shared" ca="1" si="1206"/>
        <v>30.943425098650465</v>
      </c>
      <c r="AD249">
        <f t="shared" ca="1" si="1207"/>
        <v>-77.983768385038758</v>
      </c>
    </row>
    <row r="250" spans="7:30">
      <c r="G250" s="19">
        <v>5</v>
      </c>
      <c r="H250" s="19">
        <f t="shared" ca="1" si="1351"/>
        <v>0.65875008323358331</v>
      </c>
      <c r="I250" s="19">
        <f t="shared" ca="1" si="1351"/>
        <v>9.3200817062595975E-2</v>
      </c>
      <c r="J250" s="19">
        <f t="shared" ca="1" si="1189"/>
        <v>0.7614492089973125</v>
      </c>
      <c r="K250" s="19">
        <f t="shared" ca="1" si="1190"/>
        <v>0.50499228476178892</v>
      </c>
      <c r="L250" s="19">
        <f t="array" aca="1" ref="L250:M250" ca="1">MMULT(J250:K250,TRANSPOSE($B$10:$C$11))</f>
        <v>0.7614492089973125</v>
      </c>
      <c r="M250" s="19">
        <f ca="1"/>
        <v>-0.19330225917197785</v>
      </c>
      <c r="N250" s="20">
        <f ca="1">GetVariance(N249,Variance_Avg,Lambda,Eta,M250,"Daily")</f>
        <v>8.8008534062202822E-3</v>
      </c>
      <c r="O250" s="20">
        <f ca="1">GetStockReturns(0,RiskFreeRate,N250,L250,"Daily")</f>
        <v>4.5178658282306579E-3</v>
      </c>
      <c r="P250" s="19">
        <f ca="1">P249*EXP(O250)</f>
        <v>100.9344143779465</v>
      </c>
      <c r="Q250" s="19">
        <f ca="1">HCTrans(P250,Strike,RiskFreeRate,Dividend,Variance_T0*AnnualVarConvtr,(Simulation!G250)/250,0.5,Variance_Avg*AnnualVarConvtr,Lambda,SQRT(Simulation!N250),Rho,1,"Call")</f>
        <v>4.7227776387601068</v>
      </c>
      <c r="R250" s="19">
        <f t="shared" ref="R250" ca="1" si="1515">BSvol(1,P250,Strike,Q250,Dividend,RiskFreeRate,G250/250)</f>
        <v>0.74823716481290792</v>
      </c>
      <c r="S250" s="19">
        <f t="shared" ref="S250" ca="1" si="1516">BSdelta(1,P250,Strike,R250/AnnualVarConvtr,Dividend,RiskFreeRate,G250/250)</f>
        <v>0.91820337519281992</v>
      </c>
      <c r="T250" s="19">
        <f t="shared" ca="1" si="1212"/>
        <v>17.568360407058801</v>
      </c>
      <c r="U250" s="19">
        <f t="shared" ca="1" si="1213"/>
        <v>-95.432890213748436</v>
      </c>
      <c r="V250" s="21">
        <f t="shared" ca="1" si="1202"/>
        <v>2.2495797091400336E-6</v>
      </c>
      <c r="W250">
        <f t="shared" ca="1" si="1203"/>
        <v>1.4998598965036813E-3</v>
      </c>
      <c r="X250" s="22">
        <f t="shared" ref="X250" ca="1" si="1517">BSdelta(1,P250,Strike,W250*AnnualVarConvtr,Dividend,RiskFreeRate,G250/250)</f>
        <v>0.99723894699541038</v>
      </c>
      <c r="Y250" s="22">
        <f t="shared" ca="1" si="1215"/>
        <v>21.251845223696474</v>
      </c>
      <c r="Z250" s="22">
        <f t="shared" ca="1" si="1216"/>
        <v>-98.818999677394316</v>
      </c>
      <c r="AA250">
        <f t="shared" si="1471"/>
        <v>0.73884103340948371</v>
      </c>
      <c r="AB250">
        <f t="shared" ref="AB250" ca="1" si="1518">BSdelta(1,P250,Strike,AA250/AnnualVarConvtr,Dividend,RiskFreeRate,G250/250)</f>
        <v>0.92083635158886434</v>
      </c>
      <c r="AC250">
        <f t="shared" ca="1" si="1206"/>
        <v>17.570607026222639</v>
      </c>
      <c r="AD250">
        <f t="shared" ca="1" si="1207"/>
        <v>-95.707336266441246</v>
      </c>
    </row>
    <row r="251" spans="7:30">
      <c r="G251" s="19">
        <v>4</v>
      </c>
      <c r="H251" s="19">
        <f t="shared" ca="1" si="1351"/>
        <v>0.47643021228763072</v>
      </c>
      <c r="I251" s="19">
        <f t="shared" ca="1" si="1351"/>
        <v>0.53160657239685172</v>
      </c>
      <c r="J251" s="19">
        <f t="shared" ca="1" si="1189"/>
        <v>-1.193797097795404</v>
      </c>
      <c r="K251" s="19">
        <f t="shared" ca="1" si="1190"/>
        <v>-0.24024267006220615</v>
      </c>
      <c r="L251" s="19">
        <f t="array" aca="1" ref="L251:M251" ca="1">MMULT(J251:K251,TRANSPOSE($B$10:$C$11))</f>
        <v>-1.193797097795404</v>
      </c>
      <c r="M251" s="19">
        <f ca="1"/>
        <v>0.68776543514668087</v>
      </c>
      <c r="N251" s="20">
        <f t="shared" ref="N251" ca="1" si="1519">GetVariance(N250,Variance_Avg,Lambda,Eta,M251,"Daily")</f>
        <v>1.0444730301384118E-2</v>
      </c>
      <c r="O251" s="20">
        <f t="shared" ref="O251" ca="1" si="1520">GetStockReturns(0,RiskFreeRate,N251,L251,"Daily")</f>
        <v>-7.7163004523984266E-3</v>
      </c>
      <c r="P251" s="19">
        <f t="shared" ca="1" si="1292"/>
        <v>100.15857127940012</v>
      </c>
      <c r="Q251" s="19">
        <f ca="1">HCTrans(P251,Strike,RiskFreeRate,Dividend,Variance_T0*AnnualVarConvtr,(Simulation!G251)/250,0.5,Variance_Avg*AnnualVarConvtr,Lambda,SQRT(Simulation!N251),Rho,1,"Call")</f>
        <v>3.856442512998683</v>
      </c>
      <c r="R251" s="19">
        <f t="shared" ref="R251" ca="1" si="1521">BSvol(1,P251,Strike,Q251,Dividend,RiskFreeRate,G251/250)</f>
        <v>0.74808671686854156</v>
      </c>
      <c r="S251" s="19">
        <f t="shared" ref="S251" ca="1" si="1522">BSdelta(1,P251,Strike,R251/AnnualVarConvtr,Dividend,RiskFreeRate,G251/250)</f>
        <v>0.60555176683256151</v>
      </c>
      <c r="T251" s="19">
        <f t="shared" ca="1" si="1212"/>
        <v>-31.314738401570033</v>
      </c>
      <c r="U251" s="19">
        <f t="shared" ca="1" si="1213"/>
        <v>-64.984486937939835</v>
      </c>
      <c r="V251" s="21">
        <f t="shared" ca="1" si="1202"/>
        <v>1.4967482458208166E-4</v>
      </c>
      <c r="W251">
        <f t="shared" ca="1" si="1203"/>
        <v>1.2234166280629084E-2</v>
      </c>
      <c r="X251" s="22">
        <f t="shared" ref="X251" ca="1" si="1523">BSdelta(1,P251,Strike,W251*AnnualVarConvtr,Dividend,RiskFreeRate,G251/250)</f>
        <v>0.53068408090497943</v>
      </c>
      <c r="Y251" s="22">
        <f t="shared" ca="1" si="1215"/>
        <v>-46.72946881106941</v>
      </c>
      <c r="Z251" s="22">
        <f t="shared" ca="1" si="1216"/>
        <v>-52.955865992086331</v>
      </c>
      <c r="AA251">
        <f t="shared" si="1471"/>
        <v>0.73884103340948371</v>
      </c>
      <c r="AB251">
        <f t="shared" ref="AB251" ca="1" si="1524">BSdelta(1,P251,Strike,AA251/AnnualVarConvtr,Dividend,RiskFreeRate,G251/250)</f>
        <v>0.60681215279091338</v>
      </c>
      <c r="AC251">
        <f t="shared" ca="1" si="1206"/>
        <v>-31.452215098761084</v>
      </c>
      <c r="AD251">
        <f t="shared" ca="1" si="1207"/>
        <v>-65.121456293441582</v>
      </c>
    </row>
    <row r="252" spans="7:30">
      <c r="G252" s="19">
        <v>3</v>
      </c>
      <c r="H252" s="19">
        <f t="shared" ca="1" si="1351"/>
        <v>3.1189145041237154E-2</v>
      </c>
      <c r="I252" s="19">
        <f t="shared" ca="1" si="1351"/>
        <v>0.75361855178709858</v>
      </c>
      <c r="J252" s="19">
        <f t="shared" ca="1" si="1189"/>
        <v>5.9870387837656122E-2</v>
      </c>
      <c r="K252" s="19">
        <f t="shared" ca="1" si="1190"/>
        <v>-2.6328284898102772</v>
      </c>
      <c r="L252" s="19">
        <f t="array" aca="1" ref="L252:M252" ca="1">MMULT(J252:K252,TRANSPOSE($B$10:$C$11))</f>
        <v>5.9870387837656122E-2</v>
      </c>
      <c r="M252" s="19">
        <f ca="1"/>
        <v>-1.8795243010815879</v>
      </c>
      <c r="N252" s="20">
        <f t="shared" ref="N252" ca="1" si="1525">GetVariance(N251,Variance_Avg,Lambda,Eta,M252,"Daily")</f>
        <v>6.2476875685492607E-3</v>
      </c>
      <c r="O252" s="20">
        <f t="shared" ref="O252" ca="1" si="1526">GetStockReturns(0,RiskFreeRate,N252,L252,"Daily")</f>
        <v>2.9929655559785494E-4</v>
      </c>
      <c r="P252" s="19">
        <f t="shared" ca="1" si="1292"/>
        <v>100.18855288126892</v>
      </c>
      <c r="Q252" s="19">
        <f ca="1">HCTrans(P252,Strike,RiskFreeRate,Dividend,Variance_T0*AnnualVarConvtr,(Simulation!G252)/250,0.5,Variance_Avg*AnnualVarConvtr,Lambda,SQRT(Simulation!N252),Rho,1,"Call")</f>
        <v>3.3668085444430886</v>
      </c>
      <c r="R252" s="19">
        <f t="shared" ref="R252" ca="1" si="1527">BSvol(1,P252,Strike,Q252,Dividend,RiskFreeRate,G252/250)</f>
        <v>0.74813653889842935</v>
      </c>
      <c r="S252" s="19">
        <f t="shared" ref="S252" ca="1" si="1528">BSdelta(1,P252,Strike,R252/AnnualVarConvtr,Dividend,RiskFreeRate,G252/250)</f>
        <v>0.64282609034740434</v>
      </c>
      <c r="T252" s="19">
        <f t="shared" ca="1" si="1212"/>
        <v>3.7344605325803566</v>
      </c>
      <c r="U252" s="19">
        <f t="shared" ca="1" si="1213"/>
        <v>-69.208581439075786</v>
      </c>
      <c r="V252" s="21">
        <f t="shared" ca="1" si="1202"/>
        <v>6.4249795394598941E-5</v>
      </c>
      <c r="W252">
        <f t="shared" ca="1" si="1203"/>
        <v>8.0155970079962818E-3</v>
      </c>
      <c r="X252" s="22">
        <f t="shared" ref="X252" ca="1" si="1529">BSdelta(1,P252,Strike,W252*AnnualVarConvtr,Dividend,RiskFreeRate,G252/250)</f>
        <v>0.55670697093395893</v>
      </c>
      <c r="Y252" s="22">
        <f t="shared" ca="1" si="1215"/>
        <v>2.607195693791859</v>
      </c>
      <c r="Z252" s="22">
        <f t="shared" ca="1" si="1216"/>
        <v>-56.052695654433784</v>
      </c>
      <c r="AA252">
        <f t="shared" si="1471"/>
        <v>0.73884103340948371</v>
      </c>
      <c r="AB252">
        <f t="shared" ref="AB252" ca="1" si="1530">BSdelta(1,P252,Strike,AA252/AnnualVarConvtr,Dividend,RiskFreeRate,G252/250)</f>
        <v>0.64451860020078666</v>
      </c>
      <c r="AC252">
        <f t="shared" ca="1" si="1206"/>
        <v>3.7777544002888743</v>
      </c>
      <c r="AD252">
        <f t="shared" ca="1" si="1207"/>
        <v>-69.388844662286047</v>
      </c>
    </row>
    <row r="253" spans="7:30">
      <c r="G253" s="19">
        <v>2</v>
      </c>
      <c r="H253" s="19">
        <f t="shared" ca="1" si="1351"/>
        <v>0.25425546875522986</v>
      </c>
      <c r="I253" s="19">
        <f t="shared" ca="1" si="1351"/>
        <v>0.8018381016507854</v>
      </c>
      <c r="J253" s="19">
        <f t="shared" ca="1" si="1189"/>
        <v>0.52954822435782223</v>
      </c>
      <c r="K253" s="19">
        <f t="shared" ca="1" si="1190"/>
        <v>-1.5679318058912892</v>
      </c>
      <c r="L253" s="19">
        <f t="array" aca="1" ref="L253:M253" ca="1">MMULT(J253:K253,TRANSPOSE($B$10:$C$11))</f>
        <v>0.52954822435782223</v>
      </c>
      <c r="M253" s="19">
        <f ca="1"/>
        <v>-1.4731902906388357</v>
      </c>
      <c r="N253" s="20">
        <f t="shared" ref="N253" ca="1" si="1531">GetVariance(N252,Variance_Avg,Lambda,Eta,M253,"Daily")</f>
        <v>3.7228865255317942E-3</v>
      </c>
      <c r="O253" s="20">
        <f t="shared" ref="O253" ca="1" si="1532">GetStockReturns(0,RiskFreeRate,N253,L253,"Daily")</f>
        <v>2.0435036196197222E-3</v>
      </c>
      <c r="P253" s="19">
        <f t="shared" ca="1" si="1292"/>
        <v>100.39349788333375</v>
      </c>
      <c r="Q253" s="19">
        <f ca="1">HCTrans(P253,Strike,RiskFreeRate,Dividend,Variance_T0*AnnualVarConvtr,(Simulation!G253)/250,0.5,Variance_Avg*AnnualVarConvtr,Lambda,SQRT(Simulation!N253),Rho,1,"Call")</f>
        <v>2.8758536734694502</v>
      </c>
      <c r="R253" s="19">
        <f t="shared" ref="R253" ca="1" si="1533">BSvol(1,P253,Strike,Q253,Dividend,RiskFreeRate,G253/250)</f>
        <v>0.74819604123603389</v>
      </c>
      <c r="S253" s="19">
        <f t="shared" ref="S253" ca="1" si="1534">BSdelta(1,P253,Strike,R253/AnnualVarConvtr,Dividend,RiskFreeRate,G253/250)</f>
        <v>0.82381741650262352</v>
      </c>
      <c r="T253" s="19">
        <f t="shared" ca="1" si="1212"/>
        <v>18.170352319265763</v>
      </c>
      <c r="U253" s="19">
        <f t="shared" ca="1" si="1213"/>
        <v>-87.869888629315184</v>
      </c>
      <c r="V253" s="21">
        <f t="shared" ca="1" si="1202"/>
        <v>3.0422582821837822E-6</v>
      </c>
      <c r="W253">
        <f t="shared" ca="1" si="1203"/>
        <v>1.7442070640218672E-3</v>
      </c>
      <c r="X253" s="22">
        <f t="shared" ref="X253" ca="1" si="1535">BSdelta(1,P253,Strike,W253*AnnualVarConvtr,Dividend,RiskFreeRate,G253/250)</f>
        <v>0.94445972867249939</v>
      </c>
      <c r="Y253" s="22">
        <f t="shared" ca="1" si="1215"/>
        <v>38.927855663280987</v>
      </c>
      <c r="Z253" s="22">
        <f t="shared" ca="1" si="1216"/>
        <v>-95.471506188688409</v>
      </c>
      <c r="AA253">
        <f t="shared" si="1471"/>
        <v>0.73884103340948371</v>
      </c>
      <c r="AB253">
        <f t="shared" ref="AB253" ca="1" si="1536">BSdelta(1,P253,Strike,AA253/AnnualVarConvtr,Dividend,RiskFreeRate,G253/250)</f>
        <v>0.82683550939967843</v>
      </c>
      <c r="AC253">
        <f t="shared" ca="1" si="1206"/>
        <v>18.30343223775489</v>
      </c>
      <c r="AD253">
        <f t="shared" ca="1" si="1207"/>
        <v>-88.183231771014576</v>
      </c>
    </row>
    <row r="254" spans="7:30">
      <c r="G254" s="19">
        <v>1</v>
      </c>
      <c r="H254" s="19">
        <f t="shared" ca="1" si="1351"/>
        <v>0.74038078966830856</v>
      </c>
      <c r="I254" s="19">
        <f t="shared" ca="1" si="1351"/>
        <v>0.5585393990023868</v>
      </c>
      <c r="J254" s="19">
        <f t="shared" ca="1" si="1189"/>
        <v>-0.72349944101449726</v>
      </c>
      <c r="K254" s="19">
        <f t="shared" ca="1" si="1190"/>
        <v>-0.27880073144860829</v>
      </c>
      <c r="L254" s="19">
        <f t="array" aca="1" ref="L254:M254" ca="1">MMULT(J254:K254,TRANSPOSE($B$10:$C$11))</f>
        <v>-0.72349944101449726</v>
      </c>
      <c r="M254" s="19">
        <f ca="1"/>
        <v>0.32389955817302774</v>
      </c>
      <c r="N254" s="20">
        <f t="shared" ref="N254" ca="1" si="1537">GetVariance(N253,Variance_Avg,Lambda,Eta,M254,"Daily")</f>
        <v>4.2408630355167875E-3</v>
      </c>
      <c r="O254" s="20">
        <f t="shared" ref="O254" ca="1" si="1538">GetStockReturns(0,RiskFreeRate,N254,L254,"Daily")</f>
        <v>-2.9798562835504491E-3</v>
      </c>
      <c r="P254" s="19">
        <f t="shared" ca="1" si="1292"/>
        <v>100.09478496965106</v>
      </c>
      <c r="Q254" s="19">
        <f ca="1">HCTrans(P254,Strike,RiskFreeRate,Dividend,Variance_T0*AnnualVarConvtr,(Simulation!G254)/250,0.5,Variance_Avg*AnnualVarConvtr,Lambda,SQRT(Simulation!N254),Rho,1,"Call")</f>
        <v>1.936246920715945</v>
      </c>
      <c r="R254" s="19">
        <f t="shared" ref="R254" ca="1" si="1539">BSvol(1,P254,Strike,Q254,Dividend,RiskFreeRate,G254/250)</f>
        <v>0.74818009990285927</v>
      </c>
      <c r="S254" s="19">
        <f t="shared" ref="S254" ca="1" si="1540">BSdelta(1,P254,Strike,R254/AnnualVarConvtr,Dividend,RiskFreeRate,G254/250)</f>
        <v>0.62478210091881803</v>
      </c>
      <c r="T254" s="19">
        <f t="shared" ca="1" si="1212"/>
        <v>-19.922397114727648</v>
      </c>
      <c r="U254" s="19">
        <f t="shared" ca="1" si="1213"/>
        <v>-68.887098267341045</v>
      </c>
      <c r="V254" s="21">
        <f t="shared" ca="1" si="1202"/>
        <v>2.5234144716777833E-5</v>
      </c>
      <c r="W254">
        <f t="shared" ca="1" si="1203"/>
        <v>5.0233599031701713E-3</v>
      </c>
      <c r="X254" s="22">
        <f t="shared" ref="X254" ca="1" si="1541">BSdelta(1,P254,Strike,W254*AnnualVarConvtr,Dividend,RiskFreeRate,G254/250)</f>
        <v>0.57578056883497442</v>
      </c>
      <c r="Y254" s="22">
        <f t="shared" ca="1" si="1215"/>
        <v>-36.902861226728675</v>
      </c>
      <c r="Z254" s="22">
        <f t="shared" ca="1" si="1216"/>
        <v>-59.508251714713239</v>
      </c>
      <c r="AA254">
        <f t="shared" si="1471"/>
        <v>0.73884103340948371</v>
      </c>
      <c r="AB254">
        <f t="shared" ref="AB254" ca="1" si="1542">BSdelta(1,P254,Strike,AA254/AnnualVarConvtr,Dividend,RiskFreeRate,G254/250)</f>
        <v>0.62629167427295485</v>
      </c>
      <c r="AC254">
        <f t="shared" ca="1" si="1206"/>
        <v>-20.07339205399855</v>
      </c>
      <c r="AD254">
        <f t="shared" ca="1" si="1207"/>
        <v>-69.049446469769535</v>
      </c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34" sqref="D34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siluvaie</cp:lastModifiedBy>
  <dcterms:created xsi:type="dcterms:W3CDTF">2014-12-23T13:54:23Z</dcterms:created>
  <dcterms:modified xsi:type="dcterms:W3CDTF">2014-12-23T14:24:56Z</dcterms:modified>
</cp:coreProperties>
</file>