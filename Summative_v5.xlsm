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105" windowWidth="19155" windowHeight="11760" activeTab="1"/>
  </bookViews>
  <sheets>
    <sheet name="Inputs" sheetId="4" r:id="rId1"/>
    <sheet name="Simulation" sheetId="5" r:id="rId2"/>
    <sheet name="Graph" sheetId="6" r:id="rId3"/>
  </sheets>
  <functionGroups builtInGroupCount="17"/>
  <definedNames>
    <definedName name="AnnualVarConvtr">Inputs!$H$4</definedName>
    <definedName name="Dividend">Inputs!$C$10</definedName>
    <definedName name="Eta">Inputs!$C$6</definedName>
    <definedName name="Lambda">Inputs!$C$8</definedName>
    <definedName name="Rho">Inputs!$C$7</definedName>
    <definedName name="RiskFreeRate">Inputs!$C$9</definedName>
    <definedName name="StockPrice_T0">Inputs!$C$11</definedName>
    <definedName name="Strike">Inputs!$C$12</definedName>
    <definedName name="Variance_Avg">Inputs!$C$4</definedName>
    <definedName name="Variance_T0">Inputs!$C$5</definedName>
  </definedNames>
  <calcPr calcId="145621" calcMode="manual" calcCompleted="0" calcOnSave="0"/>
</workbook>
</file>

<file path=xl/calcChain.xml><?xml version="1.0" encoding="utf-8"?>
<calcChain xmlns="http://schemas.openxmlformats.org/spreadsheetml/2006/main">
  <c r="C5" i="5" l="1"/>
  <c r="N5" i="5" l="1"/>
  <c r="I254" i="5"/>
  <c r="H254" i="5"/>
  <c r="I253" i="5"/>
  <c r="H253" i="5"/>
  <c r="I252" i="5"/>
  <c r="H252" i="5"/>
  <c r="I251" i="5"/>
  <c r="H251" i="5"/>
  <c r="I250" i="5"/>
  <c r="H250" i="5"/>
  <c r="I249" i="5"/>
  <c r="H249" i="5"/>
  <c r="I248" i="5"/>
  <c r="H248" i="5"/>
  <c r="I247" i="5"/>
  <c r="H247" i="5"/>
  <c r="I246" i="5"/>
  <c r="H246" i="5"/>
  <c r="I245" i="5"/>
  <c r="H245" i="5"/>
  <c r="I244" i="5"/>
  <c r="H244" i="5"/>
  <c r="I243" i="5"/>
  <c r="H243" i="5"/>
  <c r="I242" i="5"/>
  <c r="H242" i="5"/>
  <c r="I241" i="5"/>
  <c r="H241" i="5"/>
  <c r="I240" i="5"/>
  <c r="H240" i="5"/>
  <c r="I239" i="5"/>
  <c r="H239" i="5"/>
  <c r="I238" i="5"/>
  <c r="H238" i="5"/>
  <c r="I237" i="5"/>
  <c r="H237" i="5"/>
  <c r="I236" i="5"/>
  <c r="H236" i="5"/>
  <c r="I235" i="5"/>
  <c r="H235" i="5"/>
  <c r="I234" i="5"/>
  <c r="H234" i="5"/>
  <c r="I233" i="5"/>
  <c r="H233" i="5"/>
  <c r="I232" i="5"/>
  <c r="H232" i="5"/>
  <c r="I231" i="5"/>
  <c r="H231" i="5"/>
  <c r="I230" i="5"/>
  <c r="H230" i="5"/>
  <c r="I229" i="5"/>
  <c r="H229" i="5"/>
  <c r="I228" i="5"/>
  <c r="H228" i="5"/>
  <c r="I227" i="5"/>
  <c r="H227" i="5"/>
  <c r="I226" i="5"/>
  <c r="H226" i="5"/>
  <c r="I225" i="5"/>
  <c r="H225" i="5"/>
  <c r="I224" i="5"/>
  <c r="H224" i="5"/>
  <c r="I223" i="5"/>
  <c r="H223" i="5"/>
  <c r="I222" i="5"/>
  <c r="H222" i="5"/>
  <c r="I221" i="5"/>
  <c r="H221" i="5"/>
  <c r="I220" i="5"/>
  <c r="H220" i="5"/>
  <c r="I219" i="5"/>
  <c r="H219" i="5"/>
  <c r="I218" i="5"/>
  <c r="H218" i="5"/>
  <c r="I217" i="5"/>
  <c r="H217" i="5"/>
  <c r="I216" i="5"/>
  <c r="H216" i="5"/>
  <c r="I215" i="5"/>
  <c r="H215" i="5"/>
  <c r="I214" i="5"/>
  <c r="H214" i="5"/>
  <c r="I213" i="5"/>
  <c r="H213" i="5"/>
  <c r="I212" i="5"/>
  <c r="H212" i="5"/>
  <c r="I211" i="5"/>
  <c r="H211" i="5"/>
  <c r="I210" i="5"/>
  <c r="H210" i="5"/>
  <c r="I209" i="5"/>
  <c r="H209" i="5"/>
  <c r="I208" i="5"/>
  <c r="H208" i="5"/>
  <c r="I207" i="5"/>
  <c r="H207" i="5"/>
  <c r="I206" i="5"/>
  <c r="H206" i="5"/>
  <c r="I205" i="5"/>
  <c r="H205" i="5"/>
  <c r="I204" i="5"/>
  <c r="H204" i="5"/>
  <c r="I203" i="5"/>
  <c r="H203" i="5"/>
  <c r="I202" i="5"/>
  <c r="H202" i="5"/>
  <c r="I201" i="5"/>
  <c r="H201" i="5"/>
  <c r="I200" i="5"/>
  <c r="H200" i="5"/>
  <c r="I199" i="5"/>
  <c r="H199" i="5"/>
  <c r="I198" i="5"/>
  <c r="H198" i="5"/>
  <c r="I197" i="5"/>
  <c r="H197" i="5"/>
  <c r="I196" i="5"/>
  <c r="H196" i="5"/>
  <c r="I195" i="5"/>
  <c r="H195" i="5"/>
  <c r="I194" i="5"/>
  <c r="H194" i="5"/>
  <c r="I193" i="5"/>
  <c r="H193" i="5"/>
  <c r="I192" i="5"/>
  <c r="H192" i="5"/>
  <c r="I191" i="5"/>
  <c r="H191" i="5"/>
  <c r="I190" i="5"/>
  <c r="H190" i="5"/>
  <c r="I189" i="5"/>
  <c r="H189" i="5"/>
  <c r="I188" i="5"/>
  <c r="H188" i="5"/>
  <c r="I187" i="5"/>
  <c r="H187" i="5"/>
  <c r="I186" i="5"/>
  <c r="H186" i="5"/>
  <c r="I185" i="5"/>
  <c r="H185" i="5"/>
  <c r="I184" i="5"/>
  <c r="H184" i="5"/>
  <c r="I183" i="5"/>
  <c r="H183" i="5"/>
  <c r="I182" i="5"/>
  <c r="H182" i="5"/>
  <c r="I181" i="5"/>
  <c r="H181" i="5"/>
  <c r="I180" i="5"/>
  <c r="H180" i="5"/>
  <c r="I179" i="5"/>
  <c r="H179" i="5"/>
  <c r="I178" i="5"/>
  <c r="H178" i="5"/>
  <c r="I177" i="5"/>
  <c r="H177" i="5"/>
  <c r="I176" i="5"/>
  <c r="H176" i="5"/>
  <c r="I175" i="5"/>
  <c r="H175" i="5"/>
  <c r="I174" i="5"/>
  <c r="H174" i="5"/>
  <c r="I173" i="5"/>
  <c r="H173" i="5"/>
  <c r="I172" i="5"/>
  <c r="H172" i="5"/>
  <c r="I171" i="5"/>
  <c r="H171" i="5"/>
  <c r="I170" i="5"/>
  <c r="H170" i="5"/>
  <c r="I169" i="5"/>
  <c r="H169" i="5"/>
  <c r="I168" i="5"/>
  <c r="H168" i="5"/>
  <c r="J168" i="5" s="1"/>
  <c r="I167" i="5"/>
  <c r="H167" i="5"/>
  <c r="I166" i="5"/>
  <c r="H166" i="5"/>
  <c r="I165" i="5"/>
  <c r="H165" i="5"/>
  <c r="I164" i="5"/>
  <c r="H164" i="5"/>
  <c r="I163" i="5"/>
  <c r="H163" i="5"/>
  <c r="I162" i="5"/>
  <c r="H162" i="5"/>
  <c r="I161" i="5"/>
  <c r="H161" i="5"/>
  <c r="I160" i="5"/>
  <c r="H160" i="5"/>
  <c r="I159" i="5"/>
  <c r="H159" i="5"/>
  <c r="I158" i="5"/>
  <c r="H158" i="5"/>
  <c r="I157" i="5"/>
  <c r="H157" i="5"/>
  <c r="I156" i="5"/>
  <c r="H156" i="5"/>
  <c r="I155" i="5"/>
  <c r="H155" i="5"/>
  <c r="I154" i="5"/>
  <c r="H154" i="5"/>
  <c r="I153" i="5"/>
  <c r="H153" i="5"/>
  <c r="I152" i="5"/>
  <c r="H152" i="5"/>
  <c r="I151" i="5"/>
  <c r="H151" i="5"/>
  <c r="I150" i="5"/>
  <c r="H150" i="5"/>
  <c r="I149" i="5"/>
  <c r="H149" i="5"/>
  <c r="I148" i="5"/>
  <c r="H148" i="5"/>
  <c r="I147" i="5"/>
  <c r="H147" i="5"/>
  <c r="I146" i="5"/>
  <c r="H146" i="5"/>
  <c r="I145" i="5"/>
  <c r="H145" i="5"/>
  <c r="I144" i="5"/>
  <c r="H144" i="5"/>
  <c r="J144" i="5" s="1"/>
  <c r="I143" i="5"/>
  <c r="H143" i="5"/>
  <c r="I142" i="5"/>
  <c r="H142" i="5"/>
  <c r="I141" i="5"/>
  <c r="H141" i="5"/>
  <c r="I140" i="5"/>
  <c r="H140" i="5"/>
  <c r="I139" i="5"/>
  <c r="H139" i="5"/>
  <c r="I138" i="5"/>
  <c r="H138" i="5"/>
  <c r="I137" i="5"/>
  <c r="H137" i="5"/>
  <c r="I136" i="5"/>
  <c r="H136" i="5"/>
  <c r="I135" i="5"/>
  <c r="H135" i="5"/>
  <c r="I134" i="5"/>
  <c r="H134" i="5"/>
  <c r="I133" i="5"/>
  <c r="H133" i="5"/>
  <c r="I132" i="5"/>
  <c r="H132" i="5"/>
  <c r="I131" i="5"/>
  <c r="H131" i="5"/>
  <c r="I130" i="5"/>
  <c r="H130" i="5"/>
  <c r="I129" i="5"/>
  <c r="H129" i="5"/>
  <c r="I128" i="5"/>
  <c r="H128" i="5"/>
  <c r="I127" i="5"/>
  <c r="H127" i="5"/>
  <c r="I126" i="5"/>
  <c r="H126" i="5"/>
  <c r="I125" i="5"/>
  <c r="H125" i="5"/>
  <c r="I124" i="5"/>
  <c r="H124" i="5"/>
  <c r="I123" i="5"/>
  <c r="H123" i="5"/>
  <c r="I122" i="5"/>
  <c r="H122" i="5"/>
  <c r="I121" i="5"/>
  <c r="H121" i="5"/>
  <c r="I120" i="5"/>
  <c r="H120" i="5"/>
  <c r="I119" i="5"/>
  <c r="H119" i="5"/>
  <c r="I118" i="5"/>
  <c r="H118" i="5"/>
  <c r="I117" i="5"/>
  <c r="H117" i="5"/>
  <c r="I116" i="5"/>
  <c r="H116" i="5"/>
  <c r="I115" i="5"/>
  <c r="H115" i="5"/>
  <c r="I114" i="5"/>
  <c r="H114" i="5"/>
  <c r="I113" i="5"/>
  <c r="H113" i="5"/>
  <c r="I112" i="5"/>
  <c r="H112" i="5"/>
  <c r="I111" i="5"/>
  <c r="H111" i="5"/>
  <c r="I110" i="5"/>
  <c r="H110" i="5"/>
  <c r="I109" i="5"/>
  <c r="H109" i="5"/>
  <c r="I108" i="5"/>
  <c r="H108" i="5"/>
  <c r="I107" i="5"/>
  <c r="H107" i="5"/>
  <c r="I106" i="5"/>
  <c r="H106" i="5"/>
  <c r="I105" i="5"/>
  <c r="H105" i="5"/>
  <c r="I104" i="5"/>
  <c r="H104" i="5"/>
  <c r="I103" i="5"/>
  <c r="H103" i="5"/>
  <c r="I102" i="5"/>
  <c r="H102" i="5"/>
  <c r="I101" i="5"/>
  <c r="H101" i="5"/>
  <c r="I100" i="5"/>
  <c r="H100" i="5"/>
  <c r="I99" i="5"/>
  <c r="H99" i="5"/>
  <c r="I98" i="5"/>
  <c r="H98" i="5"/>
  <c r="I97" i="5"/>
  <c r="H97" i="5"/>
  <c r="I96" i="5"/>
  <c r="H96" i="5"/>
  <c r="I95" i="5"/>
  <c r="H95" i="5"/>
  <c r="I94" i="5"/>
  <c r="H94" i="5"/>
  <c r="I93" i="5"/>
  <c r="H93" i="5"/>
  <c r="I92" i="5"/>
  <c r="H92" i="5"/>
  <c r="I91" i="5"/>
  <c r="H91" i="5"/>
  <c r="I90" i="5"/>
  <c r="H90" i="5"/>
  <c r="I89" i="5"/>
  <c r="H89" i="5"/>
  <c r="I88" i="5"/>
  <c r="H88" i="5"/>
  <c r="I87" i="5"/>
  <c r="H87" i="5"/>
  <c r="I86" i="5"/>
  <c r="H86" i="5"/>
  <c r="I85" i="5"/>
  <c r="H85" i="5"/>
  <c r="I84" i="5"/>
  <c r="H84" i="5"/>
  <c r="I83" i="5"/>
  <c r="H83" i="5"/>
  <c r="I82" i="5"/>
  <c r="H82" i="5"/>
  <c r="I81" i="5"/>
  <c r="H81" i="5"/>
  <c r="I80" i="5"/>
  <c r="H80" i="5"/>
  <c r="I79" i="5"/>
  <c r="H79" i="5"/>
  <c r="I78" i="5"/>
  <c r="H78" i="5"/>
  <c r="I77" i="5"/>
  <c r="H77" i="5"/>
  <c r="I76" i="5"/>
  <c r="H76" i="5"/>
  <c r="I75" i="5"/>
  <c r="H75" i="5"/>
  <c r="I74" i="5"/>
  <c r="H74" i="5"/>
  <c r="I73" i="5"/>
  <c r="H73" i="5"/>
  <c r="I72" i="5"/>
  <c r="H72" i="5"/>
  <c r="I71" i="5"/>
  <c r="H71" i="5"/>
  <c r="I70" i="5"/>
  <c r="H70" i="5"/>
  <c r="I69" i="5"/>
  <c r="H69" i="5"/>
  <c r="I68" i="5"/>
  <c r="H68" i="5"/>
  <c r="I67" i="5"/>
  <c r="H67" i="5"/>
  <c r="I66" i="5"/>
  <c r="H66" i="5"/>
  <c r="I65" i="5"/>
  <c r="H65" i="5"/>
  <c r="I64" i="5"/>
  <c r="H64" i="5"/>
  <c r="I63" i="5"/>
  <c r="H63" i="5"/>
  <c r="I62" i="5"/>
  <c r="H62" i="5"/>
  <c r="I61" i="5"/>
  <c r="H61" i="5"/>
  <c r="I60" i="5"/>
  <c r="H60" i="5"/>
  <c r="K60" i="5" s="1"/>
  <c r="I59" i="5"/>
  <c r="H59" i="5"/>
  <c r="I58" i="5"/>
  <c r="H58" i="5"/>
  <c r="I57" i="5"/>
  <c r="H57" i="5"/>
  <c r="I56" i="5"/>
  <c r="H56" i="5"/>
  <c r="K56" i="5" s="1"/>
  <c r="I55" i="5"/>
  <c r="H55" i="5"/>
  <c r="I54" i="5"/>
  <c r="H54" i="5"/>
  <c r="I53" i="5"/>
  <c r="H53" i="5"/>
  <c r="I52" i="5"/>
  <c r="H52" i="5"/>
  <c r="I51" i="5"/>
  <c r="H51" i="5"/>
  <c r="I50" i="5"/>
  <c r="H50" i="5"/>
  <c r="I49" i="5"/>
  <c r="H49" i="5"/>
  <c r="I48" i="5"/>
  <c r="H48" i="5"/>
  <c r="J48" i="5" s="1"/>
  <c r="I47" i="5"/>
  <c r="H47" i="5"/>
  <c r="I46" i="5"/>
  <c r="H46" i="5"/>
  <c r="I45" i="5"/>
  <c r="H45" i="5"/>
  <c r="I44" i="5"/>
  <c r="H44" i="5"/>
  <c r="J44" i="5" s="1"/>
  <c r="I43" i="5"/>
  <c r="H43" i="5"/>
  <c r="I42" i="5"/>
  <c r="H42" i="5"/>
  <c r="I41" i="5"/>
  <c r="H41" i="5"/>
  <c r="I40" i="5"/>
  <c r="H40" i="5"/>
  <c r="J40" i="5" s="1"/>
  <c r="I39" i="5"/>
  <c r="H39" i="5"/>
  <c r="I38" i="5"/>
  <c r="H38" i="5"/>
  <c r="I37" i="5"/>
  <c r="H37" i="5"/>
  <c r="I36" i="5"/>
  <c r="H36" i="5"/>
  <c r="I35" i="5"/>
  <c r="H35" i="5"/>
  <c r="I34" i="5"/>
  <c r="H34" i="5"/>
  <c r="I33" i="5"/>
  <c r="H33" i="5"/>
  <c r="I32" i="5"/>
  <c r="H32" i="5"/>
  <c r="I31" i="5"/>
  <c r="H31" i="5"/>
  <c r="I30" i="5"/>
  <c r="H30" i="5"/>
  <c r="I29" i="5"/>
  <c r="H29" i="5"/>
  <c r="I28" i="5"/>
  <c r="H28" i="5"/>
  <c r="I27" i="5"/>
  <c r="H27" i="5"/>
  <c r="I26" i="5"/>
  <c r="H26" i="5"/>
  <c r="I25" i="5"/>
  <c r="H25" i="5"/>
  <c r="I24" i="5"/>
  <c r="H24" i="5"/>
  <c r="I23" i="5"/>
  <c r="H23" i="5"/>
  <c r="I22" i="5"/>
  <c r="H22" i="5"/>
  <c r="I21" i="5"/>
  <c r="H21" i="5"/>
  <c r="I20" i="5"/>
  <c r="H20" i="5"/>
  <c r="J20" i="5" s="1"/>
  <c r="I19" i="5"/>
  <c r="H19" i="5"/>
  <c r="I18" i="5"/>
  <c r="H18" i="5"/>
  <c r="I17" i="5"/>
  <c r="H17" i="5"/>
  <c r="I16" i="5"/>
  <c r="H16" i="5"/>
  <c r="I15" i="5"/>
  <c r="H15" i="5"/>
  <c r="I14" i="5"/>
  <c r="H14" i="5"/>
  <c r="I13" i="5"/>
  <c r="H13" i="5"/>
  <c r="I12" i="5"/>
  <c r="H12" i="5"/>
  <c r="I11" i="5"/>
  <c r="H11" i="5"/>
  <c r="I10" i="5"/>
  <c r="H10" i="5"/>
  <c r="I9" i="5"/>
  <c r="H9" i="5"/>
  <c r="I8" i="5"/>
  <c r="H8" i="5"/>
  <c r="I7" i="5"/>
  <c r="H7" i="5"/>
  <c r="I6" i="5"/>
  <c r="H6" i="5"/>
  <c r="B6" i="5"/>
  <c r="W5" i="5"/>
  <c r="V5" i="5"/>
  <c r="I5" i="5"/>
  <c r="H5" i="5"/>
  <c r="C5" i="4"/>
  <c r="H4" i="4"/>
  <c r="Q5" i="5"/>
  <c r="B10" i="5" a="1"/>
  <c r="K28" i="5" l="1"/>
  <c r="K150" i="5"/>
  <c r="K41" i="5"/>
  <c r="K65" i="5"/>
  <c r="K73" i="5"/>
  <c r="K101" i="5"/>
  <c r="K105" i="5"/>
  <c r="J198" i="5"/>
  <c r="J214" i="5"/>
  <c r="J238" i="5"/>
  <c r="K232" i="5"/>
  <c r="J105" i="5"/>
  <c r="K19" i="5"/>
  <c r="J31" i="5"/>
  <c r="J39" i="5"/>
  <c r="J63" i="5"/>
  <c r="J71" i="5"/>
  <c r="J79" i="5"/>
  <c r="K83" i="5"/>
  <c r="K99" i="5"/>
  <c r="K119" i="5"/>
  <c r="J127" i="5"/>
  <c r="J131" i="5"/>
  <c r="K135" i="5"/>
  <c r="J215" i="5"/>
  <c r="J239" i="5"/>
  <c r="J176" i="5"/>
  <c r="J240" i="5"/>
  <c r="J145" i="5"/>
  <c r="K214" i="5"/>
  <c r="K120" i="5"/>
  <c r="J140" i="5"/>
  <c r="J184" i="5"/>
  <c r="K188" i="5"/>
  <c r="J192" i="5"/>
  <c r="J200" i="5"/>
  <c r="K212" i="5"/>
  <c r="J137" i="5"/>
  <c r="K160" i="5"/>
  <c r="J216" i="5"/>
  <c r="J220" i="5"/>
  <c r="J228" i="5"/>
  <c r="J248" i="5"/>
  <c r="J167" i="5"/>
  <c r="J114" i="5"/>
  <c r="K115" i="5"/>
  <c r="K9" i="5"/>
  <c r="J17" i="5"/>
  <c r="K21" i="5"/>
  <c r="K33" i="5"/>
  <c r="J72" i="5"/>
  <c r="K96" i="5"/>
  <c r="J112" i="5"/>
  <c r="J116" i="5"/>
  <c r="J120" i="5"/>
  <c r="K139" i="5"/>
  <c r="J166" i="5"/>
  <c r="K236" i="5"/>
  <c r="K240" i="5"/>
  <c r="J135" i="5"/>
  <c r="K252" i="5"/>
  <c r="J51" i="5"/>
  <c r="K6" i="5"/>
  <c r="K14" i="5"/>
  <c r="J117" i="5"/>
  <c r="J151" i="5"/>
  <c r="K155" i="5"/>
  <c r="J163" i="5"/>
  <c r="J175" i="5"/>
  <c r="J182" i="5"/>
  <c r="J180" i="5"/>
  <c r="K246" i="5"/>
  <c r="K102" i="5"/>
  <c r="K121" i="5"/>
  <c r="J125" i="5"/>
  <c r="K129" i="5"/>
  <c r="J152" i="5"/>
  <c r="J160" i="5"/>
  <c r="J179" i="5"/>
  <c r="J207" i="5"/>
  <c r="J218" i="5"/>
  <c r="K222" i="5"/>
  <c r="K17" i="5"/>
  <c r="K117" i="5"/>
  <c r="K167" i="5"/>
  <c r="K10" i="5"/>
  <c r="K57" i="5"/>
  <c r="J60" i="5"/>
  <c r="K76" i="5"/>
  <c r="K111" i="5"/>
  <c r="J115" i="5"/>
  <c r="J126" i="5"/>
  <c r="J155" i="5"/>
  <c r="J199" i="5"/>
  <c r="K238" i="5"/>
  <c r="K242" i="5"/>
  <c r="J246" i="5"/>
  <c r="K137" i="5"/>
  <c r="J159" i="5"/>
  <c r="J232" i="5"/>
  <c r="K254" i="5"/>
  <c r="K93" i="5"/>
  <c r="J108" i="5"/>
  <c r="K112" i="5"/>
  <c r="J123" i="5"/>
  <c r="K152" i="5"/>
  <c r="K166" i="5"/>
  <c r="K192" i="5"/>
  <c r="J196" i="5"/>
  <c r="K12" i="5"/>
  <c r="J43" i="5"/>
  <c r="J47" i="5"/>
  <c r="K86" i="5"/>
  <c r="K94" i="5"/>
  <c r="K124" i="5"/>
  <c r="K127" i="5"/>
  <c r="K153" i="5"/>
  <c r="K163" i="5"/>
  <c r="J178" i="5"/>
  <c r="K200" i="5"/>
  <c r="K208" i="5"/>
  <c r="J222" i="5"/>
  <c r="J230" i="5"/>
  <c r="K244" i="5"/>
  <c r="J15" i="5"/>
  <c r="J132" i="5"/>
  <c r="K190" i="5"/>
  <c r="K216" i="5"/>
  <c r="K44" i="5"/>
  <c r="J75" i="5"/>
  <c r="K110" i="5"/>
  <c r="J136" i="5"/>
  <c r="K154" i="5"/>
  <c r="J161" i="5"/>
  <c r="K172" i="5"/>
  <c r="K176" i="5"/>
  <c r="K198" i="5"/>
  <c r="J202" i="5"/>
  <c r="K206" i="5"/>
  <c r="K210" i="5"/>
  <c r="K224" i="5"/>
  <c r="J190" i="5"/>
  <c r="J208" i="5"/>
  <c r="J254" i="5"/>
  <c r="J21" i="5"/>
  <c r="J28" i="5"/>
  <c r="J56" i="5"/>
  <c r="K146" i="5"/>
  <c r="J172" i="5"/>
  <c r="J236" i="5"/>
  <c r="J6" i="5"/>
  <c r="J19" i="5"/>
  <c r="J36" i="5"/>
  <c r="J76" i="5"/>
  <c r="K114" i="5"/>
  <c r="J119" i="5"/>
  <c r="J121" i="5"/>
  <c r="J124" i="5"/>
  <c r="K144" i="5"/>
  <c r="J147" i="5"/>
  <c r="K184" i="5"/>
  <c r="J191" i="5"/>
  <c r="K194" i="5"/>
  <c r="J206" i="5"/>
  <c r="J212" i="5"/>
  <c r="J224" i="5"/>
  <c r="K228" i="5"/>
  <c r="K230" i="5"/>
  <c r="K248" i="5"/>
  <c r="J12" i="5"/>
  <c r="J110" i="5"/>
  <c r="K132" i="5"/>
  <c r="K175" i="5"/>
  <c r="J59" i="5"/>
  <c r="J107" i="5"/>
  <c r="K116" i="5"/>
  <c r="J143" i="5"/>
  <c r="J150" i="5"/>
  <c r="K178" i="5"/>
  <c r="K80" i="5"/>
  <c r="J188" i="5"/>
  <c r="K204" i="5"/>
  <c r="J231" i="5"/>
  <c r="J234" i="5"/>
  <c r="J252" i="5"/>
  <c r="J67" i="5"/>
  <c r="J128" i="5"/>
  <c r="J158" i="5"/>
  <c r="K174" i="5"/>
  <c r="J186" i="5"/>
  <c r="J204" i="5"/>
  <c r="K220" i="5"/>
  <c r="J247" i="5"/>
  <c r="J250" i="5"/>
  <c r="J129" i="5"/>
  <c r="K68" i="5"/>
  <c r="J142" i="5"/>
  <c r="K171" i="5"/>
  <c r="K196" i="5"/>
  <c r="J223" i="5"/>
  <c r="K226" i="5"/>
  <c r="J244" i="5"/>
  <c r="K29" i="5"/>
  <c r="K113" i="5"/>
  <c r="K123" i="5"/>
  <c r="J193" i="5"/>
  <c r="K249" i="5"/>
  <c r="K143" i="5"/>
  <c r="J169" i="5"/>
  <c r="J49" i="5"/>
  <c r="K72" i="5"/>
  <c r="J109" i="5"/>
  <c r="K168" i="5"/>
  <c r="J104" i="5"/>
  <c r="K20" i="5"/>
  <c r="J138" i="5"/>
  <c r="K159" i="5"/>
  <c r="J185" i="5"/>
  <c r="J225" i="5"/>
  <c r="J241" i="5"/>
  <c r="J106" i="5"/>
  <c r="J164" i="5"/>
  <c r="K182" i="5"/>
  <c r="K85" i="5"/>
  <c r="J187" i="5"/>
  <c r="J227" i="5"/>
  <c r="J251" i="5"/>
  <c r="K131" i="5"/>
  <c r="K142" i="5"/>
  <c r="K186" i="5"/>
  <c r="K202" i="5"/>
  <c r="K218" i="5"/>
  <c r="K234" i="5"/>
  <c r="K250" i="5"/>
  <c r="K36" i="5"/>
  <c r="J68" i="5"/>
  <c r="J111" i="5"/>
  <c r="J139" i="5"/>
  <c r="K145" i="5"/>
  <c r="K147" i="5"/>
  <c r="J171" i="5"/>
  <c r="J189" i="5"/>
  <c r="J194" i="5"/>
  <c r="J197" i="5"/>
  <c r="J205" i="5"/>
  <c r="J210" i="5"/>
  <c r="J213" i="5"/>
  <c r="J221" i="5"/>
  <c r="J226" i="5"/>
  <c r="J229" i="5"/>
  <c r="J237" i="5"/>
  <c r="J242" i="5"/>
  <c r="J245" i="5"/>
  <c r="K253" i="5"/>
  <c r="K18" i="5"/>
  <c r="J64" i="5"/>
  <c r="J162" i="5"/>
  <c r="J32" i="5"/>
  <c r="K179" i="5"/>
  <c r="J201" i="5"/>
  <c r="J209" i="5"/>
  <c r="J217" i="5"/>
  <c r="J233" i="5"/>
  <c r="K35" i="5"/>
  <c r="K125" i="5"/>
  <c r="J195" i="5"/>
  <c r="J203" i="5"/>
  <c r="J211" i="5"/>
  <c r="J219" i="5"/>
  <c r="J235" i="5"/>
  <c r="J243" i="5"/>
  <c r="K88" i="5"/>
  <c r="J148" i="5"/>
  <c r="K40" i="5"/>
  <c r="K48" i="5"/>
  <c r="K128" i="5"/>
  <c r="K136" i="5"/>
  <c r="J10" i="5"/>
  <c r="J13" i="5"/>
  <c r="K16" i="5"/>
  <c r="J18" i="5"/>
  <c r="J52" i="5"/>
  <c r="K91" i="5"/>
  <c r="J113" i="5"/>
  <c r="K126" i="5"/>
  <c r="J153" i="5"/>
  <c r="J174" i="5"/>
  <c r="J183" i="5"/>
  <c r="J5" i="5"/>
  <c r="K43" i="5"/>
  <c r="J66" i="5"/>
  <c r="J78" i="5"/>
  <c r="J57" i="5"/>
  <c r="K15" i="5"/>
  <c r="J42" i="5"/>
  <c r="J54" i="5"/>
  <c r="J74" i="5"/>
  <c r="J90" i="5"/>
  <c r="K31" i="5"/>
  <c r="J33" i="5"/>
  <c r="K53" i="5"/>
  <c r="K64" i="5"/>
  <c r="K148" i="5"/>
  <c r="K169" i="5"/>
  <c r="K205" i="5"/>
  <c r="K37" i="5"/>
  <c r="K69" i="5"/>
  <c r="K45" i="5"/>
  <c r="K63" i="5"/>
  <c r="K77" i="5"/>
  <c r="J65" i="5"/>
  <c r="K39" i="5"/>
  <c r="J50" i="5"/>
  <c r="J62" i="5"/>
  <c r="K71" i="5"/>
  <c r="K104" i="5"/>
  <c r="K185" i="5"/>
  <c r="K187" i="5"/>
  <c r="K189" i="5"/>
  <c r="K191" i="5"/>
  <c r="K193" i="5"/>
  <c r="K195" i="5"/>
  <c r="K197" i="5"/>
  <c r="K199" i="5"/>
  <c r="K201" i="5"/>
  <c r="K203" i="5"/>
  <c r="K207" i="5"/>
  <c r="K209" i="5"/>
  <c r="K211" i="5"/>
  <c r="K213" i="5"/>
  <c r="K215" i="5"/>
  <c r="K217" i="5"/>
  <c r="K219" i="5"/>
  <c r="K221" i="5"/>
  <c r="K223" i="5"/>
  <c r="K225" i="5"/>
  <c r="K227" i="5"/>
  <c r="K229" i="5"/>
  <c r="K231" i="5"/>
  <c r="K233" i="5"/>
  <c r="K235" i="5"/>
  <c r="K237" i="5"/>
  <c r="K239" i="5"/>
  <c r="K241" i="5"/>
  <c r="K243" i="5"/>
  <c r="K245" i="5"/>
  <c r="K247" i="5"/>
  <c r="K251" i="5"/>
  <c r="J11" i="5"/>
  <c r="J30" i="5"/>
  <c r="K49" i="5"/>
  <c r="J73" i="5"/>
  <c r="K164" i="5"/>
  <c r="J249" i="5"/>
  <c r="J253" i="5"/>
  <c r="J46" i="5"/>
  <c r="K55" i="5"/>
  <c r="K75" i="5"/>
  <c r="J34" i="5"/>
  <c r="K87" i="5"/>
  <c r="J8" i="5"/>
  <c r="J14" i="5"/>
  <c r="K32" i="5"/>
  <c r="J35" i="5"/>
  <c r="J41" i="5"/>
  <c r="K52" i="5"/>
  <c r="K95" i="5"/>
  <c r="K109" i="5"/>
  <c r="J38" i="5"/>
  <c r="K47" i="5"/>
  <c r="J55" i="5"/>
  <c r="J58" i="5"/>
  <c r="K61" i="5"/>
  <c r="K67" i="5"/>
  <c r="J70" i="5"/>
  <c r="K79" i="5"/>
  <c r="J82" i="5"/>
  <c r="J98" i="5"/>
  <c r="K106" i="5"/>
  <c r="K138" i="5"/>
  <c r="K162" i="5"/>
  <c r="C10" i="5"/>
  <c r="B11" i="5"/>
  <c r="C11" i="5"/>
  <c r="B10" i="5"/>
  <c r="J103" i="5"/>
  <c r="K5" i="5"/>
  <c r="K11" i="5"/>
  <c r="K13" i="5"/>
  <c r="J16" i="5"/>
  <c r="J29" i="5"/>
  <c r="K30" i="5"/>
  <c r="J37" i="5"/>
  <c r="K38" i="5"/>
  <c r="J45" i="5"/>
  <c r="K46" i="5"/>
  <c r="J53" i="5"/>
  <c r="K54" i="5"/>
  <c r="J61" i="5"/>
  <c r="K62" i="5"/>
  <c r="J69" i="5"/>
  <c r="K70" i="5"/>
  <c r="J77" i="5"/>
  <c r="K78" i="5"/>
  <c r="K82" i="5"/>
  <c r="K90" i="5"/>
  <c r="K98" i="5"/>
  <c r="K107" i="5"/>
  <c r="K122" i="5"/>
  <c r="J122" i="5"/>
  <c r="J22" i="5"/>
  <c r="K22" i="5"/>
  <c r="J25" i="5"/>
  <c r="K25" i="5"/>
  <c r="J7" i="5"/>
  <c r="K7" i="5"/>
  <c r="J9" i="5"/>
  <c r="J85" i="5"/>
  <c r="J93" i="5"/>
  <c r="J101" i="5"/>
  <c r="K103" i="5"/>
  <c r="J24" i="5"/>
  <c r="K24" i="5"/>
  <c r="J87" i="5"/>
  <c r="J95" i="5"/>
  <c r="K8" i="5"/>
  <c r="K34" i="5"/>
  <c r="K42" i="5"/>
  <c r="K50" i="5"/>
  <c r="K58" i="5"/>
  <c r="K66" i="5"/>
  <c r="K74" i="5"/>
  <c r="J23" i="5"/>
  <c r="K23" i="5"/>
  <c r="J84" i="5"/>
  <c r="K84" i="5"/>
  <c r="J92" i="5"/>
  <c r="K92" i="5"/>
  <c r="J100" i="5"/>
  <c r="K100" i="5"/>
  <c r="K118" i="5"/>
  <c r="J118" i="5"/>
  <c r="K51" i="5"/>
  <c r="K59" i="5"/>
  <c r="K108" i="5"/>
  <c r="K130" i="5"/>
  <c r="J130" i="5"/>
  <c r="J27" i="5"/>
  <c r="K27" i="5"/>
  <c r="J134" i="5"/>
  <c r="K134" i="5"/>
  <c r="J26" i="5"/>
  <c r="K26" i="5"/>
  <c r="J81" i="5"/>
  <c r="K81" i="5"/>
  <c r="J89" i="5"/>
  <c r="K89" i="5"/>
  <c r="J97" i="5"/>
  <c r="K97" i="5"/>
  <c r="K170" i="5"/>
  <c r="J170" i="5"/>
  <c r="J149" i="5"/>
  <c r="K149" i="5"/>
  <c r="J156" i="5"/>
  <c r="K156" i="5"/>
  <c r="J177" i="5"/>
  <c r="K177" i="5"/>
  <c r="J80" i="5"/>
  <c r="J88" i="5"/>
  <c r="J96" i="5"/>
  <c r="J83" i="5"/>
  <c r="J91" i="5"/>
  <c r="J99" i="5"/>
  <c r="J86" i="5"/>
  <c r="J94" i="5"/>
  <c r="J102" i="5"/>
  <c r="J173" i="5"/>
  <c r="K173" i="5"/>
  <c r="J181" i="5"/>
  <c r="K181" i="5"/>
  <c r="K140" i="5"/>
  <c r="J146" i="5"/>
  <c r="K161" i="5"/>
  <c r="J154" i="5"/>
  <c r="J133" i="5"/>
  <c r="K133" i="5"/>
  <c r="J141" i="5"/>
  <c r="K141" i="5"/>
  <c r="J157" i="5"/>
  <c r="K157" i="5"/>
  <c r="K151" i="5"/>
  <c r="K158" i="5"/>
  <c r="K180" i="5"/>
  <c r="K183" i="5"/>
  <c r="J165" i="5"/>
  <c r="K165" i="5"/>
  <c r="R5" i="5"/>
  <c r="S5" i="5"/>
  <c r="AA231" i="5" l="1"/>
  <c r="AA171" i="5"/>
  <c r="AA234" i="5"/>
  <c r="AA174" i="5"/>
  <c r="AA245" i="5"/>
  <c r="AA238" i="5"/>
  <c r="AA153" i="5"/>
  <c r="AA168" i="5"/>
  <c r="AA224" i="5"/>
  <c r="AA115" i="5"/>
  <c r="AA164" i="5"/>
  <c r="AA218" i="5"/>
  <c r="AA127" i="5"/>
  <c r="AA162" i="5"/>
  <c r="AA192" i="5"/>
  <c r="AA105" i="5"/>
  <c r="AA74" i="5"/>
  <c r="AA66" i="5"/>
  <c r="AA58" i="5"/>
  <c r="AA50" i="5"/>
  <c r="AA42" i="5"/>
  <c r="AA34" i="5"/>
  <c r="AA180" i="5"/>
  <c r="AA108" i="5"/>
  <c r="AA132" i="5"/>
  <c r="AA16" i="5"/>
  <c r="AA10" i="5"/>
  <c r="AA18" i="5"/>
  <c r="AA110" i="5"/>
  <c r="AA23" i="5"/>
  <c r="AA79" i="5"/>
  <c r="AA221" i="5"/>
  <c r="AA135" i="5"/>
  <c r="AA81" i="5"/>
  <c r="AA55" i="5"/>
  <c r="AA31" i="5"/>
  <c r="AA111" i="5"/>
  <c r="AA114" i="5"/>
  <c r="AA88" i="5"/>
  <c r="AA205" i="5"/>
  <c r="AA156" i="5"/>
  <c r="AA69" i="5"/>
  <c r="AA29" i="5"/>
  <c r="AA116" i="5"/>
  <c r="AA113" i="5"/>
  <c r="AA188" i="5"/>
  <c r="AA246" i="5"/>
  <c r="AA184" i="5"/>
  <c r="AA68" i="5"/>
  <c r="AA36" i="5"/>
  <c r="AA82" i="5"/>
  <c r="AA17" i="5"/>
  <c r="AA242" i="5"/>
  <c r="AA167" i="5"/>
  <c r="AA178" i="5"/>
  <c r="AA169" i="5"/>
  <c r="AA67" i="5"/>
  <c r="AA43" i="5"/>
  <c r="AA173" i="5"/>
  <c r="AA15" i="5"/>
  <c r="AA227" i="5"/>
  <c r="AA163" i="5"/>
  <c r="AA228" i="5"/>
  <c r="AA166" i="5"/>
  <c r="AA237" i="5"/>
  <c r="AA236" i="5"/>
  <c r="AA146" i="5"/>
  <c r="AA159" i="5"/>
  <c r="AA207" i="5"/>
  <c r="AA249" i="5"/>
  <c r="AA157" i="5"/>
  <c r="AA198" i="5"/>
  <c r="AA233" i="5"/>
  <c r="AA148" i="5"/>
  <c r="AA181" i="5"/>
  <c r="AA97" i="5"/>
  <c r="AA73" i="5"/>
  <c r="AA65" i="5"/>
  <c r="AA57" i="5"/>
  <c r="AA49" i="5"/>
  <c r="AA41" i="5"/>
  <c r="AA33" i="5"/>
  <c r="AA160" i="5"/>
  <c r="AA107" i="5"/>
  <c r="AA194" i="5"/>
  <c r="AA199" i="5"/>
  <c r="AA151" i="5"/>
  <c r="AA8" i="5"/>
  <c r="AA96" i="5"/>
  <c r="AA6" i="5"/>
  <c r="AA9" i="5"/>
  <c r="AA211" i="5"/>
  <c r="AA147" i="5"/>
  <c r="AA150" i="5"/>
  <c r="AA217" i="5"/>
  <c r="AA138" i="5"/>
  <c r="AA215" i="5"/>
  <c r="AA226" i="5"/>
  <c r="AA128" i="5"/>
  <c r="AA71" i="5"/>
  <c r="AA47" i="5"/>
  <c r="AA102" i="5"/>
  <c r="AA101" i="5"/>
  <c r="AA109" i="5"/>
  <c r="AA131" i="5"/>
  <c r="AA208" i="5"/>
  <c r="AA190" i="5"/>
  <c r="AA235" i="5"/>
  <c r="AA77" i="5"/>
  <c r="AA45" i="5"/>
  <c r="AA86" i="5"/>
  <c r="AA85" i="5"/>
  <c r="AA19" i="5"/>
  <c r="AA252" i="5"/>
  <c r="AA176" i="5"/>
  <c r="AA185" i="5"/>
  <c r="AA214" i="5"/>
  <c r="AA60" i="5"/>
  <c r="AA28" i="5"/>
  <c r="AA14" i="5"/>
  <c r="AA95" i="5"/>
  <c r="AA179" i="5"/>
  <c r="AA189" i="5"/>
  <c r="AA244" i="5"/>
  <c r="AA136" i="5"/>
  <c r="AA75" i="5"/>
  <c r="AA51" i="5"/>
  <c r="AA118" i="5"/>
  <c r="AA20" i="5"/>
  <c r="AA219" i="5"/>
  <c r="AA155" i="5"/>
  <c r="AA220" i="5"/>
  <c r="AA158" i="5"/>
  <c r="AA229" i="5"/>
  <c r="AA222" i="5"/>
  <c r="AA241" i="5"/>
  <c r="AA145" i="5"/>
  <c r="AA202" i="5"/>
  <c r="AA248" i="5"/>
  <c r="AA144" i="5"/>
  <c r="AA193" i="5"/>
  <c r="AA232" i="5"/>
  <c r="AA141" i="5"/>
  <c r="AA175" i="5"/>
  <c r="AA89" i="5"/>
  <c r="AA72" i="5"/>
  <c r="AA64" i="5"/>
  <c r="AA56" i="5"/>
  <c r="AA48" i="5"/>
  <c r="AA40" i="5"/>
  <c r="AA32" i="5"/>
  <c r="AA106" i="5"/>
  <c r="AA99" i="5"/>
  <c r="AA130" i="5"/>
  <c r="AA120" i="5"/>
  <c r="AA137" i="5"/>
  <c r="AA5" i="5"/>
  <c r="AA117" i="5"/>
  <c r="AA25" i="5"/>
  <c r="AA123" i="5"/>
  <c r="AA212" i="5"/>
  <c r="AA240" i="5"/>
  <c r="AA172" i="5"/>
  <c r="AA177" i="5"/>
  <c r="AA161" i="5"/>
  <c r="AA63" i="5"/>
  <c r="AA39" i="5"/>
  <c r="AA91" i="5"/>
  <c r="AA7" i="5"/>
  <c r="AA100" i="5"/>
  <c r="AA134" i="5"/>
  <c r="AA103" i="5"/>
  <c r="AA250" i="5"/>
  <c r="AA243" i="5"/>
  <c r="AA61" i="5"/>
  <c r="AA37" i="5"/>
  <c r="AA26" i="5"/>
  <c r="AA92" i="5"/>
  <c r="AA247" i="5"/>
  <c r="AA187" i="5"/>
  <c r="AA125" i="5"/>
  <c r="AA191" i="5"/>
  <c r="AA143" i="5"/>
  <c r="AA149" i="5"/>
  <c r="AA140" i="5"/>
  <c r="AA52" i="5"/>
  <c r="AA133" i="5"/>
  <c r="AA24" i="5"/>
  <c r="AA239" i="5"/>
  <c r="AA182" i="5"/>
  <c r="AA186" i="5"/>
  <c r="AA223" i="5"/>
  <c r="AA209" i="5"/>
  <c r="AA59" i="5"/>
  <c r="AA27" i="5"/>
  <c r="AA112" i="5"/>
  <c r="AA13" i="5"/>
  <c r="AA254" i="5"/>
  <c r="AA203" i="5"/>
  <c r="AA139" i="5"/>
  <c r="AA204" i="5"/>
  <c r="AA142" i="5"/>
  <c r="AA213" i="5"/>
  <c r="AA200" i="5"/>
  <c r="AA225" i="5"/>
  <c r="AA119" i="5"/>
  <c r="AA165" i="5"/>
  <c r="AA210" i="5"/>
  <c r="AA122" i="5"/>
  <c r="AA170" i="5"/>
  <c r="AA206" i="5"/>
  <c r="AA126" i="5"/>
  <c r="AA154" i="5"/>
  <c r="AA78" i="5"/>
  <c r="AA70" i="5"/>
  <c r="AA62" i="5"/>
  <c r="AA54" i="5"/>
  <c r="AA46" i="5"/>
  <c r="AA38" i="5"/>
  <c r="AA30" i="5"/>
  <c r="AA94" i="5"/>
  <c r="AA83" i="5"/>
  <c r="AA98" i="5"/>
  <c r="AA93" i="5"/>
  <c r="AA121" i="5"/>
  <c r="AA21" i="5"/>
  <c r="AA22" i="5"/>
  <c r="AA84" i="5"/>
  <c r="AA80" i="5"/>
  <c r="AA251" i="5"/>
  <c r="AA195" i="5"/>
  <c r="AA196" i="5"/>
  <c r="AA183" i="5"/>
  <c r="AA152" i="5"/>
  <c r="AA201" i="5"/>
  <c r="AA53" i="5"/>
  <c r="AA90" i="5"/>
  <c r="AA11" i="5"/>
  <c r="AA197" i="5"/>
  <c r="AA230" i="5"/>
  <c r="AA76" i="5"/>
  <c r="AA44" i="5"/>
  <c r="AA216" i="5"/>
  <c r="AA104" i="5"/>
  <c r="AA253" i="5"/>
  <c r="AA129" i="5"/>
  <c r="AA124" i="5"/>
  <c r="AA35" i="5"/>
  <c r="AA12" i="5"/>
  <c r="AA87" i="5"/>
  <c r="B16" i="5" a="1"/>
  <c r="C16" i="5" s="1"/>
  <c r="L13" i="5" a="1"/>
  <c r="L13" i="5" s="1"/>
  <c r="L59" i="5" a="1"/>
  <c r="L59" i="5" s="1"/>
  <c r="L10" i="5" a="1"/>
  <c r="M10" i="5" s="1"/>
  <c r="L56" i="5" a="1"/>
  <c r="M56" i="5" s="1"/>
  <c r="L39" i="5" a="1"/>
  <c r="M39" i="5" s="1"/>
  <c r="L175" i="5" a="1"/>
  <c r="L175" i="5" s="1"/>
  <c r="L129" i="5" a="1"/>
  <c r="L129" i="5" s="1"/>
  <c r="L113" i="5" a="1"/>
  <c r="M113" i="5" s="1"/>
  <c r="L68" i="5" a="1"/>
  <c r="L68" i="5" s="1"/>
  <c r="L124" i="5" a="1"/>
  <c r="L124" i="5" s="1"/>
  <c r="L241" i="5" a="1"/>
  <c r="L241" i="5" s="1"/>
  <c r="L180" i="5" a="1"/>
  <c r="L180" i="5" s="1"/>
  <c r="L76" i="5" a="1"/>
  <c r="L76" i="5" s="1"/>
  <c r="L75" i="5" a="1"/>
  <c r="M75" i="5" s="1"/>
  <c r="L126" i="5" a="1"/>
  <c r="M126" i="5" s="1"/>
  <c r="L111" i="5" a="1"/>
  <c r="L111" i="5" s="1"/>
  <c r="L26" i="5" a="1"/>
  <c r="L26" i="5" s="1"/>
  <c r="L187" i="5" a="1"/>
  <c r="M187" i="5" s="1"/>
  <c r="L159" i="5" a="1"/>
  <c r="M159" i="5" s="1"/>
  <c r="L92" i="5" a="1"/>
  <c r="L92" i="5" s="1"/>
  <c r="L54" i="5" a="1"/>
  <c r="L54" i="5" s="1"/>
  <c r="L16" i="5" a="1"/>
  <c r="L16" i="5" s="1"/>
  <c r="L123" i="5" a="1"/>
  <c r="L123" i="5" s="1"/>
  <c r="L138" i="5" a="1"/>
  <c r="M138" i="5" s="1"/>
  <c r="L233" i="5" a="1"/>
  <c r="M233" i="5" s="1"/>
  <c r="L178" i="5" a="1"/>
  <c r="M178" i="5" s="1"/>
  <c r="L78" i="5" a="1"/>
  <c r="M78" i="5" s="1"/>
  <c r="C17" i="5"/>
  <c r="B16" i="5"/>
  <c r="L151" i="5" a="1"/>
  <c r="L151" i="5" s="1"/>
  <c r="L135" i="5" a="1"/>
  <c r="L135" i="5" s="1"/>
  <c r="L81" i="5" a="1"/>
  <c r="L81" i="5" s="1"/>
  <c r="L100" i="5" a="1"/>
  <c r="L100" i="5" s="1"/>
  <c r="L229" i="5" a="1"/>
  <c r="M229" i="5" s="1"/>
  <c r="L46" i="5" a="1"/>
  <c r="L46" i="5" s="1"/>
  <c r="L11" i="5" a="1"/>
  <c r="M11" i="5" s="1"/>
  <c r="L36" i="5" a="1"/>
  <c r="L36" i="5" s="1"/>
  <c r="L154" i="5" a="1"/>
  <c r="L154" i="5" s="1"/>
  <c r="L108" i="5" a="1"/>
  <c r="L108" i="5" s="1"/>
  <c r="L43" i="5" a="1"/>
  <c r="M43" i="5" s="1"/>
  <c r="L5" i="5" a="1"/>
  <c r="L53" i="5" a="1"/>
  <c r="M53" i="5" s="1"/>
  <c r="L218" i="5" a="1"/>
  <c r="M218" i="5" s="1"/>
  <c r="L51" i="5" a="1"/>
  <c r="L51" i="5" s="1"/>
  <c r="L24" i="5" a="1"/>
  <c r="L24" i="5" s="1"/>
  <c r="L21" i="5" a="1"/>
  <c r="L21" i="5" s="1"/>
  <c r="L65" i="5" a="1"/>
  <c r="M65" i="5" s="1"/>
  <c r="L249" i="5" a="1"/>
  <c r="M249" i="5" s="1"/>
  <c r="L25" i="5" a="1"/>
  <c r="M25" i="5" s="1"/>
  <c r="L153" i="5" a="1"/>
  <c r="L153" i="5" s="1"/>
  <c r="L70" i="5" a="1"/>
  <c r="M70" i="5" s="1"/>
  <c r="L141" i="5" a="1"/>
  <c r="L141" i="5" s="1"/>
  <c r="L140" i="5" a="1"/>
  <c r="L140" i="5" s="1"/>
  <c r="L40" i="5" a="1"/>
  <c r="L40" i="5" s="1"/>
  <c r="L30" i="5" a="1"/>
  <c r="L30" i="5" s="1"/>
  <c r="L221" i="5" a="1"/>
  <c r="L221" i="5" s="1"/>
  <c r="L58" i="5" a="1"/>
  <c r="M58" i="5" s="1"/>
  <c r="L22" i="5" a="1"/>
  <c r="L22" i="5" s="1"/>
  <c r="L34" i="5" a="1"/>
  <c r="M34" i="5" s="1"/>
  <c r="L38" i="5" a="1"/>
  <c r="L38" i="5" s="1"/>
  <c r="L42" i="5" a="1"/>
  <c r="L42" i="5" s="1"/>
  <c r="L134" i="5" a="1"/>
  <c r="L134" i="5" s="1"/>
  <c r="L82" i="5" a="1"/>
  <c r="M82" i="5" s="1"/>
  <c r="L98" i="5" a="1"/>
  <c r="M98" i="5" s="1"/>
  <c r="L90" i="5" a="1"/>
  <c r="M90" i="5" s="1"/>
  <c r="L50" i="5" a="1"/>
  <c r="M50" i="5" s="1"/>
  <c r="L62" i="5" a="1"/>
  <c r="M62" i="5" s="1"/>
  <c r="L31" i="5" a="1"/>
  <c r="M31" i="5" s="1"/>
  <c r="T5" i="5"/>
  <c r="U5" i="5" s="1"/>
  <c r="L170" i="5" a="1"/>
  <c r="L15" i="5" a="1"/>
  <c r="L213" i="5" a="1"/>
  <c r="L188" i="5" a="1"/>
  <c r="L228" i="5" a="1"/>
  <c r="L41" i="5" a="1"/>
  <c r="L89" i="5" a="1"/>
  <c r="L33" i="5" a="1"/>
  <c r="L254" i="5" a="1"/>
  <c r="L244" i="5" a="1"/>
  <c r="L236" i="5" a="1"/>
  <c r="L222" i="5" a="1"/>
  <c r="L214" i="5" a="1"/>
  <c r="L206" i="5" a="1"/>
  <c r="L198" i="5" a="1"/>
  <c r="L190" i="5" a="1"/>
  <c r="L247" i="5" a="1"/>
  <c r="L239" i="5" a="1"/>
  <c r="L231" i="5" a="1"/>
  <c r="L223" i="5" a="1"/>
  <c r="L215" i="5" a="1"/>
  <c r="L207" i="5" a="1"/>
  <c r="L199" i="5" a="1"/>
  <c r="L191" i="5" a="1"/>
  <c r="L246" i="5" a="1"/>
  <c r="L245" i="5" a="1"/>
  <c r="L209" i="5" a="1"/>
  <c r="L203" i="5" a="1"/>
  <c r="L192" i="5" a="1"/>
  <c r="L160" i="5" a="1"/>
  <c r="L139" i="5" a="1"/>
  <c r="L253" i="5" a="1"/>
  <c r="L250" i="5" a="1"/>
  <c r="L217" i="5" a="1"/>
  <c r="L200" i="5" a="1"/>
  <c r="L152" i="5" a="1"/>
  <c r="L234" i="5" a="1"/>
  <c r="L232" i="5" a="1"/>
  <c r="L227" i="5" a="1"/>
  <c r="L216" i="5" a="1"/>
  <c r="L204" i="5" a="1"/>
  <c r="L194" i="5" a="1"/>
  <c r="L179" i="5" a="1"/>
  <c r="L136" i="5" a="1"/>
  <c r="L114" i="5" a="1"/>
  <c r="L235" i="5" a="1"/>
  <c r="L224" i="5" a="1"/>
  <c r="L212" i="5" a="1"/>
  <c r="L202" i="5" a="1"/>
  <c r="L171" i="5" a="1"/>
  <c r="L164" i="5" a="1"/>
  <c r="L142" i="5" a="1"/>
  <c r="L128" i="5" a="1"/>
  <c r="L127" i="5" a="1"/>
  <c r="L121" i="5" a="1"/>
  <c r="L238" i="5" a="1"/>
  <c r="L237" i="5" a="1"/>
  <c r="L220" i="5" a="1"/>
  <c r="L210" i="5" a="1"/>
  <c r="L185" i="5" a="1"/>
  <c r="L182" i="5" a="1"/>
  <c r="L163" i="5" a="1"/>
  <c r="L242" i="5" a="1"/>
  <c r="L193" i="5" a="1"/>
  <c r="L176" i="5" a="1"/>
  <c r="L243" i="5" a="1"/>
  <c r="L226" i="5" a="1"/>
  <c r="L201" i="5" a="1"/>
  <c r="L195" i="5" a="1"/>
  <c r="L184" i="5" a="1"/>
  <c r="L168" i="5" a="1"/>
  <c r="L251" i="5" a="1"/>
  <c r="L225" i="5" a="1"/>
  <c r="L230" i="5" a="1"/>
  <c r="L147" i="5" a="1"/>
  <c r="L219" i="5" a="1"/>
  <c r="L208" i="5" a="1"/>
  <c r="L117" i="5" a="1"/>
  <c r="L116" i="5" a="1"/>
  <c r="L109" i="5" a="1"/>
  <c r="L137" i="5" a="1"/>
  <c r="L186" i="5" a="1"/>
  <c r="L158" i="5" a="1"/>
  <c r="L252" i="5" a="1"/>
  <c r="L144" i="5" a="1"/>
  <c r="L107" i="5" a="1"/>
  <c r="L102" i="5" a="1"/>
  <c r="L94" i="5" a="1"/>
  <c r="L86" i="5" a="1"/>
  <c r="L88" i="5" a="1"/>
  <c r="L125" i="5" a="1"/>
  <c r="L9" i="5" a="1"/>
  <c r="L115" i="5" a="1"/>
  <c r="L6" i="5" a="1"/>
  <c r="L196" i="5" a="1"/>
  <c r="L96" i="5" a="1"/>
  <c r="L106" i="5" a="1"/>
  <c r="L104" i="5" a="1"/>
  <c r="L112" i="5" a="1"/>
  <c r="L80" i="5" a="1"/>
  <c r="L14" i="5" a="1"/>
  <c r="L110" i="5" a="1"/>
  <c r="L8" i="5" a="1"/>
  <c r="L181" i="5" a="1"/>
  <c r="L131" i="5" a="1"/>
  <c r="L133" i="5" a="1"/>
  <c r="L169" i="5" a="1"/>
  <c r="L248" i="5" a="1"/>
  <c r="L72" i="5" a="1"/>
  <c r="L67" i="5" a="1"/>
  <c r="L18" i="5" a="1"/>
  <c r="L83" i="5" a="1"/>
  <c r="L44" i="5" a="1"/>
  <c r="L118" i="5" a="1"/>
  <c r="L87" i="5" a="1"/>
  <c r="L85" i="5" a="1"/>
  <c r="L63" i="5" a="1"/>
  <c r="L172" i="5" a="1"/>
  <c r="L69" i="5" a="1"/>
  <c r="L37" i="5" a="1"/>
  <c r="L103" i="5" a="1"/>
  <c r="L73" i="5" a="1"/>
  <c r="L120" i="5" a="1"/>
  <c r="L20" i="5" a="1"/>
  <c r="L197" i="5" a="1"/>
  <c r="L166" i="5" a="1"/>
  <c r="L174" i="5" a="1"/>
  <c r="L61" i="5" a="1"/>
  <c r="L74" i="5" a="1"/>
  <c r="L155" i="5" a="1"/>
  <c r="L177" i="5" a="1"/>
  <c r="L64" i="5" a="1"/>
  <c r="L211" i="5" a="1"/>
  <c r="L149" i="5" a="1"/>
  <c r="L146" i="5" a="1"/>
  <c r="L240" i="5" a="1"/>
  <c r="L161" i="5" a="1"/>
  <c r="L52" i="5" a="1"/>
  <c r="L130" i="5" a="1"/>
  <c r="L95" i="5" a="1"/>
  <c r="L167" i="5" a="1"/>
  <c r="L165" i="5" a="1"/>
  <c r="L150" i="5" a="1"/>
  <c r="L32" i="5" a="1"/>
  <c r="L29" i="5" a="1"/>
  <c r="L157" i="5" a="1"/>
  <c r="L145" i="5" a="1"/>
  <c r="L28" i="5" a="1"/>
  <c r="L23" i="5" a="1"/>
  <c r="L55" i="5" a="1"/>
  <c r="L47" i="5" a="1"/>
  <c r="L189" i="5" a="1"/>
  <c r="L35" i="5" a="1"/>
  <c r="L162" i="5" a="1"/>
  <c r="L173" i="5" a="1"/>
  <c r="L91" i="5" a="1"/>
  <c r="L97" i="5" a="1"/>
  <c r="L143" i="5" a="1"/>
  <c r="L71" i="5" a="1"/>
  <c r="L84" i="5" a="1"/>
  <c r="L119" i="5" a="1"/>
  <c r="L93" i="5" a="1"/>
  <c r="L7" i="5" a="1"/>
  <c r="L12" i="5" a="1"/>
  <c r="L17" i="5" a="1"/>
  <c r="L57" i="5" a="1"/>
  <c r="L205" i="5" a="1"/>
  <c r="L99" i="5" a="1"/>
  <c r="L183" i="5" a="1"/>
  <c r="L156" i="5" a="1"/>
  <c r="L60" i="5" a="1"/>
  <c r="L148" i="5" a="1"/>
  <c r="L27" i="5" a="1"/>
  <c r="L79" i="5" a="1"/>
  <c r="L132" i="5" a="1"/>
  <c r="L101" i="5" a="1"/>
  <c r="L48" i="5" a="1"/>
  <c r="L122" i="5" a="1"/>
  <c r="L77" i="5" a="1"/>
  <c r="L45" i="5" a="1"/>
  <c r="L66" i="5" a="1"/>
  <c r="L19" i="5" a="1"/>
  <c r="L105" i="5" a="1"/>
  <c r="L49" i="5" a="1"/>
  <c r="AB5" i="5"/>
  <c r="M26" i="5" l="1"/>
  <c r="L25" i="5"/>
  <c r="M59" i="5"/>
  <c r="M124" i="5"/>
  <c r="L78" i="5"/>
  <c r="L75" i="5"/>
  <c r="M76" i="5"/>
  <c r="AC5" i="5"/>
  <c r="AD5" i="5" s="1"/>
  <c r="L39" i="5"/>
  <c r="M13" i="5"/>
  <c r="M241" i="5"/>
  <c r="M68" i="5"/>
  <c r="B17" i="5"/>
  <c r="L10" i="5"/>
  <c r="L113" i="5"/>
  <c r="M92" i="5"/>
  <c r="M129" i="5"/>
  <c r="L53" i="5"/>
  <c r="L56" i="5"/>
  <c r="L229" i="5"/>
  <c r="M175" i="5"/>
  <c r="M153" i="5"/>
  <c r="M180" i="5"/>
  <c r="L126" i="5"/>
  <c r="M54" i="5"/>
  <c r="L65" i="5"/>
  <c r="L187" i="5"/>
  <c r="L159" i="5"/>
  <c r="M111" i="5"/>
  <c r="M100" i="5"/>
  <c r="M51" i="5"/>
  <c r="M141" i="5"/>
  <c r="M140" i="5"/>
  <c r="L70" i="5"/>
  <c r="L11" i="5"/>
  <c r="L31" i="5"/>
  <c r="M36" i="5"/>
  <c r="M38" i="5"/>
  <c r="M16" i="5"/>
  <c r="M40" i="5"/>
  <c r="M151" i="5"/>
  <c r="M42" i="5"/>
  <c r="L43" i="5"/>
  <c r="M123" i="5"/>
  <c r="M24" i="5"/>
  <c r="M81" i="5"/>
  <c r="L233" i="5"/>
  <c r="L178" i="5"/>
  <c r="L138" i="5"/>
  <c r="M21" i="5"/>
  <c r="M135" i="5"/>
  <c r="L249" i="5"/>
  <c r="L50" i="5"/>
  <c r="M221" i="5"/>
  <c r="M30" i="5"/>
  <c r="M154" i="5"/>
  <c r="L218" i="5"/>
  <c r="M108" i="5"/>
  <c r="M46" i="5"/>
  <c r="M5" i="5"/>
  <c r="L5" i="5"/>
  <c r="L58" i="5"/>
  <c r="L90" i="5"/>
  <c r="M134" i="5"/>
  <c r="L34" i="5"/>
  <c r="L62" i="5"/>
  <c r="M22" i="5"/>
  <c r="L82" i="5"/>
  <c r="L98" i="5"/>
  <c r="L66" i="5"/>
  <c r="M66" i="5"/>
  <c r="M211" i="5"/>
  <c r="L211" i="5"/>
  <c r="L197" i="5"/>
  <c r="M197" i="5"/>
  <c r="L69" i="5"/>
  <c r="M69" i="5"/>
  <c r="M18" i="5"/>
  <c r="L18" i="5"/>
  <c r="M8" i="5"/>
  <c r="L8" i="5"/>
  <c r="L196" i="5"/>
  <c r="M196" i="5"/>
  <c r="L102" i="5"/>
  <c r="M102" i="5"/>
  <c r="L116" i="5"/>
  <c r="M116" i="5"/>
  <c r="L168" i="5"/>
  <c r="M168" i="5"/>
  <c r="L242" i="5"/>
  <c r="M242" i="5"/>
  <c r="M121" i="5"/>
  <c r="L121" i="5"/>
  <c r="L224" i="5"/>
  <c r="M224" i="5"/>
  <c r="M227" i="5"/>
  <c r="L227" i="5"/>
  <c r="L139" i="5"/>
  <c r="M139" i="5"/>
  <c r="L199" i="5"/>
  <c r="M199" i="5"/>
  <c r="L198" i="5"/>
  <c r="M198" i="5"/>
  <c r="L213" i="5"/>
  <c r="M213" i="5"/>
  <c r="M181" i="5"/>
  <c r="L181" i="5"/>
  <c r="L253" i="5"/>
  <c r="M253" i="5"/>
  <c r="L150" i="5"/>
  <c r="M150" i="5"/>
  <c r="L103" i="5"/>
  <c r="M103" i="5"/>
  <c r="M137" i="5"/>
  <c r="L137" i="5"/>
  <c r="L202" i="5"/>
  <c r="M202" i="5"/>
  <c r="L246" i="5"/>
  <c r="M246" i="5"/>
  <c r="L228" i="5"/>
  <c r="M228" i="5"/>
  <c r="L97" i="5"/>
  <c r="M97" i="5"/>
  <c r="M165" i="5"/>
  <c r="L165" i="5"/>
  <c r="L212" i="5"/>
  <c r="M212" i="5"/>
  <c r="L104" i="5"/>
  <c r="M104" i="5"/>
  <c r="L23" i="5"/>
  <c r="M23" i="5"/>
  <c r="L57" i="5"/>
  <c r="M57" i="5"/>
  <c r="L37" i="5"/>
  <c r="M37" i="5"/>
  <c r="L251" i="5"/>
  <c r="M251" i="5"/>
  <c r="L190" i="5"/>
  <c r="M190" i="5"/>
  <c r="L174" i="5"/>
  <c r="M174" i="5"/>
  <c r="L247" i="5"/>
  <c r="M247" i="5"/>
  <c r="L27" i="5"/>
  <c r="M27" i="5"/>
  <c r="L55" i="5"/>
  <c r="M55" i="5"/>
  <c r="M166" i="5"/>
  <c r="L166" i="5"/>
  <c r="L96" i="5"/>
  <c r="M96" i="5"/>
  <c r="M193" i="5"/>
  <c r="L193" i="5"/>
  <c r="L191" i="5"/>
  <c r="M191" i="5"/>
  <c r="L132" i="5"/>
  <c r="M132" i="5"/>
  <c r="L71" i="5"/>
  <c r="M71" i="5"/>
  <c r="L44" i="5"/>
  <c r="M44" i="5"/>
  <c r="L86" i="5"/>
  <c r="M86" i="5"/>
  <c r="M176" i="5"/>
  <c r="L176" i="5"/>
  <c r="L250" i="5"/>
  <c r="M250" i="5"/>
  <c r="M101" i="5"/>
  <c r="L101" i="5"/>
  <c r="L189" i="5"/>
  <c r="M189" i="5"/>
  <c r="L61" i="5"/>
  <c r="M61" i="5"/>
  <c r="L133" i="5"/>
  <c r="M133" i="5"/>
  <c r="L230" i="5"/>
  <c r="M230" i="5"/>
  <c r="L171" i="5"/>
  <c r="M171" i="5"/>
  <c r="L245" i="5"/>
  <c r="M245" i="5"/>
  <c r="L41" i="5"/>
  <c r="M41" i="5"/>
  <c r="L48" i="5"/>
  <c r="M48" i="5"/>
  <c r="L35" i="5"/>
  <c r="M35" i="5"/>
  <c r="L74" i="5"/>
  <c r="M74" i="5"/>
  <c r="L87" i="5"/>
  <c r="M87" i="5"/>
  <c r="L125" i="5"/>
  <c r="M125" i="5"/>
  <c r="L226" i="5"/>
  <c r="M226" i="5"/>
  <c r="L179" i="5"/>
  <c r="M179" i="5"/>
  <c r="L231" i="5"/>
  <c r="M231" i="5"/>
  <c r="L170" i="5"/>
  <c r="M170" i="5"/>
  <c r="M122" i="5"/>
  <c r="L122" i="5"/>
  <c r="L162" i="5"/>
  <c r="M162" i="5"/>
  <c r="M20" i="5"/>
  <c r="L20" i="5"/>
  <c r="M85" i="5"/>
  <c r="L85" i="5"/>
  <c r="L248" i="5"/>
  <c r="M248" i="5"/>
  <c r="L80" i="5"/>
  <c r="M80" i="5"/>
  <c r="L9" i="5"/>
  <c r="M9" i="5"/>
  <c r="L252" i="5"/>
  <c r="M252" i="5"/>
  <c r="M219" i="5"/>
  <c r="L219" i="5"/>
  <c r="L201" i="5"/>
  <c r="M201" i="5"/>
  <c r="L185" i="5"/>
  <c r="M185" i="5"/>
  <c r="L142" i="5"/>
  <c r="M142" i="5"/>
  <c r="L136" i="5"/>
  <c r="M136" i="5"/>
  <c r="M152" i="5"/>
  <c r="L152" i="5"/>
  <c r="M203" i="5"/>
  <c r="L203" i="5"/>
  <c r="M223" i="5"/>
  <c r="L223" i="5"/>
  <c r="L222" i="5"/>
  <c r="M222" i="5"/>
  <c r="L33" i="5"/>
  <c r="M33" i="5"/>
  <c r="M15" i="5"/>
  <c r="L15" i="5"/>
  <c r="M17" i="5"/>
  <c r="L17" i="5"/>
  <c r="L79" i="5"/>
  <c r="M79" i="5"/>
  <c r="L149" i="5"/>
  <c r="M149" i="5"/>
  <c r="L94" i="5"/>
  <c r="M94" i="5"/>
  <c r="L238" i="5"/>
  <c r="M238" i="5"/>
  <c r="L188" i="5"/>
  <c r="M188" i="5"/>
  <c r="L19" i="5"/>
  <c r="M19" i="5"/>
  <c r="L47" i="5"/>
  <c r="M47" i="5"/>
  <c r="M131" i="5"/>
  <c r="L131" i="5"/>
  <c r="L225" i="5"/>
  <c r="M225" i="5"/>
  <c r="L204" i="5"/>
  <c r="M204" i="5"/>
  <c r="M99" i="5"/>
  <c r="L99" i="5"/>
  <c r="L32" i="5"/>
  <c r="M32" i="5"/>
  <c r="L73" i="5"/>
  <c r="M73" i="5"/>
  <c r="L88" i="5"/>
  <c r="M88" i="5"/>
  <c r="L243" i="5"/>
  <c r="M243" i="5"/>
  <c r="L194" i="5"/>
  <c r="M194" i="5"/>
  <c r="L239" i="5"/>
  <c r="M239" i="5"/>
  <c r="L49" i="5"/>
  <c r="M49" i="5"/>
  <c r="L119" i="5"/>
  <c r="M119" i="5"/>
  <c r="M161" i="5"/>
  <c r="L161" i="5"/>
  <c r="M169" i="5"/>
  <c r="L169" i="5"/>
  <c r="L158" i="5"/>
  <c r="M158" i="5"/>
  <c r="L210" i="5"/>
  <c r="M210" i="5"/>
  <c r="M200" i="5"/>
  <c r="L200" i="5"/>
  <c r="L236" i="5"/>
  <c r="M236" i="5"/>
  <c r="L156" i="5"/>
  <c r="M156" i="5"/>
  <c r="L157" i="5"/>
  <c r="M157" i="5"/>
  <c r="L52" i="5"/>
  <c r="M52" i="5"/>
  <c r="L60" i="5"/>
  <c r="M60" i="5"/>
  <c r="M145" i="5"/>
  <c r="L145" i="5"/>
  <c r="M177" i="5"/>
  <c r="L177" i="5"/>
  <c r="L72" i="5"/>
  <c r="M72" i="5"/>
  <c r="L115" i="5"/>
  <c r="M115" i="5"/>
  <c r="L144" i="5"/>
  <c r="M144" i="5"/>
  <c r="M195" i="5"/>
  <c r="L195" i="5"/>
  <c r="L182" i="5"/>
  <c r="M182" i="5"/>
  <c r="L128" i="5"/>
  <c r="M128" i="5"/>
  <c r="L114" i="5"/>
  <c r="M114" i="5"/>
  <c r="L234" i="5"/>
  <c r="M234" i="5"/>
  <c r="L192" i="5"/>
  <c r="M192" i="5"/>
  <c r="L215" i="5"/>
  <c r="M215" i="5"/>
  <c r="L214" i="5"/>
  <c r="M214" i="5"/>
  <c r="L167" i="5"/>
  <c r="M167" i="5"/>
  <c r="L143" i="5"/>
  <c r="M143" i="5"/>
  <c r="M83" i="5"/>
  <c r="L83" i="5"/>
  <c r="M109" i="5"/>
  <c r="L109" i="5"/>
  <c r="L216" i="5"/>
  <c r="M216" i="5"/>
  <c r="L205" i="5"/>
  <c r="M205" i="5"/>
  <c r="M146" i="5"/>
  <c r="L146" i="5"/>
  <c r="M106" i="5"/>
  <c r="L106" i="5"/>
  <c r="L237" i="5"/>
  <c r="M237" i="5"/>
  <c r="L254" i="5"/>
  <c r="M254" i="5"/>
  <c r="L105" i="5"/>
  <c r="M105" i="5"/>
  <c r="L84" i="5"/>
  <c r="M84" i="5"/>
  <c r="L240" i="5"/>
  <c r="M240" i="5"/>
  <c r="M118" i="5"/>
  <c r="L118" i="5"/>
  <c r="L186" i="5"/>
  <c r="M186" i="5"/>
  <c r="L220" i="5"/>
  <c r="M220" i="5"/>
  <c r="M217" i="5"/>
  <c r="L217" i="5"/>
  <c r="L244" i="5"/>
  <c r="M244" i="5"/>
  <c r="L183" i="5"/>
  <c r="M183" i="5"/>
  <c r="L29" i="5"/>
  <c r="M29" i="5"/>
  <c r="L120" i="5"/>
  <c r="M120" i="5"/>
  <c r="M112" i="5"/>
  <c r="L112" i="5"/>
  <c r="L147" i="5"/>
  <c r="M147" i="5"/>
  <c r="L164" i="5"/>
  <c r="M164" i="5"/>
  <c r="L209" i="5"/>
  <c r="M209" i="5"/>
  <c r="L89" i="5"/>
  <c r="M89" i="5"/>
  <c r="M93" i="5"/>
  <c r="L93" i="5"/>
  <c r="M155" i="5"/>
  <c r="L155" i="5"/>
  <c r="L77" i="5"/>
  <c r="M77" i="5"/>
  <c r="M7" i="5"/>
  <c r="L7" i="5"/>
  <c r="L173" i="5"/>
  <c r="M173" i="5"/>
  <c r="L130" i="5"/>
  <c r="M130" i="5"/>
  <c r="L63" i="5"/>
  <c r="M63" i="5"/>
  <c r="M14" i="5"/>
  <c r="L14" i="5"/>
  <c r="L208" i="5"/>
  <c r="M208" i="5"/>
  <c r="L45" i="5"/>
  <c r="M45" i="5"/>
  <c r="L148" i="5"/>
  <c r="M148" i="5"/>
  <c r="M12" i="5"/>
  <c r="L12" i="5"/>
  <c r="M91" i="5"/>
  <c r="L91" i="5"/>
  <c r="L28" i="5"/>
  <c r="M28" i="5"/>
  <c r="L95" i="5"/>
  <c r="M95" i="5"/>
  <c r="L64" i="5"/>
  <c r="M64" i="5"/>
  <c r="L172" i="5"/>
  <c r="M172" i="5"/>
  <c r="L67" i="5"/>
  <c r="M67" i="5"/>
  <c r="M110" i="5"/>
  <c r="L110" i="5"/>
  <c r="M6" i="5"/>
  <c r="L6" i="5"/>
  <c r="L107" i="5"/>
  <c r="M107" i="5"/>
  <c r="L117" i="5"/>
  <c r="M117" i="5"/>
  <c r="L184" i="5"/>
  <c r="M184" i="5"/>
  <c r="L163" i="5"/>
  <c r="M163" i="5"/>
  <c r="L127" i="5"/>
  <c r="M127" i="5"/>
  <c r="L235" i="5"/>
  <c r="M235" i="5"/>
  <c r="L232" i="5"/>
  <c r="M232" i="5"/>
  <c r="L160" i="5"/>
  <c r="M160" i="5"/>
  <c r="L207" i="5"/>
  <c r="M207" i="5"/>
  <c r="L206" i="5"/>
  <c r="M206" i="5"/>
  <c r="N6" i="5"/>
  <c r="O6" i="5"/>
  <c r="O7" i="5"/>
  <c r="N7" i="5"/>
  <c r="O8" i="5"/>
  <c r="N8" i="5"/>
  <c r="N9" i="5"/>
  <c r="O9" i="5"/>
  <c r="O10" i="5"/>
  <c r="N10" i="5"/>
  <c r="O11" i="5"/>
  <c r="N11" i="5"/>
  <c r="O12" i="5"/>
  <c r="N12" i="5"/>
  <c r="N13" i="5"/>
  <c r="O13" i="5"/>
  <c r="O14" i="5"/>
  <c r="N14" i="5"/>
  <c r="O15" i="5"/>
  <c r="N15" i="5"/>
  <c r="N16" i="5"/>
  <c r="O16" i="5"/>
  <c r="O17" i="5"/>
  <c r="N17" i="5"/>
  <c r="O18" i="5"/>
  <c r="N18" i="5"/>
  <c r="N19" i="5"/>
  <c r="O19" i="5"/>
  <c r="O20" i="5"/>
  <c r="N20" i="5"/>
  <c r="N21" i="5"/>
  <c r="O21" i="5"/>
  <c r="N22" i="5"/>
  <c r="O22" i="5"/>
  <c r="N23" i="5"/>
  <c r="O23" i="5"/>
  <c r="N24" i="5"/>
  <c r="O24" i="5"/>
  <c r="O25" i="5"/>
  <c r="N25" i="5"/>
  <c r="N26" i="5"/>
  <c r="O26" i="5"/>
  <c r="N27" i="5"/>
  <c r="O27" i="5"/>
  <c r="N28" i="5"/>
  <c r="O28" i="5"/>
  <c r="N29" i="5"/>
  <c r="O29" i="5"/>
  <c r="N30" i="5"/>
  <c r="O30" i="5"/>
  <c r="O31" i="5"/>
  <c r="N31" i="5"/>
  <c r="N32" i="5"/>
  <c r="O32" i="5"/>
  <c r="N33" i="5"/>
  <c r="O33" i="5"/>
  <c r="O34" i="5"/>
  <c r="N34" i="5"/>
  <c r="N35" i="5"/>
  <c r="O35" i="5"/>
  <c r="N36" i="5"/>
  <c r="O36" i="5"/>
  <c r="N37" i="5"/>
  <c r="O37" i="5"/>
  <c r="N38" i="5"/>
  <c r="O38" i="5"/>
  <c r="O39" i="5"/>
  <c r="N39" i="5"/>
  <c r="N40" i="5"/>
  <c r="O40" i="5"/>
  <c r="N41" i="5"/>
  <c r="O41" i="5"/>
  <c r="N42" i="5"/>
  <c r="O42" i="5"/>
  <c r="O43" i="5"/>
  <c r="N43" i="5"/>
  <c r="N44" i="5"/>
  <c r="O44" i="5"/>
  <c r="N45" i="5"/>
  <c r="O45" i="5"/>
  <c r="N46" i="5"/>
  <c r="O46" i="5"/>
  <c r="N47" i="5"/>
  <c r="O47" i="5"/>
  <c r="O48" i="5"/>
  <c r="N48" i="5"/>
  <c r="O49" i="5"/>
  <c r="N49" i="5"/>
  <c r="O50" i="5"/>
  <c r="N50" i="5"/>
  <c r="N51" i="5"/>
  <c r="O51" i="5"/>
  <c r="N52" i="5"/>
  <c r="O52" i="5"/>
  <c r="O53" i="5"/>
  <c r="N53" i="5"/>
  <c r="N54" i="5"/>
  <c r="O54" i="5"/>
  <c r="N55" i="5"/>
  <c r="O55" i="5"/>
  <c r="O56" i="5"/>
  <c r="N56" i="5"/>
  <c r="O57" i="5"/>
  <c r="N57" i="5"/>
  <c r="O58" i="5"/>
  <c r="N58" i="5"/>
  <c r="N59" i="5"/>
  <c r="O59" i="5"/>
  <c r="N60" i="5"/>
  <c r="O60" i="5"/>
  <c r="N61" i="5"/>
  <c r="O61" i="5"/>
  <c r="O62" i="5"/>
  <c r="N62" i="5"/>
  <c r="N63" i="5"/>
  <c r="O63" i="5"/>
  <c r="O64" i="5"/>
  <c r="N64" i="5"/>
  <c r="O65" i="5"/>
  <c r="N65" i="5"/>
  <c r="N66" i="5"/>
  <c r="O66" i="5"/>
  <c r="N67" i="5"/>
  <c r="O67" i="5"/>
  <c r="N68" i="5"/>
  <c r="O68" i="5"/>
  <c r="N69" i="5"/>
  <c r="O69" i="5"/>
  <c r="O70" i="5"/>
  <c r="N70" i="5"/>
  <c r="N71" i="5"/>
  <c r="O71" i="5"/>
  <c r="N72" i="5"/>
  <c r="O72" i="5"/>
  <c r="N73" i="5"/>
  <c r="O73" i="5"/>
  <c r="N74" i="5"/>
  <c r="O74" i="5"/>
  <c r="O75" i="5"/>
  <c r="N75" i="5"/>
  <c r="N76" i="5"/>
  <c r="O76" i="5"/>
  <c r="N77" i="5"/>
  <c r="O77" i="5"/>
  <c r="O78" i="5"/>
  <c r="N78" i="5"/>
  <c r="N79" i="5"/>
  <c r="O79" i="5"/>
  <c r="O80" i="5"/>
  <c r="N80" i="5"/>
  <c r="N81" i="5"/>
  <c r="O81" i="5"/>
  <c r="O82" i="5"/>
  <c r="N82" i="5"/>
  <c r="O83" i="5"/>
  <c r="N83" i="5"/>
  <c r="N84" i="5"/>
  <c r="O84" i="5"/>
  <c r="O85" i="5"/>
  <c r="N85" i="5"/>
  <c r="N86" i="5"/>
  <c r="O86" i="5"/>
  <c r="N87" i="5"/>
  <c r="O87" i="5"/>
  <c r="N88" i="5"/>
  <c r="O88" i="5"/>
  <c r="N89" i="5"/>
  <c r="O89" i="5"/>
  <c r="O90" i="5"/>
  <c r="N90" i="5"/>
  <c r="O91" i="5"/>
  <c r="N91" i="5"/>
  <c r="N92" i="5"/>
  <c r="O92" i="5"/>
  <c r="O93" i="5"/>
  <c r="N93" i="5"/>
  <c r="N94" i="5"/>
  <c r="O94" i="5"/>
  <c r="N95" i="5"/>
  <c r="O95" i="5"/>
  <c r="N96" i="5"/>
  <c r="O96" i="5"/>
  <c r="N97" i="5"/>
  <c r="O97" i="5"/>
  <c r="O98" i="5"/>
  <c r="N98" i="5"/>
  <c r="O99" i="5"/>
  <c r="N99" i="5"/>
  <c r="N100" i="5"/>
  <c r="O100" i="5"/>
  <c r="O101" i="5"/>
  <c r="N101" i="5"/>
  <c r="N102" i="5"/>
  <c r="O102" i="5"/>
  <c r="N103" i="5"/>
  <c r="O103" i="5"/>
  <c r="N104" i="5"/>
  <c r="O104" i="5"/>
  <c r="N105" i="5"/>
  <c r="O105" i="5"/>
  <c r="O106" i="5"/>
  <c r="N106" i="5"/>
  <c r="N107" i="5"/>
  <c r="O107" i="5"/>
  <c r="N108" i="5"/>
  <c r="O108" i="5"/>
  <c r="O109" i="5"/>
  <c r="N109" i="5"/>
  <c r="O110" i="5"/>
  <c r="N110" i="5"/>
  <c r="N111" i="5"/>
  <c r="O111" i="5"/>
  <c r="O112" i="5"/>
  <c r="N112" i="5"/>
  <c r="O113" i="5"/>
  <c r="N113" i="5"/>
  <c r="N114" i="5"/>
  <c r="O114" i="5"/>
  <c r="N115" i="5"/>
  <c r="O115" i="5"/>
  <c r="N116" i="5"/>
  <c r="O116" i="5"/>
  <c r="N117" i="5"/>
  <c r="O117" i="5"/>
  <c r="O118" i="5"/>
  <c r="N118" i="5"/>
  <c r="N119" i="5"/>
  <c r="O119" i="5"/>
  <c r="N120" i="5"/>
  <c r="O120" i="5"/>
  <c r="O121" i="5"/>
  <c r="N121" i="5"/>
  <c r="O122" i="5"/>
  <c r="N122" i="5"/>
  <c r="N123" i="5"/>
  <c r="O123" i="5"/>
  <c r="N124" i="5"/>
  <c r="O124" i="5"/>
  <c r="N125" i="5"/>
  <c r="O125" i="5"/>
  <c r="O126" i="5"/>
  <c r="N126" i="5"/>
  <c r="N127" i="5"/>
  <c r="O127" i="5"/>
  <c r="N128" i="5"/>
  <c r="O128" i="5"/>
  <c r="N129" i="5"/>
  <c r="O129" i="5"/>
  <c r="N130" i="5"/>
  <c r="O130" i="5"/>
  <c r="O131" i="5"/>
  <c r="N131" i="5"/>
  <c r="N132" i="5"/>
  <c r="O132" i="5"/>
  <c r="N133" i="5"/>
  <c r="O133" i="5"/>
  <c r="N134" i="5"/>
  <c r="O134" i="5"/>
  <c r="N135" i="5"/>
  <c r="O135" i="5"/>
  <c r="N136" i="5"/>
  <c r="O136" i="5"/>
  <c r="O137" i="5"/>
  <c r="N137" i="5"/>
  <c r="O138" i="5"/>
  <c r="N138" i="5"/>
  <c r="N139" i="5"/>
  <c r="O139" i="5"/>
  <c r="N140" i="5"/>
  <c r="O140" i="5"/>
  <c r="N141" i="5"/>
  <c r="O141" i="5"/>
  <c r="N142" i="5"/>
  <c r="O142" i="5"/>
  <c r="N143" i="5"/>
  <c r="O143" i="5"/>
  <c r="O144" i="5"/>
  <c r="N144" i="5"/>
  <c r="O145" i="5"/>
  <c r="N145" i="5"/>
  <c r="O146" i="5"/>
  <c r="N146" i="5"/>
  <c r="N147" i="5"/>
  <c r="O147" i="5"/>
  <c r="N148" i="5"/>
  <c r="O148" i="5"/>
  <c r="N149" i="5"/>
  <c r="O149" i="5"/>
  <c r="N150" i="5"/>
  <c r="O150" i="5"/>
  <c r="N151" i="5"/>
  <c r="O151" i="5"/>
  <c r="N152" i="5"/>
  <c r="O152" i="5"/>
  <c r="N153" i="5"/>
  <c r="O153" i="5"/>
  <c r="N154" i="5"/>
  <c r="O154" i="5"/>
  <c r="O155" i="5"/>
  <c r="N155" i="5"/>
  <c r="N156" i="5"/>
  <c r="O156" i="5"/>
  <c r="N157" i="5"/>
  <c r="O157" i="5"/>
  <c r="N158" i="5"/>
  <c r="O158" i="5"/>
  <c r="O159" i="5"/>
  <c r="N159" i="5"/>
  <c r="N160" i="5"/>
  <c r="O160" i="5"/>
  <c r="O161" i="5"/>
  <c r="N161" i="5"/>
  <c r="N162" i="5"/>
  <c r="O162" i="5"/>
  <c r="N163" i="5"/>
  <c r="O163" i="5"/>
  <c r="N164" i="5"/>
  <c r="O164" i="5"/>
  <c r="O165" i="5"/>
  <c r="N165" i="5"/>
  <c r="O166" i="5"/>
  <c r="N166" i="5"/>
  <c r="N167" i="5"/>
  <c r="O167" i="5"/>
  <c r="N168" i="5"/>
  <c r="O168" i="5"/>
  <c r="O169" i="5"/>
  <c r="N169" i="5"/>
  <c r="N170" i="5"/>
  <c r="O170" i="5"/>
  <c r="N171" i="5"/>
  <c r="O171" i="5"/>
  <c r="N172" i="5"/>
  <c r="O172" i="5"/>
  <c r="N173" i="5"/>
  <c r="O173" i="5"/>
  <c r="N174" i="5"/>
  <c r="O174" i="5"/>
  <c r="N175" i="5"/>
  <c r="O175" i="5"/>
  <c r="O176" i="5"/>
  <c r="N176" i="5"/>
  <c r="O177" i="5"/>
  <c r="N177" i="5"/>
  <c r="O178" i="5"/>
  <c r="N178" i="5"/>
  <c r="O179" i="5"/>
  <c r="N179" i="5"/>
  <c r="N180" i="5"/>
  <c r="O180" i="5"/>
  <c r="O181" i="5"/>
  <c r="N181" i="5"/>
  <c r="N182" i="5"/>
  <c r="O182" i="5"/>
  <c r="N183" i="5"/>
  <c r="O183" i="5"/>
  <c r="N184" i="5"/>
  <c r="O184" i="5"/>
  <c r="N185" i="5"/>
  <c r="O185" i="5"/>
  <c r="N186" i="5"/>
  <c r="O186" i="5"/>
  <c r="O187" i="5"/>
  <c r="N187" i="5"/>
  <c r="N188" i="5"/>
  <c r="O188" i="5"/>
  <c r="N189" i="5"/>
  <c r="O189" i="5"/>
  <c r="N190" i="5"/>
  <c r="O190" i="5"/>
  <c r="N191" i="5"/>
  <c r="O191" i="5"/>
  <c r="N192" i="5"/>
  <c r="O192" i="5"/>
  <c r="O193" i="5"/>
  <c r="N193" i="5"/>
  <c r="N194" i="5"/>
  <c r="O194" i="5"/>
  <c r="O195" i="5"/>
  <c r="N195" i="5"/>
  <c r="N196" i="5"/>
  <c r="O196" i="5"/>
  <c r="N197" i="5"/>
  <c r="O197" i="5"/>
  <c r="N198" i="5"/>
  <c r="O198" i="5"/>
  <c r="N199" i="5"/>
  <c r="O199" i="5"/>
  <c r="O200" i="5"/>
  <c r="N200" i="5"/>
  <c r="N201" i="5"/>
  <c r="O201" i="5"/>
  <c r="N202" i="5"/>
  <c r="O202" i="5"/>
  <c r="O203" i="5"/>
  <c r="N203" i="5"/>
  <c r="O204" i="5"/>
  <c r="N204" i="5"/>
  <c r="N205" i="5"/>
  <c r="O205" i="5"/>
  <c r="N206" i="5"/>
  <c r="O206" i="5"/>
  <c r="N207" i="5"/>
  <c r="O207" i="5"/>
  <c r="N208" i="5"/>
  <c r="O208" i="5"/>
  <c r="N209" i="5"/>
  <c r="O209" i="5"/>
  <c r="N210" i="5"/>
  <c r="O210" i="5"/>
  <c r="O211" i="5"/>
  <c r="N211" i="5"/>
  <c r="N212" i="5"/>
  <c r="O212" i="5"/>
  <c r="N213" i="5"/>
  <c r="O213" i="5"/>
  <c r="N214" i="5"/>
  <c r="O214" i="5"/>
  <c r="N215" i="5"/>
  <c r="O215" i="5"/>
  <c r="N216" i="5"/>
  <c r="O216" i="5"/>
  <c r="O217" i="5"/>
  <c r="N217" i="5"/>
  <c r="O218" i="5"/>
  <c r="N218" i="5"/>
  <c r="O219" i="5"/>
  <c r="N219" i="5"/>
  <c r="N220" i="5"/>
  <c r="O220" i="5"/>
  <c r="N221" i="5"/>
  <c r="O221" i="5"/>
  <c r="N222" i="5"/>
  <c r="O222" i="5"/>
  <c r="O223" i="5"/>
  <c r="N223" i="5"/>
  <c r="N224" i="5"/>
  <c r="O224" i="5"/>
  <c r="N225" i="5"/>
  <c r="O225" i="5"/>
  <c r="N226" i="5"/>
  <c r="O226" i="5"/>
  <c r="O227" i="5"/>
  <c r="N227" i="5"/>
  <c r="N228" i="5"/>
  <c r="O228" i="5"/>
  <c r="O229" i="5"/>
  <c r="N229" i="5"/>
  <c r="O230" i="5"/>
  <c r="N230" i="5"/>
  <c r="N231" i="5"/>
  <c r="O231" i="5"/>
  <c r="N232" i="5"/>
  <c r="O232" i="5"/>
  <c r="O233" i="5"/>
  <c r="N233" i="5"/>
  <c r="N234" i="5"/>
  <c r="O234" i="5"/>
  <c r="N235" i="5"/>
  <c r="O235" i="5"/>
  <c r="N236" i="5"/>
  <c r="O236" i="5"/>
  <c r="N237" i="5"/>
  <c r="O237" i="5"/>
  <c r="N238" i="5"/>
  <c r="O238" i="5"/>
  <c r="N239" i="5"/>
  <c r="O239" i="5"/>
  <c r="N240" i="5"/>
  <c r="O240" i="5"/>
  <c r="N241" i="5"/>
  <c r="O241" i="5"/>
  <c r="N242" i="5"/>
  <c r="O242" i="5"/>
  <c r="N243" i="5"/>
  <c r="O243" i="5"/>
  <c r="N244" i="5"/>
  <c r="O244" i="5"/>
  <c r="O245" i="5"/>
  <c r="N245" i="5"/>
  <c r="N246" i="5"/>
  <c r="O246" i="5"/>
  <c r="N247" i="5"/>
  <c r="O247" i="5"/>
  <c r="N248" i="5"/>
  <c r="O248" i="5"/>
  <c r="O249" i="5"/>
  <c r="N249" i="5"/>
  <c r="N250" i="5"/>
  <c r="O250" i="5"/>
  <c r="N251" i="5"/>
  <c r="O251" i="5"/>
  <c r="N252" i="5"/>
  <c r="O252" i="5"/>
  <c r="N253" i="5"/>
  <c r="O253" i="5"/>
  <c r="N254" i="5"/>
  <c r="O254" i="5"/>
  <c r="V22" i="5" l="1"/>
  <c r="W22" i="5" s="1"/>
  <c r="V254" i="5"/>
  <c r="W254" i="5" s="1"/>
  <c r="V253" i="5"/>
  <c r="W253" i="5" s="1"/>
  <c r="V252" i="5"/>
  <c r="W252" i="5" s="1"/>
  <c r="V251" i="5"/>
  <c r="W251" i="5" s="1"/>
  <c r="V250" i="5"/>
  <c r="W250" i="5" s="1"/>
  <c r="V249" i="5"/>
  <c r="W249" i="5" s="1"/>
  <c r="V248" i="5"/>
  <c r="W248" i="5" s="1"/>
  <c r="V247" i="5"/>
  <c r="W247" i="5" s="1"/>
  <c r="V246" i="5"/>
  <c r="W246" i="5" s="1"/>
  <c r="V245" i="5"/>
  <c r="W245" i="5" s="1"/>
  <c r="V244" i="5"/>
  <c r="W244" i="5" s="1"/>
  <c r="V243" i="5"/>
  <c r="W243" i="5" s="1"/>
  <c r="V242" i="5"/>
  <c r="W242" i="5" s="1"/>
  <c r="V241" i="5"/>
  <c r="W241" i="5" s="1"/>
  <c r="V240" i="5"/>
  <c r="W240" i="5" s="1"/>
  <c r="V239" i="5"/>
  <c r="W239" i="5" s="1"/>
  <c r="V238" i="5"/>
  <c r="W238" i="5" s="1"/>
  <c r="V237" i="5"/>
  <c r="W237" i="5" s="1"/>
  <c r="V236" i="5"/>
  <c r="W236" i="5" s="1"/>
  <c r="V235" i="5"/>
  <c r="W235" i="5" s="1"/>
  <c r="V234" i="5"/>
  <c r="W234" i="5" s="1"/>
  <c r="V233" i="5"/>
  <c r="W233" i="5" s="1"/>
  <c r="V232" i="5"/>
  <c r="W232" i="5" s="1"/>
  <c r="V231" i="5"/>
  <c r="W231" i="5" s="1"/>
  <c r="V230" i="5"/>
  <c r="W230" i="5" s="1"/>
  <c r="V229" i="5"/>
  <c r="W229" i="5" s="1"/>
  <c r="V228" i="5"/>
  <c r="W228" i="5" s="1"/>
  <c r="V227" i="5"/>
  <c r="W227" i="5" s="1"/>
  <c r="V226" i="5"/>
  <c r="W226" i="5" s="1"/>
  <c r="V225" i="5"/>
  <c r="W225" i="5" s="1"/>
  <c r="V224" i="5"/>
  <c r="W224" i="5" s="1"/>
  <c r="V223" i="5"/>
  <c r="W223" i="5" s="1"/>
  <c r="V222" i="5"/>
  <c r="W222" i="5" s="1"/>
  <c r="V221" i="5"/>
  <c r="W221" i="5" s="1"/>
  <c r="V220" i="5"/>
  <c r="W220" i="5" s="1"/>
  <c r="V219" i="5"/>
  <c r="W219" i="5" s="1"/>
  <c r="V218" i="5"/>
  <c r="W218" i="5" s="1"/>
  <c r="V217" i="5"/>
  <c r="W217" i="5" s="1"/>
  <c r="V216" i="5"/>
  <c r="W216" i="5" s="1"/>
  <c r="V215" i="5"/>
  <c r="W215" i="5" s="1"/>
  <c r="V214" i="5"/>
  <c r="W214" i="5" s="1"/>
  <c r="V213" i="5"/>
  <c r="W213" i="5" s="1"/>
  <c r="V212" i="5"/>
  <c r="W212" i="5" s="1"/>
  <c r="V211" i="5"/>
  <c r="W211" i="5" s="1"/>
  <c r="V210" i="5"/>
  <c r="W210" i="5" s="1"/>
  <c r="V209" i="5"/>
  <c r="W209" i="5" s="1"/>
  <c r="V208" i="5"/>
  <c r="W208" i="5" s="1"/>
  <c r="V207" i="5"/>
  <c r="W207" i="5" s="1"/>
  <c r="V206" i="5"/>
  <c r="W206" i="5" s="1"/>
  <c r="V205" i="5"/>
  <c r="W205" i="5" s="1"/>
  <c r="V204" i="5"/>
  <c r="W204" i="5" s="1"/>
  <c r="V203" i="5"/>
  <c r="W203" i="5" s="1"/>
  <c r="V202" i="5"/>
  <c r="W202" i="5" s="1"/>
  <c r="V201" i="5"/>
  <c r="W201" i="5" s="1"/>
  <c r="V200" i="5"/>
  <c r="W200" i="5" s="1"/>
  <c r="V199" i="5"/>
  <c r="W199" i="5" s="1"/>
  <c r="V198" i="5"/>
  <c r="W198" i="5" s="1"/>
  <c r="V197" i="5"/>
  <c r="W197" i="5" s="1"/>
  <c r="V196" i="5"/>
  <c r="W196" i="5" s="1"/>
  <c r="V195" i="5"/>
  <c r="W195" i="5" s="1"/>
  <c r="V194" i="5"/>
  <c r="W194" i="5" s="1"/>
  <c r="V193" i="5"/>
  <c r="W193" i="5" s="1"/>
  <c r="V192" i="5"/>
  <c r="W192" i="5" s="1"/>
  <c r="V191" i="5"/>
  <c r="W191" i="5" s="1"/>
  <c r="V190" i="5"/>
  <c r="W190" i="5" s="1"/>
  <c r="V189" i="5"/>
  <c r="W189" i="5" s="1"/>
  <c r="V188" i="5"/>
  <c r="W188" i="5" s="1"/>
  <c r="V187" i="5"/>
  <c r="W187" i="5" s="1"/>
  <c r="V186" i="5"/>
  <c r="W186" i="5" s="1"/>
  <c r="V185" i="5"/>
  <c r="W185" i="5" s="1"/>
  <c r="V184" i="5"/>
  <c r="W184" i="5" s="1"/>
  <c r="V183" i="5"/>
  <c r="W183" i="5" s="1"/>
  <c r="V182" i="5"/>
  <c r="W182" i="5" s="1"/>
  <c r="V181" i="5"/>
  <c r="W181" i="5" s="1"/>
  <c r="V180" i="5"/>
  <c r="W180" i="5" s="1"/>
  <c r="V179" i="5"/>
  <c r="W179" i="5" s="1"/>
  <c r="V178" i="5"/>
  <c r="W178" i="5" s="1"/>
  <c r="V177" i="5"/>
  <c r="W177" i="5" s="1"/>
  <c r="V176" i="5"/>
  <c r="W176" i="5" s="1"/>
  <c r="V175" i="5"/>
  <c r="W175" i="5" s="1"/>
  <c r="V174" i="5"/>
  <c r="W174" i="5" s="1"/>
  <c r="V173" i="5"/>
  <c r="W173" i="5" s="1"/>
  <c r="V172" i="5"/>
  <c r="W172" i="5" s="1"/>
  <c r="V171" i="5"/>
  <c r="W171" i="5" s="1"/>
  <c r="V170" i="5"/>
  <c r="W170" i="5" s="1"/>
  <c r="V169" i="5"/>
  <c r="W169" i="5" s="1"/>
  <c r="V168" i="5"/>
  <c r="W168" i="5" s="1"/>
  <c r="V167" i="5"/>
  <c r="W167" i="5" s="1"/>
  <c r="V166" i="5"/>
  <c r="W166" i="5" s="1"/>
  <c r="V165" i="5"/>
  <c r="W165" i="5" s="1"/>
  <c r="V164" i="5"/>
  <c r="W164" i="5" s="1"/>
  <c r="V163" i="5"/>
  <c r="W163" i="5" s="1"/>
  <c r="V162" i="5"/>
  <c r="W162" i="5" s="1"/>
  <c r="V161" i="5"/>
  <c r="W161" i="5" s="1"/>
  <c r="V160" i="5"/>
  <c r="W160" i="5" s="1"/>
  <c r="V159" i="5"/>
  <c r="W159" i="5" s="1"/>
  <c r="V158" i="5"/>
  <c r="W158" i="5" s="1"/>
  <c r="V157" i="5"/>
  <c r="W157" i="5" s="1"/>
  <c r="V156" i="5"/>
  <c r="W156" i="5" s="1"/>
  <c r="V155" i="5"/>
  <c r="W155" i="5" s="1"/>
  <c r="V154" i="5"/>
  <c r="W154" i="5" s="1"/>
  <c r="V153" i="5"/>
  <c r="W153" i="5" s="1"/>
  <c r="V152" i="5"/>
  <c r="W152" i="5" s="1"/>
  <c r="V151" i="5"/>
  <c r="W151" i="5" s="1"/>
  <c r="V150" i="5"/>
  <c r="W150" i="5" s="1"/>
  <c r="V149" i="5"/>
  <c r="W149" i="5" s="1"/>
  <c r="V148" i="5"/>
  <c r="W148" i="5" s="1"/>
  <c r="V147" i="5"/>
  <c r="W147" i="5" s="1"/>
  <c r="V146" i="5"/>
  <c r="W146" i="5" s="1"/>
  <c r="V145" i="5"/>
  <c r="W145" i="5" s="1"/>
  <c r="V144" i="5"/>
  <c r="W144" i="5" s="1"/>
  <c r="V143" i="5"/>
  <c r="W143" i="5" s="1"/>
  <c r="V142" i="5"/>
  <c r="W142" i="5" s="1"/>
  <c r="V141" i="5"/>
  <c r="W141" i="5" s="1"/>
  <c r="V140" i="5"/>
  <c r="W140" i="5" s="1"/>
  <c r="V139" i="5"/>
  <c r="W139" i="5" s="1"/>
  <c r="V138" i="5"/>
  <c r="W138" i="5" s="1"/>
  <c r="V137" i="5"/>
  <c r="W137" i="5" s="1"/>
  <c r="V136" i="5"/>
  <c r="W136" i="5" s="1"/>
  <c r="V135" i="5"/>
  <c r="W135" i="5" s="1"/>
  <c r="V134" i="5"/>
  <c r="W134" i="5" s="1"/>
  <c r="V133" i="5"/>
  <c r="W133" i="5" s="1"/>
  <c r="V132" i="5"/>
  <c r="W132" i="5" s="1"/>
  <c r="V131" i="5"/>
  <c r="W131" i="5" s="1"/>
  <c r="V130" i="5"/>
  <c r="W130" i="5" s="1"/>
  <c r="V129" i="5"/>
  <c r="W129" i="5" s="1"/>
  <c r="V128" i="5"/>
  <c r="W128" i="5" s="1"/>
  <c r="V127" i="5"/>
  <c r="W127" i="5" s="1"/>
  <c r="V126" i="5"/>
  <c r="W126" i="5" s="1"/>
  <c r="V125" i="5"/>
  <c r="W125" i="5" s="1"/>
  <c r="V124" i="5"/>
  <c r="W124" i="5" s="1"/>
  <c r="V123" i="5"/>
  <c r="W123" i="5" s="1"/>
  <c r="V122" i="5"/>
  <c r="W122" i="5" s="1"/>
  <c r="V121" i="5"/>
  <c r="W121" i="5" s="1"/>
  <c r="V120" i="5"/>
  <c r="W120" i="5" s="1"/>
  <c r="V119" i="5"/>
  <c r="W119" i="5" s="1"/>
  <c r="V118" i="5"/>
  <c r="W118" i="5" s="1"/>
  <c r="V117" i="5"/>
  <c r="W117" i="5" s="1"/>
  <c r="V116" i="5"/>
  <c r="W116" i="5" s="1"/>
  <c r="V115" i="5"/>
  <c r="W115" i="5" s="1"/>
  <c r="V114" i="5"/>
  <c r="W114" i="5" s="1"/>
  <c r="V113" i="5"/>
  <c r="W113" i="5" s="1"/>
  <c r="V112" i="5"/>
  <c r="W112" i="5" s="1"/>
  <c r="V111" i="5"/>
  <c r="W111" i="5" s="1"/>
  <c r="V110" i="5"/>
  <c r="W110" i="5" s="1"/>
  <c r="V109" i="5"/>
  <c r="W109" i="5" s="1"/>
  <c r="V108" i="5"/>
  <c r="W108" i="5" s="1"/>
  <c r="V107" i="5"/>
  <c r="W107" i="5" s="1"/>
  <c r="V106" i="5"/>
  <c r="W106" i="5" s="1"/>
  <c r="V105" i="5"/>
  <c r="W105" i="5" s="1"/>
  <c r="V104" i="5"/>
  <c r="W104" i="5" s="1"/>
  <c r="V103" i="5"/>
  <c r="W103" i="5" s="1"/>
  <c r="V102" i="5"/>
  <c r="W102" i="5" s="1"/>
  <c r="V101" i="5"/>
  <c r="W101" i="5" s="1"/>
  <c r="V100" i="5"/>
  <c r="W100" i="5" s="1"/>
  <c r="V99" i="5"/>
  <c r="W99" i="5" s="1"/>
  <c r="V98" i="5"/>
  <c r="W98" i="5" s="1"/>
  <c r="V97" i="5"/>
  <c r="W97" i="5" s="1"/>
  <c r="V96" i="5"/>
  <c r="W96" i="5" s="1"/>
  <c r="V95" i="5"/>
  <c r="W95" i="5" s="1"/>
  <c r="V94" i="5"/>
  <c r="W94" i="5" s="1"/>
  <c r="V93" i="5"/>
  <c r="W93" i="5" s="1"/>
  <c r="V92" i="5"/>
  <c r="W92" i="5" s="1"/>
  <c r="V91" i="5"/>
  <c r="W91" i="5" s="1"/>
  <c r="V90" i="5"/>
  <c r="W90" i="5" s="1"/>
  <c r="V89" i="5"/>
  <c r="W89" i="5" s="1"/>
  <c r="V88" i="5"/>
  <c r="W88" i="5" s="1"/>
  <c r="V87" i="5"/>
  <c r="W87" i="5" s="1"/>
  <c r="V86" i="5"/>
  <c r="W86" i="5" s="1"/>
  <c r="V85" i="5"/>
  <c r="W85" i="5" s="1"/>
  <c r="V84" i="5"/>
  <c r="W84" i="5" s="1"/>
  <c r="V83" i="5"/>
  <c r="W83" i="5" s="1"/>
  <c r="V82" i="5"/>
  <c r="W82" i="5" s="1"/>
  <c r="V81" i="5"/>
  <c r="W81" i="5" s="1"/>
  <c r="V80" i="5"/>
  <c r="W80" i="5" s="1"/>
  <c r="V79" i="5"/>
  <c r="W79" i="5" s="1"/>
  <c r="V78" i="5"/>
  <c r="W78" i="5" s="1"/>
  <c r="V77" i="5"/>
  <c r="W77" i="5" s="1"/>
  <c r="V76" i="5"/>
  <c r="W76" i="5" s="1"/>
  <c r="V75" i="5"/>
  <c r="W75" i="5" s="1"/>
  <c r="V74" i="5"/>
  <c r="W74" i="5" s="1"/>
  <c r="V73" i="5"/>
  <c r="W73" i="5" s="1"/>
  <c r="V72" i="5"/>
  <c r="W72" i="5" s="1"/>
  <c r="V71" i="5"/>
  <c r="W71" i="5" s="1"/>
  <c r="V70" i="5"/>
  <c r="W70" i="5" s="1"/>
  <c r="V69" i="5"/>
  <c r="W69" i="5" s="1"/>
  <c r="V68" i="5"/>
  <c r="W68" i="5" s="1"/>
  <c r="V67" i="5"/>
  <c r="W67" i="5" s="1"/>
  <c r="V66" i="5"/>
  <c r="W66" i="5" s="1"/>
  <c r="V65" i="5"/>
  <c r="W65" i="5" s="1"/>
  <c r="V64" i="5"/>
  <c r="W64" i="5" s="1"/>
  <c r="V63" i="5"/>
  <c r="W63" i="5" s="1"/>
  <c r="V62" i="5"/>
  <c r="W62" i="5" s="1"/>
  <c r="V61" i="5"/>
  <c r="W61" i="5" s="1"/>
  <c r="V60" i="5"/>
  <c r="W60" i="5" s="1"/>
  <c r="V59" i="5"/>
  <c r="W59" i="5" s="1"/>
  <c r="V58" i="5"/>
  <c r="W58" i="5" s="1"/>
  <c r="V57" i="5"/>
  <c r="W57" i="5" s="1"/>
  <c r="V56" i="5"/>
  <c r="W56" i="5" s="1"/>
  <c r="V55" i="5"/>
  <c r="W55" i="5" s="1"/>
  <c r="V54" i="5"/>
  <c r="W54" i="5" s="1"/>
  <c r="V53" i="5"/>
  <c r="W53" i="5" s="1"/>
  <c r="V52" i="5"/>
  <c r="W52" i="5" s="1"/>
  <c r="V51" i="5"/>
  <c r="W51" i="5" s="1"/>
  <c r="V50" i="5"/>
  <c r="W50" i="5" s="1"/>
  <c r="V49" i="5"/>
  <c r="W49" i="5" s="1"/>
  <c r="V48" i="5"/>
  <c r="W48" i="5" s="1"/>
  <c r="V47" i="5"/>
  <c r="W47" i="5" s="1"/>
  <c r="V46" i="5"/>
  <c r="W46" i="5" s="1"/>
  <c r="V45" i="5"/>
  <c r="W45" i="5" s="1"/>
  <c r="V44" i="5"/>
  <c r="W44" i="5" s="1"/>
  <c r="V43" i="5"/>
  <c r="W43" i="5" s="1"/>
  <c r="V42" i="5"/>
  <c r="W42" i="5" s="1"/>
  <c r="V41" i="5"/>
  <c r="W41" i="5" s="1"/>
  <c r="V40" i="5"/>
  <c r="W40" i="5" s="1"/>
  <c r="V39" i="5"/>
  <c r="W39" i="5" s="1"/>
  <c r="V38" i="5"/>
  <c r="W38" i="5" s="1"/>
  <c r="V37" i="5"/>
  <c r="W37" i="5" s="1"/>
  <c r="V36" i="5"/>
  <c r="W36" i="5" s="1"/>
  <c r="V35" i="5"/>
  <c r="W35" i="5" s="1"/>
  <c r="V34" i="5"/>
  <c r="W34" i="5" s="1"/>
  <c r="V33" i="5"/>
  <c r="W33" i="5" s="1"/>
  <c r="V32" i="5"/>
  <c r="W32" i="5" s="1"/>
  <c r="V11" i="5"/>
  <c r="W11" i="5" s="1"/>
  <c r="V10" i="5"/>
  <c r="W10" i="5" s="1"/>
  <c r="V16" i="5"/>
  <c r="W16" i="5" s="1"/>
  <c r="V17" i="5"/>
  <c r="W17" i="5" s="1"/>
  <c r="V26" i="5"/>
  <c r="W26" i="5" s="1"/>
  <c r="V27" i="5"/>
  <c r="W27" i="5" s="1"/>
  <c r="V31" i="5"/>
  <c r="W31" i="5" s="1"/>
  <c r="V9" i="5"/>
  <c r="W9" i="5" s="1"/>
  <c r="V15" i="5"/>
  <c r="W15" i="5" s="1"/>
  <c r="V25" i="5"/>
  <c r="W25" i="5" s="1"/>
  <c r="V21" i="5"/>
  <c r="W21" i="5" s="1"/>
  <c r="V20" i="5"/>
  <c r="W20" i="5" s="1"/>
  <c r="V30" i="5"/>
  <c r="W30" i="5" s="1"/>
  <c r="V8" i="5"/>
  <c r="W8" i="5" s="1"/>
  <c r="V14" i="5"/>
  <c r="W14" i="5" s="1"/>
  <c r="V24" i="5"/>
  <c r="W24" i="5" s="1"/>
  <c r="V19" i="5"/>
  <c r="W19" i="5" s="1"/>
  <c r="V29" i="5"/>
  <c r="W29" i="5" s="1"/>
  <c r="V7" i="5"/>
  <c r="W7" i="5" s="1"/>
  <c r="V13" i="5"/>
  <c r="W13" i="5" s="1"/>
  <c r="V18" i="5"/>
  <c r="W18" i="5" s="1"/>
  <c r="P6" i="5"/>
  <c r="P7" i="5" s="1"/>
  <c r="V6" i="5"/>
  <c r="W6" i="5" s="1"/>
  <c r="V12" i="5"/>
  <c r="W12" i="5" s="1"/>
  <c r="V23" i="5"/>
  <c r="W23" i="5" s="1"/>
  <c r="V28" i="5"/>
  <c r="W28" i="5" s="1"/>
  <c r="B14" i="5"/>
  <c r="AB6" i="5"/>
  <c r="Q7" i="5"/>
  <c r="Q6" i="5"/>
  <c r="R7" i="5"/>
  <c r="X6" i="5"/>
  <c r="P8" i="5" l="1"/>
  <c r="Y6" i="5"/>
  <c r="Z6" i="5" s="1"/>
  <c r="AC6" i="5"/>
  <c r="AD6" i="5" s="1"/>
  <c r="AB7" i="5"/>
  <c r="S7" i="5"/>
  <c r="R6" i="5"/>
  <c r="X7" i="5"/>
  <c r="Q8" i="5"/>
  <c r="R8" i="5" s="1"/>
  <c r="P9" i="5" l="1"/>
  <c r="AC7" i="5"/>
  <c r="AD7" i="5" s="1"/>
  <c r="Y7" i="5"/>
  <c r="Z7" i="5" s="1"/>
  <c r="AB8" i="5"/>
  <c r="S8" i="5"/>
  <c r="S6" i="5"/>
  <c r="Q9" i="5"/>
  <c r="R9" i="5" s="1"/>
  <c r="X8" i="5"/>
  <c r="T6" i="5" l="1"/>
  <c r="U6" i="5" s="1"/>
  <c r="T7" i="5"/>
  <c r="T8" i="5"/>
  <c r="P10" i="5"/>
  <c r="AC8" i="5"/>
  <c r="AD8" i="5" s="1"/>
  <c r="Y8" i="5"/>
  <c r="Z8" i="5" s="1"/>
  <c r="X9" i="5"/>
  <c r="S9" i="5"/>
  <c r="AB9" i="5"/>
  <c r="Q10" i="5"/>
  <c r="R10" i="5"/>
  <c r="U7" i="5" l="1"/>
  <c r="U8" i="5" s="1"/>
  <c r="T9" i="5"/>
  <c r="P11" i="5"/>
  <c r="AC9" i="5"/>
  <c r="AD9" i="5" s="1"/>
  <c r="Y9" i="5"/>
  <c r="Z9" i="5" s="1"/>
  <c r="AB10" i="5"/>
  <c r="X10" i="5"/>
  <c r="X11" i="5"/>
  <c r="AB11" i="5"/>
  <c r="S10" i="5"/>
  <c r="Q11" i="5"/>
  <c r="R11" i="5" s="1"/>
  <c r="U9" i="5" l="1"/>
  <c r="T10" i="5"/>
  <c r="P12" i="5"/>
  <c r="AC10" i="5"/>
  <c r="AD10" i="5" s="1"/>
  <c r="AC11" i="5"/>
  <c r="Y10" i="5"/>
  <c r="Z10" i="5" s="1"/>
  <c r="Y11" i="5"/>
  <c r="S11" i="5"/>
  <c r="Q12" i="5"/>
  <c r="R12" i="5"/>
  <c r="X12" i="5"/>
  <c r="AB12" i="5"/>
  <c r="AD11" i="5" l="1"/>
  <c r="U10" i="5"/>
  <c r="Z11" i="5"/>
  <c r="T11" i="5"/>
  <c r="AC12" i="5"/>
  <c r="Y12" i="5"/>
  <c r="P13" i="5"/>
  <c r="X13" i="5"/>
  <c r="AB13" i="5"/>
  <c r="Q13" i="5"/>
  <c r="S12" i="5"/>
  <c r="R13" i="5"/>
  <c r="AD12" i="5" l="1"/>
  <c r="U11" i="5"/>
  <c r="Z12" i="5"/>
  <c r="AC13" i="5"/>
  <c r="Y13" i="5"/>
  <c r="T12" i="5"/>
  <c r="P14" i="5"/>
  <c r="X14" i="5"/>
  <c r="AB14" i="5"/>
  <c r="Q14" i="5"/>
  <c r="S13" i="5"/>
  <c r="R14" i="5"/>
  <c r="AD13" i="5" l="1"/>
  <c r="U12" i="5"/>
  <c r="Z13" i="5"/>
  <c r="AC14" i="5"/>
  <c r="Y14" i="5"/>
  <c r="T13" i="5"/>
  <c r="P15" i="5"/>
  <c r="S14" i="5"/>
  <c r="Q15" i="5"/>
  <c r="R15" i="5" s="1"/>
  <c r="AB15" i="5"/>
  <c r="X15" i="5"/>
  <c r="U13" i="5" l="1"/>
  <c r="AD14" i="5"/>
  <c r="Z14" i="5"/>
  <c r="T14" i="5"/>
  <c r="Y15" i="5"/>
  <c r="AC15" i="5"/>
  <c r="P16" i="5"/>
  <c r="Q16" i="5"/>
  <c r="R16" i="5"/>
  <c r="S15" i="5"/>
  <c r="X16" i="5"/>
  <c r="AB16" i="5"/>
  <c r="AD15" i="5" l="1"/>
  <c r="U14" i="5"/>
  <c r="Z15" i="5"/>
  <c r="Y16" i="5"/>
  <c r="AC16" i="5"/>
  <c r="T15" i="5"/>
  <c r="P17" i="5"/>
  <c r="S16" i="5"/>
  <c r="X17" i="5"/>
  <c r="AB17" i="5"/>
  <c r="Q17" i="5"/>
  <c r="R17" i="5"/>
  <c r="Z16" i="5" l="1"/>
  <c r="U15" i="5"/>
  <c r="AD16" i="5"/>
  <c r="T16" i="5"/>
  <c r="AC17" i="5"/>
  <c r="Y17" i="5"/>
  <c r="P18" i="5"/>
  <c r="AB18" i="5"/>
  <c r="X18" i="5"/>
  <c r="S17" i="5"/>
  <c r="Q18" i="5"/>
  <c r="R18" i="5" s="1"/>
  <c r="Z17" i="5" l="1"/>
  <c r="AD17" i="5"/>
  <c r="U16" i="5"/>
  <c r="AC18" i="5"/>
  <c r="Y18" i="5"/>
  <c r="T17" i="5"/>
  <c r="P19" i="5"/>
  <c r="AB19" i="5"/>
  <c r="Q19" i="5"/>
  <c r="R19" i="5" s="1"/>
  <c r="X19" i="5"/>
  <c r="S18" i="5"/>
  <c r="Z18" i="5" l="1"/>
  <c r="U17" i="5"/>
  <c r="AD18" i="5"/>
  <c r="T18" i="5"/>
  <c r="Y19" i="5"/>
  <c r="AC19" i="5"/>
  <c r="P20" i="5"/>
  <c r="Q20" i="5"/>
  <c r="S19" i="5"/>
  <c r="AB20" i="5"/>
  <c r="R20" i="5"/>
  <c r="X20" i="5"/>
  <c r="AD19" i="5" l="1"/>
  <c r="Z19" i="5"/>
  <c r="U18" i="5"/>
  <c r="AC20" i="5"/>
  <c r="Y20" i="5"/>
  <c r="T19" i="5"/>
  <c r="P21" i="5"/>
  <c r="S20" i="5"/>
  <c r="X21" i="5"/>
  <c r="AB21" i="5"/>
  <c r="Q21" i="5"/>
  <c r="R21" i="5" s="1"/>
  <c r="AD20" i="5" l="1"/>
  <c r="Z20" i="5"/>
  <c r="U19" i="5"/>
  <c r="AC21" i="5"/>
  <c r="Y21" i="5"/>
  <c r="T20" i="5"/>
  <c r="P22" i="5"/>
  <c r="S21" i="5"/>
  <c r="Q22" i="5"/>
  <c r="AB22" i="5"/>
  <c r="R22" i="5"/>
  <c r="X22" i="5"/>
  <c r="AD21" i="5" l="1"/>
  <c r="Z21" i="5"/>
  <c r="U20" i="5"/>
  <c r="T21" i="5"/>
  <c r="Y22" i="5"/>
  <c r="AC22" i="5"/>
  <c r="P23" i="5"/>
  <c r="X23" i="5"/>
  <c r="AB23" i="5"/>
  <c r="Q23" i="5"/>
  <c r="R23" i="5" s="1"/>
  <c r="S22" i="5"/>
  <c r="AD22" i="5" l="1"/>
  <c r="Z22" i="5"/>
  <c r="U21" i="5"/>
  <c r="Y23" i="5"/>
  <c r="AC23" i="5"/>
  <c r="T22" i="5"/>
  <c r="P24" i="5"/>
  <c r="X24" i="5"/>
  <c r="S23" i="5"/>
  <c r="Q24" i="5"/>
  <c r="R24" i="5" s="1"/>
  <c r="AB24" i="5"/>
  <c r="AD23" i="5" l="1"/>
  <c r="Z23" i="5"/>
  <c r="U22" i="5"/>
  <c r="T23" i="5"/>
  <c r="Y24" i="5"/>
  <c r="AC24" i="5"/>
  <c r="P25" i="5"/>
  <c r="Q25" i="5"/>
  <c r="R25" i="5"/>
  <c r="S24" i="5"/>
  <c r="AB25" i="5"/>
  <c r="X25" i="5"/>
  <c r="AD24" i="5" l="1"/>
  <c r="Z24" i="5"/>
  <c r="U23" i="5"/>
  <c r="Y25" i="5"/>
  <c r="AC25" i="5"/>
  <c r="T24" i="5"/>
  <c r="P26" i="5"/>
  <c r="S25" i="5"/>
  <c r="X26" i="5"/>
  <c r="AB26" i="5"/>
  <c r="Q26" i="5"/>
  <c r="R26" i="5" s="1"/>
  <c r="U24" i="5" l="1"/>
  <c r="AD25" i="5"/>
  <c r="Z25" i="5"/>
  <c r="AC26" i="5"/>
  <c r="Y26" i="5"/>
  <c r="T25" i="5"/>
  <c r="P27" i="5"/>
  <c r="AB27" i="5"/>
  <c r="S26" i="5"/>
  <c r="Q27" i="5"/>
  <c r="R27" i="5" s="1"/>
  <c r="X27" i="5"/>
  <c r="U25" i="5" l="1"/>
  <c r="AD26" i="5"/>
  <c r="Z26" i="5"/>
  <c r="AC27" i="5"/>
  <c r="Y27" i="5"/>
  <c r="T26" i="5"/>
  <c r="P28" i="5"/>
  <c r="X28" i="5"/>
  <c r="S27" i="5"/>
  <c r="AB28" i="5"/>
  <c r="Q28" i="5"/>
  <c r="R28" i="5" s="1"/>
  <c r="U26" i="5" l="1"/>
  <c r="AD27" i="5"/>
  <c r="Z27" i="5"/>
  <c r="Y28" i="5"/>
  <c r="AC28" i="5"/>
  <c r="AD28" i="5" s="1"/>
  <c r="T27" i="5"/>
  <c r="P29" i="5"/>
  <c r="X29" i="5"/>
  <c r="Q29" i="5"/>
  <c r="R29" i="5" s="1"/>
  <c r="S28" i="5"/>
  <c r="AB29" i="5"/>
  <c r="U27" i="5" l="1"/>
  <c r="Z28" i="5"/>
  <c r="AC29" i="5"/>
  <c r="AD29" i="5" s="1"/>
  <c r="Y29" i="5"/>
  <c r="T28" i="5"/>
  <c r="P30" i="5"/>
  <c r="Q30" i="5"/>
  <c r="R30" i="5"/>
  <c r="S29" i="5"/>
  <c r="X30" i="5"/>
  <c r="AB30" i="5"/>
  <c r="U28" i="5" l="1"/>
  <c r="Z29" i="5"/>
  <c r="Y30" i="5"/>
  <c r="Z30" i="5" s="1"/>
  <c r="AC30" i="5"/>
  <c r="AD30" i="5" s="1"/>
  <c r="T29" i="5"/>
  <c r="U29" i="5" s="1"/>
  <c r="P31" i="5"/>
  <c r="S30" i="5"/>
  <c r="X31" i="5"/>
  <c r="AB31" i="5"/>
  <c r="Q31" i="5"/>
  <c r="R31" i="5"/>
  <c r="AC31" i="5" l="1"/>
  <c r="AD31" i="5" s="1"/>
  <c r="Y31" i="5"/>
  <c r="Z31" i="5" s="1"/>
  <c r="T30" i="5"/>
  <c r="U30" i="5" s="1"/>
  <c r="P32" i="5"/>
  <c r="AB32" i="5"/>
  <c r="S31" i="5"/>
  <c r="X32" i="5"/>
  <c r="Q32" i="5"/>
  <c r="R32" i="5" s="1"/>
  <c r="AC32" i="5" l="1"/>
  <c r="AD32" i="5" s="1"/>
  <c r="Y32" i="5"/>
  <c r="Z32" i="5" s="1"/>
  <c r="T31" i="5"/>
  <c r="U31" i="5" s="1"/>
  <c r="P33" i="5"/>
  <c r="S32" i="5"/>
  <c r="AB33" i="5"/>
  <c r="X33" i="5"/>
  <c r="Q33" i="5"/>
  <c r="R33" i="5"/>
  <c r="Y33" i="5" l="1"/>
  <c r="Z33" i="5" s="1"/>
  <c r="AC33" i="5"/>
  <c r="AD33" i="5" s="1"/>
  <c r="T32" i="5"/>
  <c r="U32" i="5" s="1"/>
  <c r="P34" i="5"/>
  <c r="S33" i="5"/>
  <c r="X34" i="5"/>
  <c r="AB34" i="5"/>
  <c r="Q34" i="5"/>
  <c r="R34" i="5"/>
  <c r="AC34" i="5" l="1"/>
  <c r="AD34" i="5" s="1"/>
  <c r="Y34" i="5"/>
  <c r="Z34" i="5" s="1"/>
  <c r="T33" i="5"/>
  <c r="U33" i="5" s="1"/>
  <c r="P35" i="5"/>
  <c r="S34" i="5"/>
  <c r="AB35" i="5"/>
  <c r="X35" i="5"/>
  <c r="Q35" i="5"/>
  <c r="R35" i="5"/>
  <c r="Y35" i="5" l="1"/>
  <c r="Z35" i="5" s="1"/>
  <c r="AC35" i="5"/>
  <c r="AD35" i="5" s="1"/>
  <c r="T34" i="5"/>
  <c r="U34" i="5" s="1"/>
  <c r="P36" i="5"/>
  <c r="Q36" i="5"/>
  <c r="R36" i="5" s="1"/>
  <c r="X36" i="5"/>
  <c r="S35" i="5"/>
  <c r="AB36" i="5"/>
  <c r="Y36" i="5" l="1"/>
  <c r="Z36" i="5" s="1"/>
  <c r="AC36" i="5"/>
  <c r="AD36" i="5" s="1"/>
  <c r="T35" i="5"/>
  <c r="U35" i="5" s="1"/>
  <c r="P37" i="5"/>
  <c r="X37" i="5"/>
  <c r="AB37" i="5"/>
  <c r="Q37" i="5"/>
  <c r="R37" i="5" s="1"/>
  <c r="S36" i="5"/>
  <c r="T36" i="5" l="1"/>
  <c r="U36" i="5" s="1"/>
  <c r="AC37" i="5"/>
  <c r="AD37" i="5" s="1"/>
  <c r="Y37" i="5"/>
  <c r="Z37" i="5" s="1"/>
  <c r="P38" i="5"/>
  <c r="S37" i="5"/>
  <c r="X38" i="5"/>
  <c r="AB38" i="5"/>
  <c r="Q38" i="5"/>
  <c r="R38" i="5" s="1"/>
  <c r="Y38" i="5" l="1"/>
  <c r="Z38" i="5" s="1"/>
  <c r="AC38" i="5"/>
  <c r="AD38" i="5" s="1"/>
  <c r="T37" i="5"/>
  <c r="U37" i="5" s="1"/>
  <c r="P39" i="5"/>
  <c r="X39" i="5"/>
  <c r="Q39" i="5"/>
  <c r="R39" i="5"/>
  <c r="AB39" i="5"/>
  <c r="S38" i="5"/>
  <c r="T38" i="5" l="1"/>
  <c r="U38" i="5" s="1"/>
  <c r="AC39" i="5"/>
  <c r="AD39" i="5" s="1"/>
  <c r="Y39" i="5"/>
  <c r="Z39" i="5" s="1"/>
  <c r="P40" i="5"/>
  <c r="S39" i="5"/>
  <c r="AB40" i="5"/>
  <c r="Q40" i="5"/>
  <c r="R40" i="5"/>
  <c r="X40" i="5"/>
  <c r="T39" i="5" l="1"/>
  <c r="U39" i="5" s="1"/>
  <c r="Y40" i="5"/>
  <c r="Z40" i="5" s="1"/>
  <c r="AC40" i="5"/>
  <c r="AD40" i="5" s="1"/>
  <c r="P41" i="5"/>
  <c r="S40" i="5"/>
  <c r="X41" i="5"/>
  <c r="Q41" i="5"/>
  <c r="R41" i="5" s="1"/>
  <c r="AB41" i="5"/>
  <c r="Y41" i="5" l="1"/>
  <c r="Z41" i="5" s="1"/>
  <c r="AC41" i="5"/>
  <c r="AD41" i="5" s="1"/>
  <c r="T40" i="5"/>
  <c r="U40" i="5" s="1"/>
  <c r="P42" i="5"/>
  <c r="Q42" i="5"/>
  <c r="R42" i="5" s="1"/>
  <c r="X42" i="5"/>
  <c r="S41" i="5"/>
  <c r="AB42" i="5"/>
  <c r="Y42" i="5" l="1"/>
  <c r="Z42" i="5" s="1"/>
  <c r="AC42" i="5"/>
  <c r="AD42" i="5" s="1"/>
  <c r="T41" i="5"/>
  <c r="U41" i="5" s="1"/>
  <c r="P43" i="5"/>
  <c r="Q43" i="5"/>
  <c r="R43" i="5"/>
  <c r="S42" i="5"/>
  <c r="X43" i="5"/>
  <c r="AB43" i="5"/>
  <c r="Y43" i="5" l="1"/>
  <c r="Z43" i="5" s="1"/>
  <c r="AC43" i="5"/>
  <c r="AD43" i="5" s="1"/>
  <c r="T42" i="5"/>
  <c r="U42" i="5" s="1"/>
  <c r="P44" i="5"/>
  <c r="X44" i="5"/>
  <c r="S43" i="5"/>
  <c r="AB44" i="5"/>
  <c r="Q44" i="5"/>
  <c r="R44" i="5" s="1"/>
  <c r="T43" i="5" l="1"/>
  <c r="U43" i="5" s="1"/>
  <c r="Y44" i="5"/>
  <c r="Z44" i="5" s="1"/>
  <c r="AC44" i="5"/>
  <c r="AD44" i="5" s="1"/>
  <c r="P45" i="5"/>
  <c r="X45" i="5"/>
  <c r="Q45" i="5"/>
  <c r="R45" i="5" s="1"/>
  <c r="S44" i="5"/>
  <c r="AB45" i="5"/>
  <c r="AC45" i="5" l="1"/>
  <c r="AD45" i="5" s="1"/>
  <c r="Y45" i="5"/>
  <c r="Z45" i="5" s="1"/>
  <c r="T44" i="5"/>
  <c r="U44" i="5" s="1"/>
  <c r="P46" i="5"/>
  <c r="AB46" i="5"/>
  <c r="X46" i="5"/>
  <c r="S45" i="5"/>
  <c r="Q46" i="5"/>
  <c r="R46" i="5" s="1"/>
  <c r="AC46" i="5" l="1"/>
  <c r="AD46" i="5" s="1"/>
  <c r="Y46" i="5"/>
  <c r="Z46" i="5" s="1"/>
  <c r="T45" i="5"/>
  <c r="U45" i="5" s="1"/>
  <c r="P47" i="5"/>
  <c r="S46" i="5"/>
  <c r="AB47" i="5"/>
  <c r="Q47" i="5"/>
  <c r="R47" i="5" s="1"/>
  <c r="X47" i="5"/>
  <c r="T46" i="5" l="1"/>
  <c r="U46" i="5" s="1"/>
  <c r="Y47" i="5"/>
  <c r="Z47" i="5" s="1"/>
  <c r="AC47" i="5"/>
  <c r="AD47" i="5" s="1"/>
  <c r="P48" i="5"/>
  <c r="S47" i="5"/>
  <c r="AB48" i="5"/>
  <c r="X48" i="5"/>
  <c r="Q48" i="5"/>
  <c r="R48" i="5" s="1"/>
  <c r="Y48" i="5" l="1"/>
  <c r="Z48" i="5" s="1"/>
  <c r="AC48" i="5"/>
  <c r="AD48" i="5" s="1"/>
  <c r="T47" i="5"/>
  <c r="U47" i="5" s="1"/>
  <c r="P49" i="5"/>
  <c r="S48" i="5"/>
  <c r="X49" i="5"/>
  <c r="Q49" i="5"/>
  <c r="AB49" i="5"/>
  <c r="R49" i="5"/>
  <c r="T48" i="5" l="1"/>
  <c r="U48" i="5" s="1"/>
  <c r="Y49" i="5"/>
  <c r="Z49" i="5" s="1"/>
  <c r="AC49" i="5"/>
  <c r="AD49" i="5" s="1"/>
  <c r="P50" i="5"/>
  <c r="Q50" i="5"/>
  <c r="R50" i="5" s="1"/>
  <c r="X50" i="5"/>
  <c r="S49" i="5"/>
  <c r="AB50" i="5"/>
  <c r="Y50" i="5" l="1"/>
  <c r="Z50" i="5" s="1"/>
  <c r="AC50" i="5"/>
  <c r="AD50" i="5" s="1"/>
  <c r="T49" i="5"/>
  <c r="U49" i="5" s="1"/>
  <c r="P51" i="5"/>
  <c r="X51" i="5"/>
  <c r="Q51" i="5"/>
  <c r="R51" i="5" s="1"/>
  <c r="S50" i="5"/>
  <c r="AB51" i="5"/>
  <c r="Y51" i="5" l="1"/>
  <c r="Z51" i="5" s="1"/>
  <c r="AC51" i="5"/>
  <c r="AD51" i="5" s="1"/>
  <c r="T50" i="5"/>
  <c r="U50" i="5" s="1"/>
  <c r="P52" i="5"/>
  <c r="AB52" i="5"/>
  <c r="Q52" i="5"/>
  <c r="R52" i="5" s="1"/>
  <c r="S51" i="5"/>
  <c r="X52" i="5"/>
  <c r="Y52" i="5" l="1"/>
  <c r="Z52" i="5" s="1"/>
  <c r="AC52" i="5"/>
  <c r="AD52" i="5" s="1"/>
  <c r="T51" i="5"/>
  <c r="U51" i="5" s="1"/>
  <c r="P53" i="5"/>
  <c r="S52" i="5"/>
  <c r="X53" i="5"/>
  <c r="Q53" i="5"/>
  <c r="AB53" i="5"/>
  <c r="R53" i="5"/>
  <c r="T52" i="5" l="1"/>
  <c r="U52" i="5" s="1"/>
  <c r="Y53" i="5"/>
  <c r="Z53" i="5" s="1"/>
  <c r="AC53" i="5"/>
  <c r="AD53" i="5" s="1"/>
  <c r="P54" i="5"/>
  <c r="AB54" i="5"/>
  <c r="Q54" i="5"/>
  <c r="R54" i="5" s="1"/>
  <c r="S53" i="5"/>
  <c r="X54" i="5"/>
  <c r="Y54" i="5" l="1"/>
  <c r="Z54" i="5" s="1"/>
  <c r="AC54" i="5"/>
  <c r="AD54" i="5" s="1"/>
  <c r="T53" i="5"/>
  <c r="U53" i="5" s="1"/>
  <c r="P55" i="5"/>
  <c r="S54" i="5"/>
  <c r="X55" i="5"/>
  <c r="Q55" i="5"/>
  <c r="AB55" i="5"/>
  <c r="R55" i="5"/>
  <c r="T54" i="5" l="1"/>
  <c r="U54" i="5" s="1"/>
  <c r="Y55" i="5"/>
  <c r="Z55" i="5" s="1"/>
  <c r="AC55" i="5"/>
  <c r="AD55" i="5" s="1"/>
  <c r="P56" i="5"/>
  <c r="S55" i="5"/>
  <c r="X56" i="5"/>
  <c r="Q56" i="5"/>
  <c r="AB56" i="5"/>
  <c r="R56" i="5"/>
  <c r="T55" i="5" l="1"/>
  <c r="U55" i="5" s="1"/>
  <c r="Y56" i="5"/>
  <c r="Z56" i="5" s="1"/>
  <c r="AC56" i="5"/>
  <c r="AD56" i="5" s="1"/>
  <c r="P57" i="5"/>
  <c r="AB57" i="5"/>
  <c r="Q57" i="5"/>
  <c r="R57" i="5" s="1"/>
  <c r="S56" i="5"/>
  <c r="X57" i="5"/>
  <c r="Y57" i="5" l="1"/>
  <c r="Z57" i="5" s="1"/>
  <c r="AC57" i="5"/>
  <c r="AD57" i="5" s="1"/>
  <c r="T56" i="5"/>
  <c r="U56" i="5" s="1"/>
  <c r="P58" i="5"/>
  <c r="S57" i="5"/>
  <c r="X58" i="5"/>
  <c r="AB58" i="5"/>
  <c r="Q58" i="5"/>
  <c r="R58" i="5" s="1"/>
  <c r="T57" i="5" l="1"/>
  <c r="U57" i="5" s="1"/>
  <c r="Y58" i="5"/>
  <c r="Z58" i="5" s="1"/>
  <c r="AC58" i="5"/>
  <c r="AD58" i="5" s="1"/>
  <c r="P59" i="5"/>
  <c r="AB59" i="5"/>
  <c r="Q59" i="5"/>
  <c r="R59" i="5" s="1"/>
  <c r="S58" i="5"/>
  <c r="X59" i="5"/>
  <c r="Y59" i="5" l="1"/>
  <c r="Z59" i="5" s="1"/>
  <c r="AC59" i="5"/>
  <c r="AD59" i="5" s="1"/>
  <c r="T58" i="5"/>
  <c r="U58" i="5" s="1"/>
  <c r="P60" i="5"/>
  <c r="AB60" i="5"/>
  <c r="X60" i="5"/>
  <c r="S59" i="5"/>
  <c r="Q60" i="5"/>
  <c r="R60" i="5" s="1"/>
  <c r="Y60" i="5" l="1"/>
  <c r="Z60" i="5" s="1"/>
  <c r="AC60" i="5"/>
  <c r="AD60" i="5" s="1"/>
  <c r="T59" i="5"/>
  <c r="U59" i="5" s="1"/>
  <c r="P61" i="5"/>
  <c r="S60" i="5"/>
  <c r="X61" i="5"/>
  <c r="Q61" i="5"/>
  <c r="AB61" i="5"/>
  <c r="R61" i="5"/>
  <c r="T60" i="5" l="1"/>
  <c r="U60" i="5" s="1"/>
  <c r="Y61" i="5"/>
  <c r="Z61" i="5" s="1"/>
  <c r="AC61" i="5"/>
  <c r="AD61" i="5" s="1"/>
  <c r="P62" i="5"/>
  <c r="AB62" i="5"/>
  <c r="S61" i="5"/>
  <c r="X62" i="5"/>
  <c r="Q62" i="5"/>
  <c r="R62" i="5" s="1"/>
  <c r="Y62" i="5" l="1"/>
  <c r="Z62" i="5" s="1"/>
  <c r="AC62" i="5"/>
  <c r="AD62" i="5" s="1"/>
  <c r="T61" i="5"/>
  <c r="U61" i="5" s="1"/>
  <c r="P63" i="5"/>
  <c r="S62" i="5"/>
  <c r="X63" i="5"/>
  <c r="AB63" i="5"/>
  <c r="Q63" i="5"/>
  <c r="R63" i="5" s="1"/>
  <c r="T62" i="5" l="1"/>
  <c r="U62" i="5" s="1"/>
  <c r="AC63" i="5"/>
  <c r="AD63" i="5" s="1"/>
  <c r="Y63" i="5"/>
  <c r="Z63" i="5" s="1"/>
  <c r="P64" i="5"/>
  <c r="Q64" i="5"/>
  <c r="R64" i="5" s="1"/>
  <c r="AB64" i="5"/>
  <c r="S63" i="5"/>
  <c r="X64" i="5"/>
  <c r="Y64" i="5" l="1"/>
  <c r="Z64" i="5" s="1"/>
  <c r="AC64" i="5"/>
  <c r="AD64" i="5" s="1"/>
  <c r="T63" i="5"/>
  <c r="U63" i="5" s="1"/>
  <c r="P65" i="5"/>
  <c r="S64" i="5"/>
  <c r="Q65" i="5"/>
  <c r="R65" i="5" s="1"/>
  <c r="X65" i="5"/>
  <c r="AB65" i="5"/>
  <c r="T64" i="5" l="1"/>
  <c r="U64" i="5" s="1"/>
  <c r="Y65" i="5"/>
  <c r="Z65" i="5" s="1"/>
  <c r="AC65" i="5"/>
  <c r="AD65" i="5" s="1"/>
  <c r="P66" i="5"/>
  <c r="AB66" i="5"/>
  <c r="Q66" i="5"/>
  <c r="R66" i="5" s="1"/>
  <c r="S65" i="5"/>
  <c r="X66" i="5"/>
  <c r="AC66" i="5" l="1"/>
  <c r="AD66" i="5" s="1"/>
  <c r="Y66" i="5"/>
  <c r="Z66" i="5" s="1"/>
  <c r="T65" i="5"/>
  <c r="U65" i="5" s="1"/>
  <c r="P67" i="5"/>
  <c r="AB67" i="5"/>
  <c r="Q67" i="5"/>
  <c r="R67" i="5" s="1"/>
  <c r="S66" i="5"/>
  <c r="X67" i="5"/>
  <c r="AC67" i="5" l="1"/>
  <c r="AD67" i="5" s="1"/>
  <c r="Y67" i="5"/>
  <c r="Z67" i="5" s="1"/>
  <c r="T66" i="5"/>
  <c r="U66" i="5" s="1"/>
  <c r="P68" i="5"/>
  <c r="S67" i="5"/>
  <c r="Q68" i="5"/>
  <c r="R68" i="5" s="1"/>
  <c r="X68" i="5"/>
  <c r="AB68" i="5"/>
  <c r="T67" i="5" l="1"/>
  <c r="U67" i="5" s="1"/>
  <c r="AC68" i="5"/>
  <c r="AD68" i="5" s="1"/>
  <c r="Y68" i="5"/>
  <c r="Z68" i="5" s="1"/>
  <c r="P69" i="5"/>
  <c r="X69" i="5"/>
  <c r="Q69" i="5"/>
  <c r="R69" i="5" s="1"/>
  <c r="S68" i="5"/>
  <c r="AB69" i="5"/>
  <c r="Y69" i="5" l="1"/>
  <c r="Z69" i="5" s="1"/>
  <c r="AC69" i="5"/>
  <c r="AD69" i="5" s="1"/>
  <c r="T68" i="5"/>
  <c r="U68" i="5" s="1"/>
  <c r="P70" i="5"/>
  <c r="S69" i="5"/>
  <c r="X70" i="5"/>
  <c r="Q70" i="5"/>
  <c r="R70" i="5" s="1"/>
  <c r="AB70" i="5"/>
  <c r="T69" i="5" l="1"/>
  <c r="U69" i="5" s="1"/>
  <c r="Y70" i="5"/>
  <c r="Z70" i="5" s="1"/>
  <c r="AC70" i="5"/>
  <c r="AD70" i="5" s="1"/>
  <c r="P71" i="5"/>
  <c r="X71" i="5"/>
  <c r="AB71" i="5"/>
  <c r="Q71" i="5"/>
  <c r="R71" i="5" s="1"/>
  <c r="S70" i="5"/>
  <c r="Y71" i="5" l="1"/>
  <c r="Z71" i="5" s="1"/>
  <c r="AC71" i="5"/>
  <c r="AD71" i="5" s="1"/>
  <c r="T70" i="5"/>
  <c r="U70" i="5" s="1"/>
  <c r="P72" i="5"/>
  <c r="S71" i="5"/>
  <c r="AB72" i="5"/>
  <c r="Q72" i="5"/>
  <c r="X72" i="5"/>
  <c r="R72" i="5"/>
  <c r="T71" i="5" l="1"/>
  <c r="U71" i="5" s="1"/>
  <c r="AC72" i="5"/>
  <c r="AD72" i="5" s="1"/>
  <c r="Y72" i="5"/>
  <c r="Z72" i="5" s="1"/>
  <c r="P73" i="5"/>
  <c r="AB73" i="5"/>
  <c r="X73" i="5"/>
  <c r="Q73" i="5"/>
  <c r="R73" i="5" s="1"/>
  <c r="S72" i="5"/>
  <c r="AC73" i="5" l="1"/>
  <c r="AD73" i="5" s="1"/>
  <c r="Y73" i="5"/>
  <c r="Z73" i="5" s="1"/>
  <c r="T72" i="5"/>
  <c r="U72" i="5" s="1"/>
  <c r="P74" i="5"/>
  <c r="Q74" i="5"/>
  <c r="R74" i="5" s="1"/>
  <c r="AB74" i="5"/>
  <c r="S73" i="5"/>
  <c r="X74" i="5"/>
  <c r="Y74" i="5" l="1"/>
  <c r="Z74" i="5" s="1"/>
  <c r="AC74" i="5"/>
  <c r="AD74" i="5" s="1"/>
  <c r="T73" i="5"/>
  <c r="U73" i="5" s="1"/>
  <c r="P75" i="5"/>
  <c r="Q75" i="5"/>
  <c r="R75" i="5" s="1"/>
  <c r="X75" i="5"/>
  <c r="AB75" i="5"/>
  <c r="S74" i="5"/>
  <c r="Y75" i="5" l="1"/>
  <c r="Z75" i="5" s="1"/>
  <c r="AC75" i="5"/>
  <c r="AD75" i="5" s="1"/>
  <c r="T74" i="5"/>
  <c r="U74" i="5" s="1"/>
  <c r="P76" i="5"/>
  <c r="Q76" i="5"/>
  <c r="R76" i="5" s="1"/>
  <c r="AB76" i="5"/>
  <c r="S75" i="5"/>
  <c r="X76" i="5"/>
  <c r="AC76" i="5" l="1"/>
  <c r="AD76" i="5" s="1"/>
  <c r="Y76" i="5"/>
  <c r="Z76" i="5" s="1"/>
  <c r="T75" i="5"/>
  <c r="U75" i="5" s="1"/>
  <c r="P77" i="5"/>
  <c r="X77" i="5"/>
  <c r="AB77" i="5"/>
  <c r="S76" i="5"/>
  <c r="Q77" i="5"/>
  <c r="R77" i="5" s="1"/>
  <c r="Y77" i="5" l="1"/>
  <c r="Z77" i="5" s="1"/>
  <c r="AC77" i="5"/>
  <c r="AD77" i="5" s="1"/>
  <c r="T76" i="5"/>
  <c r="U76" i="5" s="1"/>
  <c r="P78" i="5"/>
  <c r="Q78" i="5"/>
  <c r="R78" i="5"/>
  <c r="S77" i="5"/>
  <c r="AB78" i="5"/>
  <c r="X78" i="5"/>
  <c r="Y78" i="5" l="1"/>
  <c r="Z78" i="5" s="1"/>
  <c r="AC78" i="5"/>
  <c r="AD78" i="5" s="1"/>
  <c r="T77" i="5"/>
  <c r="U77" i="5" s="1"/>
  <c r="P79" i="5"/>
  <c r="S78" i="5"/>
  <c r="X79" i="5"/>
  <c r="Q79" i="5"/>
  <c r="R79" i="5"/>
  <c r="AB79" i="5"/>
  <c r="T78" i="5" l="1"/>
  <c r="U78" i="5" s="1"/>
  <c r="Y79" i="5"/>
  <c r="Z79" i="5" s="1"/>
  <c r="AC79" i="5"/>
  <c r="AD79" i="5" s="1"/>
  <c r="P80" i="5"/>
  <c r="X80" i="5"/>
  <c r="S79" i="5"/>
  <c r="AB80" i="5"/>
  <c r="Q80" i="5"/>
  <c r="R80" i="5" s="1"/>
  <c r="AC80" i="5" l="1"/>
  <c r="AD80" i="5" s="1"/>
  <c r="Y80" i="5"/>
  <c r="Z80" i="5" s="1"/>
  <c r="T79" i="5"/>
  <c r="U79" i="5" s="1"/>
  <c r="P81" i="5"/>
  <c r="S80" i="5"/>
  <c r="Q81" i="5"/>
  <c r="R81" i="5" s="1"/>
  <c r="X81" i="5"/>
  <c r="AB81" i="5"/>
  <c r="T80" i="5" l="1"/>
  <c r="U80" i="5" s="1"/>
  <c r="AC81" i="5"/>
  <c r="AD81" i="5" s="1"/>
  <c r="Y81" i="5"/>
  <c r="Z81" i="5" s="1"/>
  <c r="P82" i="5"/>
  <c r="AB82" i="5"/>
  <c r="X82" i="5"/>
  <c r="S81" i="5"/>
  <c r="Q82" i="5"/>
  <c r="R82" i="5" s="1"/>
  <c r="Y82" i="5" l="1"/>
  <c r="Z82" i="5" s="1"/>
  <c r="AC82" i="5"/>
  <c r="AD82" i="5" s="1"/>
  <c r="T81" i="5"/>
  <c r="U81" i="5" s="1"/>
  <c r="P83" i="5"/>
  <c r="Q83" i="5"/>
  <c r="AB83" i="5"/>
  <c r="R83" i="5"/>
  <c r="S82" i="5"/>
  <c r="X83" i="5"/>
  <c r="T82" i="5" l="1"/>
  <c r="U82" i="5" s="1"/>
  <c r="Y83" i="5"/>
  <c r="Z83" i="5" s="1"/>
  <c r="AC83" i="5"/>
  <c r="AD83" i="5" s="1"/>
  <c r="P84" i="5"/>
  <c r="X84" i="5"/>
  <c r="Q84" i="5"/>
  <c r="S83" i="5"/>
  <c r="AB84" i="5"/>
  <c r="R84" i="5"/>
  <c r="T83" i="5" l="1"/>
  <c r="U83" i="5" s="1"/>
  <c r="Y84" i="5"/>
  <c r="Z84" i="5" s="1"/>
  <c r="AC84" i="5"/>
  <c r="AD84" i="5" s="1"/>
  <c r="P85" i="5"/>
  <c r="AB85" i="5"/>
  <c r="X85" i="5"/>
  <c r="S84" i="5"/>
  <c r="Q85" i="5"/>
  <c r="R85" i="5" s="1"/>
  <c r="Y85" i="5" l="1"/>
  <c r="Z85" i="5" s="1"/>
  <c r="AC85" i="5"/>
  <c r="AD85" i="5" s="1"/>
  <c r="T84" i="5"/>
  <c r="U84" i="5" s="1"/>
  <c r="P86" i="5"/>
  <c r="Q86" i="5"/>
  <c r="X86" i="5"/>
  <c r="AB86" i="5"/>
  <c r="S85" i="5"/>
  <c r="R86" i="5"/>
  <c r="T85" i="5" l="1"/>
  <c r="U85" i="5" s="1"/>
  <c r="Y86" i="5"/>
  <c r="Z86" i="5" s="1"/>
  <c r="AC86" i="5"/>
  <c r="AD86" i="5" s="1"/>
  <c r="P87" i="5"/>
  <c r="S86" i="5"/>
  <c r="X87" i="5"/>
  <c r="AB87" i="5"/>
  <c r="Q87" i="5"/>
  <c r="R87" i="5" s="1"/>
  <c r="T86" i="5" l="1"/>
  <c r="U86" i="5" s="1"/>
  <c r="Y87" i="5"/>
  <c r="Z87" i="5" s="1"/>
  <c r="AC87" i="5"/>
  <c r="AD87" i="5" s="1"/>
  <c r="P88" i="5"/>
  <c r="Q88" i="5"/>
  <c r="R88" i="5" s="1"/>
  <c r="AB88" i="5"/>
  <c r="S87" i="5"/>
  <c r="X88" i="5"/>
  <c r="AC88" i="5" l="1"/>
  <c r="AD88" i="5" s="1"/>
  <c r="Y88" i="5"/>
  <c r="Z88" i="5" s="1"/>
  <c r="T87" i="5"/>
  <c r="U87" i="5" s="1"/>
  <c r="P89" i="5"/>
  <c r="Q89" i="5"/>
  <c r="R89" i="5" s="1"/>
  <c r="S88" i="5"/>
  <c r="X89" i="5"/>
  <c r="AB89" i="5"/>
  <c r="T88" i="5" l="1"/>
  <c r="U88" i="5" s="1"/>
  <c r="Y89" i="5"/>
  <c r="Z89" i="5" s="1"/>
  <c r="AC89" i="5"/>
  <c r="AD89" i="5" s="1"/>
  <c r="P90" i="5"/>
  <c r="Q90" i="5"/>
  <c r="R90" i="5"/>
  <c r="AB90" i="5"/>
  <c r="S89" i="5"/>
  <c r="X90" i="5"/>
  <c r="Y90" i="5" l="1"/>
  <c r="Z90" i="5" s="1"/>
  <c r="AC90" i="5"/>
  <c r="AD90" i="5" s="1"/>
  <c r="T89" i="5"/>
  <c r="U89" i="5"/>
  <c r="P91" i="5"/>
  <c r="Q91" i="5"/>
  <c r="R91" i="5"/>
  <c r="AB91" i="5"/>
  <c r="S90" i="5"/>
  <c r="X91" i="5"/>
  <c r="Y91" i="5" l="1"/>
  <c r="Z91" i="5" s="1"/>
  <c r="AC91" i="5"/>
  <c r="AD91" i="5" s="1"/>
  <c r="T90" i="5"/>
  <c r="U90" i="5" s="1"/>
  <c r="P92" i="5"/>
  <c r="X92" i="5"/>
  <c r="S91" i="5"/>
  <c r="AB92" i="5"/>
  <c r="Q92" i="5"/>
  <c r="R92" i="5" s="1"/>
  <c r="Y92" i="5" l="1"/>
  <c r="Z92" i="5" s="1"/>
  <c r="AC92" i="5"/>
  <c r="AD92" i="5" s="1"/>
  <c r="T91" i="5"/>
  <c r="U91" i="5" s="1"/>
  <c r="P93" i="5"/>
  <c r="Q93" i="5"/>
  <c r="R93" i="5" s="1"/>
  <c r="AB93" i="5"/>
  <c r="S92" i="5"/>
  <c r="X93" i="5"/>
  <c r="Y93" i="5" l="1"/>
  <c r="Z93" i="5" s="1"/>
  <c r="AC93" i="5"/>
  <c r="AD93" i="5" s="1"/>
  <c r="T92" i="5"/>
  <c r="U92" i="5" s="1"/>
  <c r="P94" i="5"/>
  <c r="AB94" i="5"/>
  <c r="Q94" i="5"/>
  <c r="R94" i="5" s="1"/>
  <c r="S93" i="5"/>
  <c r="X94" i="5"/>
  <c r="Y94" i="5" l="1"/>
  <c r="Z94" i="5" s="1"/>
  <c r="AC94" i="5"/>
  <c r="AD94" i="5" s="1"/>
  <c r="T93" i="5"/>
  <c r="U93" i="5" s="1"/>
  <c r="P95" i="5"/>
  <c r="S94" i="5"/>
  <c r="X95" i="5"/>
  <c r="AB95" i="5"/>
  <c r="Q95" i="5"/>
  <c r="R95" i="5" s="1"/>
  <c r="T94" i="5" l="1"/>
  <c r="U94" i="5" s="1"/>
  <c r="Y95" i="5"/>
  <c r="Z95" i="5" s="1"/>
  <c r="AC95" i="5"/>
  <c r="AD95" i="5" s="1"/>
  <c r="P96" i="5"/>
  <c r="Q96" i="5"/>
  <c r="S95" i="5"/>
  <c r="X96" i="5"/>
  <c r="AB96" i="5"/>
  <c r="R96" i="5"/>
  <c r="AC96" i="5" l="1"/>
  <c r="AD96" i="5" s="1"/>
  <c r="Y96" i="5"/>
  <c r="Z96" i="5" s="1"/>
  <c r="T95" i="5"/>
  <c r="U95" i="5" s="1"/>
  <c r="P97" i="5"/>
  <c r="Q97" i="5"/>
  <c r="AB97" i="5"/>
  <c r="X97" i="5"/>
  <c r="R97" i="5"/>
  <c r="S96" i="5"/>
  <c r="T96" i="5" l="1"/>
  <c r="U96" i="5" s="1"/>
  <c r="Y97" i="5"/>
  <c r="Z97" i="5" s="1"/>
  <c r="AC97" i="5"/>
  <c r="AD97" i="5" s="1"/>
  <c r="P98" i="5"/>
  <c r="Q98" i="5"/>
  <c r="S97" i="5"/>
  <c r="X98" i="5"/>
  <c r="AB98" i="5"/>
  <c r="R98" i="5"/>
  <c r="AC98" i="5" l="1"/>
  <c r="AD98" i="5" s="1"/>
  <c r="Y98" i="5"/>
  <c r="Z98" i="5" s="1"/>
  <c r="T97" i="5"/>
  <c r="U97" i="5" s="1"/>
  <c r="P99" i="5"/>
  <c r="X99" i="5"/>
  <c r="S98" i="5"/>
  <c r="AB99" i="5"/>
  <c r="Q99" i="5"/>
  <c r="R99" i="5" s="1"/>
  <c r="Y99" i="5" l="1"/>
  <c r="Z99" i="5" s="1"/>
  <c r="AC99" i="5"/>
  <c r="AD99" i="5" s="1"/>
  <c r="T98" i="5"/>
  <c r="U98" i="5" s="1"/>
  <c r="P100" i="5"/>
  <c r="X100" i="5"/>
  <c r="S99" i="5"/>
  <c r="AB100" i="5"/>
  <c r="Q100" i="5"/>
  <c r="R100" i="5" s="1"/>
  <c r="Y100" i="5" l="1"/>
  <c r="Z100" i="5" s="1"/>
  <c r="AC100" i="5"/>
  <c r="AD100" i="5" s="1"/>
  <c r="T99" i="5"/>
  <c r="U99" i="5" s="1"/>
  <c r="P101" i="5"/>
  <c r="Q101" i="5"/>
  <c r="R101" i="5" s="1"/>
  <c r="AB101" i="5"/>
  <c r="S100" i="5"/>
  <c r="X101" i="5"/>
  <c r="Y101" i="5" l="1"/>
  <c r="Z101" i="5" s="1"/>
  <c r="AC101" i="5"/>
  <c r="AD101" i="5" s="1"/>
  <c r="T100" i="5"/>
  <c r="U100" i="5" s="1"/>
  <c r="P102" i="5"/>
  <c r="AB102" i="5"/>
  <c r="X102" i="5"/>
  <c r="S101" i="5"/>
  <c r="Q102" i="5"/>
  <c r="R102" i="5" s="1"/>
  <c r="Y102" i="5" l="1"/>
  <c r="Z102" i="5" s="1"/>
  <c r="AC102" i="5"/>
  <c r="AD102" i="5" s="1"/>
  <c r="T101" i="5"/>
  <c r="U101" i="5" s="1"/>
  <c r="P103" i="5"/>
  <c r="X103" i="5"/>
  <c r="S102" i="5"/>
  <c r="AB103" i="5"/>
  <c r="Q103" i="5"/>
  <c r="R103" i="5" s="1"/>
  <c r="Y103" i="5" l="1"/>
  <c r="Z103" i="5" s="1"/>
  <c r="AC103" i="5"/>
  <c r="AD103" i="5" s="1"/>
  <c r="T102" i="5"/>
  <c r="U102" i="5" s="1"/>
  <c r="P104" i="5"/>
  <c r="X104" i="5"/>
  <c r="S103" i="5"/>
  <c r="AB104" i="5"/>
  <c r="Q104" i="5"/>
  <c r="R104" i="5" s="1"/>
  <c r="T103" i="5" l="1"/>
  <c r="U103" i="5" s="1"/>
  <c r="Y104" i="5"/>
  <c r="Z104" i="5" s="1"/>
  <c r="AC104" i="5"/>
  <c r="AD104" i="5" s="1"/>
  <c r="P105" i="5"/>
  <c r="S104" i="5"/>
  <c r="X105" i="5"/>
  <c r="Q105" i="5"/>
  <c r="AB105" i="5"/>
  <c r="R105" i="5"/>
  <c r="T104" i="5" l="1"/>
  <c r="U104" i="5" s="1"/>
  <c r="Y105" i="5"/>
  <c r="Z105" i="5" s="1"/>
  <c r="AC105" i="5"/>
  <c r="AD105" i="5" s="1"/>
  <c r="P106" i="5"/>
  <c r="X106" i="5"/>
  <c r="S105" i="5"/>
  <c r="AB106" i="5"/>
  <c r="Q106" i="5"/>
  <c r="R106" i="5" s="1"/>
  <c r="Y106" i="5" l="1"/>
  <c r="Z106" i="5" s="1"/>
  <c r="AC106" i="5"/>
  <c r="AD106" i="5" s="1"/>
  <c r="T105" i="5"/>
  <c r="U105" i="5" s="1"/>
  <c r="P107" i="5"/>
  <c r="Q107" i="5"/>
  <c r="AB107" i="5"/>
  <c r="X107" i="5"/>
  <c r="R107" i="5"/>
  <c r="S106" i="5"/>
  <c r="T106" i="5" l="1"/>
  <c r="U106" i="5" s="1"/>
  <c r="Y107" i="5"/>
  <c r="Z107" i="5" s="1"/>
  <c r="AC107" i="5"/>
  <c r="AD107" i="5" s="1"/>
  <c r="P108" i="5"/>
  <c r="Q108" i="5"/>
  <c r="AB108" i="5"/>
  <c r="S107" i="5"/>
  <c r="R108" i="5"/>
  <c r="X108" i="5"/>
  <c r="T107" i="5" l="1"/>
  <c r="U107" i="5" s="1"/>
  <c r="Y108" i="5"/>
  <c r="Z108" i="5" s="1"/>
  <c r="AC108" i="5"/>
  <c r="AD108" i="5" s="1"/>
  <c r="P109" i="5"/>
  <c r="X109" i="5"/>
  <c r="S108" i="5"/>
  <c r="AB109" i="5"/>
  <c r="Q109" i="5"/>
  <c r="R109" i="5" s="1"/>
  <c r="Y109" i="5" l="1"/>
  <c r="Z109" i="5" s="1"/>
  <c r="AC109" i="5"/>
  <c r="AD109" i="5" s="1"/>
  <c r="T108" i="5"/>
  <c r="U108" i="5" s="1"/>
  <c r="P110" i="5"/>
  <c r="X110" i="5"/>
  <c r="S109" i="5"/>
  <c r="Q110" i="5"/>
  <c r="AB110" i="5"/>
  <c r="R110" i="5"/>
  <c r="Y110" i="5" l="1"/>
  <c r="Z110" i="5" s="1"/>
  <c r="AC110" i="5"/>
  <c r="AD110" i="5" s="1"/>
  <c r="T109" i="5"/>
  <c r="U109" i="5" s="1"/>
  <c r="P111" i="5"/>
  <c r="Q111" i="5"/>
  <c r="S110" i="5"/>
  <c r="R111" i="5"/>
  <c r="AB111" i="5"/>
  <c r="X111" i="5"/>
  <c r="AC111" i="5" l="1"/>
  <c r="AD111" i="5" s="1"/>
  <c r="Y111" i="5"/>
  <c r="Z111" i="5" s="1"/>
  <c r="T110" i="5"/>
  <c r="U110" i="5" s="1"/>
  <c r="P112" i="5"/>
  <c r="X112" i="5"/>
  <c r="AB112" i="5"/>
  <c r="Q112" i="5"/>
  <c r="S111" i="5"/>
  <c r="R112" i="5"/>
  <c r="T111" i="5" l="1"/>
  <c r="U111" i="5" s="1"/>
  <c r="Y112" i="5"/>
  <c r="Z112" i="5" s="1"/>
  <c r="AC112" i="5"/>
  <c r="AD112" i="5" s="1"/>
  <c r="P113" i="5"/>
  <c r="S112" i="5"/>
  <c r="X113" i="5"/>
  <c r="AB113" i="5"/>
  <c r="Q113" i="5"/>
  <c r="R113" i="5" s="1"/>
  <c r="Y113" i="5" l="1"/>
  <c r="Z113" i="5" s="1"/>
  <c r="AC113" i="5"/>
  <c r="AD113" i="5" s="1"/>
  <c r="T112" i="5"/>
  <c r="U112" i="5" s="1"/>
  <c r="P114" i="5"/>
  <c r="S113" i="5"/>
  <c r="AB114" i="5"/>
  <c r="Q114" i="5"/>
  <c r="R114" i="5"/>
  <c r="X114" i="5"/>
  <c r="T113" i="5" l="1"/>
  <c r="U113" i="5" s="1"/>
  <c r="AC114" i="5"/>
  <c r="AD114" i="5" s="1"/>
  <c r="Y114" i="5"/>
  <c r="Z114" i="5" s="1"/>
  <c r="P115" i="5"/>
  <c r="S114" i="5"/>
  <c r="X115" i="5"/>
  <c r="Q115" i="5"/>
  <c r="R115" i="5" s="1"/>
  <c r="AB115" i="5"/>
  <c r="Y115" i="5" l="1"/>
  <c r="Z115" i="5" s="1"/>
  <c r="AC115" i="5"/>
  <c r="AD115" i="5" s="1"/>
  <c r="T114" i="5"/>
  <c r="U114" i="5" s="1"/>
  <c r="P116" i="5"/>
  <c r="X116" i="5"/>
  <c r="S115" i="5"/>
  <c r="Q116" i="5"/>
  <c r="R116" i="5" s="1"/>
  <c r="AB116" i="5"/>
  <c r="Y116" i="5" l="1"/>
  <c r="Z116" i="5" s="1"/>
  <c r="AC116" i="5"/>
  <c r="AD116" i="5" s="1"/>
  <c r="T115" i="5"/>
  <c r="U115" i="5" s="1"/>
  <c r="P117" i="5"/>
  <c r="S116" i="5"/>
  <c r="Q117" i="5"/>
  <c r="X117" i="5"/>
  <c r="AB117" i="5"/>
  <c r="R117" i="5"/>
  <c r="T116" i="5" l="1"/>
  <c r="U116" i="5" s="1"/>
  <c r="Y117" i="5"/>
  <c r="Z117" i="5" s="1"/>
  <c r="AC117" i="5"/>
  <c r="AD117" i="5" s="1"/>
  <c r="P118" i="5"/>
  <c r="Q118" i="5"/>
  <c r="S117" i="5"/>
  <c r="R118" i="5"/>
  <c r="AB118" i="5"/>
  <c r="X118" i="5"/>
  <c r="AC118" i="5" l="1"/>
  <c r="AD118" i="5" s="1"/>
  <c r="Y118" i="5"/>
  <c r="Z118" i="5" s="1"/>
  <c r="T117" i="5"/>
  <c r="U117" i="5" s="1"/>
  <c r="P119" i="5"/>
  <c r="Q119" i="5"/>
  <c r="S118" i="5"/>
  <c r="R119" i="5"/>
  <c r="X119" i="5"/>
  <c r="AB119" i="5"/>
  <c r="Y119" i="5" l="1"/>
  <c r="Z119" i="5" s="1"/>
  <c r="AC119" i="5"/>
  <c r="AD119" i="5" s="1"/>
  <c r="T118" i="5"/>
  <c r="U118" i="5" s="1"/>
  <c r="P120" i="5"/>
  <c r="AB120" i="5"/>
  <c r="Q120" i="5"/>
  <c r="R120" i="5" s="1"/>
  <c r="X120" i="5"/>
  <c r="S119" i="5"/>
  <c r="T119" i="5" l="1"/>
  <c r="U119" i="5" s="1"/>
  <c r="Y120" i="5"/>
  <c r="Z120" i="5" s="1"/>
  <c r="AC120" i="5"/>
  <c r="AD120" i="5" s="1"/>
  <c r="P121" i="5"/>
  <c r="S120" i="5"/>
  <c r="X121" i="5"/>
  <c r="Q121" i="5"/>
  <c r="AB121" i="5"/>
  <c r="R121" i="5"/>
  <c r="Y121" i="5" l="1"/>
  <c r="Z121" i="5" s="1"/>
  <c r="AC121" i="5"/>
  <c r="AD121" i="5" s="1"/>
  <c r="T120" i="5"/>
  <c r="U120" i="5" s="1"/>
  <c r="P122" i="5"/>
  <c r="AB122" i="5"/>
  <c r="X122" i="5"/>
  <c r="Q122" i="5"/>
  <c r="R122" i="5"/>
  <c r="S121" i="5"/>
  <c r="T121" i="5" l="1"/>
  <c r="U121" i="5" s="1"/>
  <c r="Y122" i="5"/>
  <c r="Z122" i="5" s="1"/>
  <c r="AC122" i="5"/>
  <c r="AD122" i="5" s="1"/>
  <c r="P123" i="5"/>
  <c r="S122" i="5"/>
  <c r="Q123" i="5"/>
  <c r="AB123" i="5"/>
  <c r="X123" i="5"/>
  <c r="R123" i="5"/>
  <c r="Y123" i="5" l="1"/>
  <c r="Z123" i="5" s="1"/>
  <c r="AC123" i="5"/>
  <c r="AD123" i="5" s="1"/>
  <c r="T122" i="5"/>
  <c r="U122" i="5" s="1"/>
  <c r="P124" i="5"/>
  <c r="AB124" i="5"/>
  <c r="Q124" i="5"/>
  <c r="X124" i="5"/>
  <c r="R124" i="5"/>
  <c r="S123" i="5"/>
  <c r="T123" i="5" l="1"/>
  <c r="U123" i="5" s="1"/>
  <c r="Y124" i="5"/>
  <c r="Z124" i="5" s="1"/>
  <c r="AC124" i="5"/>
  <c r="AD124" i="5" s="1"/>
  <c r="P125" i="5"/>
  <c r="X125" i="5"/>
  <c r="S124" i="5"/>
  <c r="Q125" i="5"/>
  <c r="AB125" i="5"/>
  <c r="R125" i="5"/>
  <c r="Y125" i="5" l="1"/>
  <c r="Z125" i="5" s="1"/>
  <c r="AC125" i="5"/>
  <c r="AD125" i="5" s="1"/>
  <c r="T124" i="5"/>
  <c r="U124" i="5" s="1"/>
  <c r="P126" i="5"/>
  <c r="S125" i="5"/>
  <c r="X126" i="5"/>
  <c r="AB126" i="5"/>
  <c r="Q126" i="5"/>
  <c r="R126" i="5" s="1"/>
  <c r="Y126" i="5" l="1"/>
  <c r="Z126" i="5" s="1"/>
  <c r="AC126" i="5"/>
  <c r="AD126" i="5" s="1"/>
  <c r="T125" i="5"/>
  <c r="U125" i="5" s="1"/>
  <c r="P127" i="5"/>
  <c r="S126" i="5"/>
  <c r="X127" i="5"/>
  <c r="Q127" i="5"/>
  <c r="AB127" i="5"/>
  <c r="R127" i="5"/>
  <c r="T126" i="5" l="1"/>
  <c r="U126" i="5" s="1"/>
  <c r="Y127" i="5"/>
  <c r="Z127" i="5" s="1"/>
  <c r="AC127" i="5"/>
  <c r="AD127" i="5" s="1"/>
  <c r="P128" i="5"/>
  <c r="Q128" i="5"/>
  <c r="R128" i="5" s="1"/>
  <c r="S127" i="5"/>
  <c r="X128" i="5"/>
  <c r="AB128" i="5"/>
  <c r="Y128" i="5" l="1"/>
  <c r="Z128" i="5" s="1"/>
  <c r="AC128" i="5"/>
  <c r="AD128" i="5" s="1"/>
  <c r="T127" i="5"/>
  <c r="U127" i="5" s="1"/>
  <c r="P129" i="5"/>
  <c r="AB129" i="5"/>
  <c r="Q129" i="5"/>
  <c r="X129" i="5"/>
  <c r="R129" i="5"/>
  <c r="S128" i="5"/>
  <c r="T128" i="5" l="1"/>
  <c r="U128" i="5" s="1"/>
  <c r="Y129" i="5"/>
  <c r="Z129" i="5" s="1"/>
  <c r="AC129" i="5"/>
  <c r="AD129" i="5" s="1"/>
  <c r="P130" i="5"/>
  <c r="Q130" i="5"/>
  <c r="S129" i="5"/>
  <c r="R130" i="5"/>
  <c r="AB130" i="5"/>
  <c r="X130" i="5"/>
  <c r="AC130" i="5" l="1"/>
  <c r="AD130" i="5" s="1"/>
  <c r="Y130" i="5"/>
  <c r="Z130" i="5" s="1"/>
  <c r="T129" i="5"/>
  <c r="U129" i="5" s="1"/>
  <c r="P131" i="5"/>
  <c r="S130" i="5"/>
  <c r="AB131" i="5"/>
  <c r="Q131" i="5"/>
  <c r="R131" i="5" s="1"/>
  <c r="X131" i="5"/>
  <c r="T130" i="5" l="1"/>
  <c r="U130" i="5" s="1"/>
  <c r="Y131" i="5"/>
  <c r="Z131" i="5" s="1"/>
  <c r="AC131" i="5"/>
  <c r="AD131" i="5" s="1"/>
  <c r="P132" i="5"/>
  <c r="AB132" i="5"/>
  <c r="S131" i="5"/>
  <c r="X132" i="5"/>
  <c r="Q132" i="5"/>
  <c r="R132" i="5" s="1"/>
  <c r="Y132" i="5" l="1"/>
  <c r="Z132" i="5" s="1"/>
  <c r="AC132" i="5"/>
  <c r="AD132" i="5" s="1"/>
  <c r="T131" i="5"/>
  <c r="U131" i="5" s="1"/>
  <c r="P133" i="5"/>
  <c r="Q133" i="5"/>
  <c r="X133" i="5"/>
  <c r="R133" i="5"/>
  <c r="S132" i="5"/>
  <c r="AB133" i="5"/>
  <c r="Y133" i="5" l="1"/>
  <c r="Z133" i="5" s="1"/>
  <c r="AC133" i="5"/>
  <c r="AD133" i="5" s="1"/>
  <c r="T132" i="5"/>
  <c r="U132" i="5" s="1"/>
  <c r="P134" i="5"/>
  <c r="Q134" i="5"/>
  <c r="R134" i="5" s="1"/>
  <c r="S133" i="5"/>
  <c r="X134" i="5"/>
  <c r="AB134" i="5"/>
  <c r="Y134" i="5" l="1"/>
  <c r="Z134" i="5" s="1"/>
  <c r="AC134" i="5"/>
  <c r="AD134" i="5" s="1"/>
  <c r="T133" i="5"/>
  <c r="U133" i="5" s="1"/>
  <c r="P135" i="5"/>
  <c r="AB135" i="5"/>
  <c r="S134" i="5"/>
  <c r="Q135" i="5"/>
  <c r="R135" i="5" s="1"/>
  <c r="X135" i="5"/>
  <c r="T134" i="5" l="1"/>
  <c r="U134" i="5" s="1"/>
  <c r="Y135" i="5"/>
  <c r="Z135" i="5" s="1"/>
  <c r="AC135" i="5"/>
  <c r="AD135" i="5" s="1"/>
  <c r="P136" i="5"/>
  <c r="X136" i="5"/>
  <c r="Q136" i="5"/>
  <c r="R136" i="5" s="1"/>
  <c r="S135" i="5"/>
  <c r="AB136" i="5"/>
  <c r="Y136" i="5" l="1"/>
  <c r="Z136" i="5" s="1"/>
  <c r="AC136" i="5"/>
  <c r="AD136" i="5" s="1"/>
  <c r="T135" i="5"/>
  <c r="U135" i="5" s="1"/>
  <c r="P137" i="5"/>
  <c r="S136" i="5"/>
  <c r="Q137" i="5"/>
  <c r="R137" i="5" s="1"/>
  <c r="AB137" i="5"/>
  <c r="X137" i="5"/>
  <c r="T136" i="5" l="1"/>
  <c r="U136" i="5" s="1"/>
  <c r="Y137" i="5"/>
  <c r="Z137" i="5" s="1"/>
  <c r="AC137" i="5"/>
  <c r="AD137" i="5" s="1"/>
  <c r="P138" i="5"/>
  <c r="X138" i="5"/>
  <c r="S137" i="5"/>
  <c r="AB138" i="5"/>
  <c r="Q138" i="5"/>
  <c r="R138" i="5" s="1"/>
  <c r="Y138" i="5" l="1"/>
  <c r="Z138" i="5" s="1"/>
  <c r="AC138" i="5"/>
  <c r="AD138" i="5" s="1"/>
  <c r="T137" i="5"/>
  <c r="U137" i="5" s="1"/>
  <c r="P139" i="5"/>
  <c r="AB139" i="5"/>
  <c r="Q139" i="5"/>
  <c r="R139" i="5" s="1"/>
  <c r="S138" i="5"/>
  <c r="X139" i="5"/>
  <c r="Y139" i="5" l="1"/>
  <c r="Z139" i="5" s="1"/>
  <c r="AC139" i="5"/>
  <c r="AD139" i="5" s="1"/>
  <c r="T138" i="5"/>
  <c r="U138" i="5" s="1"/>
  <c r="P140" i="5"/>
  <c r="S139" i="5"/>
  <c r="Q140" i="5"/>
  <c r="R140" i="5" s="1"/>
  <c r="AB140" i="5"/>
  <c r="X140" i="5"/>
  <c r="T139" i="5" l="1"/>
  <c r="U139" i="5" s="1"/>
  <c r="Y140" i="5"/>
  <c r="Z140" i="5" s="1"/>
  <c r="AC140" i="5"/>
  <c r="AD140" i="5" s="1"/>
  <c r="P141" i="5"/>
  <c r="Q141" i="5"/>
  <c r="S140" i="5"/>
  <c r="R141" i="5"/>
  <c r="AB141" i="5"/>
  <c r="X141" i="5"/>
  <c r="AC141" i="5" l="1"/>
  <c r="AD141" i="5" s="1"/>
  <c r="Y141" i="5"/>
  <c r="Z141" i="5" s="1"/>
  <c r="T140" i="5"/>
  <c r="U140" i="5" s="1"/>
  <c r="P142" i="5"/>
  <c r="Q142" i="5"/>
  <c r="S141" i="5"/>
  <c r="R142" i="5"/>
  <c r="AB142" i="5"/>
  <c r="X142" i="5"/>
  <c r="AC142" i="5" l="1"/>
  <c r="AD142" i="5" s="1"/>
  <c r="Y142" i="5"/>
  <c r="Z142" i="5" s="1"/>
  <c r="T141" i="5"/>
  <c r="U141" i="5" s="1"/>
  <c r="P143" i="5"/>
  <c r="Q143" i="5"/>
  <c r="S142" i="5"/>
  <c r="R143" i="5"/>
  <c r="AB143" i="5"/>
  <c r="X143" i="5"/>
  <c r="AC143" i="5" l="1"/>
  <c r="AD143" i="5" s="1"/>
  <c r="Y143" i="5"/>
  <c r="Z143" i="5" s="1"/>
  <c r="T142" i="5"/>
  <c r="U142" i="5" s="1"/>
  <c r="P144" i="5"/>
  <c r="Q144" i="5"/>
  <c r="S143" i="5"/>
  <c r="R144" i="5"/>
  <c r="X144" i="5"/>
  <c r="AB144" i="5"/>
  <c r="Y144" i="5" l="1"/>
  <c r="Z144" i="5" s="1"/>
  <c r="AC144" i="5"/>
  <c r="AD144" i="5" s="1"/>
  <c r="T143" i="5"/>
  <c r="U143" i="5" s="1"/>
  <c r="P145" i="5"/>
  <c r="Q145" i="5"/>
  <c r="S144" i="5"/>
  <c r="X145" i="5"/>
  <c r="R145" i="5"/>
  <c r="AB145" i="5"/>
  <c r="Y145" i="5" l="1"/>
  <c r="Z145" i="5" s="1"/>
  <c r="AC145" i="5"/>
  <c r="AD145" i="5" s="1"/>
  <c r="T144" i="5"/>
  <c r="U144" i="5" s="1"/>
  <c r="P146" i="5"/>
  <c r="X146" i="5"/>
  <c r="S145" i="5"/>
  <c r="Q146" i="5"/>
  <c r="R146" i="5" s="1"/>
  <c r="AB146" i="5"/>
  <c r="Y146" i="5" l="1"/>
  <c r="Z146" i="5" s="1"/>
  <c r="AC146" i="5"/>
  <c r="AD146" i="5" s="1"/>
  <c r="T145" i="5"/>
  <c r="U145" i="5" s="1"/>
  <c r="P147" i="5"/>
  <c r="Q147" i="5"/>
  <c r="X147" i="5"/>
  <c r="S146" i="5"/>
  <c r="R147" i="5"/>
  <c r="AB147" i="5"/>
  <c r="Y147" i="5" l="1"/>
  <c r="Z147" i="5" s="1"/>
  <c r="AC147" i="5"/>
  <c r="AD147" i="5" s="1"/>
  <c r="T146" i="5"/>
  <c r="U146" i="5"/>
  <c r="P148" i="5"/>
  <c r="Q148" i="5"/>
  <c r="X148" i="5"/>
  <c r="S147" i="5"/>
  <c r="AB148" i="5"/>
  <c r="R148" i="5"/>
  <c r="T147" i="5" l="1"/>
  <c r="U147" i="5" s="1"/>
  <c r="Y148" i="5"/>
  <c r="Z148" i="5" s="1"/>
  <c r="AC148" i="5"/>
  <c r="AD148" i="5" s="1"/>
  <c r="P149" i="5"/>
  <c r="S148" i="5"/>
  <c r="AB149" i="5"/>
  <c r="Q149" i="5"/>
  <c r="R149" i="5" s="1"/>
  <c r="X149" i="5"/>
  <c r="AC149" i="5" l="1"/>
  <c r="AD149" i="5" s="1"/>
  <c r="Y149" i="5"/>
  <c r="Z149" i="5" s="1"/>
  <c r="T148" i="5"/>
  <c r="U148" i="5" s="1"/>
  <c r="P150" i="5"/>
  <c r="AB150" i="5"/>
  <c r="X150" i="5"/>
  <c r="S149" i="5"/>
  <c r="Q150" i="5"/>
  <c r="R150" i="5" s="1"/>
  <c r="AC150" i="5" l="1"/>
  <c r="AD150" i="5" s="1"/>
  <c r="Y150" i="5"/>
  <c r="Z150" i="5" s="1"/>
  <c r="T149" i="5"/>
  <c r="U149" i="5" s="1"/>
  <c r="P151" i="5"/>
  <c r="AB151" i="5"/>
  <c r="Q151" i="5"/>
  <c r="R151" i="5" s="1"/>
  <c r="X151" i="5"/>
  <c r="S150" i="5"/>
  <c r="T150" i="5" l="1"/>
  <c r="U150" i="5" s="1"/>
  <c r="Y151" i="5"/>
  <c r="Z151" i="5" s="1"/>
  <c r="AC151" i="5"/>
  <c r="AD151" i="5" s="1"/>
  <c r="P152" i="5"/>
  <c r="Q152" i="5"/>
  <c r="R152" i="5" s="1"/>
  <c r="X152" i="5"/>
  <c r="S151" i="5"/>
  <c r="AB152" i="5"/>
  <c r="Y152" i="5" l="1"/>
  <c r="Z152" i="5" s="1"/>
  <c r="AC152" i="5"/>
  <c r="AD152" i="5" s="1"/>
  <c r="T151" i="5"/>
  <c r="U151" i="5" s="1"/>
  <c r="P153" i="5"/>
  <c r="X153" i="5"/>
  <c r="S152" i="5"/>
  <c r="AB153" i="5"/>
  <c r="Q153" i="5"/>
  <c r="R153" i="5" s="1"/>
  <c r="Y153" i="5" l="1"/>
  <c r="Z153" i="5" s="1"/>
  <c r="AC153" i="5"/>
  <c r="AD153" i="5" s="1"/>
  <c r="T152" i="5"/>
  <c r="U152" i="5" s="1"/>
  <c r="P154" i="5"/>
  <c r="Q154" i="5"/>
  <c r="R154" i="5" s="1"/>
  <c r="AB154" i="5"/>
  <c r="S153" i="5"/>
  <c r="X154" i="5"/>
  <c r="Y154" i="5" l="1"/>
  <c r="Z154" i="5" s="1"/>
  <c r="AC154" i="5"/>
  <c r="AD154" i="5" s="1"/>
  <c r="T153" i="5"/>
  <c r="U153" i="5" s="1"/>
  <c r="P155" i="5"/>
  <c r="S154" i="5"/>
  <c r="Q155" i="5"/>
  <c r="X155" i="5"/>
  <c r="AB155" i="5"/>
  <c r="R155" i="5"/>
  <c r="T154" i="5" l="1"/>
  <c r="U154" i="5" s="1"/>
  <c r="Y155" i="5"/>
  <c r="Z155" i="5" s="1"/>
  <c r="AC155" i="5"/>
  <c r="AD155" i="5" s="1"/>
  <c r="P156" i="5"/>
  <c r="Q156" i="5"/>
  <c r="R156" i="5" s="1"/>
  <c r="AB156" i="5"/>
  <c r="S155" i="5"/>
  <c r="X156" i="5"/>
  <c r="Y156" i="5" l="1"/>
  <c r="Z156" i="5" s="1"/>
  <c r="AC156" i="5"/>
  <c r="AD156" i="5" s="1"/>
  <c r="T155" i="5"/>
  <c r="U155" i="5" s="1"/>
  <c r="P157" i="5"/>
  <c r="Q157" i="5"/>
  <c r="R157" i="5" s="1"/>
  <c r="AB157" i="5"/>
  <c r="S156" i="5"/>
  <c r="X157" i="5"/>
  <c r="Y157" i="5" l="1"/>
  <c r="Z157" i="5" s="1"/>
  <c r="AC157" i="5"/>
  <c r="AD157" i="5" s="1"/>
  <c r="T156" i="5"/>
  <c r="U156" i="5" s="1"/>
  <c r="P158" i="5"/>
  <c r="X158" i="5"/>
  <c r="AB158" i="5"/>
  <c r="S157" i="5"/>
  <c r="Q158" i="5"/>
  <c r="R158" i="5" s="1"/>
  <c r="Y158" i="5" l="1"/>
  <c r="Z158" i="5" s="1"/>
  <c r="AC158" i="5"/>
  <c r="AD158" i="5" s="1"/>
  <c r="T157" i="5"/>
  <c r="U157" i="5" s="1"/>
  <c r="P159" i="5"/>
  <c r="Q159" i="5"/>
  <c r="R159" i="5" s="1"/>
  <c r="X159" i="5"/>
  <c r="S158" i="5"/>
  <c r="AB159" i="5"/>
  <c r="Y159" i="5" l="1"/>
  <c r="Z159" i="5" s="1"/>
  <c r="AC159" i="5"/>
  <c r="AD159" i="5" s="1"/>
  <c r="T158" i="5"/>
  <c r="U158" i="5" s="1"/>
  <c r="P160" i="5"/>
  <c r="S159" i="5"/>
  <c r="Q160" i="5"/>
  <c r="R160" i="5" s="1"/>
  <c r="AB160" i="5"/>
  <c r="X160" i="5"/>
  <c r="T159" i="5" l="1"/>
  <c r="U159" i="5" s="1"/>
  <c r="Y160" i="5"/>
  <c r="Z160" i="5" s="1"/>
  <c r="AC160" i="5"/>
  <c r="AD160" i="5" s="1"/>
  <c r="P161" i="5"/>
  <c r="Q161" i="5"/>
  <c r="R161" i="5" s="1"/>
  <c r="AB161" i="5"/>
  <c r="S160" i="5"/>
  <c r="X161" i="5"/>
  <c r="Y161" i="5" l="1"/>
  <c r="Z161" i="5" s="1"/>
  <c r="AC161" i="5"/>
  <c r="AD161" i="5" s="1"/>
  <c r="T160" i="5"/>
  <c r="U160" i="5" s="1"/>
  <c r="P162" i="5"/>
  <c r="Q162" i="5"/>
  <c r="R162" i="5"/>
  <c r="AB162" i="5"/>
  <c r="S161" i="5"/>
  <c r="X162" i="5"/>
  <c r="Y162" i="5" l="1"/>
  <c r="Z162" i="5" s="1"/>
  <c r="AC162" i="5"/>
  <c r="AD162" i="5" s="1"/>
  <c r="T161" i="5"/>
  <c r="U161" i="5"/>
  <c r="P163" i="5"/>
  <c r="Q163" i="5"/>
  <c r="R163" i="5"/>
  <c r="AB163" i="5"/>
  <c r="S162" i="5"/>
  <c r="X163" i="5"/>
  <c r="Y163" i="5" l="1"/>
  <c r="Z163" i="5" s="1"/>
  <c r="AC163" i="5"/>
  <c r="AD163" i="5" s="1"/>
  <c r="T162" i="5"/>
  <c r="U162" i="5" s="1"/>
  <c r="P164" i="5"/>
  <c r="S163" i="5"/>
  <c r="Q164" i="5"/>
  <c r="X164" i="5"/>
  <c r="AB164" i="5"/>
  <c r="R164" i="5"/>
  <c r="T163" i="5" l="1"/>
  <c r="U163" i="5" s="1"/>
  <c r="Y164" i="5"/>
  <c r="Z164" i="5" s="1"/>
  <c r="AC164" i="5"/>
  <c r="AD164" i="5" s="1"/>
  <c r="P165" i="5"/>
  <c r="S164" i="5"/>
  <c r="X165" i="5"/>
  <c r="AB165" i="5"/>
  <c r="Q165" i="5"/>
  <c r="R165" i="5" s="1"/>
  <c r="T164" i="5" l="1"/>
  <c r="U164" i="5" s="1"/>
  <c r="Y165" i="5"/>
  <c r="Z165" i="5" s="1"/>
  <c r="AC165" i="5"/>
  <c r="AD165" i="5" s="1"/>
  <c r="P166" i="5"/>
  <c r="S165" i="5"/>
  <c r="X166" i="5"/>
  <c r="AB166" i="5"/>
  <c r="Q166" i="5"/>
  <c r="R166" i="5" s="1"/>
  <c r="AC166" i="5" l="1"/>
  <c r="AD166" i="5" s="1"/>
  <c r="Y166" i="5"/>
  <c r="Z166" i="5" s="1"/>
  <c r="T165" i="5"/>
  <c r="U165" i="5" s="1"/>
  <c r="P167" i="5"/>
  <c r="S166" i="5"/>
  <c r="AB167" i="5"/>
  <c r="X167" i="5"/>
  <c r="Q167" i="5"/>
  <c r="R167" i="5" s="1"/>
  <c r="T166" i="5" l="1"/>
  <c r="U166" i="5" s="1"/>
  <c r="Y167" i="5"/>
  <c r="Z167" i="5" s="1"/>
  <c r="AC167" i="5"/>
  <c r="AD167" i="5" s="1"/>
  <c r="P168" i="5"/>
  <c r="Q168" i="5"/>
  <c r="R168" i="5" s="1"/>
  <c r="S167" i="5"/>
  <c r="AB168" i="5"/>
  <c r="X168" i="5"/>
  <c r="Y168" i="5" l="1"/>
  <c r="Z168" i="5" s="1"/>
  <c r="AC168" i="5"/>
  <c r="AD168" i="5" s="1"/>
  <c r="T167" i="5"/>
  <c r="U167" i="5" s="1"/>
  <c r="P169" i="5"/>
  <c r="S168" i="5"/>
  <c r="AB169" i="5"/>
  <c r="X169" i="5"/>
  <c r="Q169" i="5"/>
  <c r="R169" i="5" s="1"/>
  <c r="T168" i="5" l="1"/>
  <c r="U168" i="5" s="1"/>
  <c r="Y169" i="5"/>
  <c r="Z169" i="5" s="1"/>
  <c r="AC169" i="5"/>
  <c r="AD169" i="5" s="1"/>
  <c r="P170" i="5"/>
  <c r="AB170" i="5"/>
  <c r="X170" i="5"/>
  <c r="Q170" i="5"/>
  <c r="R170" i="5" s="1"/>
  <c r="S169" i="5"/>
  <c r="Y170" i="5" l="1"/>
  <c r="Z170" i="5" s="1"/>
  <c r="AC170" i="5"/>
  <c r="AD170" i="5" s="1"/>
  <c r="T169" i="5"/>
  <c r="U169" i="5" s="1"/>
  <c r="P171" i="5"/>
  <c r="X171" i="5"/>
  <c r="AB171" i="5"/>
  <c r="Q171" i="5"/>
  <c r="R171" i="5" s="1"/>
  <c r="S170" i="5"/>
  <c r="AC171" i="5" l="1"/>
  <c r="AD171" i="5" s="1"/>
  <c r="Y171" i="5"/>
  <c r="Z171" i="5" s="1"/>
  <c r="T170" i="5"/>
  <c r="U170" i="5" s="1"/>
  <c r="P172" i="5"/>
  <c r="AB172" i="5"/>
  <c r="X172" i="5"/>
  <c r="Q172" i="5"/>
  <c r="R172" i="5" s="1"/>
  <c r="S171" i="5"/>
  <c r="Y172" i="5" l="1"/>
  <c r="Z172" i="5" s="1"/>
  <c r="AC172" i="5"/>
  <c r="AD172" i="5" s="1"/>
  <c r="T171" i="5"/>
  <c r="U171" i="5" s="1"/>
  <c r="P173" i="5"/>
  <c r="S172" i="5"/>
  <c r="Q173" i="5"/>
  <c r="AB173" i="5"/>
  <c r="X173" i="5"/>
  <c r="R173" i="5"/>
  <c r="T172" i="5" l="1"/>
  <c r="U172" i="5" s="1"/>
  <c r="AC173" i="5"/>
  <c r="AD173" i="5" s="1"/>
  <c r="Y173" i="5"/>
  <c r="Z173" i="5" s="1"/>
  <c r="P174" i="5"/>
  <c r="AB174" i="5"/>
  <c r="S173" i="5"/>
  <c r="Q174" i="5"/>
  <c r="R174" i="5" s="1"/>
  <c r="X174" i="5"/>
  <c r="AC174" i="5" l="1"/>
  <c r="AD174" i="5" s="1"/>
  <c r="Y174" i="5"/>
  <c r="Z174" i="5" s="1"/>
  <c r="T173" i="5"/>
  <c r="U173" i="5" s="1"/>
  <c r="P175" i="5"/>
  <c r="AB175" i="5"/>
  <c r="X175" i="5"/>
  <c r="Q175" i="5"/>
  <c r="R175" i="5" s="1"/>
  <c r="S174" i="5"/>
  <c r="Y175" i="5" l="1"/>
  <c r="Z175" i="5" s="1"/>
  <c r="AC175" i="5"/>
  <c r="AD175" i="5" s="1"/>
  <c r="T174" i="5"/>
  <c r="U174" i="5" s="1"/>
  <c r="P176" i="5"/>
  <c r="X176" i="5"/>
  <c r="AB176" i="5"/>
  <c r="Q176" i="5"/>
  <c r="S175" i="5"/>
  <c r="R176" i="5"/>
  <c r="Y176" i="5" l="1"/>
  <c r="Z176" i="5" s="1"/>
  <c r="AC176" i="5"/>
  <c r="AD176" i="5" s="1"/>
  <c r="T175" i="5"/>
  <c r="U175" i="5" s="1"/>
  <c r="P177" i="5"/>
  <c r="S176" i="5"/>
  <c r="AB177" i="5"/>
  <c r="Q177" i="5"/>
  <c r="R177" i="5" s="1"/>
  <c r="X177" i="5"/>
  <c r="T176" i="5" l="1"/>
  <c r="U176" i="5" s="1"/>
  <c r="Y177" i="5"/>
  <c r="Z177" i="5" s="1"/>
  <c r="AC177" i="5"/>
  <c r="AD177" i="5" s="1"/>
  <c r="P178" i="5"/>
  <c r="S177" i="5"/>
  <c r="Q178" i="5"/>
  <c r="R178" i="5"/>
  <c r="AB178" i="5"/>
  <c r="X178" i="5"/>
  <c r="T177" i="5" l="1"/>
  <c r="U177" i="5" s="1"/>
  <c r="Y178" i="5"/>
  <c r="Z178" i="5" s="1"/>
  <c r="AC178" i="5"/>
  <c r="AD178" i="5" s="1"/>
  <c r="P179" i="5"/>
  <c r="S178" i="5"/>
  <c r="Q179" i="5"/>
  <c r="AB179" i="5"/>
  <c r="R179" i="5"/>
  <c r="X179" i="5"/>
  <c r="T178" i="5" l="1"/>
  <c r="U178" i="5" s="1"/>
  <c r="Y179" i="5"/>
  <c r="Z179" i="5" s="1"/>
  <c r="AC179" i="5"/>
  <c r="AD179" i="5" s="1"/>
  <c r="P180" i="5"/>
  <c r="X180" i="5"/>
  <c r="S179" i="5"/>
  <c r="Q180" i="5"/>
  <c r="R180" i="5" s="1"/>
  <c r="AB180" i="5"/>
  <c r="Y180" i="5" l="1"/>
  <c r="Z180" i="5" s="1"/>
  <c r="AC180" i="5"/>
  <c r="AD180" i="5" s="1"/>
  <c r="T179" i="5"/>
  <c r="U179" i="5" s="1"/>
  <c r="P181" i="5"/>
  <c r="S180" i="5"/>
  <c r="AB181" i="5"/>
  <c r="Q181" i="5"/>
  <c r="R181" i="5" s="1"/>
  <c r="X181" i="5"/>
  <c r="T180" i="5" l="1"/>
  <c r="U180" i="5" s="1"/>
  <c r="Y181" i="5"/>
  <c r="Z181" i="5" s="1"/>
  <c r="AC181" i="5"/>
  <c r="AD181" i="5" s="1"/>
  <c r="P182" i="5"/>
  <c r="Q182" i="5"/>
  <c r="R182" i="5" s="1"/>
  <c r="S181" i="5"/>
  <c r="X182" i="5"/>
  <c r="AB182" i="5"/>
  <c r="Y182" i="5" l="1"/>
  <c r="Z182" i="5" s="1"/>
  <c r="AC182" i="5"/>
  <c r="AD182" i="5" s="1"/>
  <c r="T181" i="5"/>
  <c r="U181" i="5" s="1"/>
  <c r="P183" i="5"/>
  <c r="S182" i="5"/>
  <c r="AB183" i="5"/>
  <c r="Q183" i="5"/>
  <c r="R183" i="5" s="1"/>
  <c r="X183" i="5"/>
  <c r="T182" i="5" l="1"/>
  <c r="U182" i="5" s="1"/>
  <c r="AC183" i="5"/>
  <c r="AD183" i="5" s="1"/>
  <c r="Y183" i="5"/>
  <c r="Z183" i="5" s="1"/>
  <c r="P184" i="5"/>
  <c r="S183" i="5"/>
  <c r="Q184" i="5"/>
  <c r="R184" i="5" s="1"/>
  <c r="AB184" i="5"/>
  <c r="X184" i="5"/>
  <c r="Y184" i="5" l="1"/>
  <c r="Z184" i="5" s="1"/>
  <c r="AC184" i="5"/>
  <c r="AD184" i="5" s="1"/>
  <c r="T183" i="5"/>
  <c r="U183" i="5" s="1"/>
  <c r="P185" i="5"/>
  <c r="AB185" i="5"/>
  <c r="Q185" i="5"/>
  <c r="X185" i="5"/>
  <c r="R185" i="5"/>
  <c r="S184" i="5"/>
  <c r="T184" i="5" l="1"/>
  <c r="U184" i="5" s="1"/>
  <c r="Y185" i="5"/>
  <c r="Z185" i="5" s="1"/>
  <c r="AC185" i="5"/>
  <c r="AD185" i="5" s="1"/>
  <c r="P186" i="5"/>
  <c r="S185" i="5"/>
  <c r="X186" i="5"/>
  <c r="AB186" i="5"/>
  <c r="Q186" i="5"/>
  <c r="R186" i="5" s="1"/>
  <c r="Y186" i="5" l="1"/>
  <c r="Z186" i="5" s="1"/>
  <c r="AC186" i="5"/>
  <c r="AD186" i="5" s="1"/>
  <c r="T185" i="5"/>
  <c r="U185" i="5" s="1"/>
  <c r="P187" i="5"/>
  <c r="S186" i="5"/>
  <c r="X187" i="5"/>
  <c r="AB187" i="5"/>
  <c r="Q187" i="5"/>
  <c r="R187" i="5" s="1"/>
  <c r="T186" i="5" l="1"/>
  <c r="U186" i="5" s="1"/>
  <c r="Y187" i="5"/>
  <c r="Z187" i="5" s="1"/>
  <c r="AC187" i="5"/>
  <c r="AD187" i="5" s="1"/>
  <c r="P188" i="5"/>
  <c r="S187" i="5"/>
  <c r="AB188" i="5"/>
  <c r="X188" i="5"/>
  <c r="Q188" i="5"/>
  <c r="R188" i="5"/>
  <c r="Y188" i="5" l="1"/>
  <c r="Z188" i="5" s="1"/>
  <c r="AC188" i="5"/>
  <c r="AD188" i="5" s="1"/>
  <c r="T187" i="5"/>
  <c r="U187" i="5" s="1"/>
  <c r="P189" i="5"/>
  <c r="Q189" i="5"/>
  <c r="X189" i="5"/>
  <c r="R189" i="5"/>
  <c r="S188" i="5"/>
  <c r="AB189" i="5"/>
  <c r="T188" i="5" l="1"/>
  <c r="U188" i="5" s="1"/>
  <c r="AC189" i="5"/>
  <c r="AD189" i="5" s="1"/>
  <c r="Y189" i="5"/>
  <c r="Z189" i="5" s="1"/>
  <c r="P190" i="5"/>
  <c r="AB190" i="5"/>
  <c r="X190" i="5"/>
  <c r="S189" i="5"/>
  <c r="Q190" i="5"/>
  <c r="R190" i="5" s="1"/>
  <c r="Y190" i="5" l="1"/>
  <c r="Z190" i="5" s="1"/>
  <c r="AC190" i="5"/>
  <c r="AD190" i="5" s="1"/>
  <c r="T189" i="5"/>
  <c r="U189" i="5" s="1"/>
  <c r="P191" i="5"/>
  <c r="X191" i="5"/>
  <c r="S190" i="5"/>
  <c r="AB191" i="5"/>
  <c r="Q191" i="5"/>
  <c r="R191" i="5" s="1"/>
  <c r="T190" i="5" l="1"/>
  <c r="U190" i="5" s="1"/>
  <c r="Y191" i="5"/>
  <c r="Z191" i="5" s="1"/>
  <c r="AC191" i="5"/>
  <c r="AD191" i="5" s="1"/>
  <c r="P192" i="5"/>
  <c r="X192" i="5"/>
  <c r="Q192" i="5"/>
  <c r="R192" i="5" s="1"/>
  <c r="S191" i="5"/>
  <c r="AB192" i="5"/>
  <c r="AC192" i="5" l="1"/>
  <c r="AD192" i="5" s="1"/>
  <c r="Y192" i="5"/>
  <c r="Z192" i="5" s="1"/>
  <c r="T191" i="5"/>
  <c r="U191" i="5" s="1"/>
  <c r="P193" i="5"/>
  <c r="X193" i="5"/>
  <c r="S192" i="5"/>
  <c r="Q193" i="5"/>
  <c r="R193" i="5" s="1"/>
  <c r="AB193" i="5"/>
  <c r="T192" i="5" l="1"/>
  <c r="U192" i="5" s="1"/>
  <c r="Y193" i="5"/>
  <c r="Z193" i="5" s="1"/>
  <c r="AC193" i="5"/>
  <c r="AD193" i="5" s="1"/>
  <c r="P194" i="5"/>
  <c r="Q194" i="5"/>
  <c r="R194" i="5" s="1"/>
  <c r="S193" i="5"/>
  <c r="AB194" i="5"/>
  <c r="X194" i="5"/>
  <c r="Y194" i="5" l="1"/>
  <c r="Z194" i="5" s="1"/>
  <c r="AC194" i="5"/>
  <c r="AD194" i="5" s="1"/>
  <c r="T193" i="5"/>
  <c r="U193" i="5" s="1"/>
  <c r="P195" i="5"/>
  <c r="Q195" i="5"/>
  <c r="R195" i="5" s="1"/>
  <c r="X195" i="5"/>
  <c r="S194" i="5"/>
  <c r="AB195" i="5"/>
  <c r="AC195" i="5" l="1"/>
  <c r="AD195" i="5" s="1"/>
  <c r="Y195" i="5"/>
  <c r="Z195" i="5" s="1"/>
  <c r="T194" i="5"/>
  <c r="U194" i="5" s="1"/>
  <c r="P196" i="5"/>
  <c r="S195" i="5"/>
  <c r="X196" i="5"/>
  <c r="Q196" i="5"/>
  <c r="AB196" i="5"/>
  <c r="R196" i="5"/>
  <c r="T195" i="5" l="1"/>
  <c r="U195" i="5" s="1"/>
  <c r="Y196" i="5"/>
  <c r="Z196" i="5" s="1"/>
  <c r="AC196" i="5"/>
  <c r="AD196" i="5" s="1"/>
  <c r="P197" i="5"/>
  <c r="S196" i="5"/>
  <c r="AB197" i="5"/>
  <c r="Q197" i="5"/>
  <c r="R197" i="5" s="1"/>
  <c r="X197" i="5"/>
  <c r="Y197" i="5" l="1"/>
  <c r="Z197" i="5" s="1"/>
  <c r="AC197" i="5"/>
  <c r="AD197" i="5" s="1"/>
  <c r="T196" i="5"/>
  <c r="U196" i="5" s="1"/>
  <c r="P198" i="5"/>
  <c r="Q198" i="5"/>
  <c r="R198" i="5"/>
  <c r="X198" i="5"/>
  <c r="S197" i="5"/>
  <c r="AB198" i="5"/>
  <c r="AC198" i="5" l="1"/>
  <c r="AD198" i="5" s="1"/>
  <c r="Y198" i="5"/>
  <c r="Z198" i="5" s="1"/>
  <c r="T197" i="5"/>
  <c r="U197" i="5" s="1"/>
  <c r="P199" i="5"/>
  <c r="AB199" i="5"/>
  <c r="Q199" i="5"/>
  <c r="X199" i="5"/>
  <c r="R199" i="5"/>
  <c r="S198" i="5"/>
  <c r="T198" i="5" l="1"/>
  <c r="U198" i="5" s="1"/>
  <c r="Y199" i="5"/>
  <c r="Z199" i="5" s="1"/>
  <c r="AC199" i="5"/>
  <c r="AD199" i="5" s="1"/>
  <c r="P200" i="5"/>
  <c r="Q200" i="5"/>
  <c r="R200" i="5" s="1"/>
  <c r="S199" i="5"/>
  <c r="X200" i="5"/>
  <c r="AB200" i="5"/>
  <c r="Y200" i="5" l="1"/>
  <c r="Z200" i="5" s="1"/>
  <c r="AC200" i="5"/>
  <c r="AD200" i="5" s="1"/>
  <c r="T199" i="5"/>
  <c r="U199" i="5" s="1"/>
  <c r="P201" i="5"/>
  <c r="AB201" i="5"/>
  <c r="S200" i="5"/>
  <c r="Q201" i="5"/>
  <c r="R201" i="5" s="1"/>
  <c r="X201" i="5"/>
  <c r="AC201" i="5" l="1"/>
  <c r="AD201" i="5" s="1"/>
  <c r="Y201" i="5"/>
  <c r="Z201" i="5" s="1"/>
  <c r="T200" i="5"/>
  <c r="U200" i="5" s="1"/>
  <c r="P202" i="5"/>
  <c r="Q202" i="5"/>
  <c r="S201" i="5"/>
  <c r="AB202" i="5"/>
  <c r="R202" i="5"/>
  <c r="X202" i="5"/>
  <c r="AC202" i="5" l="1"/>
  <c r="AD202" i="5" s="1"/>
  <c r="Y202" i="5"/>
  <c r="Z202" i="5" s="1"/>
  <c r="T201" i="5"/>
  <c r="U201" i="5" s="1"/>
  <c r="P203" i="5"/>
  <c r="S202" i="5"/>
  <c r="X203" i="5"/>
  <c r="Q203" i="5"/>
  <c r="R203" i="5" s="1"/>
  <c r="AB203" i="5"/>
  <c r="T202" i="5" l="1"/>
  <c r="U202" i="5" s="1"/>
  <c r="AC203" i="5"/>
  <c r="AD203" i="5" s="1"/>
  <c r="Y203" i="5"/>
  <c r="Z203" i="5" s="1"/>
  <c r="P204" i="5"/>
  <c r="X204" i="5"/>
  <c r="S203" i="5"/>
  <c r="Q204" i="5"/>
  <c r="R204" i="5" s="1"/>
  <c r="AB204" i="5"/>
  <c r="Y204" i="5" l="1"/>
  <c r="Z204" i="5" s="1"/>
  <c r="AC204" i="5"/>
  <c r="AD204" i="5" s="1"/>
  <c r="T203" i="5"/>
  <c r="U203" i="5" s="1"/>
  <c r="P205" i="5"/>
  <c r="X205" i="5"/>
  <c r="S204" i="5"/>
  <c r="Q205" i="5"/>
  <c r="R205" i="5" s="1"/>
  <c r="AB205" i="5"/>
  <c r="Y205" i="5" l="1"/>
  <c r="Z205" i="5" s="1"/>
  <c r="AC205" i="5"/>
  <c r="AD205" i="5" s="1"/>
  <c r="T204" i="5"/>
  <c r="U204" i="5" s="1"/>
  <c r="P206" i="5"/>
  <c r="AB206" i="5"/>
  <c r="S205" i="5"/>
  <c r="Q206" i="5"/>
  <c r="R206" i="5" s="1"/>
  <c r="X206" i="5"/>
  <c r="AC206" i="5" l="1"/>
  <c r="AD206" i="5" s="1"/>
  <c r="Y206" i="5"/>
  <c r="Z206" i="5" s="1"/>
  <c r="T205" i="5"/>
  <c r="U205" i="5" s="1"/>
  <c r="P207" i="5"/>
  <c r="Q207" i="5"/>
  <c r="AB207" i="5"/>
  <c r="R207" i="5"/>
  <c r="S206" i="5"/>
  <c r="X207" i="5"/>
  <c r="T206" i="5" l="1"/>
  <c r="U206" i="5" s="1"/>
  <c r="Y207" i="5"/>
  <c r="Z207" i="5" s="1"/>
  <c r="AC207" i="5"/>
  <c r="AD207" i="5" s="1"/>
  <c r="P208" i="5"/>
  <c r="Q208" i="5"/>
  <c r="S207" i="5"/>
  <c r="X208" i="5"/>
  <c r="R208" i="5"/>
  <c r="AB208" i="5"/>
  <c r="Y208" i="5" l="1"/>
  <c r="Z208" i="5" s="1"/>
  <c r="AC208" i="5"/>
  <c r="AD208" i="5" s="1"/>
  <c r="T207" i="5"/>
  <c r="U207" i="5" s="1"/>
  <c r="P209" i="5"/>
  <c r="S208" i="5"/>
  <c r="X209" i="5"/>
  <c r="AB209" i="5"/>
  <c r="Q209" i="5"/>
  <c r="R209" i="5" s="1"/>
  <c r="T208" i="5" l="1"/>
  <c r="U208" i="5" s="1"/>
  <c r="Y209" i="5"/>
  <c r="Z209" i="5" s="1"/>
  <c r="AC209" i="5"/>
  <c r="AD209" i="5" s="1"/>
  <c r="P210" i="5"/>
  <c r="X210" i="5"/>
  <c r="S209" i="5"/>
  <c r="AB210" i="5"/>
  <c r="Q210" i="5"/>
  <c r="R210" i="5" s="1"/>
  <c r="Y210" i="5" l="1"/>
  <c r="Z210" i="5" s="1"/>
  <c r="AC210" i="5"/>
  <c r="AD210" i="5" s="1"/>
  <c r="T209" i="5"/>
  <c r="U209" i="5" s="1"/>
  <c r="P211" i="5"/>
  <c r="AB211" i="5"/>
  <c r="S210" i="5"/>
  <c r="X211" i="5"/>
  <c r="Q211" i="5"/>
  <c r="R211" i="5" s="1"/>
  <c r="AC211" i="5" l="1"/>
  <c r="AD211" i="5" s="1"/>
  <c r="Y211" i="5"/>
  <c r="Z211" i="5" s="1"/>
  <c r="T210" i="5"/>
  <c r="U210" i="5" s="1"/>
  <c r="P212" i="5"/>
  <c r="S211" i="5"/>
  <c r="AB212" i="5"/>
  <c r="X212" i="5"/>
  <c r="Q212" i="5"/>
  <c r="R212" i="5" s="1"/>
  <c r="T211" i="5" l="1"/>
  <c r="U211" i="5" s="1"/>
  <c r="AC212" i="5"/>
  <c r="AD212" i="5" s="1"/>
  <c r="Y212" i="5"/>
  <c r="Z212" i="5" s="1"/>
  <c r="P213" i="5"/>
  <c r="S212" i="5"/>
  <c r="AB213" i="5"/>
  <c r="Q213" i="5"/>
  <c r="R213" i="5" s="1"/>
  <c r="X213" i="5"/>
  <c r="AC213" i="5" l="1"/>
  <c r="AD213" i="5" s="1"/>
  <c r="Y213" i="5"/>
  <c r="Z213" i="5" s="1"/>
  <c r="T212" i="5"/>
  <c r="U212" i="5" s="1"/>
  <c r="P214" i="5"/>
  <c r="Q214" i="5"/>
  <c r="R214" i="5" s="1"/>
  <c r="X214" i="5"/>
  <c r="S213" i="5"/>
  <c r="AB214" i="5"/>
  <c r="Y214" i="5" l="1"/>
  <c r="Z214" i="5" s="1"/>
  <c r="AC214" i="5"/>
  <c r="AD214" i="5" s="1"/>
  <c r="T213" i="5"/>
  <c r="U213" i="5" s="1"/>
  <c r="P215" i="5"/>
  <c r="S214" i="5"/>
  <c r="Q215" i="5"/>
  <c r="R215" i="5" s="1"/>
  <c r="X215" i="5"/>
  <c r="AB215" i="5"/>
  <c r="AC215" i="5" l="1"/>
  <c r="AD215" i="5" s="1"/>
  <c r="Y215" i="5"/>
  <c r="Z215" i="5" s="1"/>
  <c r="T214" i="5"/>
  <c r="U214" i="5" s="1"/>
  <c r="P216" i="5"/>
  <c r="Q216" i="5"/>
  <c r="R216" i="5" s="1"/>
  <c r="X216" i="5"/>
  <c r="S215" i="5"/>
  <c r="AB216" i="5"/>
  <c r="Y216" i="5" l="1"/>
  <c r="Z216" i="5" s="1"/>
  <c r="AC216" i="5"/>
  <c r="AD216" i="5" s="1"/>
  <c r="T215" i="5"/>
  <c r="U215" i="5" s="1"/>
  <c r="P217" i="5"/>
  <c r="S216" i="5"/>
  <c r="Q217" i="5"/>
  <c r="R217" i="5" s="1"/>
  <c r="X217" i="5"/>
  <c r="AB217" i="5"/>
  <c r="Y217" i="5" l="1"/>
  <c r="Z217" i="5" s="1"/>
  <c r="AC217" i="5"/>
  <c r="AD217" i="5" s="1"/>
  <c r="T216" i="5"/>
  <c r="U216" i="5" s="1"/>
  <c r="P218" i="5"/>
  <c r="S217" i="5"/>
  <c r="X218" i="5"/>
  <c r="AB218" i="5"/>
  <c r="Q218" i="5"/>
  <c r="R218" i="5" s="1"/>
  <c r="T217" i="5" l="1"/>
  <c r="U217" i="5" s="1"/>
  <c r="Y218" i="5"/>
  <c r="Z218" i="5" s="1"/>
  <c r="AC218" i="5"/>
  <c r="AD218" i="5" s="1"/>
  <c r="P219" i="5"/>
  <c r="S218" i="5"/>
  <c r="X219" i="5"/>
  <c r="AB219" i="5"/>
  <c r="Q219" i="5"/>
  <c r="R219" i="5" s="1"/>
  <c r="T218" i="5" l="1"/>
  <c r="U218" i="5" s="1"/>
  <c r="Y219" i="5"/>
  <c r="Z219" i="5" s="1"/>
  <c r="AC219" i="5"/>
  <c r="AD219" i="5" s="1"/>
  <c r="P220" i="5"/>
  <c r="X220" i="5"/>
  <c r="S219" i="5"/>
  <c r="Q220" i="5"/>
  <c r="AB220" i="5"/>
  <c r="R220" i="5"/>
  <c r="Y220" i="5" l="1"/>
  <c r="Z220" i="5" s="1"/>
  <c r="AC220" i="5"/>
  <c r="AD220" i="5" s="1"/>
  <c r="T219" i="5"/>
  <c r="U219" i="5" s="1"/>
  <c r="P221" i="5"/>
  <c r="X221" i="5"/>
  <c r="S220" i="5"/>
  <c r="AB221" i="5"/>
  <c r="Q221" i="5"/>
  <c r="R221" i="5" s="1"/>
  <c r="T220" i="5" l="1"/>
  <c r="U220" i="5" s="1"/>
  <c r="Y221" i="5"/>
  <c r="Z221" i="5" s="1"/>
  <c r="AC221" i="5"/>
  <c r="AD221" i="5" s="1"/>
  <c r="P222" i="5"/>
  <c r="AB222" i="5"/>
  <c r="S221" i="5"/>
  <c r="X222" i="5"/>
  <c r="Q222" i="5"/>
  <c r="R222" i="5" s="1"/>
  <c r="AC222" i="5" l="1"/>
  <c r="AD222" i="5" s="1"/>
  <c r="Y222" i="5"/>
  <c r="Z222" i="5" s="1"/>
  <c r="T221" i="5"/>
  <c r="U221" i="5" s="1"/>
  <c r="P223" i="5"/>
  <c r="S222" i="5"/>
  <c r="AB223" i="5"/>
  <c r="X223" i="5"/>
  <c r="Q223" i="5"/>
  <c r="R223" i="5" s="1"/>
  <c r="T222" i="5" l="1"/>
  <c r="U222" i="5" s="1"/>
  <c r="Y223" i="5"/>
  <c r="Z223" i="5" s="1"/>
  <c r="AC223" i="5"/>
  <c r="AD223" i="5" s="1"/>
  <c r="P224" i="5"/>
  <c r="Q224" i="5"/>
  <c r="X224" i="5"/>
  <c r="AB224" i="5"/>
  <c r="R224" i="5"/>
  <c r="S223" i="5"/>
  <c r="Y224" i="5" l="1"/>
  <c r="Z224" i="5" s="1"/>
  <c r="AC224" i="5"/>
  <c r="AD224" i="5" s="1"/>
  <c r="T223" i="5"/>
  <c r="U223" i="5" s="1"/>
  <c r="P225" i="5"/>
  <c r="Q225" i="5"/>
  <c r="X225" i="5"/>
  <c r="AB225" i="5"/>
  <c r="R225" i="5"/>
  <c r="S224" i="5"/>
  <c r="T224" i="5" l="1"/>
  <c r="U224" i="5" s="1"/>
  <c r="AC225" i="5"/>
  <c r="AD225" i="5" s="1"/>
  <c r="Y225" i="5"/>
  <c r="Z225" i="5" s="1"/>
  <c r="P226" i="5"/>
  <c r="AB226" i="5"/>
  <c r="S225" i="5"/>
  <c r="X226" i="5"/>
  <c r="Q226" i="5"/>
  <c r="R226" i="5" s="1"/>
  <c r="AC226" i="5" l="1"/>
  <c r="AD226" i="5" s="1"/>
  <c r="Y226" i="5"/>
  <c r="Z226" i="5" s="1"/>
  <c r="T225" i="5"/>
  <c r="U225" i="5" s="1"/>
  <c r="P227" i="5"/>
  <c r="AB227" i="5"/>
  <c r="S226" i="5"/>
  <c r="Q227" i="5"/>
  <c r="X227" i="5"/>
  <c r="R227" i="5"/>
  <c r="AC227" i="5" l="1"/>
  <c r="AD227" i="5" s="1"/>
  <c r="Y227" i="5"/>
  <c r="Z227" i="5" s="1"/>
  <c r="T226" i="5"/>
  <c r="U226" i="5" s="1"/>
  <c r="P228" i="5"/>
  <c r="Q228" i="5"/>
  <c r="R228" i="5" s="1"/>
  <c r="X228" i="5"/>
  <c r="S227" i="5"/>
  <c r="AB228" i="5"/>
  <c r="AC228" i="5" l="1"/>
  <c r="AD228" i="5" s="1"/>
  <c r="Y228" i="5"/>
  <c r="Z228" i="5" s="1"/>
  <c r="T227" i="5"/>
  <c r="U227" i="5" s="1"/>
  <c r="P229" i="5"/>
  <c r="Q229" i="5"/>
  <c r="R229" i="5"/>
  <c r="AB229" i="5"/>
  <c r="X229" i="5"/>
  <c r="S228" i="5"/>
  <c r="AC229" i="5" l="1"/>
  <c r="AD229" i="5" s="1"/>
  <c r="Y229" i="5"/>
  <c r="Z229" i="5" s="1"/>
  <c r="T228" i="5"/>
  <c r="U228" i="5" s="1"/>
  <c r="P230" i="5"/>
  <c r="Q230" i="5"/>
  <c r="R230" i="5"/>
  <c r="S229" i="5"/>
  <c r="X230" i="5"/>
  <c r="AB230" i="5"/>
  <c r="AC230" i="5" l="1"/>
  <c r="AD230" i="5" s="1"/>
  <c r="Y230" i="5"/>
  <c r="Z230" i="5" s="1"/>
  <c r="T229" i="5"/>
  <c r="U229" i="5" s="1"/>
  <c r="P231" i="5"/>
  <c r="X231" i="5"/>
  <c r="AB231" i="5"/>
  <c r="S230" i="5"/>
  <c r="Q231" i="5"/>
  <c r="R231" i="5" s="1"/>
  <c r="AC231" i="5" l="1"/>
  <c r="AD231" i="5" s="1"/>
  <c r="Y231" i="5"/>
  <c r="Z231" i="5" s="1"/>
  <c r="T230" i="5"/>
  <c r="U230" i="5" s="1"/>
  <c r="P232" i="5"/>
  <c r="AB232" i="5"/>
  <c r="X232" i="5"/>
  <c r="Q232" i="5"/>
  <c r="S231" i="5"/>
  <c r="R232" i="5"/>
  <c r="AC232" i="5" l="1"/>
  <c r="AD232" i="5" s="1"/>
  <c r="Y232" i="5"/>
  <c r="Z232" i="5" s="1"/>
  <c r="T231" i="5"/>
  <c r="U231" i="5" s="1"/>
  <c r="P233" i="5"/>
  <c r="X233" i="5"/>
  <c r="Q233" i="5"/>
  <c r="R233" i="5" s="1"/>
  <c r="S232" i="5"/>
  <c r="AB233" i="5"/>
  <c r="AC233" i="5" l="1"/>
  <c r="AD233" i="5" s="1"/>
  <c r="Y233" i="5"/>
  <c r="Z233" i="5" s="1"/>
  <c r="T232" i="5"/>
  <c r="U232" i="5" s="1"/>
  <c r="P234" i="5"/>
  <c r="X234" i="5"/>
  <c r="S233" i="5"/>
  <c r="Q234" i="5"/>
  <c r="R234" i="5" s="1"/>
  <c r="AB234" i="5"/>
  <c r="Y234" i="5" l="1"/>
  <c r="Z234" i="5" s="1"/>
  <c r="AC234" i="5"/>
  <c r="AD234" i="5" s="1"/>
  <c r="T233" i="5"/>
  <c r="U233" i="5" s="1"/>
  <c r="P235" i="5"/>
  <c r="X235" i="5"/>
  <c r="S234" i="5"/>
  <c r="Q235" i="5"/>
  <c r="R235" i="5" s="1"/>
  <c r="AB235" i="5"/>
  <c r="Y235" i="5" l="1"/>
  <c r="Z235" i="5" s="1"/>
  <c r="AC235" i="5"/>
  <c r="AD235" i="5" s="1"/>
  <c r="T234" i="5"/>
  <c r="U234" i="5" s="1"/>
  <c r="P236" i="5"/>
  <c r="S235" i="5"/>
  <c r="Q236" i="5"/>
  <c r="R236" i="5" s="1"/>
  <c r="AB236" i="5"/>
  <c r="X236" i="5"/>
  <c r="T235" i="5" l="1"/>
  <c r="U235" i="5" s="1"/>
  <c r="Y236" i="5"/>
  <c r="Z236" i="5" s="1"/>
  <c r="AC236" i="5"/>
  <c r="AD236" i="5" s="1"/>
  <c r="P237" i="5"/>
  <c r="Q237" i="5"/>
  <c r="R237" i="5" s="1"/>
  <c r="AB237" i="5"/>
  <c r="S236" i="5"/>
  <c r="X237" i="5"/>
  <c r="AC237" i="5" l="1"/>
  <c r="AD237" i="5" s="1"/>
  <c r="Y237" i="5"/>
  <c r="Z237" i="5" s="1"/>
  <c r="T236" i="5"/>
  <c r="U236" i="5" s="1"/>
  <c r="P238" i="5"/>
  <c r="S237" i="5"/>
  <c r="Q238" i="5"/>
  <c r="R238" i="5" s="1"/>
  <c r="X238" i="5"/>
  <c r="AB238" i="5"/>
  <c r="Y238" i="5" l="1"/>
  <c r="Z238" i="5" s="1"/>
  <c r="AC238" i="5"/>
  <c r="AD238" i="5" s="1"/>
  <c r="T237" i="5"/>
  <c r="U237" i="5" s="1"/>
  <c r="P239" i="5"/>
  <c r="S238" i="5"/>
  <c r="X239" i="5"/>
  <c r="AB239" i="5"/>
  <c r="Q239" i="5"/>
  <c r="R239" i="5" s="1"/>
  <c r="Y239" i="5" l="1"/>
  <c r="Z239" i="5" s="1"/>
  <c r="AC239" i="5"/>
  <c r="AD239" i="5" s="1"/>
  <c r="T238" i="5"/>
  <c r="U238" i="5" s="1"/>
  <c r="P240" i="5"/>
  <c r="S239" i="5"/>
  <c r="X240" i="5"/>
  <c r="AB240" i="5"/>
  <c r="Q240" i="5"/>
  <c r="R240" i="5" s="1"/>
  <c r="Y240" i="5" l="1"/>
  <c r="Z240" i="5" s="1"/>
  <c r="AC240" i="5"/>
  <c r="AD240" i="5" s="1"/>
  <c r="T239" i="5"/>
  <c r="U239" i="5" s="1"/>
  <c r="P241" i="5"/>
  <c r="S240" i="5"/>
  <c r="Q241" i="5"/>
  <c r="X241" i="5"/>
  <c r="R241" i="5"/>
  <c r="AB241" i="5"/>
  <c r="Y241" i="5" l="1"/>
  <c r="Z241" i="5" s="1"/>
  <c r="AC241" i="5"/>
  <c r="AD241" i="5" s="1"/>
  <c r="T240" i="5"/>
  <c r="U240" i="5" s="1"/>
  <c r="P242" i="5"/>
  <c r="S241" i="5"/>
  <c r="X242" i="5"/>
  <c r="AB242" i="5"/>
  <c r="Q242" i="5"/>
  <c r="R242" i="5" s="1"/>
  <c r="Y242" i="5" l="1"/>
  <c r="Z242" i="5" s="1"/>
  <c r="AC242" i="5"/>
  <c r="AD242" i="5" s="1"/>
  <c r="T241" i="5"/>
  <c r="U241" i="5" s="1"/>
  <c r="P243" i="5"/>
  <c r="Q243" i="5"/>
  <c r="AB243" i="5"/>
  <c r="S242" i="5"/>
  <c r="X243" i="5"/>
  <c r="R243" i="5"/>
  <c r="Y243" i="5" l="1"/>
  <c r="Z243" i="5" s="1"/>
  <c r="AC243" i="5"/>
  <c r="AD243" i="5" s="1"/>
  <c r="T242" i="5"/>
  <c r="U242" i="5" s="1"/>
  <c r="P244" i="5"/>
  <c r="S243" i="5"/>
  <c r="Q244" i="5"/>
  <c r="AB244" i="5"/>
  <c r="X244" i="5"/>
  <c r="R244" i="5"/>
  <c r="Y244" i="5" l="1"/>
  <c r="Z244" i="5" s="1"/>
  <c r="AC244" i="5"/>
  <c r="AD244" i="5" s="1"/>
  <c r="T243" i="5"/>
  <c r="U243" i="5" s="1"/>
  <c r="P245" i="5"/>
  <c r="AB245" i="5"/>
  <c r="S244" i="5"/>
  <c r="Q245" i="5"/>
  <c r="R245" i="5" s="1"/>
  <c r="X245" i="5"/>
  <c r="AC245" i="5" l="1"/>
  <c r="AD245" i="5" s="1"/>
  <c r="Y245" i="5"/>
  <c r="Z245" i="5" s="1"/>
  <c r="T244" i="5"/>
  <c r="U244" i="5" s="1"/>
  <c r="P246" i="5"/>
  <c r="S245" i="5"/>
  <c r="X246" i="5"/>
  <c r="AB246" i="5"/>
  <c r="Q246" i="5"/>
  <c r="R246" i="5" s="1"/>
  <c r="Y246" i="5" l="1"/>
  <c r="Z246" i="5" s="1"/>
  <c r="AC246" i="5"/>
  <c r="AD246" i="5" s="1"/>
  <c r="T245" i="5"/>
  <c r="U245" i="5" s="1"/>
  <c r="P247" i="5"/>
  <c r="S246" i="5"/>
  <c r="AB247" i="5"/>
  <c r="X247" i="5"/>
  <c r="Q247" i="5"/>
  <c r="R247" i="5" s="1"/>
  <c r="AC247" i="5" l="1"/>
  <c r="AD247" i="5" s="1"/>
  <c r="Y247" i="5"/>
  <c r="Z247" i="5" s="1"/>
  <c r="T246" i="5"/>
  <c r="U246" i="5" s="1"/>
  <c r="P248" i="5"/>
  <c r="Q248" i="5"/>
  <c r="R248" i="5" s="1"/>
  <c r="S247" i="5"/>
  <c r="X248" i="5"/>
  <c r="AB248" i="5"/>
  <c r="Y248" i="5" l="1"/>
  <c r="Z248" i="5" s="1"/>
  <c r="AC248" i="5"/>
  <c r="AD248" i="5" s="1"/>
  <c r="T247" i="5"/>
  <c r="U247" i="5" s="1"/>
  <c r="P249" i="5"/>
  <c r="Q249" i="5"/>
  <c r="R249" i="5" s="1"/>
  <c r="X249" i="5"/>
  <c r="S248" i="5"/>
  <c r="AB249" i="5"/>
  <c r="Y249" i="5" l="1"/>
  <c r="Z249" i="5" s="1"/>
  <c r="AC249" i="5"/>
  <c r="AD249" i="5" s="1"/>
  <c r="T248" i="5"/>
  <c r="U248" i="5" s="1"/>
  <c r="P250" i="5"/>
  <c r="Q250" i="5"/>
  <c r="R250" i="5" s="1"/>
  <c r="X250" i="5"/>
  <c r="S249" i="5"/>
  <c r="AB250" i="5"/>
  <c r="Y250" i="5" l="1"/>
  <c r="Z250" i="5" s="1"/>
  <c r="AC250" i="5"/>
  <c r="AD250" i="5" s="1"/>
  <c r="T249" i="5"/>
  <c r="U249" i="5" s="1"/>
  <c r="P251" i="5"/>
  <c r="S250" i="5"/>
  <c r="AB251" i="5"/>
  <c r="X251" i="5"/>
  <c r="Q251" i="5"/>
  <c r="R251" i="5" s="1"/>
  <c r="T250" i="5" l="1"/>
  <c r="U250" i="5" s="1"/>
  <c r="AC251" i="5"/>
  <c r="AD251" i="5" s="1"/>
  <c r="Y251" i="5"/>
  <c r="Z251" i="5" s="1"/>
  <c r="P252" i="5"/>
  <c r="X252" i="5"/>
  <c r="AB252" i="5"/>
  <c r="S251" i="5"/>
  <c r="Q252" i="5"/>
  <c r="R252" i="5" s="1"/>
  <c r="Y252" i="5" l="1"/>
  <c r="Z252" i="5" s="1"/>
  <c r="AC252" i="5"/>
  <c r="AD252" i="5" s="1"/>
  <c r="T251" i="5"/>
  <c r="U251" i="5" s="1"/>
  <c r="P253" i="5"/>
  <c r="X253" i="5"/>
  <c r="AB253" i="5"/>
  <c r="S252" i="5"/>
  <c r="Q253" i="5"/>
  <c r="R253" i="5" s="1"/>
  <c r="Y253" i="5" l="1"/>
  <c r="Z253" i="5" s="1"/>
  <c r="AC253" i="5"/>
  <c r="AD253" i="5" s="1"/>
  <c r="T252" i="5"/>
  <c r="U252" i="5" s="1"/>
  <c r="P254" i="5"/>
  <c r="S253" i="5"/>
  <c r="Q254" i="5"/>
  <c r="R254" i="5"/>
  <c r="X254" i="5"/>
  <c r="AB254" i="5"/>
  <c r="T253" i="5" l="1"/>
  <c r="U253" i="5" s="1"/>
  <c r="Y254" i="5"/>
  <c r="Z254" i="5" s="1"/>
  <c r="AC254" i="5"/>
  <c r="AD254" i="5" s="1"/>
  <c r="S254" i="5"/>
  <c r="T254" i="5" l="1"/>
  <c r="U254" i="5" s="1"/>
</calcChain>
</file>

<file path=xl/comments1.xml><?xml version="1.0" encoding="utf-8"?>
<comments xmlns="http://schemas.openxmlformats.org/spreadsheetml/2006/main">
  <authors>
    <author>Edwin</author>
  </authors>
  <commentList>
    <comment ref="Q3" authorId="0">
      <text>
        <r>
          <rPr>
            <b/>
            <sz val="9"/>
            <color indexed="81"/>
            <rFont val="Tahoma"/>
            <family val="2"/>
          </rPr>
          <t>Edwin:</t>
        </r>
        <r>
          <rPr>
            <sz val="9"/>
            <color indexed="81"/>
            <rFont val="Tahoma"/>
            <family val="2"/>
          </rPr>
          <t xml:space="preserve">
Verfiy params, time to maturity in years
Verify the rest</t>
        </r>
      </text>
    </comment>
    <comment ref="R3" authorId="0">
      <text>
        <r>
          <rPr>
            <b/>
            <sz val="9"/>
            <color indexed="81"/>
            <rFont val="Tahoma"/>
            <family val="2"/>
          </rPr>
          <t>Edwin:</t>
        </r>
        <r>
          <rPr>
            <sz val="9"/>
            <color indexed="81"/>
            <rFont val="Tahoma"/>
            <family val="2"/>
          </rPr>
          <t xml:space="preserve">
Time to Maturity in Years
verify starting volatility
What is the initialVariance?</t>
        </r>
      </text>
    </comment>
  </commentList>
</comments>
</file>

<file path=xl/sharedStrings.xml><?xml version="1.0" encoding="utf-8"?>
<sst xmlns="http://schemas.openxmlformats.org/spreadsheetml/2006/main" count="58" uniqueCount="49">
  <si>
    <t>Inputs</t>
  </si>
  <si>
    <t>ν</t>
  </si>
  <si>
    <t>current Variance V</t>
  </si>
  <si>
    <t>ν bar</t>
  </si>
  <si>
    <t>Theta</t>
  </si>
  <si>
    <t>SQRT(250)</t>
  </si>
  <si>
    <t>ν0</t>
  </si>
  <si>
    <t>η eta</t>
  </si>
  <si>
    <t>eta</t>
  </si>
  <si>
    <t>ρ</t>
  </si>
  <si>
    <t>λ</t>
  </si>
  <si>
    <t>Kappa</t>
  </si>
  <si>
    <t>r</t>
  </si>
  <si>
    <t>δ</t>
  </si>
  <si>
    <t>S0</t>
  </si>
  <si>
    <t>K</t>
  </si>
  <si>
    <t>Simulation-1</t>
  </si>
  <si>
    <t>Cholesky Decomposition</t>
  </si>
  <si>
    <t>Milstein Schem</t>
  </si>
  <si>
    <t>Heston</t>
  </si>
  <si>
    <t>ImpliedVol</t>
  </si>
  <si>
    <t>Realised Vol</t>
  </si>
  <si>
    <t>T0 Implied Vol</t>
  </si>
  <si>
    <t>Time</t>
  </si>
  <si>
    <t>Uniform S</t>
  </si>
  <si>
    <r>
      <t xml:space="preserve">Uniform </t>
    </r>
    <r>
      <rPr>
        <b/>
        <sz val="11"/>
        <color theme="1"/>
        <rFont val="Calibri"/>
        <family val="2"/>
      </rPr>
      <t>σ</t>
    </r>
  </si>
  <si>
    <t>Std.S</t>
  </si>
  <si>
    <r>
      <t>Std.</t>
    </r>
    <r>
      <rPr>
        <b/>
        <sz val="11"/>
        <color theme="1"/>
        <rFont val="Calibri"/>
        <family val="2"/>
      </rPr>
      <t>σ</t>
    </r>
  </si>
  <si>
    <t>W1</t>
  </si>
  <si>
    <t>W2</t>
  </si>
  <si>
    <t>Variance</t>
  </si>
  <si>
    <t>Returns</t>
  </si>
  <si>
    <t>StockPrice</t>
  </si>
  <si>
    <t>CallPrice
ClosedForm</t>
  </si>
  <si>
    <t>IV(BS)</t>
  </si>
  <si>
    <t>Delta(BS)</t>
  </si>
  <si>
    <t>Short
Stock in $</t>
  </si>
  <si>
    <t>P&amp;L</t>
  </si>
  <si>
    <t>Realised
Variance</t>
  </si>
  <si>
    <t>Realised
Vol</t>
  </si>
  <si>
    <t>Delta(BS) in
RealVol</t>
  </si>
  <si>
    <t>Short Stock in $</t>
  </si>
  <si>
    <t>InitialVol</t>
  </si>
  <si>
    <t>PnL</t>
  </si>
  <si>
    <t>Correlation Matrix</t>
  </si>
  <si>
    <t>S</t>
  </si>
  <si>
    <t>σ</t>
  </si>
  <si>
    <t>Cholesky Decom</t>
  </si>
  <si>
    <t>Correlation Check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</si>
</sst>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.0000"/>
    <numFmt numFmtId="165" formatCode="0.00000"/>
    <numFmt numFmtId="166" formatCode="0.000000000000000"/>
    <numFmt numFmtId="167" formatCode="0.000000000000000000"/>
    <numFmt numFmtId="168" formatCode="0.0000000000000000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2"/>
      <color theme="1"/>
      <name val="Calibri"/>
      <family val="2"/>
    </font>
    <font>
      <b/>
      <i/>
      <sz val="12"/>
      <color theme="1"/>
      <name val="Calibri"/>
      <family val="2"/>
    </font>
    <font>
      <sz val="10"/>
      <name val="Arial"/>
      <family val="2"/>
    </font>
    <font>
      <b/>
      <sz val="11"/>
      <color theme="1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5" fillId="0" borderId="0"/>
    <xf numFmtId="9" fontId="5" fillId="0" borderId="0" applyFont="0" applyFill="0" applyBorder="0" applyAlignment="0" applyProtection="0"/>
  </cellStyleXfs>
  <cellXfs count="28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1" xfId="0" applyFont="1" applyBorder="1"/>
    <xf numFmtId="0" fontId="0" fillId="0" borderId="1" xfId="0" applyFont="1" applyBorder="1"/>
    <xf numFmtId="0" fontId="4" fillId="0" borderId="1" xfId="0" applyFont="1" applyBorder="1"/>
    <xf numFmtId="0" fontId="3" fillId="0" borderId="2" xfId="0" applyFont="1" applyFill="1" applyBorder="1"/>
    <xf numFmtId="0" fontId="0" fillId="0" borderId="2" xfId="0" applyFont="1" applyFill="1" applyBorder="1"/>
    <xf numFmtId="0" fontId="0" fillId="0" borderId="0" xfId="0" applyBorder="1"/>
    <xf numFmtId="0" fontId="1" fillId="2" borderId="1" xfId="0" applyFont="1" applyFill="1" applyBorder="1" applyAlignment="1">
      <alignment horizontal="center"/>
    </xf>
    <xf numFmtId="0" fontId="1" fillId="0" borderId="0" xfId="0" applyFont="1" applyFill="1"/>
    <xf numFmtId="0" fontId="1" fillId="2" borderId="1" xfId="0" applyFont="1" applyFill="1" applyBorder="1"/>
    <xf numFmtId="0" fontId="1" fillId="2" borderId="1" xfId="0" applyFont="1" applyFill="1" applyBorder="1" applyAlignment="1">
      <alignment horizontal="center" wrapText="1"/>
    </xf>
    <xf numFmtId="0" fontId="6" fillId="2" borderId="1" xfId="0" applyFont="1" applyFill="1" applyBorder="1"/>
    <xf numFmtId="0" fontId="0" fillId="0" borderId="3" xfId="0" applyBorder="1"/>
    <xf numFmtId="0" fontId="0" fillId="0" borderId="3" xfId="0" applyBorder="1" applyAlignment="1">
      <alignment horizontal="center"/>
    </xf>
    <xf numFmtId="0" fontId="0" fillId="0" borderId="3" xfId="0" applyFill="1" applyBorder="1"/>
    <xf numFmtId="0" fontId="0" fillId="0" borderId="3" xfId="0" applyFill="1" applyBorder="1" applyAlignment="1">
      <alignment horizontal="center"/>
    </xf>
    <xf numFmtId="164" fontId="0" fillId="0" borderId="1" xfId="0" applyNumberFormat="1" applyBorder="1"/>
    <xf numFmtId="0" fontId="0" fillId="0" borderId="1" xfId="0" applyBorder="1"/>
    <xf numFmtId="165" fontId="0" fillId="0" borderId="1" xfId="0" applyNumberFormat="1" applyBorder="1"/>
    <xf numFmtId="165" fontId="0" fillId="0" borderId="0" xfId="0" applyNumberFormat="1"/>
    <xf numFmtId="164" fontId="0" fillId="0" borderId="0" xfId="0" applyNumberFormat="1"/>
    <xf numFmtId="0" fontId="0" fillId="2" borderId="1" xfId="0" applyFill="1" applyBorder="1"/>
    <xf numFmtId="166" fontId="0" fillId="0" borderId="1" xfId="0" applyNumberFormat="1" applyBorder="1"/>
    <xf numFmtId="167" fontId="0" fillId="0" borderId="1" xfId="0" applyNumberFormat="1" applyBorder="1"/>
    <xf numFmtId="168" fontId="0" fillId="0" borderId="1" xfId="0" applyNumberFormat="1" applyBorder="1"/>
    <xf numFmtId="0" fontId="1" fillId="2" borderId="1" xfId="0" applyFont="1" applyFill="1" applyBorder="1" applyAlignment="1">
      <alignment horizontal="center"/>
    </xf>
  </cellXfs>
  <cellStyles count="3">
    <cellStyle name="Normal" xfId="0" builtinId="0"/>
    <cellStyle name="Normal 2" xfId="1"/>
    <cellStyle name="Percent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cked"/>
        <c:varyColors val="0"/>
        <c:ser>
          <c:idx val="0"/>
          <c:order val="0"/>
          <c:tx>
            <c:v>IV</c:v>
          </c:tx>
          <c:marker>
            <c:symbol val="none"/>
          </c:marker>
          <c:val>
            <c:numRef>
              <c:f>Simulation!$U$5:$U$254</c:f>
              <c:numCache>
                <c:formatCode>General</c:formatCode>
                <c:ptCount val="250"/>
                <c:pt idx="0">
                  <c:v>-22.113442894996339</c:v>
                </c:pt>
                <c:pt idx="1">
                  <c:v>-20.038393716895577</c:v>
                </c:pt>
                <c:pt idx="2">
                  <c:v>-6.7266819627639762</c:v>
                </c:pt>
                <c:pt idx="3">
                  <c:v>8.99974396700933</c:v>
                </c:pt>
                <c:pt idx="4">
                  <c:v>17.507127886716276</c:v>
                </c:pt>
                <c:pt idx="5">
                  <c:v>17.889057581056168</c:v>
                </c:pt>
                <c:pt idx="6">
                  <c:v>15.721064515206065</c:v>
                </c:pt>
                <c:pt idx="7">
                  <c:v>12.945978950957548</c:v>
                </c:pt>
                <c:pt idx="8">
                  <c:v>10.690609663159799</c:v>
                </c:pt>
                <c:pt idx="9">
                  <c:v>8.4352818901284312</c:v>
                </c:pt>
                <c:pt idx="10">
                  <c:v>6.8203691126917771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v>RealVol</c:v>
          </c:tx>
          <c:marker>
            <c:symbol val="none"/>
          </c:marker>
          <c:val>
            <c:numRef>
              <c:f>Simulation!$Z$6:$Z$254</c:f>
              <c:numCache>
                <c:formatCode>0.0000</c:formatCode>
                <c:ptCount val="249"/>
                <c:pt idx="0">
                  <c:v>-19.615152347516563</c:v>
                </c:pt>
                <c:pt idx="1">
                  <c:v>-23.763630911258847</c:v>
                </c:pt>
                <c:pt idx="2">
                  <c:v>-15.509113253572917</c:v>
                </c:pt>
                <c:pt idx="3">
                  <c:v>1.6886486924560593</c:v>
                </c:pt>
                <c:pt idx="4">
                  <c:v>-18.732755227690124</c:v>
                </c:pt>
                <c:pt idx="5">
                  <c:v>5.5744703832658189</c:v>
                </c:pt>
                <c:pt idx="6">
                  <c:v>-7.1726203063375564</c:v>
                </c:pt>
                <c:pt idx="7">
                  <c:v>5.8832646272031308</c:v>
                </c:pt>
                <c:pt idx="8">
                  <c:v>3.5665079548390932</c:v>
                </c:pt>
                <c:pt idx="9">
                  <c:v>1.6413162782339881</c:v>
                </c:pt>
                <c:pt idx="10">
                  <c:v>0.2685399848692358</c:v>
                </c:pt>
                <c:pt idx="11">
                  <c:v>-0.90726087658781396</c:v>
                </c:pt>
                <c:pt idx="12">
                  <c:v>-2.0244156435343945</c:v>
                </c:pt>
                <c:pt idx="13">
                  <c:v>-2.9968865707460259</c:v>
                </c:pt>
                <c:pt idx="14">
                  <c:v>-3.749561713793113</c:v>
                </c:pt>
                <c:pt idx="15">
                  <c:v>-5.9544012893851228</c:v>
                </c:pt>
                <c:pt idx="16">
                  <c:v>-5.3278199713717029</c:v>
                </c:pt>
                <c:pt idx="17">
                  <c:v>-5.6698064099441083</c:v>
                </c:pt>
                <c:pt idx="18">
                  <c:v>-5.9905088330051921</c:v>
                </c:pt>
                <c:pt idx="19">
                  <c:v>-6.3189774222403594</c:v>
                </c:pt>
                <c:pt idx="20">
                  <c:v>-6.7275534024496579</c:v>
                </c:pt>
                <c:pt idx="21">
                  <c:v>-6.6049936780778635</c:v>
                </c:pt>
                <c:pt idx="22">
                  <c:v>-6.8050623681758395</c:v>
                </c:pt>
                <c:pt idx="23">
                  <c:v>-6.9508984412294694</c:v>
                </c:pt>
                <c:pt idx="24">
                  <c:v>-7.1279158513099956</c:v>
                </c:pt>
                <c:pt idx="25">
                  <c:v>-7.2663456382616491</c:v>
                </c:pt>
                <c:pt idx="26">
                  <c:v>-7.3505789698926325</c:v>
                </c:pt>
                <c:pt idx="27">
                  <c:v>-7.3994500775600667</c:v>
                </c:pt>
                <c:pt idx="28">
                  <c:v>-7.4313241632442537</c:v>
                </c:pt>
                <c:pt idx="29">
                  <c:v>-7.4601561808792205</c:v>
                </c:pt>
                <c:pt idx="30">
                  <c:v>-7.4723894704712581</c:v>
                </c:pt>
                <c:pt idx="31">
                  <c:v>-7.479104862844463</c:v>
                </c:pt>
                <c:pt idx="32">
                  <c:v>-7.488060769602968</c:v>
                </c:pt>
                <c:pt idx="33">
                  <c:v>-7.4937416041187213</c:v>
                </c:pt>
                <c:pt idx="34">
                  <c:v>-7.4963678200020398</c:v>
                </c:pt>
                <c:pt idx="35">
                  <c:v>-7.4978672772786519</c:v>
                </c:pt>
                <c:pt idx="36">
                  <c:v>-7.4983441524800378</c:v>
                </c:pt>
                <c:pt idx="37">
                  <c:v>-7.4985706567766224</c:v>
                </c:pt>
                <c:pt idx="38">
                  <c:v>-7.498677520057341</c:v>
                </c:pt>
                <c:pt idx="39">
                  <c:v>-7.498726910284554</c:v>
                </c:pt>
                <c:pt idx="40">
                  <c:v>-7.4987443841698465</c:v>
                </c:pt>
                <c:pt idx="41">
                  <c:v>-7.4987492137251701</c:v>
                </c:pt>
                <c:pt idx="42">
                  <c:v>-7.4987520184800287</c:v>
                </c:pt>
                <c:pt idx="43">
                  <c:v>-7.4987538027511267</c:v>
                </c:pt>
                <c:pt idx="44">
                  <c:v>-7.4987551518693421</c:v>
                </c:pt>
                <c:pt idx="45">
                  <c:v>-7.4987562249720625</c:v>
                </c:pt>
                <c:pt idx="46">
                  <c:v>-7.4987573506230518</c:v>
                </c:pt>
                <c:pt idx="47">
                  <c:v>-7.4987584771310729</c:v>
                </c:pt>
                <c:pt idx="48">
                  <c:v>-7.4987598159657676</c:v>
                </c:pt>
                <c:pt idx="49">
                  <c:v>-7.4987608534475445</c:v>
                </c:pt>
                <c:pt idx="50">
                  <c:v>-7.4987617778203699</c:v>
                </c:pt>
                <c:pt idx="51">
                  <c:v>-7.49876269061944</c:v>
                </c:pt>
                <c:pt idx="52">
                  <c:v>-7.4987637182694131</c:v>
                </c:pt>
                <c:pt idx="53">
                  <c:v>-7.4987647864266647</c:v>
                </c:pt>
                <c:pt idx="54">
                  <c:v>-7.4987657819577214</c:v>
                </c:pt>
                <c:pt idx="55">
                  <c:v>-7.4987667479317786</c:v>
                </c:pt>
                <c:pt idx="56">
                  <c:v>-7.4987676772189928</c:v>
                </c:pt>
                <c:pt idx="57">
                  <c:v>-7.4987685668336663</c:v>
                </c:pt>
                <c:pt idx="58">
                  <c:v>-7.4987692905324073</c:v>
                </c:pt>
                <c:pt idx="59">
                  <c:v>-7.4987699762972788</c:v>
                </c:pt>
                <c:pt idx="60">
                  <c:v>-7.4987706885888317</c:v>
                </c:pt>
                <c:pt idx="61">
                  <c:v>-7.4987713576862909</c:v>
                </c:pt>
                <c:pt idx="62">
                  <c:v>-7.4987719464063964</c:v>
                </c:pt>
                <c:pt idx="63">
                  <c:v>-7.4987724211592779</c:v>
                </c:pt>
                <c:pt idx="64">
                  <c:v>-7.4987728384268451</c:v>
                </c:pt>
                <c:pt idx="65">
                  <c:v>-7.4987731444426116</c:v>
                </c:pt>
                <c:pt idx="66">
                  <c:v>-7.4987734745572183</c:v>
                </c:pt>
                <c:pt idx="67">
                  <c:v>-7.4987737480211525</c:v>
                </c:pt>
                <c:pt idx="68">
                  <c:v>-7.4987740223366099</c:v>
                </c:pt>
                <c:pt idx="69">
                  <c:v>-7.4987742950474603</c:v>
                </c:pt>
                <c:pt idx="70">
                  <c:v>-7.4987746148951802</c:v>
                </c:pt>
                <c:pt idx="71">
                  <c:v>-7.4987749116674891</c:v>
                </c:pt>
                <c:pt idx="72">
                  <c:v>-7.4987751627264503</c:v>
                </c:pt>
                <c:pt idx="73">
                  <c:v>-7.4987754016627859</c:v>
                </c:pt>
                <c:pt idx="74">
                  <c:v>-7.4987756285532994</c:v>
                </c:pt>
                <c:pt idx="75">
                  <c:v>-7.498775840987987</c:v>
                </c:pt>
                <c:pt idx="76">
                  <c:v>-7.4987760560210441</c:v>
                </c:pt>
                <c:pt idx="77">
                  <c:v>-7.498776236566238</c:v>
                </c:pt>
                <c:pt idx="78">
                  <c:v>-7.4987763758709018</c:v>
                </c:pt>
                <c:pt idx="79">
                  <c:v>-7.4987765009559046</c:v>
                </c:pt>
                <c:pt idx="80">
                  <c:v>-7.4987766186601705</c:v>
                </c:pt>
                <c:pt idx="81">
                  <c:v>-7.4987767165483303</c:v>
                </c:pt>
                <c:pt idx="82">
                  <c:v>-7.4987768188126518</c:v>
                </c:pt>
                <c:pt idx="83">
                  <c:v>-7.4987769103218902</c:v>
                </c:pt>
                <c:pt idx="84">
                  <c:v>-7.4987769942416218</c:v>
                </c:pt>
                <c:pt idx="85">
                  <c:v>-7.4987770837622554</c:v>
                </c:pt>
                <c:pt idx="86">
                  <c:v>-7.498777152299521</c:v>
                </c:pt>
                <c:pt idx="87">
                  <c:v>-7.498777211471702</c:v>
                </c:pt>
                <c:pt idx="88">
                  <c:v>-7.4987772731548041</c:v>
                </c:pt>
                <c:pt idx="89">
                  <c:v>-7.4987773206648853</c:v>
                </c:pt>
                <c:pt idx="90">
                  <c:v>-7.4987773649530611</c:v>
                </c:pt>
                <c:pt idx="91">
                  <c:v>-7.4987774037815678</c:v>
                </c:pt>
                <c:pt idx="92">
                  <c:v>-7.4987774491026231</c:v>
                </c:pt>
                <c:pt idx="93">
                  <c:v>-7.4987774901034925</c:v>
                </c:pt>
                <c:pt idx="94">
                  <c:v>-7.4987775263873564</c:v>
                </c:pt>
                <c:pt idx="95">
                  <c:v>-7.4987775608999536</c:v>
                </c:pt>
                <c:pt idx="96">
                  <c:v>-7.4987775950898756</c:v>
                </c:pt>
                <c:pt idx="97">
                  <c:v>-7.4987776257984189</c:v>
                </c:pt>
                <c:pt idx="98">
                  <c:v>-7.4987776563665367</c:v>
                </c:pt>
                <c:pt idx="99">
                  <c:v>-7.4987776819647509</c:v>
                </c:pt>
                <c:pt idx="100">
                  <c:v>-7.4987777050008502</c:v>
                </c:pt>
                <c:pt idx="101">
                  <c:v>-7.4987777267376412</c:v>
                </c:pt>
                <c:pt idx="102">
                  <c:v>-7.4987777463632792</c:v>
                </c:pt>
                <c:pt idx="103">
                  <c:v>-7.4987777651437799</c:v>
                </c:pt>
                <c:pt idx="104">
                  <c:v>-7.498777780710788</c:v>
                </c:pt>
                <c:pt idx="105">
                  <c:v>-7.4987777952244894</c:v>
                </c:pt>
                <c:pt idx="106">
                  <c:v>-7.4987778087324228</c:v>
                </c:pt>
                <c:pt idx="107">
                  <c:v>-7.4987778203958015</c:v>
                </c:pt>
                <c:pt idx="108">
                  <c:v>-7.4987778306165822</c:v>
                </c:pt>
                <c:pt idx="109">
                  <c:v>-7.4987778385045472</c:v>
                </c:pt>
                <c:pt idx="110">
                  <c:v>-7.4987778449646116</c:v>
                </c:pt>
                <c:pt idx="111">
                  <c:v>-7.4987778509133411</c:v>
                </c:pt>
                <c:pt idx="112">
                  <c:v>-7.4987778557938505</c:v>
                </c:pt>
                <c:pt idx="113">
                  <c:v>-7.4987778599268546</c:v>
                </c:pt>
                <c:pt idx="114">
                  <c:v>-7.4987778633665343</c:v>
                </c:pt>
                <c:pt idx="115">
                  <c:v>-7.4987778660614701</c:v>
                </c:pt>
                <c:pt idx="116">
                  <c:v>-7.4987778681247299</c:v>
                </c:pt>
                <c:pt idx="117">
                  <c:v>-7.4987778696551484</c:v>
                </c:pt>
                <c:pt idx="118">
                  <c:v>-7.4987778707641048</c:v>
                </c:pt>
                <c:pt idx="119">
                  <c:v>-7.4987778717096223</c:v>
                </c:pt>
                <c:pt idx="120">
                  <c:v>-7.4987778724931502</c:v>
                </c:pt>
                <c:pt idx="121">
                  <c:v>-7.4987778730938048</c:v>
                </c:pt>
                <c:pt idx="122">
                  <c:v>-7.4987778734942783</c:v>
                </c:pt>
                <c:pt idx="123">
                  <c:v>-7.4987778737767572</c:v>
                </c:pt>
                <c:pt idx="124">
                  <c:v>-7.4987778739655573</c:v>
                </c:pt>
                <c:pt idx="125">
                  <c:v>-7.4987778740865645</c:v>
                </c:pt>
                <c:pt idx="126">
                  <c:v>-7.498777874170881</c:v>
                </c:pt>
                <c:pt idx="127">
                  <c:v>-7.4987778742032472</c:v>
                </c:pt>
                <c:pt idx="128">
                  <c:v>-7.4987778742111084</c:v>
                </c:pt>
                <c:pt idx="129">
                  <c:v>-7.4987778742018705</c:v>
                </c:pt>
                <c:pt idx="130">
                  <c:v>-7.4987778741842179</c:v>
                </c:pt>
                <c:pt idx="131">
                  <c:v>-7.4987778741413971</c:v>
                </c:pt>
                <c:pt idx="132">
                  <c:v>-7.498777874072176</c:v>
                </c:pt>
                <c:pt idx="133">
                  <c:v>-7.4987778740047482</c:v>
                </c:pt>
                <c:pt idx="134">
                  <c:v>-7.4987778739459099</c:v>
                </c:pt>
                <c:pt idx="135">
                  <c:v>-7.4987778738767759</c:v>
                </c:pt>
                <c:pt idx="136">
                  <c:v>-7.4987778738109956</c:v>
                </c:pt>
                <c:pt idx="137">
                  <c:v>-7.4987778737490025</c:v>
                </c:pt>
                <c:pt idx="138">
                  <c:v>-7.4987778736801918</c:v>
                </c:pt>
                <c:pt idx="139">
                  <c:v>-7.4987778736049968</c:v>
                </c:pt>
                <c:pt idx="140">
                  <c:v>-7.4987778735380095</c:v>
                </c:pt>
                <c:pt idx="141">
                  <c:v>-7.4987778734814077</c:v>
                </c:pt>
                <c:pt idx="142">
                  <c:v>-7.4987778734310062</c:v>
                </c:pt>
                <c:pt idx="143">
                  <c:v>-7.4987778733791091</c:v>
                </c:pt>
                <c:pt idx="144">
                  <c:v>-7.4987778733189403</c:v>
                </c:pt>
                <c:pt idx="145">
                  <c:v>-7.4987778732625001</c:v>
                </c:pt>
                <c:pt idx="146">
                  <c:v>-7.4987778732076613</c:v>
                </c:pt>
                <c:pt idx="147">
                  <c:v>-7.4987778731714663</c:v>
                </c:pt>
                <c:pt idx="148">
                  <c:v>-7.4987778731602956</c:v>
                </c:pt>
                <c:pt idx="149">
                  <c:v>-7.4987778731217105</c:v>
                </c:pt>
                <c:pt idx="150">
                  <c:v>-7.4987778731050767</c:v>
                </c:pt>
                <c:pt idx="151">
                  <c:v>-7.4987778730735091</c:v>
                </c:pt>
                <c:pt idx="152">
                  <c:v>-7.4987778730102619</c:v>
                </c:pt>
                <c:pt idx="153">
                  <c:v>-7.4987778729137249</c:v>
                </c:pt>
                <c:pt idx="154">
                  <c:v>-7.4987778727747774</c:v>
                </c:pt>
                <c:pt idx="155">
                  <c:v>-7.4987778726766123</c:v>
                </c:pt>
                <c:pt idx="156">
                  <c:v>-7.4987778725693888</c:v>
                </c:pt>
                <c:pt idx="157">
                  <c:v>-7.4987778724721093</c:v>
                </c:pt>
                <c:pt idx="158">
                  <c:v>-7.4987778723867047</c:v>
                </c:pt>
                <c:pt idx="159">
                  <c:v>-7.4987778722825542</c:v>
                </c:pt>
                <c:pt idx="160">
                  <c:v>-7.4987778721863299</c:v>
                </c:pt>
                <c:pt idx="161">
                  <c:v>-7.4987778721089224</c:v>
                </c:pt>
                <c:pt idx="162">
                  <c:v>-7.4987778720399936</c:v>
                </c:pt>
                <c:pt idx="163">
                  <c:v>-7.4987778719439255</c:v>
                </c:pt>
                <c:pt idx="164">
                  <c:v>-7.4987778718867135</c:v>
                </c:pt>
                <c:pt idx="165">
                  <c:v>-7.4987778718247844</c:v>
                </c:pt>
                <c:pt idx="166">
                  <c:v>-7.4987778717473992</c:v>
                </c:pt>
                <c:pt idx="167">
                  <c:v>-7.498777871689092</c:v>
                </c:pt>
                <c:pt idx="168">
                  <c:v>-7.4987778716113684</c:v>
                </c:pt>
                <c:pt idx="169">
                  <c:v>-7.4987778715573521</c:v>
                </c:pt>
                <c:pt idx="170">
                  <c:v>-7.4987778714683593</c:v>
                </c:pt>
                <c:pt idx="171">
                  <c:v>-7.4987778713733206</c:v>
                </c:pt>
                <c:pt idx="172">
                  <c:v>-7.4987778712213684</c:v>
                </c:pt>
                <c:pt idx="173">
                  <c:v>-7.4987778710945108</c:v>
                </c:pt>
                <c:pt idx="174">
                  <c:v>-7.4987778709908559</c:v>
                </c:pt>
                <c:pt idx="175">
                  <c:v>-7.4987778709205495</c:v>
                </c:pt>
                <c:pt idx="176">
                  <c:v>-7.4987778708471415</c:v>
                </c:pt>
                <c:pt idx="177">
                  <c:v>-7.4987778707727859</c:v>
                </c:pt>
                <c:pt idx="178">
                  <c:v>-7.4987778706972037</c:v>
                </c:pt>
                <c:pt idx="179">
                  <c:v>-7.4987778706090946</c:v>
                </c:pt>
                <c:pt idx="180">
                  <c:v>-7.498777870512475</c:v>
                </c:pt>
                <c:pt idx="181">
                  <c:v>-7.4987778704193584</c:v>
                </c:pt>
                <c:pt idx="182">
                  <c:v>-7.4987778703104357</c:v>
                </c:pt>
                <c:pt idx="183">
                  <c:v>-7.4987778702066796</c:v>
                </c:pt>
                <c:pt idx="184">
                  <c:v>-7.4987778701149255</c:v>
                </c:pt>
                <c:pt idx="185">
                  <c:v>-7.498777870030735</c:v>
                </c:pt>
                <c:pt idx="186">
                  <c:v>-7.4987778699716729</c:v>
                </c:pt>
                <c:pt idx="187">
                  <c:v>-7.498777869921005</c:v>
                </c:pt>
                <c:pt idx="188">
                  <c:v>-7.4987778698707706</c:v>
                </c:pt>
                <c:pt idx="189">
                  <c:v>-7.4987778698194871</c:v>
                </c:pt>
                <c:pt idx="190">
                  <c:v>-7.4987778697809402</c:v>
                </c:pt>
                <c:pt idx="191">
                  <c:v>-7.4987778697510983</c:v>
                </c:pt>
                <c:pt idx="192">
                  <c:v>-7.4987778697138587</c:v>
                </c:pt>
                <c:pt idx="193">
                  <c:v>-7.498777869656152</c:v>
                </c:pt>
                <c:pt idx="194">
                  <c:v>-7.4987778695858651</c:v>
                </c:pt>
                <c:pt idx="195">
                  <c:v>-7.4987778695050977</c:v>
                </c:pt>
                <c:pt idx="196">
                  <c:v>-7.4987778694195182</c:v>
                </c:pt>
                <c:pt idx="197">
                  <c:v>-7.4987778693709783</c:v>
                </c:pt>
                <c:pt idx="198">
                  <c:v>-7.4987778693210387</c:v>
                </c:pt>
                <c:pt idx="199">
                  <c:v>-7.4987778692966334</c:v>
                </c:pt>
                <c:pt idx="200">
                  <c:v>-7.4987778692634199</c:v>
                </c:pt>
                <c:pt idx="201">
                  <c:v>-7.4987778692236216</c:v>
                </c:pt>
                <c:pt idx="202">
                  <c:v>-7.4987778692202198</c:v>
                </c:pt>
                <c:pt idx="203">
                  <c:v>-7.4987778692006293</c:v>
                </c:pt>
                <c:pt idx="204">
                  <c:v>-7.4987778691778697</c:v>
                </c:pt>
                <c:pt idx="205">
                  <c:v>-7.4987778691485074</c:v>
                </c:pt>
                <c:pt idx="206">
                  <c:v>-7.4987778691085261</c:v>
                </c:pt>
                <c:pt idx="207">
                  <c:v>-7.4987778690731339</c:v>
                </c:pt>
                <c:pt idx="208">
                  <c:v>-7.4987778690574514</c:v>
                </c:pt>
                <c:pt idx="209">
                  <c:v>-7.4987778690275775</c:v>
                </c:pt>
                <c:pt idx="210">
                  <c:v>-7.4987778690106808</c:v>
                </c:pt>
                <c:pt idx="211">
                  <c:v>-7.4987778689816862</c:v>
                </c:pt>
                <c:pt idx="212">
                  <c:v>-7.4987778689508042</c:v>
                </c:pt>
                <c:pt idx="213">
                  <c:v>-7.4987778689289017</c:v>
                </c:pt>
                <c:pt idx="214">
                  <c:v>-7.498777868883808</c:v>
                </c:pt>
                <c:pt idx="215">
                  <c:v>-7.4987778688308193</c:v>
                </c:pt>
                <c:pt idx="216">
                  <c:v>-7.4987778687710804</c:v>
                </c:pt>
                <c:pt idx="217">
                  <c:v>-7.4987778687189861</c:v>
                </c:pt>
                <c:pt idx="218">
                  <c:v>-7.4987778686926143</c:v>
                </c:pt>
                <c:pt idx="219">
                  <c:v>-7.4987778686614339</c:v>
                </c:pt>
                <c:pt idx="220">
                  <c:v>-7.4987778686259512</c:v>
                </c:pt>
                <c:pt idx="221">
                  <c:v>-7.4987778685899542</c:v>
                </c:pt>
                <c:pt idx="222">
                  <c:v>-7.4987778685452744</c:v>
                </c:pt>
                <c:pt idx="223">
                  <c:v>-7.4987778685044182</c:v>
                </c:pt>
                <c:pt idx="224">
                  <c:v>-7.4987778684579007</c:v>
                </c:pt>
                <c:pt idx="225">
                  <c:v>-7.4987778684178945</c:v>
                </c:pt>
                <c:pt idx="226">
                  <c:v>-7.4987778683746384</c:v>
                </c:pt>
                <c:pt idx="227">
                  <c:v>-7.4987778683351873</c:v>
                </c:pt>
                <c:pt idx="228">
                  <c:v>-7.4987778682980872</c:v>
                </c:pt>
                <c:pt idx="229">
                  <c:v>-7.4987778682364423</c:v>
                </c:pt>
                <c:pt idx="230">
                  <c:v>-7.4987778681777648</c:v>
                </c:pt>
                <c:pt idx="231">
                  <c:v>-7.4987778681351731</c:v>
                </c:pt>
                <c:pt idx="232">
                  <c:v>-7.4987778680881867</c:v>
                </c:pt>
                <c:pt idx="233">
                  <c:v>-7.4987778680320583</c:v>
                </c:pt>
                <c:pt idx="234">
                  <c:v>-7.4987778679827644</c:v>
                </c:pt>
                <c:pt idx="235">
                  <c:v>-7.4987778679386112</c:v>
                </c:pt>
                <c:pt idx="236">
                  <c:v>-7.4987778678705794</c:v>
                </c:pt>
                <c:pt idx="237">
                  <c:v>-7.4987778678097214</c:v>
                </c:pt>
                <c:pt idx="238">
                  <c:v>-7.4987778677437884</c:v>
                </c:pt>
                <c:pt idx="239">
                  <c:v>-7.4987778677028603</c:v>
                </c:pt>
                <c:pt idx="240">
                  <c:v>-7.4987778676688848</c:v>
                </c:pt>
                <c:pt idx="241">
                  <c:v>-7.4987778676442778</c:v>
                </c:pt>
                <c:pt idx="242">
                  <c:v>-7.4987778676368126</c:v>
                </c:pt>
                <c:pt idx="243">
                  <c:v>-7.498777867643855</c:v>
                </c:pt>
                <c:pt idx="244">
                  <c:v>-7.4987778676530752</c:v>
                </c:pt>
                <c:pt idx="245">
                  <c:v>-7.4987778676568047</c:v>
                </c:pt>
                <c:pt idx="246">
                  <c:v>-7.4987778676528976</c:v>
                </c:pt>
                <c:pt idx="247">
                  <c:v>-7.4987778676538452</c:v>
                </c:pt>
                <c:pt idx="248">
                  <c:v>-7.498777867666254</c:v>
                </c:pt>
              </c:numCache>
            </c:numRef>
          </c:val>
          <c:smooth val="0"/>
        </c:ser>
        <c:ser>
          <c:idx val="2"/>
          <c:order val="2"/>
          <c:tx>
            <c:v>InitialVol</c:v>
          </c:tx>
          <c:marker>
            <c:symbol val="none"/>
          </c:marker>
          <c:val>
            <c:numRef>
              <c:f>Simulation!$AD$5:$AD$254</c:f>
              <c:numCache>
                <c:formatCode>General</c:formatCode>
                <c:ptCount val="250"/>
                <c:pt idx="0">
                  <c:v>-22.113442894996339</c:v>
                </c:pt>
                <c:pt idx="1">
                  <c:v>-20.039593070880439</c:v>
                </c:pt>
                <c:pt idx="2">
                  <c:v>-6.7654808213810913</c:v>
                </c:pt>
                <c:pt idx="3">
                  <c:v>8.9119548971372478</c:v>
                </c:pt>
                <c:pt idx="4">
                  <c:v>17.429954740966274</c:v>
                </c:pt>
                <c:pt idx="5">
                  <c:v>17.870381710280704</c:v>
                </c:pt>
                <c:pt idx="6">
                  <c:v>15.712231732945119</c:v>
                </c:pt>
                <c:pt idx="7">
                  <c:v>12.937635028600226</c:v>
                </c:pt>
                <c:pt idx="8">
                  <c:v>10.682266949542845</c:v>
                </c:pt>
                <c:pt idx="9">
                  <c:v>8.4269391773125957</c:v>
                </c:pt>
                <c:pt idx="10">
                  <c:v>6.8120263998759674</c:v>
                </c:pt>
                <c:pt idx="11">
                  <c:v>5.1441654181063035</c:v>
                </c:pt>
                <c:pt idx="12">
                  <c:v>3.9143898533045762</c:v>
                </c:pt>
                <c:pt idx="13">
                  <c:v>2.7945209196358851</c:v>
                </c:pt>
                <c:pt idx="14">
                  <c:v>1.8220499924242537</c:v>
                </c:pt>
                <c:pt idx="15">
                  <c:v>1.0693748493773461</c:v>
                </c:pt>
                <c:pt idx="16">
                  <c:v>0.15021022372920267</c:v>
                </c:pt>
                <c:pt idx="17">
                  <c:v>-0.36069620941656755</c:v>
                </c:pt>
                <c:pt idx="18">
                  <c:v>-0.77482327156659014</c:v>
                </c:pt>
                <c:pt idx="19">
                  <c:v>-1.0955256946276686</c:v>
                </c:pt>
                <c:pt idx="20">
                  <c:v>-1.4239942838628403</c:v>
                </c:pt>
                <c:pt idx="21">
                  <c:v>-1.5300436595037263</c:v>
                </c:pt>
                <c:pt idx="22">
                  <c:v>-1.6990768995875039</c:v>
                </c:pt>
                <c:pt idx="23">
                  <c:v>-1.8991419131269618</c:v>
                </c:pt>
                <c:pt idx="24">
                  <c:v>-2.0449814879467541</c:v>
                </c:pt>
                <c:pt idx="25">
                  <c:v>-2.2178690061006465</c:v>
                </c:pt>
                <c:pt idx="26">
                  <c:v>-2.3601132530036866</c:v>
                </c:pt>
                <c:pt idx="27">
                  <c:v>-2.4443465846346699</c:v>
                </c:pt>
                <c:pt idx="28">
                  <c:v>-2.4932176923021041</c:v>
                </c:pt>
                <c:pt idx="29">
                  <c:v>-2.5250917779862911</c:v>
                </c:pt>
                <c:pt idx="30">
                  <c:v>-2.5539228073541809</c:v>
                </c:pt>
                <c:pt idx="31">
                  <c:v>-2.5661520907676385</c:v>
                </c:pt>
                <c:pt idx="32">
                  <c:v>-2.572872161606754</c:v>
                </c:pt>
                <c:pt idx="33">
                  <c:v>-2.5818050421578613</c:v>
                </c:pt>
                <c:pt idx="34">
                  <c:v>-2.5875068535711199</c:v>
                </c:pt>
                <c:pt idx="35">
                  <c:v>-2.5901330694544393</c:v>
                </c:pt>
                <c:pt idx="36">
                  <c:v>-2.5916325267310514</c:v>
                </c:pt>
                <c:pt idx="37">
                  <c:v>-2.5921094019324373</c:v>
                </c:pt>
                <c:pt idx="38">
                  <c:v>-2.5923359062290219</c:v>
                </c:pt>
                <c:pt idx="39">
                  <c:v>-2.5924427695097405</c:v>
                </c:pt>
                <c:pt idx="40">
                  <c:v>-2.5924921597369535</c:v>
                </c:pt>
                <c:pt idx="41">
                  <c:v>-2.5925096335679712</c:v>
                </c:pt>
                <c:pt idx="42">
                  <c:v>-2.5925144631705459</c:v>
                </c:pt>
                <c:pt idx="43">
                  <c:v>-2.5925172679254045</c:v>
                </c:pt>
                <c:pt idx="44">
                  <c:v>-2.5925190521965025</c:v>
                </c:pt>
                <c:pt idx="45">
                  <c:v>-2.5925204013147178</c:v>
                </c:pt>
                <c:pt idx="46">
                  <c:v>-2.5925214744174383</c:v>
                </c:pt>
                <c:pt idx="47">
                  <c:v>-2.5925226000684276</c:v>
                </c:pt>
                <c:pt idx="48">
                  <c:v>-2.5925237265764483</c:v>
                </c:pt>
                <c:pt idx="49">
                  <c:v>-2.5925250654111429</c:v>
                </c:pt>
                <c:pt idx="50">
                  <c:v>-2.5925261028929203</c:v>
                </c:pt>
                <c:pt idx="51">
                  <c:v>-2.5925270272657452</c:v>
                </c:pt>
                <c:pt idx="52">
                  <c:v>-2.5925279400648154</c:v>
                </c:pt>
                <c:pt idx="53">
                  <c:v>-2.5925289677147889</c:v>
                </c:pt>
                <c:pt idx="54">
                  <c:v>-2.5925300358720405</c:v>
                </c:pt>
                <c:pt idx="55">
                  <c:v>-2.5925310314030972</c:v>
                </c:pt>
                <c:pt idx="56">
                  <c:v>-2.5925319973771543</c:v>
                </c:pt>
                <c:pt idx="57">
                  <c:v>-2.5925329266643682</c:v>
                </c:pt>
                <c:pt idx="58">
                  <c:v>-2.5925338162790421</c:v>
                </c:pt>
                <c:pt idx="59">
                  <c:v>-2.592534539977783</c:v>
                </c:pt>
                <c:pt idx="60">
                  <c:v>-2.5925352257426546</c:v>
                </c:pt>
                <c:pt idx="61">
                  <c:v>-2.5925359380342079</c:v>
                </c:pt>
                <c:pt idx="62">
                  <c:v>-2.5925366071316671</c:v>
                </c:pt>
                <c:pt idx="63">
                  <c:v>-2.5925371958517731</c:v>
                </c:pt>
                <c:pt idx="64">
                  <c:v>-2.5925376706046541</c:v>
                </c:pt>
                <c:pt idx="65">
                  <c:v>-2.5925380878722213</c:v>
                </c:pt>
                <c:pt idx="66">
                  <c:v>-2.5925383938879878</c:v>
                </c:pt>
                <c:pt idx="67">
                  <c:v>-2.592538724002595</c:v>
                </c:pt>
                <c:pt idx="68">
                  <c:v>-2.5925389974665292</c:v>
                </c:pt>
                <c:pt idx="69">
                  <c:v>-2.5925392717819866</c:v>
                </c:pt>
                <c:pt idx="70">
                  <c:v>-2.5925395444928374</c:v>
                </c:pt>
                <c:pt idx="71">
                  <c:v>-2.5925398643405568</c:v>
                </c:pt>
                <c:pt idx="72">
                  <c:v>-2.5925401611128658</c:v>
                </c:pt>
                <c:pt idx="73">
                  <c:v>-2.592540412171827</c:v>
                </c:pt>
                <c:pt idx="74">
                  <c:v>-2.5925406511081626</c:v>
                </c:pt>
                <c:pt idx="75">
                  <c:v>-2.5925408779986756</c:v>
                </c:pt>
                <c:pt idx="76">
                  <c:v>-2.5925410904333637</c:v>
                </c:pt>
                <c:pt idx="77">
                  <c:v>-2.5925413054664208</c:v>
                </c:pt>
                <c:pt idx="78">
                  <c:v>-2.5925414860116143</c:v>
                </c:pt>
                <c:pt idx="79">
                  <c:v>-2.5925416253162776</c:v>
                </c:pt>
                <c:pt idx="80">
                  <c:v>-2.5925417504012804</c:v>
                </c:pt>
                <c:pt idx="81">
                  <c:v>-2.5925418681055463</c:v>
                </c:pt>
                <c:pt idx="82">
                  <c:v>-2.5925419659937057</c:v>
                </c:pt>
                <c:pt idx="83">
                  <c:v>-2.5925420682580271</c:v>
                </c:pt>
                <c:pt idx="84">
                  <c:v>-2.5925421597672655</c:v>
                </c:pt>
                <c:pt idx="85">
                  <c:v>-2.5925422436869976</c:v>
                </c:pt>
                <c:pt idx="86">
                  <c:v>-2.5925423332076316</c:v>
                </c:pt>
                <c:pt idx="87">
                  <c:v>-2.5925424017448973</c:v>
                </c:pt>
                <c:pt idx="88">
                  <c:v>-2.5925424609170782</c:v>
                </c:pt>
                <c:pt idx="89">
                  <c:v>-2.5925425226001808</c:v>
                </c:pt>
                <c:pt idx="90">
                  <c:v>-2.5925425701102616</c:v>
                </c:pt>
                <c:pt idx="91">
                  <c:v>-2.5925426143984374</c:v>
                </c:pt>
                <c:pt idx="92">
                  <c:v>-2.592542653226944</c:v>
                </c:pt>
                <c:pt idx="93">
                  <c:v>-2.5925426985479993</c:v>
                </c:pt>
                <c:pt idx="94">
                  <c:v>-2.5925427395488683</c:v>
                </c:pt>
                <c:pt idx="95">
                  <c:v>-2.5925427758327322</c:v>
                </c:pt>
                <c:pt idx="96">
                  <c:v>-2.5925428103453294</c:v>
                </c:pt>
                <c:pt idx="97">
                  <c:v>-2.5925428445352519</c:v>
                </c:pt>
                <c:pt idx="98">
                  <c:v>-2.5925428752437947</c:v>
                </c:pt>
                <c:pt idx="99">
                  <c:v>-2.592542905811912</c:v>
                </c:pt>
                <c:pt idx="100">
                  <c:v>-2.5925429314101267</c:v>
                </c:pt>
                <c:pt idx="101">
                  <c:v>-2.592542954446226</c:v>
                </c:pt>
                <c:pt idx="102">
                  <c:v>-2.5925429761830165</c:v>
                </c:pt>
                <c:pt idx="103">
                  <c:v>-2.5925429958086541</c:v>
                </c:pt>
                <c:pt idx="104">
                  <c:v>-2.5925430145891548</c:v>
                </c:pt>
                <c:pt idx="105">
                  <c:v>-2.5925430301561629</c:v>
                </c:pt>
                <c:pt idx="106">
                  <c:v>-2.5925430446698638</c:v>
                </c:pt>
                <c:pt idx="107">
                  <c:v>-2.5925430581777968</c:v>
                </c:pt>
                <c:pt idx="108">
                  <c:v>-2.5925430698411751</c:v>
                </c:pt>
                <c:pt idx="109">
                  <c:v>-2.5925430800619558</c:v>
                </c:pt>
                <c:pt idx="110">
                  <c:v>-2.5925430879499212</c:v>
                </c:pt>
                <c:pt idx="111">
                  <c:v>-2.5925430944099856</c:v>
                </c:pt>
                <c:pt idx="112">
                  <c:v>-2.5925431003587147</c:v>
                </c:pt>
                <c:pt idx="113">
                  <c:v>-2.5925431052392245</c:v>
                </c:pt>
                <c:pt idx="114">
                  <c:v>-2.5925431093722286</c:v>
                </c:pt>
                <c:pt idx="115">
                  <c:v>-2.5925431128119087</c:v>
                </c:pt>
                <c:pt idx="116">
                  <c:v>-2.5925431155068446</c:v>
                </c:pt>
                <c:pt idx="117">
                  <c:v>-2.5925431175701044</c:v>
                </c:pt>
                <c:pt idx="118">
                  <c:v>-2.5925431191005224</c:v>
                </c:pt>
                <c:pt idx="119">
                  <c:v>-2.5925431202094789</c:v>
                </c:pt>
                <c:pt idx="120">
                  <c:v>-2.5925431211549963</c:v>
                </c:pt>
                <c:pt idx="121">
                  <c:v>-2.5925431219385242</c:v>
                </c:pt>
                <c:pt idx="122">
                  <c:v>-2.5925431225391788</c:v>
                </c:pt>
                <c:pt idx="123">
                  <c:v>-2.5925431229396523</c:v>
                </c:pt>
                <c:pt idx="124">
                  <c:v>-2.5925431232221312</c:v>
                </c:pt>
                <c:pt idx="125">
                  <c:v>-2.5925431234109313</c:v>
                </c:pt>
                <c:pt idx="126">
                  <c:v>-2.5925431235319389</c:v>
                </c:pt>
                <c:pt idx="127">
                  <c:v>-2.5925431236162551</c:v>
                </c:pt>
                <c:pt idx="128">
                  <c:v>-2.5925431236486207</c:v>
                </c:pt>
                <c:pt idx="129">
                  <c:v>-2.592543123656482</c:v>
                </c:pt>
                <c:pt idx="130">
                  <c:v>-2.592543123647244</c:v>
                </c:pt>
                <c:pt idx="131">
                  <c:v>-2.5925431236295915</c:v>
                </c:pt>
                <c:pt idx="132">
                  <c:v>-2.5925431235867706</c:v>
                </c:pt>
                <c:pt idx="133">
                  <c:v>-2.5925431235175496</c:v>
                </c:pt>
                <c:pt idx="134">
                  <c:v>-2.5925431234501213</c:v>
                </c:pt>
                <c:pt idx="135">
                  <c:v>-2.5925431233912835</c:v>
                </c:pt>
                <c:pt idx="136">
                  <c:v>-2.5925431233221494</c:v>
                </c:pt>
                <c:pt idx="137">
                  <c:v>-2.5925431232563696</c:v>
                </c:pt>
                <c:pt idx="138">
                  <c:v>-2.592543123194377</c:v>
                </c:pt>
                <c:pt idx="139">
                  <c:v>-2.5925431231255658</c:v>
                </c:pt>
                <c:pt idx="140">
                  <c:v>-2.5925431230503708</c:v>
                </c:pt>
                <c:pt idx="141">
                  <c:v>-2.5925431229833831</c:v>
                </c:pt>
                <c:pt idx="142">
                  <c:v>-2.5925431229267817</c:v>
                </c:pt>
                <c:pt idx="143">
                  <c:v>-2.5925431228763802</c:v>
                </c:pt>
                <c:pt idx="144">
                  <c:v>-2.5925431228244835</c:v>
                </c:pt>
                <c:pt idx="145">
                  <c:v>-2.5925431227643148</c:v>
                </c:pt>
                <c:pt idx="146">
                  <c:v>-2.5925431227078741</c:v>
                </c:pt>
                <c:pt idx="147">
                  <c:v>-2.5925431226530353</c:v>
                </c:pt>
                <c:pt idx="148">
                  <c:v>-2.5925431226168407</c:v>
                </c:pt>
                <c:pt idx="149">
                  <c:v>-2.5925431226056705</c:v>
                </c:pt>
                <c:pt idx="150">
                  <c:v>-2.5925431225670854</c:v>
                </c:pt>
                <c:pt idx="151">
                  <c:v>-2.5925431225504516</c:v>
                </c:pt>
                <c:pt idx="152">
                  <c:v>-2.5925431225188844</c:v>
                </c:pt>
                <c:pt idx="153">
                  <c:v>-2.5925431224556377</c:v>
                </c:pt>
                <c:pt idx="154">
                  <c:v>-2.5925431223591007</c:v>
                </c:pt>
                <c:pt idx="155">
                  <c:v>-2.5925431222201532</c:v>
                </c:pt>
                <c:pt idx="156">
                  <c:v>-2.5925431221219877</c:v>
                </c:pt>
                <c:pt idx="157">
                  <c:v>-2.5925431220147646</c:v>
                </c:pt>
                <c:pt idx="158">
                  <c:v>-2.592543121917485</c:v>
                </c:pt>
                <c:pt idx="159">
                  <c:v>-2.5925431218320809</c:v>
                </c:pt>
                <c:pt idx="160">
                  <c:v>-2.5925431217279304</c:v>
                </c:pt>
                <c:pt idx="161">
                  <c:v>-2.5925431216317061</c:v>
                </c:pt>
                <c:pt idx="162">
                  <c:v>-2.5925431215542987</c:v>
                </c:pt>
                <c:pt idx="163">
                  <c:v>-2.5925431214853698</c:v>
                </c:pt>
                <c:pt idx="164">
                  <c:v>-2.5925431213893018</c:v>
                </c:pt>
                <c:pt idx="165">
                  <c:v>-2.5925431213320898</c:v>
                </c:pt>
                <c:pt idx="166">
                  <c:v>-2.5925431212701606</c:v>
                </c:pt>
                <c:pt idx="167">
                  <c:v>-2.5925431211927754</c:v>
                </c:pt>
                <c:pt idx="168">
                  <c:v>-2.5925431211344683</c:v>
                </c:pt>
                <c:pt idx="169">
                  <c:v>-2.5925431210567451</c:v>
                </c:pt>
                <c:pt idx="170">
                  <c:v>-2.5925431210027288</c:v>
                </c:pt>
                <c:pt idx="171">
                  <c:v>-2.5925431209137364</c:v>
                </c:pt>
                <c:pt idx="172">
                  <c:v>-2.5925431208186978</c:v>
                </c:pt>
                <c:pt idx="173">
                  <c:v>-2.5925431206667455</c:v>
                </c:pt>
                <c:pt idx="174">
                  <c:v>-2.5925431205398874</c:v>
                </c:pt>
                <c:pt idx="175">
                  <c:v>-2.592543120436233</c:v>
                </c:pt>
                <c:pt idx="176">
                  <c:v>-2.5925431203659266</c:v>
                </c:pt>
                <c:pt idx="177">
                  <c:v>-2.5925431202925182</c:v>
                </c:pt>
                <c:pt idx="178">
                  <c:v>-2.5925431202181621</c:v>
                </c:pt>
                <c:pt idx="179">
                  <c:v>-2.5925431201425795</c:v>
                </c:pt>
                <c:pt idx="180">
                  <c:v>-2.5925431200544704</c:v>
                </c:pt>
                <c:pt idx="181">
                  <c:v>-2.5925431199578508</c:v>
                </c:pt>
                <c:pt idx="182">
                  <c:v>-2.5925431198647342</c:v>
                </c:pt>
                <c:pt idx="183">
                  <c:v>-2.592543119755812</c:v>
                </c:pt>
                <c:pt idx="184">
                  <c:v>-2.5925431196520563</c:v>
                </c:pt>
                <c:pt idx="185">
                  <c:v>-2.5925431195603026</c:v>
                </c:pt>
                <c:pt idx="186">
                  <c:v>-2.5925431194761126</c:v>
                </c:pt>
                <c:pt idx="187">
                  <c:v>-2.5925431194170505</c:v>
                </c:pt>
                <c:pt idx="188">
                  <c:v>-2.5925431193663826</c:v>
                </c:pt>
                <c:pt idx="189">
                  <c:v>-2.5925431193161481</c:v>
                </c:pt>
                <c:pt idx="190">
                  <c:v>-2.5925431192648647</c:v>
                </c:pt>
                <c:pt idx="191">
                  <c:v>-2.5925431192263173</c:v>
                </c:pt>
                <c:pt idx="192">
                  <c:v>-2.5925431191964754</c:v>
                </c:pt>
                <c:pt idx="193">
                  <c:v>-2.5925431191592363</c:v>
                </c:pt>
                <c:pt idx="194">
                  <c:v>-2.59254311910153</c:v>
                </c:pt>
                <c:pt idx="195">
                  <c:v>-2.5925431190312431</c:v>
                </c:pt>
                <c:pt idx="196">
                  <c:v>-2.5925431189504762</c:v>
                </c:pt>
                <c:pt idx="197">
                  <c:v>-2.5925431188648971</c:v>
                </c:pt>
                <c:pt idx="198">
                  <c:v>-2.5925431188163572</c:v>
                </c:pt>
                <c:pt idx="199">
                  <c:v>-2.5925431187664172</c:v>
                </c:pt>
                <c:pt idx="200">
                  <c:v>-2.5925431187420123</c:v>
                </c:pt>
                <c:pt idx="201">
                  <c:v>-2.5925431187087988</c:v>
                </c:pt>
                <c:pt idx="202">
                  <c:v>-2.5925431186690004</c:v>
                </c:pt>
                <c:pt idx="203">
                  <c:v>-2.5925431186655983</c:v>
                </c:pt>
                <c:pt idx="204">
                  <c:v>-2.5925431186460077</c:v>
                </c:pt>
                <c:pt idx="205">
                  <c:v>-2.5925431186232482</c:v>
                </c:pt>
                <c:pt idx="206">
                  <c:v>-2.5925431185938859</c:v>
                </c:pt>
                <c:pt idx="207">
                  <c:v>-2.5925431185539045</c:v>
                </c:pt>
                <c:pt idx="208">
                  <c:v>-2.5925431185185124</c:v>
                </c:pt>
                <c:pt idx="209">
                  <c:v>-2.5925431185028298</c:v>
                </c:pt>
                <c:pt idx="210">
                  <c:v>-2.5925431184729559</c:v>
                </c:pt>
                <c:pt idx="211">
                  <c:v>-2.5925431184560592</c:v>
                </c:pt>
                <c:pt idx="212">
                  <c:v>-2.5925431184270651</c:v>
                </c:pt>
                <c:pt idx="213">
                  <c:v>-2.5925431183961836</c:v>
                </c:pt>
                <c:pt idx="214">
                  <c:v>-2.5925431183742811</c:v>
                </c:pt>
                <c:pt idx="215">
                  <c:v>-2.5925431183291874</c:v>
                </c:pt>
                <c:pt idx="216">
                  <c:v>-2.5925431182761982</c:v>
                </c:pt>
                <c:pt idx="217">
                  <c:v>-2.5925431182164593</c:v>
                </c:pt>
                <c:pt idx="218">
                  <c:v>-2.5925431181643654</c:v>
                </c:pt>
                <c:pt idx="219">
                  <c:v>-2.5925431181379937</c:v>
                </c:pt>
                <c:pt idx="220">
                  <c:v>-2.5925431181068128</c:v>
                </c:pt>
                <c:pt idx="221">
                  <c:v>-2.5925431180713305</c:v>
                </c:pt>
                <c:pt idx="222">
                  <c:v>-2.592543118035334</c:v>
                </c:pt>
                <c:pt idx="223">
                  <c:v>-2.5925431179906542</c:v>
                </c:pt>
                <c:pt idx="224">
                  <c:v>-2.5925431179497975</c:v>
                </c:pt>
                <c:pt idx="225">
                  <c:v>-2.5925431179032801</c:v>
                </c:pt>
                <c:pt idx="226">
                  <c:v>-2.5925431178632738</c:v>
                </c:pt>
                <c:pt idx="227">
                  <c:v>-2.5925431178200182</c:v>
                </c:pt>
                <c:pt idx="228">
                  <c:v>-2.5925431177805671</c:v>
                </c:pt>
                <c:pt idx="229">
                  <c:v>-2.592543117743467</c:v>
                </c:pt>
                <c:pt idx="230">
                  <c:v>-2.5925431176818226</c:v>
                </c:pt>
                <c:pt idx="231">
                  <c:v>-2.592543117623145</c:v>
                </c:pt>
                <c:pt idx="232">
                  <c:v>-2.5925431175805529</c:v>
                </c:pt>
                <c:pt idx="233">
                  <c:v>-2.5925431175335669</c:v>
                </c:pt>
                <c:pt idx="234">
                  <c:v>-2.5925431174774385</c:v>
                </c:pt>
                <c:pt idx="235">
                  <c:v>-2.5925431174281441</c:v>
                </c:pt>
                <c:pt idx="236">
                  <c:v>-2.592543117383991</c:v>
                </c:pt>
                <c:pt idx="237">
                  <c:v>-2.5925431173159592</c:v>
                </c:pt>
                <c:pt idx="238">
                  <c:v>-2.5925431172551012</c:v>
                </c:pt>
                <c:pt idx="239">
                  <c:v>-2.5925431171891677</c:v>
                </c:pt>
                <c:pt idx="240">
                  <c:v>-2.5925431171482392</c:v>
                </c:pt>
                <c:pt idx="241">
                  <c:v>-2.5925431171142632</c:v>
                </c:pt>
                <c:pt idx="242">
                  <c:v>-2.5925431170896562</c:v>
                </c:pt>
                <c:pt idx="243">
                  <c:v>-2.5925431170821907</c:v>
                </c:pt>
                <c:pt idx="244">
                  <c:v>-2.5925431170892326</c:v>
                </c:pt>
                <c:pt idx="245">
                  <c:v>-2.5925431170984528</c:v>
                </c:pt>
                <c:pt idx="246">
                  <c:v>-2.5925431171021822</c:v>
                </c:pt>
                <c:pt idx="247">
                  <c:v>-2.5925431170982747</c:v>
                </c:pt>
                <c:pt idx="248">
                  <c:v>-2.5925431170992224</c:v>
                </c:pt>
                <c:pt idx="249">
                  <c:v>-2.5925431171116311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8551424"/>
        <c:axId val="90145920"/>
      </c:lineChart>
      <c:catAx>
        <c:axId val="208551424"/>
        <c:scaling>
          <c:orientation val="minMax"/>
        </c:scaling>
        <c:delete val="0"/>
        <c:axPos val="b"/>
        <c:majorTickMark val="out"/>
        <c:minorTickMark val="none"/>
        <c:tickLblPos val="nextTo"/>
        <c:crossAx val="90145920"/>
        <c:crosses val="autoZero"/>
        <c:auto val="1"/>
        <c:lblAlgn val="ctr"/>
        <c:lblOffset val="100"/>
        <c:noMultiLvlLbl val="0"/>
      </c:catAx>
      <c:valAx>
        <c:axId val="901459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8551424"/>
        <c:crosses val="autoZero"/>
        <c:crossBetween val="between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142875</xdr:colOff>
      <xdr:row>0</xdr:row>
      <xdr:rowOff>171450</xdr:rowOff>
    </xdr:from>
    <xdr:to>
      <xdr:col>15</xdr:col>
      <xdr:colOff>104775</xdr:colOff>
      <xdr:row>26</xdr:row>
      <xdr:rowOff>38100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H12"/>
  <sheetViews>
    <sheetView workbookViewId="0">
      <selection activeCell="H4" sqref="H4"/>
    </sheetView>
  </sheetViews>
  <sheetFormatPr defaultRowHeight="15" x14ac:dyDescent="0.25"/>
  <cols>
    <col min="3" max="3" width="7.7109375" bestFit="1" customWidth="1"/>
    <col min="4" max="4" width="9.28515625" customWidth="1"/>
  </cols>
  <sheetData>
    <row r="2" spans="2:8" ht="18.75" x14ac:dyDescent="0.3">
      <c r="B2" s="1" t="s">
        <v>0</v>
      </c>
      <c r="H2" s="2"/>
    </row>
    <row r="3" spans="2:8" ht="15.75" x14ac:dyDescent="0.25">
      <c r="B3" s="3" t="s">
        <v>1</v>
      </c>
      <c r="C3" s="4">
        <v>1.7399999999999999E-2</v>
      </c>
      <c r="D3" t="s">
        <v>2</v>
      </c>
    </row>
    <row r="4" spans="2:8" ht="15.75" x14ac:dyDescent="0.25">
      <c r="B4" s="3" t="s">
        <v>3</v>
      </c>
      <c r="C4" s="4">
        <v>3.5400000000000001E-2</v>
      </c>
      <c r="D4" t="s">
        <v>4</v>
      </c>
      <c r="G4" t="s">
        <v>5</v>
      </c>
      <c r="H4">
        <f>SQRT(250)</f>
        <v>15.811388300841896</v>
      </c>
    </row>
    <row r="5" spans="2:8" ht="15.75" x14ac:dyDescent="0.25">
      <c r="B5" s="3" t="s">
        <v>6</v>
      </c>
      <c r="C5" s="4">
        <f>C4</f>
        <v>3.5400000000000001E-2</v>
      </c>
    </row>
    <row r="6" spans="2:8" ht="15.75" x14ac:dyDescent="0.25">
      <c r="B6" s="3" t="s">
        <v>7</v>
      </c>
      <c r="C6" s="4">
        <v>0.38769999999999999</v>
      </c>
      <c r="D6" t="s">
        <v>8</v>
      </c>
    </row>
    <row r="7" spans="2:8" ht="15.75" x14ac:dyDescent="0.25">
      <c r="B7" s="5" t="s">
        <v>9</v>
      </c>
      <c r="C7" s="4">
        <v>-0.71650000000000003</v>
      </c>
    </row>
    <row r="8" spans="2:8" ht="15.75" x14ac:dyDescent="0.25">
      <c r="B8" s="3" t="s">
        <v>10</v>
      </c>
      <c r="C8" s="4">
        <v>1.3252999999999999</v>
      </c>
      <c r="D8" t="s">
        <v>11</v>
      </c>
    </row>
    <row r="9" spans="2:8" ht="15.75" x14ac:dyDescent="0.25">
      <c r="B9" s="3" t="s">
        <v>12</v>
      </c>
      <c r="C9" s="4">
        <v>0</v>
      </c>
    </row>
    <row r="10" spans="2:8" ht="15.75" x14ac:dyDescent="0.25">
      <c r="B10" s="3" t="s">
        <v>13</v>
      </c>
      <c r="C10" s="4">
        <v>0</v>
      </c>
    </row>
    <row r="11" spans="2:8" ht="15.75" x14ac:dyDescent="0.25">
      <c r="B11" s="3" t="s">
        <v>14</v>
      </c>
      <c r="C11" s="4">
        <v>100</v>
      </c>
    </row>
    <row r="12" spans="2:8" ht="15.75" x14ac:dyDescent="0.25">
      <c r="B12" s="6" t="s">
        <v>15</v>
      </c>
      <c r="C12" s="7">
        <v>100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D254"/>
  <sheetViews>
    <sheetView tabSelected="1" workbookViewId="0">
      <pane ySplit="3" topLeftCell="A4" activePane="bottomLeft" state="frozen"/>
      <selection pane="bottomLeft" activeCell="Q13" sqref="Q13"/>
    </sheetView>
  </sheetViews>
  <sheetFormatPr defaultRowHeight="15" x14ac:dyDescent="0.25"/>
  <cols>
    <col min="1" max="1" width="17.5703125" bestFit="1" customWidth="1"/>
    <col min="8" max="8" width="20.85546875" bestFit="1" customWidth="1"/>
    <col min="9" max="9" width="22" bestFit="1" customWidth="1"/>
    <col min="10" max="11" width="18.5703125" bestFit="1" customWidth="1"/>
    <col min="14" max="14" width="13.5703125" customWidth="1"/>
    <col min="15" max="15" width="9.42578125" customWidth="1"/>
    <col min="17" max="17" width="12.5703125" customWidth="1"/>
    <col min="22" max="22" width="12" customWidth="1"/>
  </cols>
  <sheetData>
    <row r="1" spans="1:30" x14ac:dyDescent="0.25">
      <c r="A1" s="8"/>
      <c r="B1" s="8"/>
      <c r="C1" s="8"/>
      <c r="G1" s="27" t="s">
        <v>16</v>
      </c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  <c r="X1" s="27"/>
      <c r="Y1" s="27"/>
      <c r="Z1" s="27"/>
      <c r="AA1" s="27"/>
      <c r="AB1" s="27"/>
      <c r="AC1" s="27"/>
      <c r="AD1" s="27"/>
    </row>
    <row r="2" spans="1:30" x14ac:dyDescent="0.25">
      <c r="A2" s="8"/>
      <c r="B2" s="8"/>
      <c r="C2" s="8"/>
      <c r="G2" s="27" t="s">
        <v>17</v>
      </c>
      <c r="H2" s="27"/>
      <c r="I2" s="27"/>
      <c r="J2" s="27"/>
      <c r="K2" s="27"/>
      <c r="L2" s="27"/>
      <c r="M2" s="27"/>
      <c r="N2" s="27" t="s">
        <v>18</v>
      </c>
      <c r="O2" s="27"/>
      <c r="P2" s="27"/>
      <c r="Q2" s="9" t="s">
        <v>19</v>
      </c>
      <c r="R2" s="27" t="s">
        <v>20</v>
      </c>
      <c r="S2" s="27"/>
      <c r="T2" s="27"/>
      <c r="U2" s="27"/>
      <c r="V2" s="27" t="s">
        <v>21</v>
      </c>
      <c r="W2" s="27"/>
      <c r="X2" s="27"/>
      <c r="Y2" s="27"/>
      <c r="Z2" s="27"/>
      <c r="AA2" s="27" t="s">
        <v>22</v>
      </c>
      <c r="AB2" s="27"/>
      <c r="AC2" s="27"/>
      <c r="AD2" s="27"/>
    </row>
    <row r="3" spans="1:30" ht="45" x14ac:dyDescent="0.25">
      <c r="A3" s="10"/>
      <c r="G3" s="11" t="s">
        <v>23</v>
      </c>
      <c r="H3" s="11" t="s">
        <v>24</v>
      </c>
      <c r="I3" s="11" t="s">
        <v>25</v>
      </c>
      <c r="J3" s="11" t="s">
        <v>26</v>
      </c>
      <c r="K3" s="11" t="s">
        <v>27</v>
      </c>
      <c r="L3" s="9" t="s">
        <v>28</v>
      </c>
      <c r="M3" s="9" t="s">
        <v>29</v>
      </c>
      <c r="N3" s="9" t="s">
        <v>30</v>
      </c>
      <c r="O3" s="11" t="s">
        <v>31</v>
      </c>
      <c r="P3" s="9" t="s">
        <v>32</v>
      </c>
      <c r="Q3" s="12" t="s">
        <v>33</v>
      </c>
      <c r="R3" s="9" t="s">
        <v>34</v>
      </c>
      <c r="S3" s="9" t="s">
        <v>35</v>
      </c>
      <c r="T3" s="12" t="s">
        <v>36</v>
      </c>
      <c r="U3" s="9" t="s">
        <v>37</v>
      </c>
      <c r="V3" s="12" t="s">
        <v>38</v>
      </c>
      <c r="W3" s="12" t="s">
        <v>39</v>
      </c>
      <c r="X3" s="12" t="s">
        <v>40</v>
      </c>
      <c r="Y3" s="12" t="s">
        <v>41</v>
      </c>
      <c r="Z3" s="12" t="s">
        <v>37</v>
      </c>
      <c r="AA3" s="12" t="s">
        <v>42</v>
      </c>
      <c r="AB3" s="12" t="s">
        <v>35</v>
      </c>
      <c r="AC3" s="12" t="s">
        <v>41</v>
      </c>
      <c r="AD3" s="12" t="s">
        <v>43</v>
      </c>
    </row>
    <row r="4" spans="1:30" x14ac:dyDescent="0.25">
      <c r="A4" s="11" t="s">
        <v>44</v>
      </c>
      <c r="B4" s="11" t="s">
        <v>45</v>
      </c>
      <c r="C4" s="13" t="s">
        <v>46</v>
      </c>
      <c r="G4" s="14"/>
      <c r="H4" s="14"/>
      <c r="I4" s="14"/>
      <c r="J4" s="14"/>
      <c r="K4" s="14"/>
      <c r="L4" s="15"/>
      <c r="M4" s="15"/>
      <c r="N4" s="15"/>
      <c r="O4" s="16"/>
      <c r="P4" s="17"/>
      <c r="Q4" s="14"/>
      <c r="R4" s="14"/>
      <c r="S4" s="14"/>
      <c r="T4" s="14"/>
      <c r="U4" s="14"/>
    </row>
    <row r="5" spans="1:30" x14ac:dyDescent="0.25">
      <c r="A5" s="11" t="s">
        <v>45</v>
      </c>
      <c r="B5" s="18">
        <v>1</v>
      </c>
      <c r="C5" s="18">
        <f>[0]!Rho</f>
        <v>-0.71650000000000003</v>
      </c>
      <c r="G5" s="19">
        <v>250</v>
      </c>
      <c r="H5" s="25">
        <f ca="1">RAND()</f>
        <v>0.27058546529451788</v>
      </c>
      <c r="I5" s="26">
        <f ca="1">RAND()</f>
        <v>0.97274927387718035</v>
      </c>
      <c r="J5" s="24">
        <f ca="1">SQRT(-2*LN(H5))*COS(2*PI()*I5)</f>
        <v>1.5932472535644988</v>
      </c>
      <c r="K5" s="24">
        <f ca="1">SQRT(-2*LN(H5))*SIN(2*PI()*I5)</f>
        <v>-0.27549545213378113</v>
      </c>
      <c r="L5" s="19">
        <f t="array" aca="1" ref="L5:M5" ca="1">MMULT(J5:K5,TRANSPOSE($B$10:$C$11))</f>
        <v>1.5932472535644988</v>
      </c>
      <c r="M5" s="19">
        <f ca="1"/>
        <v>-1.3337437283095364</v>
      </c>
      <c r="N5" s="20">
        <f>Variance_T0</f>
        <v>3.5400000000000001E-2</v>
      </c>
      <c r="O5" s="20">
        <v>0</v>
      </c>
      <c r="P5" s="19">
        <v>100</v>
      </c>
      <c r="Q5" s="19">
        <f>HCTrans(P5,Strike,RiskFreeRate,Dividend,Variance_T0*AnnualVarConvtr,(Simulation!G5)/250,0.5,Variance_Avg*AnnualVarConvtr,Lambda,SQRT(Simulation!N5),Rho,1,"Call")</f>
        <v>28.818569228825197</v>
      </c>
      <c r="R5" s="19">
        <f>BSvol(1,P5,Strike,Q5,Dividend,RiskFreeRate,G5/250)</f>
        <v>0.73884103340948371</v>
      </c>
      <c r="S5" s="19">
        <f>BSdelta(1,P5,Strike,R5/AnnualVarConvtr,Dividend,RiskFreeRate,G5/250)</f>
        <v>0.50932012123821535</v>
      </c>
      <c r="T5" s="19">
        <f>(S5)*P5</f>
        <v>50.932012123821536</v>
      </c>
      <c r="U5" s="19">
        <f>Q5-T5</f>
        <v>-22.113442894996339</v>
      </c>
      <c r="V5" s="21">
        <f>(O5-O4)^2</f>
        <v>0</v>
      </c>
      <c r="W5">
        <f>SQRT(V5)</f>
        <v>0</v>
      </c>
      <c r="X5">
        <v>0</v>
      </c>
      <c r="AA5">
        <f>$R$5</f>
        <v>0.73884103340948371</v>
      </c>
      <c r="AB5">
        <f t="shared" ref="AB5" si="0">BSdelta(1,P5,Strike,AA5/AnnualVarConvtr,Dividend,RiskFreeRate,G5/250)</f>
        <v>0.50932012123821535</v>
      </c>
      <c r="AC5">
        <f>AB5*P5</f>
        <v>50.932012123821536</v>
      </c>
      <c r="AD5">
        <f>Q5-AC5</f>
        <v>-22.113442894996339</v>
      </c>
    </row>
    <row r="6" spans="1:30" x14ac:dyDescent="0.25">
      <c r="A6" s="13" t="s">
        <v>46</v>
      </c>
      <c r="B6" s="18">
        <f>Rho</f>
        <v>-0.71650000000000003</v>
      </c>
      <c r="C6" s="18">
        <v>1</v>
      </c>
      <c r="G6" s="19">
        <v>249</v>
      </c>
      <c r="H6" s="19">
        <f t="shared" ref="H6:I30" ca="1" si="1">RAND()</f>
        <v>0.93833631970647147</v>
      </c>
      <c r="I6" s="19">
        <f t="shared" ca="1" si="1"/>
        <v>0.36016378143419603</v>
      </c>
      <c r="J6" s="19">
        <f t="shared" ref="J6:J69" ca="1" si="2">SQRT(-2*LN(H6))*COS(2*PI()*I6)</f>
        <v>-0.227704444337224</v>
      </c>
      <c r="K6" s="19">
        <f t="shared" ref="K6:K69" ca="1" si="3">SQRT(-2*LN(H6))*SIN(2*PI()*I6)</f>
        <v>0.27467139443483152</v>
      </c>
      <c r="L6" s="19">
        <f t="array" aca="1" ref="L6:M6" ca="1">MMULT(J6:K6,TRANSPOSE($B$10:$C$11))</f>
        <v>-0.227704444337224</v>
      </c>
      <c r="M6" s="19">
        <f ca="1"/>
        <v>0.3547574534848898</v>
      </c>
      <c r="N6" s="20">
        <f ca="1">GetVariance(N5,Variance_Avg,Lambda,Eta,M6,"Daily")</f>
        <v>3.6905267653764562E-2</v>
      </c>
      <c r="O6" s="20">
        <f ca="1">GetStockReturns(O5,RiskFreeRate,N5,L6,"Daily")</f>
        <v>-2.7095872117875869E-3</v>
      </c>
      <c r="P6" s="19">
        <f ca="1">P5*EXP(O6)</f>
        <v>99.729408040631668</v>
      </c>
      <c r="Q6" s="19">
        <f ca="1">HCTrans(P6,Strike,RiskFreeRate,Dividend,Variance_T0*AnnualVarConvtr,(Simulation!G6)/250,0.5,Variance_Avg*AnnualVarConvtr,Lambda,SQRT(Simulation!N6),Rho,1,"Call")</f>
        <v>28.579252011046577</v>
      </c>
      <c r="R6" s="19">
        <f t="shared" ref="R6:R69" ca="1" si="4">BSvol(1,P6,Strike,Q6,Dividend,RiskFreeRate,G6/250)</f>
        <v>0.73856739049841336</v>
      </c>
      <c r="S6" s="19">
        <f t="shared" ref="S6:S69" ca="1" si="5">BSdelta(1,P6,Strike,R6/AnnualVarConvtr,Dividend,RiskFreeRate,G6/250)</f>
        <v>0.48611366246793503</v>
      </c>
      <c r="T6" s="19">
        <f ca="1">(S6-S5)*P6</f>
        <v>-2.3143663958793819</v>
      </c>
      <c r="U6" s="19">
        <f ca="1">(Q6-Q5)+U5-T6</f>
        <v>-20.038393716895577</v>
      </c>
      <c r="V6" s="21">
        <f ca="1">(O6-O5)^2</f>
        <v>7.3418628582828291E-6</v>
      </c>
      <c r="W6">
        <f ca="1">SQRT(V6)</f>
        <v>2.7095872117875869E-3</v>
      </c>
      <c r="X6" s="22">
        <f t="shared" ref="X6" ca="1" si="6">BSdelta(1,P6,Strike,W6*AnnualVarConvtr,Dividend,RiskFreeRate,G6/250)</f>
        <v>0.48325168378546696</v>
      </c>
      <c r="Y6" s="22">
        <f ca="1">X6*P6</f>
        <v>48.194404358563141</v>
      </c>
      <c r="Z6" s="22">
        <f ca="1">Q6-Y6</f>
        <v>-19.615152347516563</v>
      </c>
      <c r="AA6">
        <f t="shared" ref="AA6:AA69" si="7">$R$5</f>
        <v>0.73884103340948371</v>
      </c>
      <c r="AB6">
        <f t="shared" ref="AB6" ca="1" si="8">BSdelta(1,P6,Strike,AA6/AnnualVarConvtr,Dividend,RiskFreeRate,G6/250)</f>
        <v>0.48612568854939309</v>
      </c>
      <c r="AC6">
        <f ca="1">(AB6-AB5)*P6</f>
        <v>-2.3131670418945212</v>
      </c>
      <c r="AD6">
        <f ca="1">(Q6-Q5)+AD5-AC6</f>
        <v>-20.039593070880439</v>
      </c>
    </row>
    <row r="7" spans="1:30" x14ac:dyDescent="0.25">
      <c r="G7" s="19">
        <v>248</v>
      </c>
      <c r="H7" s="19">
        <f t="shared" ca="1" si="1"/>
        <v>0.37713522450973025</v>
      </c>
      <c r="I7" s="19">
        <f t="shared" ca="1" si="1"/>
        <v>0.42475154888028788</v>
      </c>
      <c r="J7" s="19">
        <f t="shared" ca="1" si="2"/>
        <v>-1.2433282921073106</v>
      </c>
      <c r="K7" s="19">
        <f t="shared" ca="1" si="3"/>
        <v>0.63595416370524971</v>
      </c>
      <c r="L7" s="19">
        <f t="array" aca="1" ref="L7:M7" ca="1">MMULT(J7:K7,TRANSPOSE($B$10:$C$11))</f>
        <v>-1.2433282921073106</v>
      </c>
      <c r="M7" s="19">
        <f ca="1"/>
        <v>1.3344781365776801</v>
      </c>
      <c r="N7" s="20">
        <f ca="1">GetVariance(N6,Variance_Avg,Lambda,Eta,M7,"Daily")</f>
        <v>4.3300758003782934E-2</v>
      </c>
      <c r="O7" s="20">
        <f ca="1">GetStockReturns(O6,RiskFreeRate,N6,L7,"Daily")</f>
        <v>-1.781595282512843E-2</v>
      </c>
      <c r="P7" s="19">
        <f t="shared" ref="P7:P70" ca="1" si="9">P6*EXP(O7)</f>
        <v>97.968367499776903</v>
      </c>
      <c r="Q7" s="19">
        <f ca="1">HCTrans(P7,Strike,RiskFreeRate,Dividend,Variance_T0*AnnualVarConvtr,(Simulation!G7)/250,0.5,Variance_Avg*AnnualVarConvtr,Lambda,SQRT(Simulation!N7),Rho,1,"Call")</f>
        <v>27.348135362876988</v>
      </c>
      <c r="R7" s="19">
        <f t="shared" ca="1" si="4"/>
        <v>0.73712162152394234</v>
      </c>
      <c r="S7" s="19">
        <f t="shared" ca="1" si="5"/>
        <v>0.33766953939592093</v>
      </c>
      <c r="T7" s="19">
        <f t="shared" ref="T7:T70" ca="1" si="10">(S7-S6)*P7</f>
        <v>-14.54282840230119</v>
      </c>
      <c r="U7" s="19">
        <f t="shared" ref="U7:U70" ca="1" si="11">(Q7-Q6)+U6-T7</f>
        <v>-6.7266819627639762</v>
      </c>
      <c r="V7" s="21">
        <f t="shared" ref="V7:V70" ca="1" si="12">(O7-O6)^2</f>
        <v>2.2820228204392667E-4</v>
      </c>
      <c r="W7">
        <f t="shared" ref="W7:W70" ca="1" si="13">SQRT(V7)</f>
        <v>1.5106365613340843E-2</v>
      </c>
      <c r="X7" s="22">
        <f t="shared" ref="X7" ca="1" si="14">BSdelta(1,P7,Strike,W7*AnnualVarConvtr,Dividend,RiskFreeRate,G7/250)</f>
        <v>0.5130302948823533</v>
      </c>
      <c r="Y7" s="22">
        <f ca="1">(X7-X6)*P7</f>
        <v>2.917361915572696</v>
      </c>
      <c r="Z7" s="22">
        <f ca="1">(Q7-Q6)+Z6-Y7</f>
        <v>-23.763630911258847</v>
      </c>
      <c r="AA7">
        <f t="shared" si="7"/>
        <v>0.73884103340948371</v>
      </c>
      <c r="AB7">
        <f t="shared" ref="AB7" ca="1" si="15">BSdelta(1,P7,Strike,AA7/AnnualVarConvtr,Dividend,RiskFreeRate,G7/250)</f>
        <v>0.33806535777270674</v>
      </c>
      <c r="AC7">
        <f t="shared" ref="AC7:AC70" ca="1" si="16">(AB7-AB6)*P7</f>
        <v>-14.505228897668937</v>
      </c>
      <c r="AD7">
        <f t="shared" ref="AD7:AD70" ca="1" si="17">(Q7-Q6)+AD6-AC7</f>
        <v>-6.7654808213810913</v>
      </c>
    </row>
    <row r="8" spans="1:30" x14ac:dyDescent="0.25">
      <c r="G8" s="19">
        <v>247</v>
      </c>
      <c r="H8" s="19">
        <f t="shared" ca="1" si="1"/>
        <v>0.60384477947840109</v>
      </c>
      <c r="I8" s="19">
        <f t="shared" ca="1" si="1"/>
        <v>0.61564209652843593</v>
      </c>
      <c r="J8" s="19">
        <f t="shared" ca="1" si="2"/>
        <v>-0.75074684084121746</v>
      </c>
      <c r="K8" s="19">
        <f t="shared" ca="1" si="3"/>
        <v>-0.66727459441568093</v>
      </c>
      <c r="L8" s="19">
        <f t="array" aca="1" ref="L8:M8" ca="1">MMULT(J8:K8,TRANSPOSE($B$10:$C$11))</f>
        <v>-0.75074684084121746</v>
      </c>
      <c r="M8" s="19">
        <f ca="1"/>
        <v>7.2427968021228806E-2</v>
      </c>
      <c r="N8" s="20">
        <f ca="1">GetVariance(N7,Variance_Avg,Lambda,Eta,M8,"Daily")</f>
        <v>4.3478907370768372E-2</v>
      </c>
      <c r="O8" s="20">
        <f ca="1">GetStockReturns(O7,RiskFreeRate,N7,L8,"Daily")</f>
        <v>-2.7696278465681949E-2</v>
      </c>
      <c r="P8" s="19">
        <f t="shared" ca="1" si="9"/>
        <v>95.292238781508033</v>
      </c>
      <c r="Q8" s="19">
        <f ca="1">HCTrans(P8,Strike,RiskFreeRate,Dividend,Variance_T0*AnnualVarConvtr,(Simulation!G8)/250,0.5,Variance_Avg*AnnualVarConvtr,Lambda,SQRT(Simulation!N8),Rho,1,"Call")</f>
        <v>25.586274024347333</v>
      </c>
      <c r="R8" s="19">
        <f t="shared" ca="1" si="4"/>
        <v>0.73618781544423983</v>
      </c>
      <c r="S8" s="19">
        <f t="shared" ca="1" si="5"/>
        <v>0.15414685704608977</v>
      </c>
      <c r="T8" s="19">
        <f t="shared" ca="1" si="10"/>
        <v>-17.488287268302962</v>
      </c>
      <c r="U8" s="19">
        <f t="shared" ca="1" si="11"/>
        <v>8.99974396700933</v>
      </c>
      <c r="V8" s="21">
        <f t="shared" ca="1" si="12"/>
        <v>9.7620834763379301E-5</v>
      </c>
      <c r="W8">
        <f t="shared" ca="1" si="13"/>
        <v>9.8803256405535188E-3</v>
      </c>
      <c r="X8" s="22">
        <f t="shared" ref="X8" ca="1" si="18">BSdelta(1,P8,Strike,W8*AnnualVarConvtr,Dividend,RiskFreeRate,G8/250)</f>
        <v>0.40791807247794781</v>
      </c>
      <c r="Y8" s="22">
        <f t="shared" ref="Y8:Y71" ca="1" si="19">(X8-X7)*P8</f>
        <v>-10.016378996215586</v>
      </c>
      <c r="Z8" s="22">
        <f t="shared" ref="Z8:Z71" ca="1" si="20">(Q8-Q7)+Z7-Y8</f>
        <v>-15.509113253572917</v>
      </c>
      <c r="AA8">
        <f t="shared" si="7"/>
        <v>0.73884103340948371</v>
      </c>
      <c r="AB8">
        <f t="shared" ref="AB8" ca="1" si="21">BSdelta(1,P8,Strike,AA8/AnnualVarConvtr,Dividend,RiskFreeRate,G8/250)</f>
        <v>0.15505678036868648</v>
      </c>
      <c r="AC8">
        <f t="shared" ca="1" si="16"/>
        <v>-17.439297057047995</v>
      </c>
      <c r="AD8">
        <f t="shared" ca="1" si="17"/>
        <v>8.9119548971372478</v>
      </c>
    </row>
    <row r="9" spans="1:30" x14ac:dyDescent="0.25">
      <c r="A9" s="11" t="s">
        <v>47</v>
      </c>
      <c r="B9" s="23" t="s">
        <v>45</v>
      </c>
      <c r="C9" s="13" t="s">
        <v>46</v>
      </c>
      <c r="G9" s="19">
        <v>246</v>
      </c>
      <c r="H9" s="19">
        <f t="shared" ca="1" si="1"/>
        <v>0.83320915663191619</v>
      </c>
      <c r="I9" s="19">
        <f t="shared" ca="1" si="1"/>
        <v>0.61838332001287122</v>
      </c>
      <c r="J9" s="19">
        <f t="shared" ca="1" si="2"/>
        <v>-0.44455045204959887</v>
      </c>
      <c r="K9" s="19">
        <f t="shared" ca="1" si="3"/>
        <v>-0.40904285284136477</v>
      </c>
      <c r="L9" s="19">
        <f t="array" aca="1" ref="L9:M9" ca="1">MMULT(J9:K9,TRANSPOSE($B$10:$C$11))</f>
        <v>-0.44455045204959887</v>
      </c>
      <c r="M9" s="19">
        <f ca="1"/>
        <v>3.3177384947746136E-2</v>
      </c>
      <c r="N9" s="20">
        <f ca="1">GetVariance(N8,Variance_Avg,Lambda,Eta,M9,"Daily")</f>
        <v>4.3455565426126511E-2</v>
      </c>
      <c r="O9" s="20">
        <f ca="1">GetStockReturns(O8,RiskFreeRate,N8,L9,"Daily")</f>
        <v>-3.3558879802667786E-2</v>
      </c>
      <c r="P9" s="19">
        <f t="shared" ca="1" si="9"/>
        <v>92.147401735329495</v>
      </c>
      <c r="Q9" s="19">
        <f ca="1">HCTrans(P9,Strike,RiskFreeRate,Dividend,Variance_T0*AnnualVarConvtr,(Simulation!G9)/250,0.5,Variance_Avg*AnnualVarConvtr,Lambda,SQRT(Simulation!N9),Rho,1,"Call")</f>
        <v>23.578667835590011</v>
      </c>
      <c r="R9" s="19">
        <f t="shared" ca="1" si="4"/>
        <v>0.73508120487398065</v>
      </c>
      <c r="S9" s="19">
        <f t="shared" ca="1" si="5"/>
        <v>4.0036313390545759E-2</v>
      </c>
      <c r="T9" s="19">
        <f t="shared" ca="1" si="10"/>
        <v>-10.51499010846427</v>
      </c>
      <c r="U9" s="19">
        <f t="shared" ca="1" si="11"/>
        <v>17.507127886716276</v>
      </c>
      <c r="V9" s="21">
        <f t="shared" ca="1" si="12"/>
        <v>3.4370094436428124E-5</v>
      </c>
      <c r="W9">
        <f t="shared" ca="1" si="13"/>
        <v>5.8626013369858371E-3</v>
      </c>
      <c r="X9" s="22">
        <f t="shared" ref="X9" ca="1" si="22">BSdelta(1,P9,Strike,W9*AnnualVarConvtr,Dividend,RiskFreeRate,G9/250)</f>
        <v>0.19949800014699981</v>
      </c>
      <c r="Y9" s="22">
        <f t="shared" ca="1" si="19"/>
        <v>-19.205368134786298</v>
      </c>
      <c r="Z9" s="22">
        <f t="shared" ca="1" si="20"/>
        <v>1.6886486924560593</v>
      </c>
      <c r="AA9">
        <f t="shared" si="7"/>
        <v>0.73884103340948371</v>
      </c>
      <c r="AB9">
        <f t="shared" ref="AB9" ca="1" si="23">BSdelta(1,P9,Strike,AA9/AnnualVarConvtr,Dividend,RiskFreeRate,G9/250)</f>
        <v>4.0831030815611319E-2</v>
      </c>
      <c r="AC9">
        <f t="shared" ca="1" si="16"/>
        <v>-10.525606032586349</v>
      </c>
      <c r="AD9">
        <f t="shared" ca="1" si="17"/>
        <v>17.429954740966274</v>
      </c>
    </row>
    <row r="10" spans="1:30" x14ac:dyDescent="0.25">
      <c r="A10" s="11" t="s">
        <v>45</v>
      </c>
      <c r="B10" s="19">
        <f t="array" ref="B10:C11">cholesky(B5:C6)</f>
        <v>1</v>
      </c>
      <c r="C10" s="19">
        <v>0</v>
      </c>
      <c r="G10" s="19">
        <v>245</v>
      </c>
      <c r="H10" s="19">
        <f t="shared" ca="1" si="1"/>
        <v>0.10301541926386382</v>
      </c>
      <c r="I10" s="19">
        <f t="shared" ca="1" si="1"/>
        <v>0.61720658128067563</v>
      </c>
      <c r="J10" s="19">
        <f t="shared" ca="1" si="2"/>
        <v>-1.5795933296430087</v>
      </c>
      <c r="K10" s="19">
        <f t="shared" ca="1" si="3"/>
        <v>-1.4320049279520042</v>
      </c>
      <c r="L10" s="19">
        <f t="array" aca="1" ref="L10:M10" ca="1">MMULT(J10:K10,TRANSPOSE($B$10:$C$11))</f>
        <v>-1.5795933296430087</v>
      </c>
      <c r="M10" s="19">
        <f ca="1"/>
        <v>0.1328304682189434</v>
      </c>
      <c r="N10" s="20">
        <f ca="1">GetVariance(N9,Variance_Avg,Lambda,Eta,M10,"Daily")</f>
        <v>4.3944165203043312E-2</v>
      </c>
      <c r="O10" s="20">
        <f ca="1">GetStockReturns(O9,RiskFreeRate,N9,L10,"Daily")</f>
        <v>-5.4384502185793181E-2</v>
      </c>
      <c r="P10" s="19">
        <f t="shared" ca="1" si="9"/>
        <v>87.269845036702151</v>
      </c>
      <c r="Q10" s="19">
        <f ca="1">HCTrans(P10,Strike,RiskFreeRate,Dividend,Variance_T0*AnnualVarConvtr,(Simulation!G10)/250,0.5,Variance_Avg*AnnualVarConvtr,Lambda,SQRT(Simulation!N10),Rho,1,"Call")</f>
        <v>20.608304746939922</v>
      </c>
      <c r="R10" s="19">
        <f t="shared" ca="1" si="4"/>
        <v>0.7331728487056548</v>
      </c>
      <c r="S10" s="19">
        <f t="shared" ca="1" si="5"/>
        <v>1.6233566403631116E-3</v>
      </c>
      <c r="T10" s="19">
        <f t="shared" ca="1" si="10"/>
        <v>-3.3522927829899816</v>
      </c>
      <c r="U10" s="19">
        <f t="shared" ca="1" si="11"/>
        <v>17.889057581056168</v>
      </c>
      <c r="V10" s="21">
        <f t="shared" ca="1" si="12"/>
        <v>4.3370654764453341E-4</v>
      </c>
      <c r="W10">
        <f t="shared" ca="1" si="13"/>
        <v>2.0825622383125394E-2</v>
      </c>
      <c r="X10" s="22">
        <f t="shared" ref="X10" ca="1" si="24">BSdelta(1,P10,Strike,W10*AnnualVarConvtr,Dividend,RiskFreeRate,G10/250)</f>
        <v>0.39946444702400408</v>
      </c>
      <c r="Y10" s="22">
        <f t="shared" ca="1" si="19"/>
        <v>17.451040831496094</v>
      </c>
      <c r="Z10" s="22">
        <f t="shared" ca="1" si="20"/>
        <v>-18.732755227690124</v>
      </c>
      <c r="AA10">
        <f t="shared" si="7"/>
        <v>0.73884103340948371</v>
      </c>
      <c r="AB10">
        <f t="shared" ref="AB10" ca="1" si="25">BSdelta(1,P10,Strike,AA10/AnnualVarConvtr,Dividend,RiskFreeRate,G10/250)</f>
        <v>1.7477706524922109E-3</v>
      </c>
      <c r="AC10">
        <f t="shared" ca="1" si="16"/>
        <v>-3.410790057964519</v>
      </c>
      <c r="AD10">
        <f t="shared" ca="1" si="17"/>
        <v>17.870381710280704</v>
      </c>
    </row>
    <row r="11" spans="1:30" x14ac:dyDescent="0.25">
      <c r="A11" s="13" t="s">
        <v>46</v>
      </c>
      <c r="B11" s="19">
        <v>-0.71650000000000003</v>
      </c>
      <c r="C11" s="19">
        <v>0.69758709133698849</v>
      </c>
      <c r="G11" s="19">
        <v>244</v>
      </c>
      <c r="H11" s="19">
        <f t="shared" ca="1" si="1"/>
        <v>0.747449619958517</v>
      </c>
      <c r="I11" s="19">
        <f t="shared" ca="1" si="1"/>
        <v>0.10561209869839971</v>
      </c>
      <c r="J11" s="19">
        <f t="shared" ca="1" si="2"/>
        <v>0.60108927849496729</v>
      </c>
      <c r="K11" s="19">
        <f t="shared" ca="1" si="3"/>
        <v>0.46996641087774055</v>
      </c>
      <c r="L11" s="19">
        <f t="array" aca="1" ref="L11:M11" ca="1">MMULT(J11:K11,TRANSPOSE($B$10:$C$11))</f>
        <v>0.60108927849496729</v>
      </c>
      <c r="M11" s="19">
        <f ca="1"/>
        <v>-0.10283796645135701</v>
      </c>
      <c r="N11" s="20">
        <f ca="1">GetVariance(N10,Variance_Avg,Lambda,Eta,M11,"Daily")</f>
        <v>4.3221545903994865E-2</v>
      </c>
      <c r="O11" s="20">
        <f ca="1">GetStockReturns(O10,RiskFreeRate,N10,L11,"Daily")</f>
        <v>-4.6415212999165761E-2</v>
      </c>
      <c r="P11" s="19">
        <f t="shared" ca="1" si="9"/>
        <v>83.311764733686147</v>
      </c>
      <c r="Q11" s="19">
        <f ca="1">HCTrans(P11,Strike,RiskFreeRate,Dividend,Variance_T0*AnnualVarConvtr,(Simulation!G11)/250,0.5,Variance_Avg*AnnualVarConvtr,Lambda,SQRT(Simulation!N11),Rho,1,"Call")</f>
        <v>18.308055051514899</v>
      </c>
      <c r="R11" s="19">
        <f t="shared" ca="1" si="4"/>
        <v>0.73175301371592438</v>
      </c>
      <c r="S11" s="19">
        <f t="shared" ca="1" si="5"/>
        <v>3.5866206116635029E-5</v>
      </c>
      <c r="T11" s="19">
        <f t="shared" ca="1" si="10"/>
        <v>-0.13225662957491971</v>
      </c>
      <c r="U11" s="19">
        <f t="shared" ca="1" si="11"/>
        <v>15.721064515206065</v>
      </c>
      <c r="V11" s="21">
        <f t="shared" ca="1" si="12"/>
        <v>6.3509570140096719E-5</v>
      </c>
      <c r="W11">
        <f t="shared" ca="1" si="13"/>
        <v>7.9692891866274193E-3</v>
      </c>
      <c r="X11" s="22">
        <f t="shared" ref="X11" ca="1" si="26">BSdelta(1,P11,Strike,W11*AnnualVarConvtr,Dividend,RiskFreeRate,G11/250)</f>
        <v>8.0092082371373663E-2</v>
      </c>
      <c r="Y11" s="22">
        <f t="shared" ca="1" si="19"/>
        <v>-26.607475306380966</v>
      </c>
      <c r="Z11" s="22">
        <f t="shared" ca="1" si="20"/>
        <v>5.5744703832658189</v>
      </c>
      <c r="AA11">
        <f t="shared" si="7"/>
        <v>0.73884103340948371</v>
      </c>
      <c r="AB11">
        <f t="shared" ref="AB11" ca="1" si="27">BSdelta(1,P11,Strike,AA11/AnnualVarConvtr,Dividend,RiskFreeRate,G11/250)</f>
        <v>4.2132576721357386E-5</v>
      </c>
      <c r="AC11">
        <f t="shared" ca="1" si="16"/>
        <v>-0.1420997180894385</v>
      </c>
      <c r="AD11">
        <f t="shared" ca="1" si="17"/>
        <v>15.712231732945119</v>
      </c>
    </row>
    <row r="12" spans="1:30" x14ac:dyDescent="0.25">
      <c r="G12" s="19">
        <v>243</v>
      </c>
      <c r="H12" s="19">
        <f t="shared" ca="1" si="1"/>
        <v>8.5326908081259645E-2</v>
      </c>
      <c r="I12" s="19">
        <f t="shared" ca="1" si="1"/>
        <v>0.65314171400187171</v>
      </c>
      <c r="J12" s="19">
        <f t="shared" ca="1" si="2"/>
        <v>-1.2684220503994499</v>
      </c>
      <c r="K12" s="19">
        <f t="shared" ca="1" si="3"/>
        <v>-1.8203396237837215</v>
      </c>
      <c r="L12" s="19">
        <f t="array" aca="1" ref="L12:M12" ca="1">MMULT(J12:K12,TRANSPOSE($B$10:$C$11))</f>
        <v>-1.2684220503994499</v>
      </c>
      <c r="M12" s="19">
        <f ca="1"/>
        <v>-0.3610210242895483</v>
      </c>
      <c r="N12" s="20">
        <f ca="1">GetVariance(N11,Variance_Avg,Lambda,Eta,M12,"Daily")</f>
        <v>4.1208978076916015E-2</v>
      </c>
      <c r="O12" s="20">
        <f ca="1">GetStockReturns(O11,RiskFreeRate,N11,L12,"Daily")</f>
        <v>-6.3093211367960353E-2</v>
      </c>
      <c r="P12" s="19">
        <f t="shared" ca="1" si="9"/>
        <v>78.217746655252085</v>
      </c>
      <c r="Q12" s="19">
        <f ca="1">HCTrans(P12,Strike,RiskFreeRate,Dividend,Variance_T0*AnnualVarConvtr,(Simulation!G12)/250,0.5,Variance_Avg*AnnualVarConvtr,Lambda,SQRT(Simulation!N12),Rho,1,"Call")</f>
        <v>15.530167127956872</v>
      </c>
      <c r="R12" s="19">
        <f t="shared" ca="1" si="4"/>
        <v>0.73008856908147157</v>
      </c>
      <c r="S12" s="19">
        <f t="shared" ca="1" si="5"/>
        <v>3.8540026213860303E-8</v>
      </c>
      <c r="T12" s="19">
        <f t="shared" ca="1" si="10"/>
        <v>-2.802359309509529E-3</v>
      </c>
      <c r="U12" s="19">
        <f t="shared" ca="1" si="11"/>
        <v>12.945978950957548</v>
      </c>
      <c r="V12" s="21">
        <f t="shared" ca="1" si="12"/>
        <v>2.7815562958951505E-4</v>
      </c>
      <c r="W12">
        <f t="shared" ca="1" si="13"/>
        <v>1.6677998368794592E-2</v>
      </c>
      <c r="X12" s="22">
        <f t="shared" ref="X12" ca="1" si="28">BSdelta(1,P12,Strike,W12*AnnualVarConvtr,Dividend,RiskFreeRate,G12/250)</f>
        <v>0.20754656926659218</v>
      </c>
      <c r="Y12" s="22">
        <f t="shared" ca="1" si="19"/>
        <v>9.9692027660453491</v>
      </c>
      <c r="Z12" s="22">
        <f t="shared" ca="1" si="20"/>
        <v>-7.1726203063375564</v>
      </c>
      <c r="AA12">
        <f t="shared" si="7"/>
        <v>0.73884103340948371</v>
      </c>
      <c r="AB12">
        <f t="shared" ref="AB12" ca="1" si="29">BSdelta(1,P12,Strike,AA12/AnnualVarConvtr,Dividend,RiskFreeRate,G12/250)</f>
        <v>5.4923581585597821E-8</v>
      </c>
      <c r="AC12">
        <f t="shared" ca="1" si="16"/>
        <v>-3.2912192131342422E-3</v>
      </c>
      <c r="AD12">
        <f t="shared" ca="1" si="17"/>
        <v>12.937635028600226</v>
      </c>
    </row>
    <row r="13" spans="1:30" x14ac:dyDescent="0.25">
      <c r="G13" s="19">
        <v>242</v>
      </c>
      <c r="H13" s="19">
        <f t="shared" ca="1" si="1"/>
        <v>0.8198997157071336</v>
      </c>
      <c r="I13" s="19">
        <f t="shared" ca="1" si="1"/>
        <v>0.13475778469025201</v>
      </c>
      <c r="J13" s="19">
        <f t="shared" ca="1" si="2"/>
        <v>0.41747476150620594</v>
      </c>
      <c r="K13" s="19">
        <f t="shared" ca="1" si="3"/>
        <v>0.47208189093341935</v>
      </c>
      <c r="L13" s="19">
        <f t="array" aca="1" ref="L13:M13" ca="1">MMULT(J13:K13,TRANSPOSE($B$10:$C$11))</f>
        <v>0.41747476150620594</v>
      </c>
      <c r="M13" s="19">
        <f ca="1"/>
        <v>3.0197566549912902E-2</v>
      </c>
      <c r="N13" s="20">
        <f ca="1">GetVariance(N12,Variance_Avg,Lambda,Eta,M13,"Daily")</f>
        <v>4.1178321304545629E-2</v>
      </c>
      <c r="O13" s="20">
        <f ca="1">GetStockReturns(O12,RiskFreeRate,N12,L13,"Daily")</f>
        <v>-5.7733318078985268E-2</v>
      </c>
      <c r="P13" s="19">
        <f t="shared" ca="1" si="9"/>
        <v>73.829858983346753</v>
      </c>
      <c r="Q13" s="19">
        <f ca="1">HCTrans(P13,Strike,RiskFreeRate,Dividend,Variance_T0*AnnualVarConvtr,(Simulation!G13)/250,0.5,Variance_Avg*AnnualVarConvtr,Lambda,SQRT(Simulation!N13),Rho,1,"Call")</f>
        <v>13.27479499567783</v>
      </c>
      <c r="R13" s="19">
        <f t="shared" ca="1" si="4"/>
        <v>0.72819280953517496</v>
      </c>
      <c r="S13" s="19">
        <f t="shared" ca="1" si="5"/>
        <v>1.2507216668746567E-11</v>
      </c>
      <c r="T13" s="19">
        <f t="shared" ca="1" si="10"/>
        <v>-2.8444812945408658E-6</v>
      </c>
      <c r="U13" s="19">
        <f t="shared" ca="1" si="11"/>
        <v>10.690609663159799</v>
      </c>
      <c r="V13" s="21">
        <f t="shared" ca="1" si="12"/>
        <v>2.8728456069200146E-5</v>
      </c>
      <c r="W13">
        <f t="shared" ca="1" si="13"/>
        <v>5.3598932889750844E-3</v>
      </c>
      <c r="X13" s="22">
        <f t="shared" ref="X13" ca="1" si="30">BSdelta(1,P13,Strike,W13*AnnualVarConvtr,Dividend,RiskFreeRate,G13/250)</f>
        <v>1.6086818766455988E-4</v>
      </c>
      <c r="Y13" s="22">
        <f t="shared" ca="1" si="19"/>
        <v>-15.31125706581973</v>
      </c>
      <c r="Z13" s="22">
        <f t="shared" ca="1" si="20"/>
        <v>5.8832646272031308</v>
      </c>
      <c r="AA13">
        <f t="shared" si="7"/>
        <v>0.73884103340948371</v>
      </c>
      <c r="AB13">
        <f t="shared" ref="AB13" ca="1" si="31">BSdelta(1,P13,Strike,AA13/AnnualVarConvtr,Dividend,RiskFreeRate,G13/250)</f>
        <v>2.4090833627444865E-11</v>
      </c>
      <c r="AC13">
        <f t="shared" ca="1" si="16"/>
        <v>-4.0532216604755224E-6</v>
      </c>
      <c r="AD13">
        <f t="shared" ca="1" si="17"/>
        <v>10.682266949542845</v>
      </c>
    </row>
    <row r="14" spans="1:30" x14ac:dyDescent="0.25">
      <c r="A14" s="1" t="s">
        <v>48</v>
      </c>
      <c r="B14">
        <f ca="1">CORREL(L5:L254,M5:M254)</f>
        <v>-0.73311656254111945</v>
      </c>
      <c r="G14" s="19">
        <v>241</v>
      </c>
      <c r="H14" s="19">
        <f t="shared" ca="1" si="1"/>
        <v>0.73112796534843882</v>
      </c>
      <c r="I14" s="19">
        <f t="shared" ca="1" si="1"/>
        <v>0.38400168472039786</v>
      </c>
      <c r="J14" s="19">
        <f t="shared" ca="1" si="2"/>
        <v>-0.5903526383188572</v>
      </c>
      <c r="K14" s="19">
        <f t="shared" ca="1" si="3"/>
        <v>0.52708378948985157</v>
      </c>
      <c r="L14" s="19">
        <f t="array" aca="1" ref="L14:M14" ca="1">MMULT(J14:K14,TRANSPOSE($B$10:$C$11))</f>
        <v>-0.5903526383188572</v>
      </c>
      <c r="M14" s="19">
        <f ca="1"/>
        <v>0.79067451295656432</v>
      </c>
      <c r="N14" s="20">
        <f ca="1">GetVariance(N13,Variance_Avg,Lambda,Eta,M14,"Daily")</f>
        <v>4.5025560389187945E-2</v>
      </c>
      <c r="O14" s="20">
        <f ca="1">GetStockReturns(O13,RiskFreeRate,N13,L14,"Daily")</f>
        <v>-6.5309943610317875E-2</v>
      </c>
      <c r="P14" s="19">
        <f t="shared" ca="1" si="9"/>
        <v>69.162118999801947</v>
      </c>
      <c r="Q14" s="19">
        <f ca="1">HCTrans(P14,Strike,RiskFreeRate,Dividend,Variance_T0*AnnualVarConvtr,(Simulation!G14)/250,0.5,Variance_Avg*AnnualVarConvtr,Lambda,SQRT(Simulation!N14),Rho,1,"Call")</f>
        <v>11.019467221781447</v>
      </c>
      <c r="R14" s="19">
        <f t="shared" ca="1" si="4"/>
        <v>0.72497454883234091</v>
      </c>
      <c r="S14" s="19">
        <f t="shared" ca="1" si="5"/>
        <v>1.5699632465906705E-16</v>
      </c>
      <c r="T14" s="19">
        <f t="shared" ca="1" si="10"/>
        <v>-8.6501474940166796E-10</v>
      </c>
      <c r="U14" s="19">
        <f t="shared" ca="1" si="11"/>
        <v>8.4352818901284312</v>
      </c>
      <c r="V14" s="21">
        <f t="shared" ca="1" si="12"/>
        <v>5.7405254442041103E-5</v>
      </c>
      <c r="W14">
        <f t="shared" ca="1" si="13"/>
        <v>7.5766255313326064E-3</v>
      </c>
      <c r="X14" s="22">
        <f t="shared" ref="X14" ca="1" si="32">BSdelta(1,P14,Strike,W14*AnnualVarConvtr,Dividend,RiskFreeRate,G14/250)</f>
        <v>1.0490552379750129E-3</v>
      </c>
      <c r="Y14" s="22">
        <f t="shared" ca="1" si="19"/>
        <v>6.1428898467654626E-2</v>
      </c>
      <c r="Z14" s="22">
        <f t="shared" ca="1" si="20"/>
        <v>3.5665079548390932</v>
      </c>
      <c r="AA14">
        <f t="shared" si="7"/>
        <v>0.73884103340948371</v>
      </c>
      <c r="AB14">
        <f t="shared" ref="AB14" ca="1" si="33">BSdelta(1,P14,Strike,AA14/AnnualVarConvtr,Dividend,RiskFreeRate,G14/250)</f>
        <v>5.5662351295126869E-16</v>
      </c>
      <c r="AC14">
        <f t="shared" ca="1" si="16"/>
        <v>-1.6661346048841313E-9</v>
      </c>
      <c r="AD14">
        <f t="shared" ca="1" si="17"/>
        <v>8.4269391773125957</v>
      </c>
    </row>
    <row r="15" spans="1:30" x14ac:dyDescent="0.25">
      <c r="G15" s="19">
        <v>240</v>
      </c>
      <c r="H15" s="19">
        <f t="shared" ca="1" si="1"/>
        <v>0.73654907504983647</v>
      </c>
      <c r="I15" s="19">
        <f t="shared" ca="1" si="1"/>
        <v>4.5700310663034927E-3</v>
      </c>
      <c r="J15" s="19">
        <f t="shared" ca="1" si="2"/>
        <v>0.78169989431112152</v>
      </c>
      <c r="K15" s="19">
        <f t="shared" ca="1" si="3"/>
        <v>2.245217701277822E-2</v>
      </c>
      <c r="L15" s="19">
        <f t="array" aca="1" ref="L15:M15" ca="1">MMULT(J15:K15,TRANSPOSE($B$10:$C$11))</f>
        <v>0.78169989431112152</v>
      </c>
      <c r="M15" s="19">
        <f ca="1"/>
        <v>-0.54442562541739137</v>
      </c>
      <c r="N15" s="20">
        <f ca="1">GetVariance(N14,Variance_Avg,Lambda,Eta,M15,"Daily")</f>
        <v>4.2036117698352859E-2</v>
      </c>
      <c r="O15" s="20">
        <f ca="1">GetStockReturns(O14,RiskFreeRate,N14,L15,"Daily")</f>
        <v>-5.4819360897989451E-2</v>
      </c>
      <c r="P15" s="19">
        <f t="shared" ca="1" si="9"/>
        <v>65.472744303901834</v>
      </c>
      <c r="Q15" s="19">
        <f ca="1">HCTrans(P15,Strike,RiskFreeRate,Dividend,Variance_T0*AnnualVarConvtr,(Simulation!G15)/250,0.5,Variance_Avg*AnnualVarConvtr,Lambda,SQRT(Simulation!N15),Rho,1,"Call")</f>
        <v>9.4045544443447824</v>
      </c>
      <c r="R15" s="19">
        <f t="shared" ca="1" si="4"/>
        <v>0.72395161932997065</v>
      </c>
      <c r="S15" s="19">
        <f t="shared" ca="1" si="5"/>
        <v>2.2875993487534928E-21</v>
      </c>
      <c r="T15" s="19">
        <f t="shared" ca="1" si="10"/>
        <v>-1.0278830445648224E-14</v>
      </c>
      <c r="U15" s="19">
        <f t="shared" ca="1" si="11"/>
        <v>6.8203691126917771</v>
      </c>
      <c r="V15" s="21">
        <f t="shared" ca="1" si="12"/>
        <v>1.1005232564420398E-4</v>
      </c>
      <c r="W15">
        <f t="shared" ca="1" si="13"/>
        <v>1.0490582712328424E-2</v>
      </c>
      <c r="X15" s="22">
        <f t="shared" ref="X15" ca="1" si="34">BSdelta(1,P15,Strike,W15*AnnualVarConvtr,Dividend,RiskFreeRate,G15/250)</f>
        <v>5.7881096714997946E-3</v>
      </c>
      <c r="Y15" s="22">
        <f t="shared" ca="1" si="19"/>
        <v>0.31027889916844037</v>
      </c>
      <c r="Z15" s="22">
        <f t="shared" ca="1" si="20"/>
        <v>1.6413162782339881</v>
      </c>
      <c r="AA15">
        <f t="shared" si="7"/>
        <v>0.73884103340948371</v>
      </c>
      <c r="AB15">
        <f t="shared" ref="AB15" ca="1" si="35">BSdelta(1,P15,Strike,AA15/AnnualVarConvtr,Dividend,RiskFreeRate,G15/250)</f>
        <v>1.3813085503877849E-20</v>
      </c>
      <c r="AC15">
        <f t="shared" ca="1" si="16"/>
        <v>-3.6442764556382765E-14</v>
      </c>
      <c r="AD15">
        <f t="shared" ca="1" si="17"/>
        <v>6.8120263998759674</v>
      </c>
    </row>
    <row r="16" spans="1:30" x14ac:dyDescent="0.25">
      <c r="B16">
        <f t="array" ref="B16:C17">TRANSPOSE(B10:C11)</f>
        <v>1</v>
      </c>
      <c r="C16">
        <v>-0.71650000000000003</v>
      </c>
      <c r="G16" s="19">
        <v>239</v>
      </c>
      <c r="H16" s="19">
        <f t="shared" ca="1" si="1"/>
        <v>0.49471772569222594</v>
      </c>
      <c r="I16" s="19">
        <f t="shared" ca="1" si="1"/>
        <v>0.63800909453077626</v>
      </c>
      <c r="J16" s="19">
        <f t="shared" ca="1" si="2"/>
        <v>-0.76761302124471109</v>
      </c>
      <c r="K16" s="19">
        <f t="shared" ca="1" si="3"/>
        <v>-0.90460273601516306</v>
      </c>
      <c r="L16" s="19">
        <f t="array" aca="1" ref="L16:M16" ca="1">MMULT(J16:K16,TRANSPOSE($B$10:$C$11))</f>
        <v>-0.76761302124471109</v>
      </c>
      <c r="M16" s="19">
        <f ca="1"/>
        <v>-8.1044461710463755E-2</v>
      </c>
      <c r="N16" s="20">
        <f ca="1">GetVariance(N15,Variance_Avg,Lambda,Eta,M16,"Daily")</f>
        <v>4.1444177321883227E-2</v>
      </c>
      <c r="O16" s="20">
        <f ca="1">GetStockReturns(O15,RiskFreeRate,N15,L16,"Daily")</f>
        <v>-6.4773039843692121E-2</v>
      </c>
      <c r="P16" s="19">
        <f t="shared" ca="1" si="9"/>
        <v>61.366304550889929</v>
      </c>
      <c r="Q16" s="19">
        <f ca="1">HCTrans(P16,Strike,RiskFreeRate,Dividend,Variance_T0*AnnualVarConvtr,(Simulation!G16)/250,0.5,Variance_Avg*AnnualVarConvtr,Lambda,SQRT(Simulation!N16),Rho,1,"Call")</f>
        <v>7.7366934625751185</v>
      </c>
      <c r="R16" s="19" t="e">
        <f t="shared" ca="1" si="4"/>
        <v>#VALUE!</v>
      </c>
      <c r="S16" s="19" t="e">
        <f t="shared" ca="1" si="5"/>
        <v>#VALUE!</v>
      </c>
      <c r="T16" s="19" t="e">
        <f t="shared" ca="1" si="10"/>
        <v>#VALUE!</v>
      </c>
      <c r="U16" s="19" t="e">
        <f t="shared" ca="1" si="11"/>
        <v>#VALUE!</v>
      </c>
      <c r="V16" s="21">
        <f t="shared" ca="1" si="12"/>
        <v>9.9075724554124607E-5</v>
      </c>
      <c r="W16">
        <f t="shared" ca="1" si="13"/>
        <v>9.9536789457026695E-3</v>
      </c>
      <c r="X16" s="22">
        <f t="shared" ref="X16" ca="1" si="36">BSdelta(1,P16,Strike,W16*AnnualVarConvtr,Dividend,RiskFreeRate,G16/250)</f>
        <v>9.7953124129297872E-4</v>
      </c>
      <c r="Y16" s="22">
        <f t="shared" ca="1" si="19"/>
        <v>-0.29508468840491164</v>
      </c>
      <c r="Z16" s="22">
        <f t="shared" ca="1" si="20"/>
        <v>0.2685399848692358</v>
      </c>
      <c r="AA16">
        <f t="shared" si="7"/>
        <v>0.73884103340948371</v>
      </c>
      <c r="AB16">
        <f t="shared" ref="AB16" ca="1" si="37">BSdelta(1,P16,Strike,AA16/AnnualVarConvtr,Dividend,RiskFreeRate,G16/250)</f>
        <v>7.429952368816825E-27</v>
      </c>
      <c r="AC16">
        <f t="shared" ca="1" si="16"/>
        <v>-8.4765755586973111E-19</v>
      </c>
      <c r="AD16">
        <f t="shared" ca="1" si="17"/>
        <v>5.1441654181063035</v>
      </c>
    </row>
    <row r="17" spans="2:30" x14ac:dyDescent="0.25">
      <c r="B17">
        <v>0</v>
      </c>
      <c r="C17">
        <v>0.69758709133698849</v>
      </c>
      <c r="G17" s="19">
        <v>238</v>
      </c>
      <c r="H17" s="19">
        <f t="shared" ca="1" si="1"/>
        <v>0.78297736409019358</v>
      </c>
      <c r="I17" s="19">
        <f t="shared" ca="1" si="1"/>
        <v>2.4128562237436202E-2</v>
      </c>
      <c r="J17" s="19">
        <f t="shared" ca="1" si="2"/>
        <v>0.69147871871370992</v>
      </c>
      <c r="K17" s="19">
        <f t="shared" ca="1" si="3"/>
        <v>0.10564169063549296</v>
      </c>
      <c r="L17" s="19">
        <f t="array" aca="1" ref="L17:M17" ca="1">MMULT(J17:K17,TRANSPOSE($B$10:$C$11))</f>
        <v>0.69147871871370992</v>
      </c>
      <c r="M17" s="19">
        <f ca="1"/>
        <v>-0.42175022226403769</v>
      </c>
      <c r="N17" s="20">
        <f ca="1">GetVariance(N16,Variance_Avg,Lambda,Eta,M17,"Daily")</f>
        <v>3.9183266387563316E-2</v>
      </c>
      <c r="O17" s="20">
        <f ca="1">GetStockReturns(O16,RiskFreeRate,N16,L17,"Daily")</f>
        <v>-5.5869953692842672E-2</v>
      </c>
      <c r="P17" s="19">
        <f t="shared" ca="1" si="9"/>
        <v>58.031788906983685</v>
      </c>
      <c r="Q17" s="19">
        <f ca="1">HCTrans(P17,Strike,RiskFreeRate,Dividend,Variance_T0*AnnualVarConvtr,(Simulation!G17)/250,0.5,Variance_Avg*AnnualVarConvtr,Lambda,SQRT(Simulation!N17),Rho,1,"Call")</f>
        <v>6.5069178977733912</v>
      </c>
      <c r="R17" s="19" t="e">
        <f t="shared" ca="1" si="4"/>
        <v>#VALUE!</v>
      </c>
      <c r="S17" s="19" t="e">
        <f t="shared" ca="1" si="5"/>
        <v>#VALUE!</v>
      </c>
      <c r="T17" s="19" t="e">
        <f t="shared" ca="1" si="10"/>
        <v>#VALUE!</v>
      </c>
      <c r="U17" s="19" t="e">
        <f t="shared" ca="1" si="11"/>
        <v>#VALUE!</v>
      </c>
      <c r="V17" s="21">
        <f t="shared" ca="1" si="12"/>
        <v>7.9264943009447255E-5</v>
      </c>
      <c r="W17">
        <f t="shared" ca="1" si="13"/>
        <v>8.9030861508494485E-3</v>
      </c>
      <c r="X17" s="22">
        <f t="shared" ref="X17" ca="1" si="38">BSdelta(1,P17,Strike,W17*AnnualVarConvtr,Dividend,RiskFreeRate,G17/250)</f>
        <v>4.944267498683031E-5</v>
      </c>
      <c r="Y17" s="22">
        <f t="shared" ca="1" si="19"/>
        <v>-5.3974703344677501E-2</v>
      </c>
      <c r="Z17" s="22">
        <f t="shared" ca="1" si="20"/>
        <v>-0.90726087658781396</v>
      </c>
      <c r="AA17">
        <f t="shared" si="7"/>
        <v>0.73884103340948371</v>
      </c>
      <c r="AB17">
        <f t="shared" ref="AB17" ca="1" si="39">BSdelta(1,P17,Strike,AA17/AnnualVarConvtr,Dividend,RiskFreeRate,G17/250)</f>
        <v>5.0782538634816733E-33</v>
      </c>
      <c r="AC17">
        <f t="shared" ca="1" si="16"/>
        <v>-4.3117313275596515E-25</v>
      </c>
      <c r="AD17">
        <f t="shared" ca="1" si="17"/>
        <v>3.9143898533045762</v>
      </c>
    </row>
    <row r="18" spans="2:30" x14ac:dyDescent="0.25">
      <c r="G18" s="19">
        <v>237</v>
      </c>
      <c r="H18" s="19">
        <f t="shared" ca="1" si="1"/>
        <v>0.14775042359412727</v>
      </c>
      <c r="I18" s="19">
        <f t="shared" ca="1" si="1"/>
        <v>0.24801491847277768</v>
      </c>
      <c r="J18" s="19">
        <f t="shared" ca="1" si="2"/>
        <v>2.4391140240779253E-2</v>
      </c>
      <c r="K18" s="19">
        <f t="shared" ca="1" si="3"/>
        <v>1.9554709365641763</v>
      </c>
      <c r="L18" s="19">
        <f t="array" aca="1" ref="L18:M18" ca="1">MMULT(J18:K18,TRANSPOSE($B$10:$C$11))</f>
        <v>2.4391140240779253E-2</v>
      </c>
      <c r="M18" s="19">
        <f ca="1"/>
        <v>1.3466350308493023</v>
      </c>
      <c r="N18" s="20">
        <f ca="1">GetVariance(N17,Variance_Avg,Lambda,Eta,M18,"Daily")</f>
        <v>4.5821688021667598E-2</v>
      </c>
      <c r="O18" s="20">
        <f ca="1">GetStockReturns(O17,RiskFreeRate,N17,L18,"Daily")</f>
        <v>-5.556459350275833E-2</v>
      </c>
      <c r="P18" s="19">
        <f t="shared" ca="1" si="9"/>
        <v>54.895224071780916</v>
      </c>
      <c r="Q18" s="19">
        <f ca="1">HCTrans(P18,Strike,RiskFreeRate,Dividend,Variance_T0*AnnualVarConvtr,(Simulation!G18)/250,0.5,Variance_Avg*AnnualVarConvtr,Lambda,SQRT(Simulation!N18),Rho,1,"Call")</f>
        <v>5.3870489641047001</v>
      </c>
      <c r="R18" s="19" t="e">
        <f t="shared" ca="1" si="4"/>
        <v>#VALUE!</v>
      </c>
      <c r="S18" s="19" t="e">
        <f t="shared" ca="1" si="5"/>
        <v>#VALUE!</v>
      </c>
      <c r="T18" s="19" t="e">
        <f t="shared" ca="1" si="10"/>
        <v>#VALUE!</v>
      </c>
      <c r="U18" s="19" t="e">
        <f t="shared" ca="1" si="11"/>
        <v>#VALUE!</v>
      </c>
      <c r="V18" s="21">
        <f t="shared" ca="1" si="12"/>
        <v>9.3244845688345274E-8</v>
      </c>
      <c r="W18">
        <f t="shared" ca="1" si="13"/>
        <v>3.0536019008434168E-4</v>
      </c>
      <c r="X18" s="22">
        <f t="shared" ref="X18" ca="1" si="40">BSdelta(1,P18,Strike,W18*AnnualVarConvtr,Dividend,RiskFreeRate,G18/250)</f>
        <v>0</v>
      </c>
      <c r="Y18" s="22">
        <f t="shared" ca="1" si="19"/>
        <v>-2.7141667221102874E-3</v>
      </c>
      <c r="Z18" s="22">
        <f t="shared" ca="1" si="20"/>
        <v>-2.0244156435343945</v>
      </c>
      <c r="AA18">
        <f t="shared" si="7"/>
        <v>0.73884103340948371</v>
      </c>
      <c r="AB18">
        <f t="shared" ref="AB18" ca="1" si="41">BSdelta(1,P18,Strike,AA18/AnnualVarConvtr,Dividend,RiskFreeRate,G18/250)</f>
        <v>7.5305939866969679E-40</v>
      </c>
      <c r="AC18">
        <f t="shared" ca="1" si="16"/>
        <v>-2.7877184238984918E-31</v>
      </c>
      <c r="AD18">
        <f t="shared" ca="1" si="17"/>
        <v>2.7945209196358851</v>
      </c>
    </row>
    <row r="19" spans="2:30" x14ac:dyDescent="0.25">
      <c r="G19" s="19">
        <v>236</v>
      </c>
      <c r="H19" s="19">
        <f t="shared" ca="1" si="1"/>
        <v>0.54880402262429073</v>
      </c>
      <c r="I19" s="19">
        <f t="shared" ca="1" si="1"/>
        <v>0.26648493046297861</v>
      </c>
      <c r="J19" s="19">
        <f t="shared" ca="1" si="2"/>
        <v>-0.11326241251200815</v>
      </c>
      <c r="K19" s="19">
        <f t="shared" ca="1" si="3"/>
        <v>1.089586789290828</v>
      </c>
      <c r="L19" s="19">
        <f t="array" aca="1" ref="L19:M19" ca="1">MMULT(J19:K19,TRANSPOSE($B$10:$C$11))</f>
        <v>-0.11326241251200815</v>
      </c>
      <c r="M19" s="19">
        <f ca="1"/>
        <v>0.84123419766545071</v>
      </c>
      <c r="N19" s="20">
        <f ca="1">GetVariance(N18,Variance_Avg,Lambda,Eta,M19,"Daily")</f>
        <v>5.0137984233387882E-2</v>
      </c>
      <c r="O19" s="20">
        <f ca="1">GetStockReturns(O18,RiskFreeRate,N18,L19,"Daily")</f>
        <v>-5.7097978979782846E-2</v>
      </c>
      <c r="P19" s="19">
        <f t="shared" ca="1" si="9"/>
        <v>51.848622770710023</v>
      </c>
      <c r="Q19" s="19">
        <f ca="1">HCTrans(P19,Strike,RiskFreeRate,Dividend,Variance_T0*AnnualVarConvtr,(Simulation!G19)/250,0.5,Variance_Avg*AnnualVarConvtr,Lambda,SQRT(Simulation!N19),Rho,1,"Call")</f>
        <v>4.4145780368930687</v>
      </c>
      <c r="R19" s="19" t="e">
        <f t="shared" ca="1" si="4"/>
        <v>#VALUE!</v>
      </c>
      <c r="S19" s="19" t="e">
        <f t="shared" ca="1" si="5"/>
        <v>#VALUE!</v>
      </c>
      <c r="T19" s="19" t="e">
        <f t="shared" ca="1" si="10"/>
        <v>#VALUE!</v>
      </c>
      <c r="U19" s="19" t="e">
        <f t="shared" ca="1" si="11"/>
        <v>#VALUE!</v>
      </c>
      <c r="V19" s="21">
        <f t="shared" ca="1" si="12"/>
        <v>2.3512710211497004E-6</v>
      </c>
      <c r="W19">
        <f t="shared" ca="1" si="13"/>
        <v>1.5333854770245153E-3</v>
      </c>
      <c r="X19" s="22">
        <f t="shared" ref="X19" ca="1" si="42">BSdelta(1,P19,Strike,W19*AnnualVarConvtr,Dividend,RiskFreeRate,G19/250)</f>
        <v>2.9059016049617538E-171</v>
      </c>
      <c r="Y19" s="22">
        <f t="shared" ca="1" si="19"/>
        <v>1.506669961244628E-169</v>
      </c>
      <c r="Z19" s="22">
        <f t="shared" ca="1" si="20"/>
        <v>-2.9968865707460259</v>
      </c>
      <c r="AA19">
        <f t="shared" si="7"/>
        <v>0.73884103340948371</v>
      </c>
      <c r="AB19">
        <f t="shared" ref="AB19" ca="1" si="43">BSdelta(1,P19,Strike,AA19/AnnualVarConvtr,Dividend,RiskFreeRate,G19/250)</f>
        <v>1.3515193895761507E-47</v>
      </c>
      <c r="AC19">
        <f t="shared" ca="1" si="16"/>
        <v>-3.9045091984818645E-38</v>
      </c>
      <c r="AD19">
        <f t="shared" ca="1" si="17"/>
        <v>1.8220499924242537</v>
      </c>
    </row>
    <row r="20" spans="2:30" x14ac:dyDescent="0.25">
      <c r="G20" s="19">
        <v>235</v>
      </c>
      <c r="H20" s="19">
        <f t="shared" ca="1" si="1"/>
        <v>0.27028089682461931</v>
      </c>
      <c r="I20" s="19">
        <f t="shared" ca="1" si="1"/>
        <v>0.20852148208311527</v>
      </c>
      <c r="J20" s="19">
        <f t="shared" ca="1" si="2"/>
        <v>0.41681486552586733</v>
      </c>
      <c r="K20" s="19">
        <f t="shared" ca="1" si="3"/>
        <v>1.5629626906041973</v>
      </c>
      <c r="L20" s="19">
        <f t="array" aca="1" ref="L20:M20" ca="1">MMULT(J20:K20,TRANSPOSE($B$10:$C$11))</f>
        <v>0.41681486552586733</v>
      </c>
      <c r="M20" s="19">
        <f ca="1"/>
        <v>0.7916547460575315</v>
      </c>
      <c r="N20" s="20">
        <f ca="1">GetVariance(N19,Variance_Avg,Lambda,Eta,M20,"Daily")</f>
        <v>5.4350300333796099E-2</v>
      </c>
      <c r="O20" s="20">
        <f ca="1">GetStockReturns(O19,RiskFreeRate,N19,L20,"Daily")</f>
        <v>-5.1195198534537127E-2</v>
      </c>
      <c r="P20" s="19">
        <f t="shared" ca="1" si="9"/>
        <v>49.26102369730777</v>
      </c>
      <c r="Q20" s="19">
        <f ca="1">HCTrans(P20,Strike,RiskFreeRate,Dividend,Variance_T0*AnnualVarConvtr,(Simulation!G20)/250,0.5,Variance_Avg*AnnualVarConvtr,Lambda,SQRT(Simulation!N20),Rho,1,"Call")</f>
        <v>3.6619028938461611</v>
      </c>
      <c r="R20" s="19" t="e">
        <f t="shared" ca="1" si="4"/>
        <v>#VALUE!</v>
      </c>
      <c r="S20" s="19" t="e">
        <f t="shared" ca="1" si="5"/>
        <v>#VALUE!</v>
      </c>
      <c r="T20" s="19" t="e">
        <f t="shared" ca="1" si="10"/>
        <v>#VALUE!</v>
      </c>
      <c r="U20" s="19" t="e">
        <f t="shared" ca="1" si="11"/>
        <v>#VALUE!</v>
      </c>
      <c r="V20" s="21">
        <f t="shared" ca="1" si="12"/>
        <v>3.4842816984775245E-5</v>
      </c>
      <c r="W20">
        <f t="shared" ca="1" si="13"/>
        <v>5.9027804452457186E-3</v>
      </c>
      <c r="X20" s="22">
        <f t="shared" ref="X20" ca="1" si="44">BSdelta(1,P20,Strike,W20*AnnualVarConvtr,Dividend,RiskFreeRate,G20/250)</f>
        <v>3.6430433088045242E-15</v>
      </c>
      <c r="Y20" s="22">
        <f t="shared" ca="1" si="19"/>
        <v>1.7946004276533819E-13</v>
      </c>
      <c r="Z20" s="22">
        <f t="shared" ca="1" si="20"/>
        <v>-3.749561713793113</v>
      </c>
      <c r="AA20">
        <f t="shared" si="7"/>
        <v>0.73884103340948371</v>
      </c>
      <c r="AB20">
        <f t="shared" ref="AB20" ca="1" si="45">BSdelta(1,P20,Strike,AA20/AnnualVarConvtr,Dividend,RiskFreeRate,G20/250)</f>
        <v>3.332841641929547E-55</v>
      </c>
      <c r="AC20">
        <f t="shared" ca="1" si="16"/>
        <v>-6.6577227035489775E-46</v>
      </c>
      <c r="AD20">
        <f t="shared" ca="1" si="17"/>
        <v>1.0693748493773461</v>
      </c>
    </row>
    <row r="21" spans="2:30" x14ac:dyDescent="0.25">
      <c r="G21" s="19">
        <v>234</v>
      </c>
      <c r="H21" s="19">
        <f t="shared" ca="1" si="1"/>
        <v>0.24770403831619925</v>
      </c>
      <c r="I21" s="19">
        <f t="shared" ca="1" si="1"/>
        <v>0.48037661256451003</v>
      </c>
      <c r="J21" s="19">
        <f t="shared" ca="1" si="2"/>
        <v>-1.6579583119646519</v>
      </c>
      <c r="K21" s="19">
        <f t="shared" ca="1" si="3"/>
        <v>0.20546414411590186</v>
      </c>
      <c r="L21" s="19">
        <f t="array" aca="1" ref="L21:M21" ca="1">MMULT(J21:K21,TRANSPOSE($B$10:$C$11))</f>
        <v>-1.6579583119646519</v>
      </c>
      <c r="M21" s="19">
        <f ca="1"/>
        <v>1.3312562651905289</v>
      </c>
      <c r="N21" s="20">
        <f ca="1">GetVariance(N20,Variance_Avg,Lambda,Eta,M21,"Daily")</f>
        <v>6.1975984093399487E-2</v>
      </c>
      <c r="O21" s="20">
        <f ca="1">GetStockReturns(O20,RiskFreeRate,N20,L21,"Daily")</f>
        <v>-7.5641016651363219E-2</v>
      </c>
      <c r="P21" s="19">
        <f t="shared" ca="1" si="9"/>
        <v>45.672307769832592</v>
      </c>
      <c r="Q21" s="19">
        <f ca="1">HCTrans(P21,Strike,RiskFreeRate,Dividend,Variance_T0*AnnualVarConvtr,(Simulation!G21)/250,0.5,Variance_Avg*AnnualVarConvtr,Lambda,SQRT(Simulation!N21),Rho,1,"Call")</f>
        <v>2.7427382681980177</v>
      </c>
      <c r="R21" s="19" t="e">
        <f t="shared" ca="1" si="4"/>
        <v>#VALUE!</v>
      </c>
      <c r="S21" s="19" t="e">
        <f t="shared" ca="1" si="5"/>
        <v>#VALUE!</v>
      </c>
      <c r="T21" s="19" t="e">
        <f t="shared" ca="1" si="10"/>
        <v>#VALUE!</v>
      </c>
      <c r="U21" s="19" t="e">
        <f t="shared" ca="1" si="11"/>
        <v>#VALUE!</v>
      </c>
      <c r="V21" s="21">
        <f t="shared" ca="1" si="12"/>
        <v>5.9759802340094272E-4</v>
      </c>
      <c r="W21">
        <f t="shared" ca="1" si="13"/>
        <v>2.4445818116826092E-2</v>
      </c>
      <c r="X21" s="22">
        <f t="shared" ref="X21" ca="1" si="46">BSdelta(1,P21,Strike,W21*AnnualVarConvtr,Dividend,RiskFreeRate,G21/250)</f>
        <v>2.8149988750803722E-2</v>
      </c>
      <c r="Y21" s="22">
        <f t="shared" ca="1" si="19"/>
        <v>1.2856749499438664</v>
      </c>
      <c r="Z21" s="22">
        <f t="shared" ca="1" si="20"/>
        <v>-5.9544012893851228</v>
      </c>
      <c r="AA21">
        <f t="shared" si="7"/>
        <v>0.73884103340948371</v>
      </c>
      <c r="AB21">
        <f t="shared" ref="AB21" ca="1" si="47">BSdelta(1,P21,Strike,AA21/AnnualVarConvtr,Dividend,RiskFreeRate,G21/250)</f>
        <v>1.9032136842323129E-67</v>
      </c>
      <c r="AC21">
        <f t="shared" ca="1" si="16"/>
        <v>-1.5221856921823354E-53</v>
      </c>
      <c r="AD21">
        <f t="shared" ca="1" si="17"/>
        <v>0.15021022372920267</v>
      </c>
    </row>
    <row r="22" spans="2:30" x14ac:dyDescent="0.25">
      <c r="G22" s="19">
        <v>233</v>
      </c>
      <c r="H22" s="19">
        <f t="shared" ca="1" si="1"/>
        <v>0.40349773724407034</v>
      </c>
      <c r="I22" s="19">
        <f t="shared" ca="1" si="1"/>
        <v>0.91187293329100494</v>
      </c>
      <c r="J22" s="19">
        <f t="shared" ca="1" si="2"/>
        <v>1.145964282429526</v>
      </c>
      <c r="K22" s="19">
        <f t="shared" ca="1" si="3"/>
        <v>-0.70847347276681483</v>
      </c>
      <c r="L22" s="19">
        <f t="array" aca="1" ref="L22:M22" ca="1">MMULT(J22:K22,TRANSPOSE($B$10:$C$11))</f>
        <v>1.145964282429526</v>
      </c>
      <c r="M22" s="19">
        <f ca="1"/>
        <v>-1.3153053575175728</v>
      </c>
      <c r="N22" s="20">
        <f ca="1">GetVariance(N21,Variance_Avg,Lambda,Eta,M22,"Daily")</f>
        <v>5.3915782091040379E-2</v>
      </c>
      <c r="O22" s="20">
        <f ca="1">GetStockReturns(O21,RiskFreeRate,N21,L22,"Daily")</f>
        <v>-5.7597848641161437E-2</v>
      </c>
      <c r="P22" s="19">
        <f t="shared" ca="1" si="9"/>
        <v>43.116006500905662</v>
      </c>
      <c r="Q22" s="19">
        <f ca="1">HCTrans(P22,Strike,RiskFreeRate,Dividend,Variance_T0*AnnualVarConvtr,(Simulation!G22)/250,0.5,Variance_Avg*AnnualVarConvtr,Lambda,SQRT(Simulation!N22),Rho,1,"Call")</f>
        <v>2.2318318350522475</v>
      </c>
      <c r="R22" s="19" t="e">
        <f t="shared" ca="1" si="4"/>
        <v>#VALUE!</v>
      </c>
      <c r="S22" s="19" t="e">
        <f t="shared" ca="1" si="5"/>
        <v>#VALUE!</v>
      </c>
      <c r="T22" s="19" t="e">
        <f t="shared" ca="1" si="10"/>
        <v>#VALUE!</v>
      </c>
      <c r="U22" s="19" t="e">
        <f t="shared" ca="1" si="11"/>
        <v>#VALUE!</v>
      </c>
      <c r="V22" s="21">
        <f t="shared" ca="1" si="12"/>
        <v>3.2555591184436894E-4</v>
      </c>
      <c r="W22">
        <f t="shared" ca="1" si="13"/>
        <v>1.8043168010201782E-2</v>
      </c>
      <c r="X22" s="22">
        <f t="shared" ref="X22" ca="1" si="48">BSdelta(1,P22,Strike,W22*AnnualVarConvtr,Dividend,RiskFreeRate,G22/250)</f>
        <v>1.767959349836433E-3</v>
      </c>
      <c r="Y22" s="22">
        <f t="shared" ca="1" si="19"/>
        <v>-1.1374877511591899</v>
      </c>
      <c r="Z22" s="22">
        <f t="shared" ca="1" si="20"/>
        <v>-5.3278199713717029</v>
      </c>
      <c r="AA22">
        <f t="shared" si="7"/>
        <v>0.73884103340948371</v>
      </c>
      <c r="AB22">
        <f t="shared" ref="AB22" ca="1" si="49">BSdelta(1,P22,Strike,AA22/AnnualVarConvtr,Dividend,RiskFreeRate,G22/250)</f>
        <v>9.8543577329898871E-78</v>
      </c>
      <c r="AC22">
        <f t="shared" ca="1" si="16"/>
        <v>-8.2058973577724214E-66</v>
      </c>
      <c r="AD22">
        <f t="shared" ca="1" si="17"/>
        <v>-0.36069620941656755</v>
      </c>
    </row>
    <row r="23" spans="2:30" x14ac:dyDescent="0.25">
      <c r="G23" s="19">
        <v>232</v>
      </c>
      <c r="H23" s="19">
        <f t="shared" ca="1" si="1"/>
        <v>0.46378394258788558</v>
      </c>
      <c r="I23" s="19">
        <f t="shared" ca="1" si="1"/>
        <v>0.77188070937569775</v>
      </c>
      <c r="J23" s="19">
        <f t="shared" ca="1" si="2"/>
        <v>0.16988812914993998</v>
      </c>
      <c r="K23" s="19">
        <f t="shared" ca="1" si="3"/>
        <v>-1.2279295484364376</v>
      </c>
      <c r="L23" s="19">
        <f t="array" aca="1" ref="L23:M23" ca="1">MMULT(J23:K23,TRANSPOSE($B$10:$C$11))</f>
        <v>0.16988812914993998</v>
      </c>
      <c r="M23" s="19">
        <f ca="1"/>
        <v>-0.97831264659644823</v>
      </c>
      <c r="N23" s="20">
        <f ca="1">GetVariance(N22,Variance_Avg,Lambda,Eta,M23,"Daily")</f>
        <v>4.8241097392569009E-2</v>
      </c>
      <c r="O23" s="20">
        <f ca="1">GetStockReturns(O22,RiskFreeRate,N22,L23,"Daily")</f>
        <v>-5.5102961043128569E-2</v>
      </c>
      <c r="P23" s="19">
        <f t="shared" ca="1" si="9"/>
        <v>40.804458306290584</v>
      </c>
      <c r="Q23" s="19">
        <f ca="1">HCTrans(P23,Strike,RiskFreeRate,Dividend,Variance_T0*AnnualVarConvtr,(Simulation!G23)/250,0.5,Variance_Avg*AnnualVarConvtr,Lambda,SQRT(Simulation!N23),Rho,1,"Call")</f>
        <v>1.8177047729022249</v>
      </c>
      <c r="R23" s="19" t="e">
        <f t="shared" ca="1" si="4"/>
        <v>#VALUE!</v>
      </c>
      <c r="S23" s="19" t="e">
        <f t="shared" ca="1" si="5"/>
        <v>#VALUE!</v>
      </c>
      <c r="T23" s="19" t="e">
        <f t="shared" ca="1" si="10"/>
        <v>#VALUE!</v>
      </c>
      <c r="U23" s="19" t="e">
        <f t="shared" ca="1" si="11"/>
        <v>#VALUE!</v>
      </c>
      <c r="V23" s="21">
        <f t="shared" ca="1" si="12"/>
        <v>6.2244641268182109E-6</v>
      </c>
      <c r="W23">
        <f t="shared" ca="1" si="13"/>
        <v>2.4948875980328675E-3</v>
      </c>
      <c r="X23" s="22">
        <f t="shared" ref="X23" ca="1" si="50">BSdelta(1,P23,Strike,W23*AnnualVarConvtr,Dividend,RiskFreeRate,G23/250)</f>
        <v>3.9803990048127501E-123</v>
      </c>
      <c r="Y23" s="22">
        <f t="shared" ca="1" si="19"/>
        <v>-7.2140623577617344E-2</v>
      </c>
      <c r="Z23" s="22">
        <f t="shared" ca="1" si="20"/>
        <v>-5.6698064099441083</v>
      </c>
      <c r="AA23">
        <f t="shared" si="7"/>
        <v>0.73884103340948371</v>
      </c>
      <c r="AB23">
        <f t="shared" ref="AB23" ca="1" si="51">BSdelta(1,P23,Strike,AA23/AnnualVarConvtr,Dividend,RiskFreeRate,G23/250)</f>
        <v>2.4596755196433867E-88</v>
      </c>
      <c r="AC23">
        <f t="shared" ca="1" si="16"/>
        <v>-4.0210172924102149E-76</v>
      </c>
      <c r="AD23">
        <f t="shared" ca="1" si="17"/>
        <v>-0.77482327156659014</v>
      </c>
    </row>
    <row r="24" spans="2:30" x14ac:dyDescent="0.25">
      <c r="G24" s="19">
        <v>231</v>
      </c>
      <c r="H24" s="19">
        <f t="shared" ca="1" si="1"/>
        <v>0.75185919971189996</v>
      </c>
      <c r="I24" s="19">
        <f t="shared" ca="1" si="1"/>
        <v>0.12266089012420189</v>
      </c>
      <c r="J24" s="19">
        <f t="shared" ca="1" si="2"/>
        <v>0.54183797000974565</v>
      </c>
      <c r="K24" s="19">
        <f t="shared" ca="1" si="3"/>
        <v>0.52614069243192829</v>
      </c>
      <c r="L24" s="19">
        <f t="array" aca="1" ref="L24:M24" ca="1">MMULT(J24:K24,TRANSPOSE($B$10:$C$11))</f>
        <v>0.54183797000974565</v>
      </c>
      <c r="M24" s="19">
        <f ca="1"/>
        <v>-2.1197950244364883E-2</v>
      </c>
      <c r="N24" s="20">
        <f ca="1">GetVariance(N23,Variance_Avg,Lambda,Eta,M24,"Daily")</f>
        <v>4.7908616662403966E-2</v>
      </c>
      <c r="O24" s="20">
        <f ca="1">GetStockReturns(O23,RiskFreeRate,N23,L24,"Daily")</f>
        <v>-4.7576201870678042E-2</v>
      </c>
      <c r="P24" s="19">
        <f t="shared" ca="1" si="9"/>
        <v>38.908593770782879</v>
      </c>
      <c r="Q24" s="19">
        <f ca="1">HCTrans(P24,Strike,RiskFreeRate,Dividend,Variance_T0*AnnualVarConvtr,(Simulation!G24)/250,0.5,Variance_Avg*AnnualVarConvtr,Lambda,SQRT(Simulation!N24),Rho,1,"Call")</f>
        <v>1.4970023498411464</v>
      </c>
      <c r="R24" s="19" t="e">
        <f t="shared" ca="1" si="4"/>
        <v>#VALUE!</v>
      </c>
      <c r="S24" s="19" t="e">
        <f t="shared" ca="1" si="5"/>
        <v>#VALUE!</v>
      </c>
      <c r="T24" s="19" t="e">
        <f t="shared" ca="1" si="10"/>
        <v>#VALUE!</v>
      </c>
      <c r="U24" s="19" t="e">
        <f t="shared" ca="1" si="11"/>
        <v>#VALUE!</v>
      </c>
      <c r="V24" s="21">
        <f t="shared" ca="1" si="12"/>
        <v>5.6652103640068145E-5</v>
      </c>
      <c r="W24">
        <f t="shared" ca="1" si="13"/>
        <v>7.526759172450527E-3</v>
      </c>
      <c r="X24" s="22">
        <f t="shared" ref="X24" ca="1" si="52">BSdelta(1,P24,Strike,W24*AnnualVarConvtr,Dividend,RiskFreeRate,G24/250)</f>
        <v>1.2593872990973746E-16</v>
      </c>
      <c r="Y24" s="22">
        <f t="shared" ca="1" si="19"/>
        <v>4.9000988820663189E-15</v>
      </c>
      <c r="Z24" s="22">
        <f t="shared" ca="1" si="20"/>
        <v>-5.9905088330051921</v>
      </c>
      <c r="AA24">
        <f t="shared" si="7"/>
        <v>0.73884103340948371</v>
      </c>
      <c r="AB24">
        <f t="shared" ref="AB24" ca="1" si="53">BSdelta(1,P24,Strike,AA24/AnnualVarConvtr,Dividend,RiskFreeRate,G24/250)</f>
        <v>3.8173946515769559E-98</v>
      </c>
      <c r="AC24">
        <f t="shared" ca="1" si="16"/>
        <v>-9.5702515586890879E-87</v>
      </c>
      <c r="AD24">
        <f t="shared" ca="1" si="17"/>
        <v>-1.0955256946276686</v>
      </c>
    </row>
    <row r="25" spans="2:30" x14ac:dyDescent="0.25">
      <c r="G25" s="19">
        <v>230</v>
      </c>
      <c r="H25" s="19">
        <f t="shared" ca="1" si="1"/>
        <v>0.42056582795409581</v>
      </c>
      <c r="I25" s="19">
        <f t="shared" ca="1" si="1"/>
        <v>0.3097436123041063</v>
      </c>
      <c r="J25" s="19">
        <f t="shared" ca="1" si="2"/>
        <v>-0.48254320205867179</v>
      </c>
      <c r="K25" s="19">
        <f t="shared" ca="1" si="3"/>
        <v>1.2245246375929457</v>
      </c>
      <c r="L25" s="19">
        <f t="array" aca="1" ref="L25:M25" ca="1">MMULT(J25:K25,TRANSPOSE($B$10:$C$11))</f>
        <v>-0.48254320205867179</v>
      </c>
      <c r="M25" s="19">
        <f ca="1"/>
        <v>1.1999547844839813</v>
      </c>
      <c r="N25" s="20">
        <f ca="1">GetVariance(N24,Variance_Avg,Lambda,Eta,M25,"Daily")</f>
        <v>5.4348599048030272E-2</v>
      </c>
      <c r="O25" s="20">
        <f ca="1">GetStockReturns(O24,RiskFreeRate,N24,L25,"Daily")</f>
        <v>-5.4256148812643026E-2</v>
      </c>
      <c r="P25" s="19">
        <f t="shared" ca="1" si="9"/>
        <v>36.853809688549212</v>
      </c>
      <c r="Q25" s="19">
        <f ca="1">HCTrans(P25,Strike,RiskFreeRate,Dividend,Variance_T0*AnnualVarConvtr,(Simulation!G25)/250,0.5,Variance_Avg*AnnualVarConvtr,Lambda,SQRT(Simulation!N25),Rho,1,"Call")</f>
        <v>1.1685337606059747</v>
      </c>
      <c r="R25" s="19" t="e">
        <f t="shared" ca="1" si="4"/>
        <v>#VALUE!</v>
      </c>
      <c r="S25" s="19" t="e">
        <f t="shared" ca="1" si="5"/>
        <v>#VALUE!</v>
      </c>
      <c r="T25" s="19" t="e">
        <f t="shared" ca="1" si="10"/>
        <v>#VALUE!</v>
      </c>
      <c r="U25" s="19" t="e">
        <f t="shared" ca="1" si="11"/>
        <v>#VALUE!</v>
      </c>
      <c r="V25" s="21">
        <f t="shared" ca="1" si="12"/>
        <v>4.4621691147467347E-5</v>
      </c>
      <c r="W25">
        <f t="shared" ca="1" si="13"/>
        <v>6.6799469419649843E-3</v>
      </c>
      <c r="X25" s="22">
        <f t="shared" ref="X25" ca="1" si="54">BSdelta(1,P25,Strike,W25*AnnualVarConvtr,Dividend,RiskFreeRate,G25/250)</f>
        <v>5.4789973874869254E-23</v>
      </c>
      <c r="Y25" s="22">
        <f t="shared" ca="1" si="19"/>
        <v>-4.6413199652917944E-15</v>
      </c>
      <c r="Z25" s="22">
        <f t="shared" ca="1" si="20"/>
        <v>-6.3189774222403594</v>
      </c>
      <c r="AA25">
        <f t="shared" si="7"/>
        <v>0.73884103340948371</v>
      </c>
      <c r="AB25">
        <f t="shared" ref="AB25" ca="1" si="55">BSdelta(1,P25,Strike,AA25/AnnualVarConvtr,Dividend,RiskFreeRate,G25/250)</f>
        <v>5.7680931288963243E-110</v>
      </c>
      <c r="AC25">
        <f t="shared" ca="1" si="16"/>
        <v>-1.4068553599509018E-96</v>
      </c>
      <c r="AD25">
        <f t="shared" ca="1" si="17"/>
        <v>-1.4239942838628403</v>
      </c>
    </row>
    <row r="26" spans="2:30" x14ac:dyDescent="0.25">
      <c r="G26" s="19">
        <v>229</v>
      </c>
      <c r="H26" s="19">
        <f t="shared" ca="1" si="1"/>
        <v>0.15909214330388088</v>
      </c>
      <c r="I26" s="19">
        <f t="shared" ca="1" si="1"/>
        <v>0.93883932252904345</v>
      </c>
      <c r="J26" s="19">
        <f t="shared" ca="1" si="2"/>
        <v>1.7775877198356405</v>
      </c>
      <c r="K26" s="19">
        <f t="shared" ca="1" si="3"/>
        <v>-0.71883610945429877</v>
      </c>
      <c r="L26" s="19">
        <f t="array" aca="1" ref="L26:M26" ca="1">MMULT(J26:K26,TRANSPOSE($B$10:$C$11))</f>
        <v>1.7775877198356405</v>
      </c>
      <c r="M26" s="19">
        <f ca="1"/>
        <v>-1.7750923920044577</v>
      </c>
      <c r="N26" s="20">
        <f ca="1">GetVariance(N25,Variance_Avg,Lambda,Eta,M26,"Daily")</f>
        <v>4.4424384718479017E-2</v>
      </c>
      <c r="O26" s="20">
        <f ca="1">GetStockReturns(O25,RiskFreeRate,N25,L26,"Daily")</f>
        <v>-2.8046861369099615E-2</v>
      </c>
      <c r="P26" s="19">
        <f t="shared" ca="1" si="9"/>
        <v>35.834536518663306</v>
      </c>
      <c r="Q26" s="19">
        <f ca="1">HCTrans(P26,Strike,RiskFreeRate,Dividend,Variance_T0*AnnualVarConvtr,(Simulation!G26)/250,0.5,Variance_Avg*AnnualVarConvtr,Lambda,SQRT(Simulation!N26),Rho,1,"Call")</f>
        <v>1.0624843849650887</v>
      </c>
      <c r="R26" s="19" t="e">
        <f t="shared" ca="1" si="4"/>
        <v>#VALUE!</v>
      </c>
      <c r="S26" s="19" t="e">
        <f t="shared" ca="1" si="5"/>
        <v>#VALUE!</v>
      </c>
      <c r="T26" s="19" t="e">
        <f t="shared" ca="1" si="10"/>
        <v>#VALUE!</v>
      </c>
      <c r="U26" s="19" t="e">
        <f t="shared" ca="1" si="11"/>
        <v>#VALUE!</v>
      </c>
      <c r="V26" s="21">
        <f t="shared" ca="1" si="12"/>
        <v>6.8692674829828231E-4</v>
      </c>
      <c r="W26">
        <f t="shared" ca="1" si="13"/>
        <v>2.6209287443543412E-2</v>
      </c>
      <c r="X26" s="22">
        <f t="shared" ref="X26" ca="1" si="56">BSdelta(1,P26,Strike,W26*AnnualVarConvtr,Dividend,RiskFreeRate,G26/250)</f>
        <v>8.4423194481907399E-3</v>
      </c>
      <c r="Y26" s="22">
        <f t="shared" ca="1" si="19"/>
        <v>0.30252660456841252</v>
      </c>
      <c r="Z26" s="22">
        <f t="shared" ca="1" si="20"/>
        <v>-6.7275534024496579</v>
      </c>
      <c r="AA26">
        <f t="shared" si="7"/>
        <v>0.73884103340948371</v>
      </c>
      <c r="AB26">
        <f t="shared" ref="AB26" ca="1" si="57">BSdelta(1,P26,Strike,AA26/AnnualVarConvtr,Dividend,RiskFreeRate,G26/250)</f>
        <v>1.3164862553918462E-116</v>
      </c>
      <c r="AC26">
        <f t="shared" ca="1" si="16"/>
        <v>-2.0669689669481142E-108</v>
      </c>
      <c r="AD26">
        <f t="shared" ca="1" si="17"/>
        <v>-1.5300436595037263</v>
      </c>
    </row>
    <row r="27" spans="2:30" x14ac:dyDescent="0.25">
      <c r="G27" s="19">
        <v>228</v>
      </c>
      <c r="H27" s="19">
        <f t="shared" ca="1" si="1"/>
        <v>0.80565825767750898</v>
      </c>
      <c r="I27" s="19">
        <f t="shared" ca="1" si="1"/>
        <v>0.49956037626913852</v>
      </c>
      <c r="J27" s="19">
        <f t="shared" ca="1" si="2"/>
        <v>-0.65741003264479003</v>
      </c>
      <c r="K27" s="19">
        <f t="shared" ca="1" si="3"/>
        <v>1.8159271757251076E-3</v>
      </c>
      <c r="L27" s="19">
        <f t="array" aca="1" ref="L27:M27" ca="1">MMULT(J27:K27,TRANSPOSE($B$10:$C$11))</f>
        <v>-0.65741003264479003</v>
      </c>
      <c r="M27" s="19">
        <f ca="1"/>
        <v>0.47230105574658593</v>
      </c>
      <c r="N27" s="20">
        <f ca="1">GetVariance(N26,Variance_Avg,Lambda,Eta,M27,"Daily")</f>
        <v>4.6700693597049918E-2</v>
      </c>
      <c r="O27" s="20">
        <f ca="1">GetStockReturns(O26,RiskFreeRate,N26,L27,"Daily")</f>
        <v>-3.6810350128011454E-2</v>
      </c>
      <c r="P27" s="19">
        <f t="shared" ca="1" si="9"/>
        <v>34.539437443117635</v>
      </c>
      <c r="Q27" s="19">
        <f ca="1">HCTrans(P27,Strike,RiskFreeRate,Dividend,Variance_T0*AnnualVarConvtr,(Simulation!G27)/250,0.5,Variance_Avg*AnnualVarConvtr,Lambda,SQRT(Simulation!N27),Rho,1,"Call")</f>
        <v>0.89345114488131117</v>
      </c>
      <c r="R27" s="19" t="e">
        <f t="shared" ca="1" si="4"/>
        <v>#VALUE!</v>
      </c>
      <c r="S27" s="19" t="e">
        <f t="shared" ca="1" si="5"/>
        <v>#VALUE!</v>
      </c>
      <c r="T27" s="19" t="e">
        <f t="shared" ca="1" si="10"/>
        <v>#VALUE!</v>
      </c>
      <c r="U27" s="19" t="e">
        <f t="shared" ca="1" si="11"/>
        <v>#VALUE!</v>
      </c>
      <c r="V27" s="21">
        <f t="shared" ca="1" si="12"/>
        <v>7.6798735227574168E-5</v>
      </c>
      <c r="W27">
        <f t="shared" ca="1" si="13"/>
        <v>8.7634887589118395E-3</v>
      </c>
      <c r="X27" s="22">
        <f t="shared" ref="X27" ca="1" si="58">BSdelta(1,P27,Strike,W27*AnnualVarConvtr,Dividend,RiskFreeRate,G27/250)</f>
        <v>8.0920104782600586E-16</v>
      </c>
      <c r="Y27" s="22">
        <f t="shared" ca="1" si="19"/>
        <v>-0.29159296445557153</v>
      </c>
      <c r="Z27" s="22">
        <f t="shared" ca="1" si="20"/>
        <v>-6.6049936780778635</v>
      </c>
      <c r="AA27">
        <f t="shared" si="7"/>
        <v>0.73884103340948371</v>
      </c>
      <c r="AB27">
        <f t="shared" ref="AB27" ca="1" si="59">BSdelta(1,P27,Strike,AA27/AnnualVarConvtr,Dividend,RiskFreeRate,G27/250)</f>
        <v>1.6723557022342643E-125</v>
      </c>
      <c r="AC27">
        <f t="shared" ca="1" si="16"/>
        <v>-4.547069460506863E-115</v>
      </c>
      <c r="AD27">
        <f t="shared" ca="1" si="17"/>
        <v>-1.6990768995875039</v>
      </c>
    </row>
    <row r="28" spans="2:30" x14ac:dyDescent="0.25">
      <c r="G28" s="19">
        <v>227</v>
      </c>
      <c r="H28" s="19">
        <f t="shared" ca="1" si="1"/>
        <v>0.51961279407409444</v>
      </c>
      <c r="I28" s="19">
        <f t="shared" ca="1" si="1"/>
        <v>0.42629956049107265</v>
      </c>
      <c r="J28" s="19">
        <f t="shared" ca="1" si="2"/>
        <v>-1.0237554787476006</v>
      </c>
      <c r="K28" s="19">
        <f t="shared" ca="1" si="3"/>
        <v>0.5111432899424766</v>
      </c>
      <c r="L28" s="19">
        <f t="array" aca="1" ref="L28:M28" ca="1">MMULT(J28:K28,TRANSPOSE($B$10:$C$11))</f>
        <v>-1.0237554787476006</v>
      </c>
      <c r="M28" s="19">
        <f ca="1"/>
        <v>1.090087761410047</v>
      </c>
      <c r="N28" s="20">
        <f ca="1">GetVariance(N27,Variance_Avg,Lambda,Eta,M28,"Daily")</f>
        <v>5.2445377832613924E-2</v>
      </c>
      <c r="O28" s="20">
        <f ca="1">GetStockReturns(O27,RiskFreeRate,N27,L28,"Daily")</f>
        <v>-5.0802611207670031E-2</v>
      </c>
      <c r="P28" s="19">
        <f t="shared" ca="1" si="9"/>
        <v>32.828570046682387</v>
      </c>
      <c r="Q28" s="19">
        <f ca="1">HCTrans(P28,Strike,RiskFreeRate,Dividend,Variance_T0*AnnualVarConvtr,(Simulation!G28)/250,0.5,Variance_Avg*AnnualVarConvtr,Lambda,SQRT(Simulation!N28),Rho,1,"Call")</f>
        <v>0.69338613134185323</v>
      </c>
      <c r="R28" s="19" t="e">
        <f t="shared" ca="1" si="4"/>
        <v>#VALUE!</v>
      </c>
      <c r="S28" s="19" t="e">
        <f t="shared" ca="1" si="5"/>
        <v>#VALUE!</v>
      </c>
      <c r="T28" s="19" t="e">
        <f t="shared" ca="1" si="10"/>
        <v>#VALUE!</v>
      </c>
      <c r="U28" s="19" t="e">
        <f t="shared" ca="1" si="11"/>
        <v>#VALUE!</v>
      </c>
      <c r="V28" s="21">
        <f t="shared" ca="1" si="12"/>
        <v>1.9578337012132822E-4</v>
      </c>
      <c r="W28">
        <f t="shared" ca="1" si="13"/>
        <v>1.3992261079658577E-2</v>
      </c>
      <c r="X28" s="22">
        <f t="shared" ref="X28" ca="1" si="60">BSdelta(1,P28,Strike,W28*AnnualVarConvtr,Dividend,RiskFreeRate,G28/250)</f>
        <v>1.1199264968339113E-7</v>
      </c>
      <c r="Y28" s="22">
        <f t="shared" ca="1" si="19"/>
        <v>3.6765585182798548E-6</v>
      </c>
      <c r="Z28" s="22">
        <f t="shared" ca="1" si="20"/>
        <v>-6.8050623681758395</v>
      </c>
      <c r="AA28">
        <f t="shared" si="7"/>
        <v>0.73884103340948371</v>
      </c>
      <c r="AB28">
        <f t="shared" ref="AB28" ca="1" si="61">BSdelta(1,P28,Strike,AA28/AnnualVarConvtr,Dividend,RiskFreeRate,G28/250)</f>
        <v>3.6113920763485669E-138</v>
      </c>
      <c r="AC28">
        <f t="shared" ca="1" si="16"/>
        <v>-5.4901046313754404E-124</v>
      </c>
      <c r="AD28">
        <f t="shared" ca="1" si="17"/>
        <v>-1.8991419131269618</v>
      </c>
    </row>
    <row r="29" spans="2:30" x14ac:dyDescent="0.25">
      <c r="G29" s="19">
        <v>226</v>
      </c>
      <c r="H29" s="19">
        <f t="shared" ca="1" si="1"/>
        <v>0.88282132070244634</v>
      </c>
      <c r="I29" s="19">
        <f t="shared" ca="1" si="1"/>
        <v>0.20326738075089379</v>
      </c>
      <c r="J29" s="19">
        <f t="shared" ca="1" si="2"/>
        <v>0.14450132559221973</v>
      </c>
      <c r="K29" s="19">
        <f t="shared" ca="1" si="3"/>
        <v>0.47789567295820173</v>
      </c>
      <c r="L29" s="19">
        <f t="array" aca="1" ref="L29:M29" ca="1">MMULT(J29:K29,TRANSPOSE($B$10:$C$11))</f>
        <v>0.14450132559221973</v>
      </c>
      <c r="M29" s="19">
        <f ca="1"/>
        <v>0.22983865267461917</v>
      </c>
      <c r="N29" s="20">
        <f ca="1">GetVariance(N28,Variance_Avg,Lambda,Eta,M29,"Daily")</f>
        <v>5.3503278032253028E-2</v>
      </c>
      <c r="O29" s="20">
        <f ca="1">GetStockReturns(O28,RiskFreeRate,N28,L29,"Daily")</f>
        <v>-4.8709677675802372E-2</v>
      </c>
      <c r="P29" s="19">
        <f t="shared" ca="1" si="9"/>
        <v>31.267821342392526</v>
      </c>
      <c r="Q29" s="19">
        <f ca="1">HCTrans(P29,Strike,RiskFreeRate,Dividend,Variance_T0*AnnualVarConvtr,(Simulation!G29)/250,0.5,Variance_Avg*AnnualVarConvtr,Lambda,SQRT(Simulation!N29),Rho,1,"Call")</f>
        <v>0.54754655652206097</v>
      </c>
      <c r="R29" s="19" t="e">
        <f t="shared" ca="1" si="4"/>
        <v>#VALUE!</v>
      </c>
      <c r="S29" s="19" t="e">
        <f t="shared" ca="1" si="5"/>
        <v>#VALUE!</v>
      </c>
      <c r="T29" s="19" t="e">
        <f t="shared" ca="1" si="10"/>
        <v>#VALUE!</v>
      </c>
      <c r="U29" s="19" t="e">
        <f t="shared" ca="1" si="11"/>
        <v>#VALUE!</v>
      </c>
      <c r="V29" s="21">
        <f t="shared" ca="1" si="12"/>
        <v>4.3803707688160344E-6</v>
      </c>
      <c r="W29">
        <f t="shared" ca="1" si="13"/>
        <v>2.0929335318676592E-3</v>
      </c>
      <c r="X29" s="22">
        <f t="shared" ref="X29" ca="1" si="62">BSdelta(1,P29,Strike,W29*AnnualVarConvtr,Dividend,RiskFreeRate,G29/250)</f>
        <v>6.5350144402660596E-299</v>
      </c>
      <c r="Y29" s="22">
        <f t="shared" ca="1" si="19"/>
        <v>-3.5017661619614269E-6</v>
      </c>
      <c r="Z29" s="22">
        <f t="shared" ca="1" si="20"/>
        <v>-6.9508984412294694</v>
      </c>
      <c r="AA29">
        <f t="shared" si="7"/>
        <v>0.73884103340948371</v>
      </c>
      <c r="AB29">
        <f t="shared" ref="AB29" ca="1" si="63">BSdelta(1,P29,Strike,AA29/AnnualVarConvtr,Dividend,RiskFreeRate,G29/250)</f>
        <v>5.6134267157346434E-151</v>
      </c>
      <c r="AC29">
        <f t="shared" ca="1" si="16"/>
        <v>-1.1292036224058142E-136</v>
      </c>
      <c r="AD29">
        <f t="shared" ca="1" si="17"/>
        <v>-2.0449814879467541</v>
      </c>
    </row>
    <row r="30" spans="2:30" x14ac:dyDescent="0.25">
      <c r="G30" s="19">
        <v>225</v>
      </c>
      <c r="H30" s="19">
        <f t="shared" ca="1" si="1"/>
        <v>0.29898986101947489</v>
      </c>
      <c r="I30" s="19">
        <f t="shared" ca="1" si="1"/>
        <v>0.45122362063048427</v>
      </c>
      <c r="J30" s="19">
        <f t="shared" ca="1" si="2"/>
        <v>-1.4815211451647108</v>
      </c>
      <c r="K30" s="19">
        <f t="shared" ca="1" si="3"/>
        <v>0.46881374556465527</v>
      </c>
      <c r="L30" s="19">
        <f t="array" aca="1" ref="L30:M30" ca="1">MMULT(J30:K30,TRANSPOSE($B$10:$C$11))</f>
        <v>-1.4815211451647108</v>
      </c>
      <c r="M30" s="19">
        <f ca="1"/>
        <v>1.3885483176577622</v>
      </c>
      <c r="N30" s="20">
        <f ca="1">GetVariance(N29,Variance_Avg,Lambda,Eta,M30,"Daily")</f>
        <v>6.1422286997472632E-2</v>
      </c>
      <c r="O30" s="20">
        <f ca="1">GetStockReturns(O29,RiskFreeRate,N29,L30,"Daily")</f>
        <v>-7.0383127545176616E-2</v>
      </c>
      <c r="P30" s="19">
        <f t="shared" ca="1" si="9"/>
        <v>29.142755849903754</v>
      </c>
      <c r="Q30" s="19">
        <f ca="1">HCTrans(P30,Strike,RiskFreeRate,Dividend,Variance_T0*AnnualVarConvtr,(Simulation!G30)/250,0.5,Variance_Avg*AnnualVarConvtr,Lambda,SQRT(Simulation!N30),Rho,1,"Call")</f>
        <v>0.3746590383681685</v>
      </c>
      <c r="R30" s="19" t="e">
        <f t="shared" ca="1" si="4"/>
        <v>#VALUE!</v>
      </c>
      <c r="S30" s="19" t="e">
        <f t="shared" ca="1" si="5"/>
        <v>#VALUE!</v>
      </c>
      <c r="T30" s="19" t="e">
        <f t="shared" ca="1" si="10"/>
        <v>#VALUE!</v>
      </c>
      <c r="U30" s="19" t="e">
        <f t="shared" ca="1" si="11"/>
        <v>#VALUE!</v>
      </c>
      <c r="V30" s="21">
        <f t="shared" ca="1" si="12"/>
        <v>4.6973842924027839E-4</v>
      </c>
      <c r="W30">
        <f t="shared" ca="1" si="13"/>
        <v>2.1673449869374244E-2</v>
      </c>
      <c r="X30" s="22">
        <f t="shared" ref="X30" ca="1" si="64">BSdelta(1,P30,Strike,W30*AnnualVarConvtr,Dividend,RiskFreeRate,G30/250)</f>
        <v>1.4171247043018079E-4</v>
      </c>
      <c r="Y30" s="22">
        <f t="shared" ca="1" si="19"/>
        <v>4.1298919266334637E-3</v>
      </c>
      <c r="Z30" s="22">
        <f t="shared" ca="1" si="20"/>
        <v>-7.1279158513099956</v>
      </c>
      <c r="AA30">
        <f t="shared" si="7"/>
        <v>0.73884103340948371</v>
      </c>
      <c r="AB30">
        <f t="shared" ref="AB30" ca="1" si="65">BSdelta(1,P30,Strike,AA30/AnnualVarConvtr,Dividend,RiskFreeRate,G30/250)</f>
        <v>2.7978652185317171E-170</v>
      </c>
      <c r="AC30">
        <f t="shared" ca="1" si="16"/>
        <v>-1.6359072425798179E-149</v>
      </c>
      <c r="AD30">
        <f t="shared" ca="1" si="17"/>
        <v>-2.2178690061006465</v>
      </c>
    </row>
    <row r="31" spans="2:30" x14ac:dyDescent="0.25">
      <c r="G31" s="19">
        <v>224</v>
      </c>
      <c r="H31" s="19">
        <f t="shared" ref="H31:I94" ca="1" si="66">RAND()</f>
        <v>3.6793828143347751E-2</v>
      </c>
      <c r="I31" s="19">
        <f t="shared" ca="1" si="66"/>
        <v>0.28614053637086578</v>
      </c>
      <c r="J31" s="19">
        <f t="shared" ca="1" si="2"/>
        <v>-0.57858499858884616</v>
      </c>
      <c r="K31" s="19">
        <f t="shared" ca="1" si="3"/>
        <v>2.5040147208324037</v>
      </c>
      <c r="L31" s="19">
        <f t="array" aca="1" ref="L31:M31" ca="1">MMULT(J31:K31,TRANSPOSE($B$10:$C$11))</f>
        <v>-0.57858499858884616</v>
      </c>
      <c r="M31" s="19">
        <f ca="1"/>
        <v>2.1613244972593861</v>
      </c>
      <c r="N31" s="20">
        <f ca="1">GetVariance(N30,Variance_Avg,Lambda,Eta,M31,"Daily")</f>
        <v>7.4970534447916515E-2</v>
      </c>
      <c r="O31" s="20">
        <f ca="1">GetStockReturns(O30,RiskFreeRate,N30,L31,"Daily")</f>
        <v>-7.9452143298831809E-2</v>
      </c>
      <c r="P31" s="19">
        <f t="shared" ca="1" si="9"/>
        <v>26.916896867349482</v>
      </c>
      <c r="Q31" s="19">
        <f ca="1">HCTrans(P31,Strike,RiskFreeRate,Dividend,Variance_T0*AnnualVarConvtr,(Simulation!G31)/250,0.5,Variance_Avg*AnnualVarConvtr,Lambda,SQRT(Simulation!N31),Rho,1,"Call")</f>
        <v>0.23241479146512845</v>
      </c>
      <c r="R31" s="19" t="e">
        <f t="shared" ca="1" si="4"/>
        <v>#VALUE!</v>
      </c>
      <c r="S31" s="19" t="e">
        <f t="shared" ca="1" si="5"/>
        <v>#VALUE!</v>
      </c>
      <c r="T31" s="19" t="e">
        <f t="shared" ca="1" si="10"/>
        <v>#VALUE!</v>
      </c>
      <c r="U31" s="19" t="e">
        <f t="shared" ca="1" si="11"/>
        <v>#VALUE!</v>
      </c>
      <c r="V31" s="21">
        <f t="shared" ca="1" si="12"/>
        <v>8.2247046740046079E-5</v>
      </c>
      <c r="W31">
        <f t="shared" ca="1" si="13"/>
        <v>9.0690157536551935E-3</v>
      </c>
      <c r="X31" s="22">
        <f t="shared" ref="X31" ca="1" si="67">BSdelta(1,P31,Strike,W31*AnnualVarConvtr,Dividend,RiskFreeRate,G31/250)</f>
        <v>3.9485621023492759E-22</v>
      </c>
      <c r="Y31" s="22">
        <f t="shared" ca="1" si="19"/>
        <v>-3.8144599513864892E-3</v>
      </c>
      <c r="Z31" s="22">
        <f t="shared" ca="1" si="20"/>
        <v>-7.2663456382616491</v>
      </c>
      <c r="AA31">
        <f t="shared" si="7"/>
        <v>0.73884103340948371</v>
      </c>
      <c r="AB31">
        <f t="shared" ref="AB31" ca="1" si="68">BSdelta(1,P31,Strike,AA31/AnnualVarConvtr,Dividend,RiskFreeRate,G31/250)</f>
        <v>1.7376218813054387E-193</v>
      </c>
      <c r="AC31">
        <f t="shared" ca="1" si="16"/>
        <v>-7.5309849535962455E-169</v>
      </c>
      <c r="AD31">
        <f t="shared" ca="1" si="17"/>
        <v>-2.3601132530036866</v>
      </c>
    </row>
    <row r="32" spans="2:30" x14ac:dyDescent="0.25">
      <c r="G32" s="19">
        <v>223</v>
      </c>
      <c r="H32" s="19">
        <f t="shared" ca="1" si="66"/>
        <v>0.99438969993946225</v>
      </c>
      <c r="I32" s="19">
        <f t="shared" ca="1" si="66"/>
        <v>0.55669942002726458</v>
      </c>
      <c r="J32" s="19">
        <f t="shared" ca="1" si="2"/>
        <v>-9.9415848789227129E-2</v>
      </c>
      <c r="K32" s="19">
        <f t="shared" ca="1" si="3"/>
        <v>-3.6995713528604868E-2</v>
      </c>
      <c r="L32" s="19">
        <f t="array" aca="1" ref="L32:M32" ca="1">MMULT(J32:K32,TRANSPOSE($B$10:$C$11))</f>
        <v>-9.9415848789227129E-2</v>
      </c>
      <c r="M32" s="19">
        <f ca="1"/>
        <v>4.5423723465125292E-2</v>
      </c>
      <c r="N32" s="20">
        <f ca="1">GetVariance(N31,Variance_Avg,Lambda,Eta,M32,"Daily")</f>
        <v>7.491572967101047E-2</v>
      </c>
      <c r="O32" s="20">
        <f ca="1">GetStockReturns(O31,RiskFreeRate,N31,L32,"Daily")</f>
        <v>-8.1173738026029035E-2</v>
      </c>
      <c r="P32" s="19">
        <f t="shared" ca="1" si="9"/>
        <v>24.818280230727737</v>
      </c>
      <c r="Q32" s="19">
        <f ca="1">HCTrans(P32,Strike,RiskFreeRate,Dividend,Variance_T0*AnnualVarConvtr,(Simulation!G32)/250,0.5,Variance_Avg*AnnualVarConvtr,Lambda,SQRT(Simulation!N32),Rho,1,"Call")</f>
        <v>0.1481814598341451</v>
      </c>
      <c r="R32" s="19" t="e">
        <f t="shared" ca="1" si="4"/>
        <v>#VALUE!</v>
      </c>
      <c r="S32" s="19" t="e">
        <f t="shared" ca="1" si="5"/>
        <v>#VALUE!</v>
      </c>
      <c r="T32" s="19" t="e">
        <f t="shared" ca="1" si="10"/>
        <v>#VALUE!</v>
      </c>
      <c r="U32" s="19" t="e">
        <f t="shared" ca="1" si="11"/>
        <v>#VALUE!</v>
      </c>
      <c r="V32" s="21">
        <f t="shared" ca="1" si="12"/>
        <v>2.9638884047132907E-6</v>
      </c>
      <c r="W32">
        <f t="shared" ca="1" si="13"/>
        <v>1.7215947271972259E-3</v>
      </c>
      <c r="X32" s="22">
        <f t="shared" ref="X32" ca="1" si="69">BSdelta(1,P32,Strike,W32*AnnualVarConvtr,Dividend,RiskFreeRate,G32/250)</f>
        <v>0</v>
      </c>
      <c r="Y32" s="22">
        <f t="shared" ca="1" si="19"/>
        <v>-9.799652076453579E-21</v>
      </c>
      <c r="Z32" s="22">
        <f t="shared" ca="1" si="20"/>
        <v>-7.3505789698926325</v>
      </c>
      <c r="AA32">
        <f t="shared" si="7"/>
        <v>0.73884103340948371</v>
      </c>
      <c r="AB32">
        <f t="shared" ref="AB32" ca="1" si="70">BSdelta(1,P32,Strike,AA32/AnnualVarConvtr,Dividend,RiskFreeRate,G32/250)</f>
        <v>7.6607016058536642E-219</v>
      </c>
      <c r="AC32">
        <f t="shared" ca="1" si="16"/>
        <v>-4.312478678528271E-192</v>
      </c>
      <c r="AD32">
        <f t="shared" ca="1" si="17"/>
        <v>-2.4443465846346699</v>
      </c>
    </row>
    <row r="33" spans="7:30" x14ac:dyDescent="0.25">
      <c r="G33" s="19">
        <v>222</v>
      </c>
      <c r="H33" s="19">
        <f t="shared" ca="1" si="66"/>
        <v>0.8528053181498727</v>
      </c>
      <c r="I33" s="19">
        <f t="shared" ca="1" si="66"/>
        <v>1.2988611934067085E-2</v>
      </c>
      <c r="J33" s="19">
        <f t="shared" ca="1" si="2"/>
        <v>0.56243378822352919</v>
      </c>
      <c r="K33" s="19">
        <f t="shared" ca="1" si="3"/>
        <v>4.6002313372681659E-2</v>
      </c>
      <c r="L33" s="19">
        <f t="array" aca="1" ref="L33:M33" ca="1">MMULT(J33:K33,TRANSPOSE($B$10:$C$11))</f>
        <v>0.56243378822352919</v>
      </c>
      <c r="M33" s="19">
        <f ca="1"/>
        <v>-0.37089318928173698</v>
      </c>
      <c r="N33" s="20">
        <f ca="1">GetVariance(N32,Variance_Avg,Lambda,Eta,M33,"Daily")</f>
        <v>7.2087406829400263E-2</v>
      </c>
      <c r="O33" s="20">
        <f ca="1">GetStockReturns(O32,RiskFreeRate,N32,L33,"Daily")</f>
        <v>-7.1437573467403676E-2</v>
      </c>
      <c r="P33" s="19">
        <f t="shared" ca="1" si="9"/>
        <v>23.107168966526153</v>
      </c>
      <c r="Q33" s="19">
        <f ca="1">HCTrans(P33,Strike,RiskFreeRate,Dividend,Variance_T0*AnnualVarConvtr,(Simulation!G33)/250,0.5,Variance_Avg*AnnualVarConvtr,Lambda,SQRT(Simulation!N33),Rho,1,"Call")</f>
        <v>9.9310352166710913E-2</v>
      </c>
      <c r="R33" s="19" t="e">
        <f t="shared" ca="1" si="4"/>
        <v>#VALUE!</v>
      </c>
      <c r="S33" s="19" t="e">
        <f t="shared" ca="1" si="5"/>
        <v>#VALUE!</v>
      </c>
      <c r="T33" s="19" t="e">
        <f t="shared" ca="1" si="10"/>
        <v>#VALUE!</v>
      </c>
      <c r="U33" s="19" t="e">
        <f t="shared" ca="1" si="11"/>
        <v>#VALUE!</v>
      </c>
      <c r="V33" s="21">
        <f t="shared" ca="1" si="12"/>
        <v>9.4792900312632548E-5</v>
      </c>
      <c r="W33">
        <f t="shared" ca="1" si="13"/>
        <v>9.7361645586253598E-3</v>
      </c>
      <c r="X33" s="22">
        <f t="shared" ref="X33" ca="1" si="71">BSdelta(1,P33,Strike,W33*AnnualVarConvtr,Dividend,RiskFreeRate,G33/250)</f>
        <v>5.8266874628231305E-24</v>
      </c>
      <c r="Y33" s="22">
        <f t="shared" ca="1" si="19"/>
        <v>1.3463825171859366E-22</v>
      </c>
      <c r="Z33" s="22">
        <f t="shared" ca="1" si="20"/>
        <v>-7.3994500775600667</v>
      </c>
      <c r="AA33">
        <f t="shared" si="7"/>
        <v>0.73884103340948371</v>
      </c>
      <c r="AB33">
        <f t="shared" ref="AB33" ca="1" si="72">BSdelta(1,P33,Strike,AA33/AnnualVarConvtr,Dividend,RiskFreeRate,G33/250)</f>
        <v>1.0765321553766959E-242</v>
      </c>
      <c r="AC33">
        <f t="shared" ca="1" si="16"/>
        <v>-1.7701712640859886E-217</v>
      </c>
      <c r="AD33">
        <f t="shared" ca="1" si="17"/>
        <v>-2.4932176923021041</v>
      </c>
    </row>
    <row r="34" spans="7:30" x14ac:dyDescent="0.25">
      <c r="G34" s="19">
        <v>221</v>
      </c>
      <c r="H34" s="19">
        <f t="shared" ca="1" si="66"/>
        <v>0.6958045285696739</v>
      </c>
      <c r="I34" s="19">
        <f t="shared" ca="1" si="66"/>
        <v>0.77507332945673701</v>
      </c>
      <c r="J34" s="19">
        <f t="shared" ca="1" si="2"/>
        <v>0.1336209723789335</v>
      </c>
      <c r="K34" s="19">
        <f t="shared" ca="1" si="3"/>
        <v>-0.84114116023395935</v>
      </c>
      <c r="L34" s="19">
        <f t="array" aca="1" ref="L34:M34" ca="1">MMULT(J34:K34,TRANSPOSE($B$10:$C$11))</f>
        <v>0.1336209723789335</v>
      </c>
      <c r="M34" s="19">
        <f ca="1"/>
        <v>-0.68250864208093331</v>
      </c>
      <c r="N34" s="20">
        <f ca="1">GetVariance(N33,Variance_Avg,Lambda,Eta,M34,"Daily")</f>
        <v>6.73193442058687E-2</v>
      </c>
      <c r="O34" s="20">
        <f ca="1">GetStockReturns(O33,RiskFreeRate,N33,L34,"Daily")</f>
        <v>-6.9168574359836074E-2</v>
      </c>
      <c r="P34" s="19">
        <f t="shared" ca="1" si="9"/>
        <v>21.562902038729423</v>
      </c>
      <c r="Q34" s="19">
        <f ca="1">HCTrans(P34,Strike,RiskFreeRate,Dividend,Variance_T0*AnnualVarConvtr,(Simulation!G34)/250,0.5,Variance_Avg*AnnualVarConvtr,Lambda,SQRT(Simulation!N34),Rho,1,"Call")</f>
        <v>6.7436266482523877E-2</v>
      </c>
      <c r="R34" s="19" t="e">
        <f t="shared" ca="1" si="4"/>
        <v>#VALUE!</v>
      </c>
      <c r="S34" s="19" t="e">
        <f t="shared" ca="1" si="5"/>
        <v>#VALUE!</v>
      </c>
      <c r="T34" s="19" t="e">
        <f t="shared" ca="1" si="10"/>
        <v>#VALUE!</v>
      </c>
      <c r="U34" s="19" t="e">
        <f t="shared" ca="1" si="11"/>
        <v>#VALUE!</v>
      </c>
      <c r="V34" s="21">
        <f t="shared" ca="1" si="12"/>
        <v>5.1483569501425713E-6</v>
      </c>
      <c r="W34">
        <f t="shared" ca="1" si="13"/>
        <v>2.2689991075676014E-3</v>
      </c>
      <c r="X34" s="22">
        <f t="shared" ref="X34" ca="1" si="73">BSdelta(1,P34,Strike,W34*AnnualVarConvtr,Dividend,RiskFreeRate,G34/250)</f>
        <v>0</v>
      </c>
      <c r="Y34" s="22">
        <f t="shared" ca="1" si="19"/>
        <v>-1.2564029097114805E-22</v>
      </c>
      <c r="Z34" s="22">
        <f t="shared" ca="1" si="20"/>
        <v>-7.4313241632442537</v>
      </c>
      <c r="AA34">
        <f t="shared" si="7"/>
        <v>0.73884103340948371</v>
      </c>
      <c r="AB34">
        <f t="shared" ref="AB34" ca="1" si="74">BSdelta(1,P34,Strike,AA34/AnnualVarConvtr,Dividend,RiskFreeRate,G34/250)</f>
        <v>3.9879745560501983E-267</v>
      </c>
      <c r="AC34">
        <f t="shared" ca="1" si="16"/>
        <v>-2.3213157407929934E-241</v>
      </c>
      <c r="AD34">
        <f t="shared" ca="1" si="17"/>
        <v>-2.5250917779862911</v>
      </c>
    </row>
    <row r="35" spans="7:30" x14ac:dyDescent="0.25">
      <c r="G35" s="19">
        <v>220</v>
      </c>
      <c r="H35" s="19">
        <f t="shared" ca="1" si="66"/>
        <v>0.21878222620582166</v>
      </c>
      <c r="I35" s="19">
        <f t="shared" ca="1" si="66"/>
        <v>0.62685663406727243</v>
      </c>
      <c r="J35" s="19">
        <f t="shared" ca="1" si="2"/>
        <v>-1.2182880664844309</v>
      </c>
      <c r="K35" s="19">
        <f t="shared" ca="1" si="3"/>
        <v>-1.247048947177039</v>
      </c>
      <c r="L35" s="19">
        <f t="array" aca="1" ref="L35:M35" ca="1">MMULT(J35:K35,TRANSPOSE($B$10:$C$11))</f>
        <v>-1.2182880664844309</v>
      </c>
      <c r="M35" s="19">
        <f ca="1"/>
        <v>2.9781518200103774E-3</v>
      </c>
      <c r="N35" s="20">
        <f ca="1">GetVariance(N34,Variance_Avg,Lambda,Eta,M35,"Daily")</f>
        <v>6.701877051373023E-2</v>
      </c>
      <c r="O35" s="20">
        <f ca="1">GetStockReturns(O34,RiskFreeRate,N34,L35,"Daily")</f>
        <v>-8.9160283479411989E-2</v>
      </c>
      <c r="P35" s="19">
        <f t="shared" ca="1" si="9"/>
        <v>19.723563868737312</v>
      </c>
      <c r="Q35" s="19">
        <f ca="1">HCTrans(P35,Strike,RiskFreeRate,Dividend,Variance_T0*AnnualVarConvtr,(Simulation!G35)/250,0.5,Variance_Avg*AnnualVarConvtr,Lambda,SQRT(Simulation!N35),Rho,1,"Call")</f>
        <v>3.860523711463415E-2</v>
      </c>
      <c r="R35" s="19" t="e">
        <f t="shared" ca="1" si="4"/>
        <v>#VALUE!</v>
      </c>
      <c r="S35" s="19" t="e">
        <f t="shared" ca="1" si="5"/>
        <v>#VALUE!</v>
      </c>
      <c r="T35" s="19" t="e">
        <f t="shared" ca="1" si="10"/>
        <v>#VALUE!</v>
      </c>
      <c r="U35" s="19" t="e">
        <f t="shared" ca="1" si="11"/>
        <v>#VALUE!</v>
      </c>
      <c r="V35" s="21">
        <f t="shared" ca="1" si="12"/>
        <v>3.9966843352173478E-4</v>
      </c>
      <c r="W35">
        <f t="shared" ca="1" si="13"/>
        <v>1.9991709119575915E-2</v>
      </c>
      <c r="X35" s="22">
        <f t="shared" ref="X35" ca="1" si="75">BSdelta(1,P35,Strike,W35*AnnualVarConvtr,Dividend,RiskFreeRate,G35/250)</f>
        <v>5.0105908002446948E-8</v>
      </c>
      <c r="Y35" s="22">
        <f t="shared" ca="1" si="19"/>
        <v>9.8826707668733836E-7</v>
      </c>
      <c r="Z35" s="22">
        <f t="shared" ca="1" si="20"/>
        <v>-7.4601561808792205</v>
      </c>
      <c r="AA35">
        <f t="shared" si="7"/>
        <v>0.73884103340948371</v>
      </c>
      <c r="AB35">
        <f t="shared" ref="AB35" ca="1" si="76">BSdelta(1,P35,Strike,AA35/AnnualVarConvtr,Dividend,RiskFreeRate,G35/250)</f>
        <v>3.76749820002602E-300</v>
      </c>
      <c r="AC35">
        <f t="shared" ca="1" si="16"/>
        <v>-7.8657070863155419E-266</v>
      </c>
      <c r="AD35">
        <f t="shared" ca="1" si="17"/>
        <v>-2.5539228073541809</v>
      </c>
    </row>
    <row r="36" spans="7:30" x14ac:dyDescent="0.25">
      <c r="G36" s="19">
        <v>219</v>
      </c>
      <c r="H36" s="19">
        <f t="shared" ca="1" si="66"/>
        <v>0.40034873222106293</v>
      </c>
      <c r="I36" s="19">
        <f t="shared" ca="1" si="66"/>
        <v>0.9858132160070342</v>
      </c>
      <c r="J36" s="19">
        <f t="shared" ca="1" si="2"/>
        <v>1.347712843088515</v>
      </c>
      <c r="K36" s="19">
        <f t="shared" ca="1" si="3"/>
        <v>-0.12045187779478392</v>
      </c>
      <c r="L36" s="19">
        <f t="array" aca="1" ref="L36:M36" ca="1">MMULT(J36:K36,TRANSPOSE($B$10:$C$11))</f>
        <v>1.347712843088515</v>
      </c>
      <c r="M36" s="19">
        <f ca="1"/>
        <v>-1.0496619271498628</v>
      </c>
      <c r="N36" s="20">
        <f ca="1">GetVariance(N35,Variance_Avg,Lambda,Eta,M36,"Daily")</f>
        <v>6.0203397199281451E-2</v>
      </c>
      <c r="O36" s="20">
        <f ca="1">GetStockReturns(O35,RiskFreeRate,N35,L36,"Daily")</f>
        <v>-6.7094183031621971E-2</v>
      </c>
      <c r="P36" s="19">
        <f t="shared" ca="1" si="9"/>
        <v>18.443645123086487</v>
      </c>
      <c r="Q36" s="19">
        <f ca="1">HCTrans(P36,Strike,RiskFreeRate,Dividend,Variance_T0*AnnualVarConvtr,(Simulation!G36)/250,0.5,Variance_Avg*AnnualVarConvtr,Lambda,SQRT(Simulation!N36),Rho,1,"Call")</f>
        <v>2.6375953701176513E-2</v>
      </c>
      <c r="R36" s="19" t="e">
        <f t="shared" ca="1" si="4"/>
        <v>#VALUE!</v>
      </c>
      <c r="S36" s="19" t="e">
        <f t="shared" ca="1" si="5"/>
        <v>#VALUE!</v>
      </c>
      <c r="T36" s="19" t="e">
        <f t="shared" ca="1" si="10"/>
        <v>#VALUE!</v>
      </c>
      <c r="U36" s="19" t="e">
        <f t="shared" ca="1" si="11"/>
        <v>#VALUE!</v>
      </c>
      <c r="V36" s="21">
        <f t="shared" ca="1" si="12"/>
        <v>4.8691278897195888E-4</v>
      </c>
      <c r="W36">
        <f t="shared" ca="1" si="13"/>
        <v>2.2066100447790019E-2</v>
      </c>
      <c r="X36" s="22">
        <f t="shared" ref="X36" ca="1" si="77">BSdelta(1,P36,Strike,W36*AnnualVarConvtr,Dividend,RiskFreeRate,G36/250)</f>
        <v>2.6731777436963741E-7</v>
      </c>
      <c r="Y36" s="22">
        <f t="shared" ca="1" si="19"/>
        <v>4.0061785797997458E-6</v>
      </c>
      <c r="Z36" s="22">
        <f t="shared" ca="1" si="20"/>
        <v>-7.4723894704712581</v>
      </c>
      <c r="AA36">
        <f t="shared" si="7"/>
        <v>0.73884103340948371</v>
      </c>
      <c r="AB36">
        <f t="shared" ref="AB36" ca="1" si="78">BSdelta(1,P36,Strike,AA36/AnnualVarConvtr,Dividend,RiskFreeRate,G36/250)</f>
        <v>0</v>
      </c>
      <c r="AC36">
        <f t="shared" ca="1" si="16"/>
        <v>-6.9486399803147022E-299</v>
      </c>
      <c r="AD36">
        <f t="shared" ca="1" si="17"/>
        <v>-2.5661520907676385</v>
      </c>
    </row>
    <row r="37" spans="7:30" x14ac:dyDescent="0.25">
      <c r="G37" s="19">
        <v>218</v>
      </c>
      <c r="H37" s="19">
        <f t="shared" ca="1" si="66"/>
        <v>0.57109118215321408</v>
      </c>
      <c r="I37" s="19">
        <f t="shared" ca="1" si="66"/>
        <v>0.92555979994102155</v>
      </c>
      <c r="J37" s="19">
        <f t="shared" ca="1" si="2"/>
        <v>0.94481082613538758</v>
      </c>
      <c r="K37" s="19">
        <f t="shared" ca="1" si="3"/>
        <v>-0.47722666511656964</v>
      </c>
      <c r="L37" s="19">
        <f t="array" aca="1" ref="L37:M37" ca="1">MMULT(J37:K37,TRANSPOSE($B$10:$C$11))</f>
        <v>0.94481082613538758</v>
      </c>
      <c r="M37" s="19">
        <f ca="1"/>
        <v>-1.009864118153124</v>
      </c>
      <c r="N37" s="20">
        <f ca="1">GetVariance(N36,Variance_Avg,Lambda,Eta,M37,"Daily")</f>
        <v>5.3999148640020429E-2</v>
      </c>
      <c r="O37" s="20">
        <f ca="1">GetStockReturns(O36,RiskFreeRate,N36,L37,"Daily")</f>
        <v>-5.2432448359384237E-2</v>
      </c>
      <c r="P37" s="19">
        <f t="shared" ca="1" si="9"/>
        <v>17.501514587153224</v>
      </c>
      <c r="Q37" s="19">
        <f ca="1">HCTrans(P37,Strike,RiskFreeRate,Dividend,Variance_T0*AnnualVarConvtr,(Simulation!G37)/250,0.5,Variance_Avg*AnnualVarConvtr,Lambda,SQRT(Simulation!N37),Rho,1,"Call")</f>
        <v>1.9655882862060992E-2</v>
      </c>
      <c r="R37" s="19" t="e">
        <f t="shared" ca="1" si="4"/>
        <v>#VALUE!</v>
      </c>
      <c r="S37" s="19" t="e">
        <f t="shared" ca="1" si="5"/>
        <v>#VALUE!</v>
      </c>
      <c r="T37" s="19" t="e">
        <f t="shared" ca="1" si="10"/>
        <v>#VALUE!</v>
      </c>
      <c r="U37" s="19" t="e">
        <f t="shared" ca="1" si="11"/>
        <v>#VALUE!</v>
      </c>
      <c r="V37" s="21">
        <f t="shared" ca="1" si="12"/>
        <v>2.149664635990981E-4</v>
      </c>
      <c r="W37">
        <f t="shared" ca="1" si="13"/>
        <v>1.4661734672237733E-2</v>
      </c>
      <c r="X37" s="22">
        <f t="shared" ref="X37" ca="1" si="79">BSdelta(1,P37,Strike,W37*AnnualVarConvtr,Dividend,RiskFreeRate,G37/250)</f>
        <v>9.8794713247844411E-16</v>
      </c>
      <c r="Y37" s="22">
        <f t="shared" ca="1" si="19"/>
        <v>-4.6784659102449716E-6</v>
      </c>
      <c r="Z37" s="22">
        <f t="shared" ca="1" si="20"/>
        <v>-7.479104862844463</v>
      </c>
      <c r="AA37">
        <f t="shared" si="7"/>
        <v>0.73884103340948371</v>
      </c>
      <c r="AB37">
        <f t="shared" ref="AB37" ca="1" si="80">BSdelta(1,P37,Strike,AA37/AnnualVarConvtr,Dividend,RiskFreeRate,G37/250)</f>
        <v>0</v>
      </c>
      <c r="AC37">
        <f t="shared" ca="1" si="16"/>
        <v>0</v>
      </c>
      <c r="AD37">
        <f t="shared" ca="1" si="17"/>
        <v>-2.572872161606754</v>
      </c>
    </row>
    <row r="38" spans="7:30" x14ac:dyDescent="0.25">
      <c r="G38" s="19">
        <v>217</v>
      </c>
      <c r="H38" s="19">
        <f t="shared" ca="1" si="66"/>
        <v>0.20692567627146996</v>
      </c>
      <c r="I38" s="19">
        <f t="shared" ca="1" si="66"/>
        <v>0.53699594436214504</v>
      </c>
      <c r="J38" s="19">
        <f t="shared" ca="1" si="2"/>
        <v>-1.7273058354439979</v>
      </c>
      <c r="K38" s="19">
        <f t="shared" ca="1" si="3"/>
        <v>-0.40890800295546448</v>
      </c>
      <c r="L38" s="19">
        <f t="array" aca="1" ref="L38:M38" ca="1">MMULT(J38:K38,TRANSPOSE($B$10:$C$11))</f>
        <v>-1.7273058354439979</v>
      </c>
      <c r="M38" s="19">
        <f ca="1"/>
        <v>0.95236568668950528</v>
      </c>
      <c r="N38" s="20">
        <f ca="1">GetVariance(N37,Variance_Avg,Lambda,Eta,M38,"Daily")</f>
        <v>5.9313111743492124E-2</v>
      </c>
      <c r="O38" s="20">
        <f ca="1">GetStockReturns(O37,RiskFreeRate,N37,L38,"Daily")</f>
        <v>-7.7818355800272215E-2</v>
      </c>
      <c r="P38" s="19">
        <f t="shared" ca="1" si="9"/>
        <v>16.191219177704369</v>
      </c>
      <c r="Q38" s="19">
        <f ca="1">HCTrans(P38,Strike,RiskFreeRate,Dividend,Variance_T0*AnnualVarConvtr,(Simulation!G38)/250,0.5,Variance_Avg*AnnualVarConvtr,Lambda,SQRT(Simulation!N38),Rho,1,"Call")</f>
        <v>1.0723002310953689E-2</v>
      </c>
      <c r="R38" s="19" t="e">
        <f t="shared" ca="1" si="4"/>
        <v>#VALUE!</v>
      </c>
      <c r="S38" s="19" t="e">
        <f t="shared" ca="1" si="5"/>
        <v>#VALUE!</v>
      </c>
      <c r="T38" s="19" t="e">
        <f t="shared" ca="1" si="10"/>
        <v>#VALUE!</v>
      </c>
      <c r="U38" s="19" t="e">
        <f t="shared" ca="1" si="11"/>
        <v>#VALUE!</v>
      </c>
      <c r="V38" s="21">
        <f t="shared" ca="1" si="12"/>
        <v>6.4444429659733164E-4</v>
      </c>
      <c r="W38">
        <f t="shared" ca="1" si="13"/>
        <v>2.5385907440887978E-2</v>
      </c>
      <c r="X38" s="22">
        <f t="shared" ref="X38" ca="1" si="81">BSdelta(1,P38,Strike,W38*AnnualVarConvtr,Dividend,RiskFreeRate,G38/250)</f>
        <v>1.4221416658862186E-6</v>
      </c>
      <c r="Y38" s="22">
        <f t="shared" ca="1" si="19"/>
        <v>2.3026207398113314E-5</v>
      </c>
      <c r="Z38" s="22">
        <f t="shared" ca="1" si="20"/>
        <v>-7.488060769602968</v>
      </c>
      <c r="AA38">
        <f t="shared" si="7"/>
        <v>0.73884103340948371</v>
      </c>
      <c r="AB38">
        <f t="shared" ref="AB38" ca="1" si="82">BSdelta(1,P38,Strike,AA38/AnnualVarConvtr,Dividend,RiskFreeRate,G38/250)</f>
        <v>0</v>
      </c>
      <c r="AC38">
        <f t="shared" ca="1" si="16"/>
        <v>0</v>
      </c>
      <c r="AD38">
        <f t="shared" ca="1" si="17"/>
        <v>-2.5818050421578613</v>
      </c>
    </row>
    <row r="39" spans="7:30" x14ac:dyDescent="0.25">
      <c r="G39" s="19">
        <v>216</v>
      </c>
      <c r="H39" s="19">
        <f t="shared" ca="1" si="66"/>
        <v>0.57532061640811727</v>
      </c>
      <c r="I39" s="19">
        <f t="shared" ca="1" si="66"/>
        <v>0.44966315943161161</v>
      </c>
      <c r="J39" s="19">
        <f t="shared" ca="1" si="2"/>
        <v>-0.99934750641885917</v>
      </c>
      <c r="K39" s="19">
        <f t="shared" ca="1" si="3"/>
        <v>0.32704764342944598</v>
      </c>
      <c r="L39" s="19">
        <f t="array" aca="1" ref="L39:M39" ca="1">MMULT(J39:K39,TRANSPOSE($B$10:$C$11))</f>
        <v>-0.99934750641885917</v>
      </c>
      <c r="M39" s="19">
        <f ca="1"/>
        <v>0.94417670265767639</v>
      </c>
      <c r="N39" s="20">
        <f ca="1">GetVariance(N38,Variance_Avg,Lambda,Eta,M39,"Daily")</f>
        <v>6.4808411378488376E-2</v>
      </c>
      <c r="O39" s="20">
        <f ca="1">GetStockReturns(O38,RiskFreeRate,N38,L39,"Daily")</f>
        <v>-9.3211306673518457E-2</v>
      </c>
      <c r="P39" s="19">
        <f t="shared" ca="1" si="9"/>
        <v>14.750216528080673</v>
      </c>
      <c r="Q39" s="19">
        <f ca="1">HCTrans(P39,Strike,RiskFreeRate,Dividend,Variance_T0*AnnualVarConvtr,(Simulation!G39)/250,0.5,Variance_Avg*AnnualVarConvtr,Lambda,SQRT(Simulation!N39),Rho,1,"Call")</f>
        <v>5.0211908976951491E-3</v>
      </c>
      <c r="R39" s="19" t="e">
        <f t="shared" ca="1" si="4"/>
        <v>#VALUE!</v>
      </c>
      <c r="S39" s="19" t="e">
        <f t="shared" ca="1" si="5"/>
        <v>#VALUE!</v>
      </c>
      <c r="T39" s="19" t="e">
        <f t="shared" ca="1" si="10"/>
        <v>#VALUE!</v>
      </c>
      <c r="U39" s="19" t="e">
        <f t="shared" ca="1" si="11"/>
        <v>#VALUE!</v>
      </c>
      <c r="V39" s="21">
        <f t="shared" ca="1" si="12"/>
        <v>2.3694293658617225E-4</v>
      </c>
      <c r="W39">
        <f t="shared" ca="1" si="13"/>
        <v>1.5392950873246242E-2</v>
      </c>
      <c r="X39" s="22">
        <f t="shared" ref="X39" ca="1" si="83">BSdelta(1,P39,Strike,W39*AnnualVarConvtr,Dividend,RiskFreeRate,G39/250)</f>
        <v>3.5026360084812397E-17</v>
      </c>
      <c r="Y39" s="22">
        <f t="shared" ca="1" si="19"/>
        <v>-2.0976897504910439E-5</v>
      </c>
      <c r="Z39" s="22">
        <f t="shared" ca="1" si="20"/>
        <v>-7.4937416041187213</v>
      </c>
      <c r="AA39">
        <f t="shared" si="7"/>
        <v>0.73884103340948371</v>
      </c>
      <c r="AB39">
        <f t="shared" ref="AB39" ca="1" si="84">BSdelta(1,P39,Strike,AA39/AnnualVarConvtr,Dividend,RiskFreeRate,G39/250)</f>
        <v>0</v>
      </c>
      <c r="AC39">
        <f t="shared" ca="1" si="16"/>
        <v>0</v>
      </c>
      <c r="AD39">
        <f t="shared" ca="1" si="17"/>
        <v>-2.5875068535711199</v>
      </c>
    </row>
    <row r="40" spans="7:30" x14ac:dyDescent="0.25">
      <c r="G40" s="19">
        <v>215</v>
      </c>
      <c r="H40" s="19">
        <f t="shared" ca="1" si="66"/>
        <v>0.70718307904657596</v>
      </c>
      <c r="I40" s="19">
        <f t="shared" ca="1" si="66"/>
        <v>0.21161827771520458</v>
      </c>
      <c r="J40" s="19">
        <f t="shared" ca="1" si="2"/>
        <v>0.19880698771250657</v>
      </c>
      <c r="K40" s="19">
        <f t="shared" ca="1" si="3"/>
        <v>0.80833605072497505</v>
      </c>
      <c r="L40" s="19">
        <f t="array" aca="1" ref="L40:M40" ca="1">MMULT(J40:K40,TRANSPOSE($B$10:$C$11))</f>
        <v>0.19880698771250657</v>
      </c>
      <c r="M40" s="19">
        <f ca="1"/>
        <v>0.42143958775205276</v>
      </c>
      <c r="N40" s="20">
        <f ca="1">GetVariance(N39,Variance_Avg,Lambda,Eta,M40,"Daily")</f>
        <v>6.7159630450649446E-2</v>
      </c>
      <c r="O40" s="20">
        <f ca="1">GetStockReturns(O39,RiskFreeRate,N39,L40,"Daily")</f>
        <v>-9.0010368184197997E-2</v>
      </c>
      <c r="P40" s="19">
        <f t="shared" ca="1" si="9"/>
        <v>13.48054310503745</v>
      </c>
      <c r="Q40" s="19">
        <f ca="1">HCTrans(P40,Strike,RiskFreeRate,Dividend,Variance_T0*AnnualVarConvtr,(Simulation!G40)/250,0.5,Variance_Avg*AnnualVarConvtr,Lambda,SQRT(Simulation!N40),Rho,1,"Call")</f>
        <v>2.3949750143756887E-3</v>
      </c>
      <c r="R40" s="19" t="e">
        <f t="shared" ca="1" si="4"/>
        <v>#VALUE!</v>
      </c>
      <c r="S40" s="19" t="e">
        <f t="shared" ca="1" si="5"/>
        <v>#VALUE!</v>
      </c>
      <c r="T40" s="19" t="e">
        <f t="shared" ca="1" si="10"/>
        <v>#VALUE!</v>
      </c>
      <c r="U40" s="19" t="e">
        <f t="shared" ca="1" si="11"/>
        <v>#VALUE!</v>
      </c>
      <c r="V40" s="21">
        <f t="shared" ca="1" si="12"/>
        <v>1.0246007212413146E-5</v>
      </c>
      <c r="W40">
        <f t="shared" ca="1" si="13"/>
        <v>3.2009384893204595E-3</v>
      </c>
      <c r="X40" s="22">
        <f t="shared" ref="X40" ca="1" si="85">BSdelta(1,P40,Strike,W40*AnnualVarConvtr,Dividend,RiskFreeRate,G40/250)</f>
        <v>0</v>
      </c>
      <c r="Y40" s="22">
        <f t="shared" ca="1" si="19"/>
        <v>-4.7217435693587673E-16</v>
      </c>
      <c r="Z40" s="22">
        <f t="shared" ca="1" si="20"/>
        <v>-7.4963678200020398</v>
      </c>
      <c r="AA40">
        <f t="shared" si="7"/>
        <v>0.73884103340948371</v>
      </c>
      <c r="AB40">
        <f t="shared" ref="AB40" ca="1" si="86">BSdelta(1,P40,Strike,AA40/AnnualVarConvtr,Dividend,RiskFreeRate,G40/250)</f>
        <v>0</v>
      </c>
      <c r="AC40">
        <f t="shared" ca="1" si="16"/>
        <v>0</v>
      </c>
      <c r="AD40">
        <f t="shared" ca="1" si="17"/>
        <v>-2.5901330694544393</v>
      </c>
    </row>
    <row r="41" spans="7:30" x14ac:dyDescent="0.25">
      <c r="G41" s="19">
        <v>214</v>
      </c>
      <c r="H41" s="19">
        <f t="shared" ca="1" si="66"/>
        <v>0.33413205500493004</v>
      </c>
      <c r="I41" s="19">
        <f t="shared" ca="1" si="66"/>
        <v>0.32797733310982502</v>
      </c>
      <c r="J41" s="19">
        <f t="shared" ca="1" si="2"/>
        <v>-0.69677976238268602</v>
      </c>
      <c r="K41" s="19">
        <f t="shared" ca="1" si="3"/>
        <v>1.3064975861025943</v>
      </c>
      <c r="L41" s="19">
        <f t="array" aca="1" ref="L41:M41" ca="1">MMULT(J41:K41,TRANSPOSE($B$10:$C$11))</f>
        <v>-0.69677976238268602</v>
      </c>
      <c r="M41" s="19">
        <f ca="1"/>
        <v>1.4106385506752999</v>
      </c>
      <c r="N41" s="20">
        <f ca="1">GetVariance(N40,Variance_Avg,Lambda,Eta,M41,"Daily")</f>
        <v>7.6103932591759765E-2</v>
      </c>
      <c r="O41" s="20">
        <f ca="1">GetStockReturns(O40,RiskFreeRate,N40,L41,"Daily")</f>
        <v>-0.10143072499225383</v>
      </c>
      <c r="P41" s="19">
        <f t="shared" ca="1" si="9"/>
        <v>12.180260741144046</v>
      </c>
      <c r="Q41" s="19">
        <f ca="1">HCTrans(P41,Strike,RiskFreeRate,Dividend,Variance_T0*AnnualVarConvtr,(Simulation!G41)/250,0.5,Variance_Avg*AnnualVarConvtr,Lambda,SQRT(Simulation!N41),Rho,1,"Call")</f>
        <v>8.955177377636403E-4</v>
      </c>
      <c r="R41" s="19" t="e">
        <f t="shared" ca="1" si="4"/>
        <v>#VALUE!</v>
      </c>
      <c r="S41" s="19" t="e">
        <f t="shared" ca="1" si="5"/>
        <v>#VALUE!</v>
      </c>
      <c r="T41" s="19" t="e">
        <f t="shared" ca="1" si="10"/>
        <v>#VALUE!</v>
      </c>
      <c r="U41" s="19" t="e">
        <f t="shared" ca="1" si="11"/>
        <v>#VALUE!</v>
      </c>
      <c r="V41" s="21">
        <f t="shared" ca="1" si="12"/>
        <v>1.3042454962330731E-4</v>
      </c>
      <c r="W41">
        <f t="shared" ca="1" si="13"/>
        <v>1.1420356808055837E-2</v>
      </c>
      <c r="X41" s="22">
        <f t="shared" ref="X41" ca="1" si="87">BSdelta(1,P41,Strike,W41*AnnualVarConvtr,Dividend,RiskFreeRate,G41/250)</f>
        <v>2.9594193588189899E-36</v>
      </c>
      <c r="Y41" s="22">
        <f t="shared" ca="1" si="19"/>
        <v>3.604649943280463E-35</v>
      </c>
      <c r="Z41" s="22">
        <f t="shared" ca="1" si="20"/>
        <v>-7.4978672772786519</v>
      </c>
      <c r="AA41">
        <f t="shared" si="7"/>
        <v>0.73884103340948371</v>
      </c>
      <c r="AB41">
        <f t="shared" ref="AB41" ca="1" si="88">BSdelta(1,P41,Strike,AA41/AnnualVarConvtr,Dividend,RiskFreeRate,G41/250)</f>
        <v>0</v>
      </c>
      <c r="AC41">
        <f t="shared" ca="1" si="16"/>
        <v>0</v>
      </c>
      <c r="AD41">
        <f t="shared" ca="1" si="17"/>
        <v>-2.5916325267310514</v>
      </c>
    </row>
    <row r="42" spans="7:30" x14ac:dyDescent="0.25">
      <c r="G42" s="19">
        <v>213</v>
      </c>
      <c r="H42" s="19">
        <f t="shared" ca="1" si="66"/>
        <v>0.78273409406542804</v>
      </c>
      <c r="I42" s="19">
        <f t="shared" ca="1" si="66"/>
        <v>7.6861859890887896E-2</v>
      </c>
      <c r="J42" s="19">
        <f t="shared" ca="1" si="2"/>
        <v>0.61989652116355154</v>
      </c>
      <c r="K42" s="19">
        <f t="shared" ca="1" si="3"/>
        <v>0.32504273899746827</v>
      </c>
      <c r="L42" s="19">
        <f t="array" aca="1" ref="L42:M42" ca="1">MMULT(J42:K42,TRANSPOSE($B$10:$C$11))</f>
        <v>0.61989652116355154</v>
      </c>
      <c r="M42" s="19">
        <f ca="1"/>
        <v>-0.21741023855623287</v>
      </c>
      <c r="N42" s="20">
        <f ca="1">GetVariance(N41,Variance_Avg,Lambda,Eta,M42,"Daily")</f>
        <v>7.42742963709489E-2</v>
      </c>
      <c r="O42" s="20">
        <f ca="1">GetStockReturns(O41,RiskFreeRate,N41,L42,"Daily")</f>
        <v>-9.0615072016745568E-2</v>
      </c>
      <c r="P42" s="19">
        <f t="shared" ca="1" si="9"/>
        <v>11.125075308744709</v>
      </c>
      <c r="Q42" s="19">
        <f ca="1">HCTrans(P42,Strike,RiskFreeRate,Dividend,Variance_T0*AnnualVarConvtr,(Simulation!G42)/250,0.5,Variance_Avg*AnnualVarConvtr,Lambda,SQRT(Simulation!N42),Rho,1,"Call")</f>
        <v>4.1864253637768911E-4</v>
      </c>
      <c r="R42" s="19" t="e">
        <f t="shared" ca="1" si="4"/>
        <v>#VALUE!</v>
      </c>
      <c r="S42" s="19" t="e">
        <f t="shared" ca="1" si="5"/>
        <v>#VALUE!</v>
      </c>
      <c r="T42" s="19" t="e">
        <f t="shared" ca="1" si="10"/>
        <v>#VALUE!</v>
      </c>
      <c r="U42" s="19" t="e">
        <f t="shared" ca="1" si="11"/>
        <v>#VALUE!</v>
      </c>
      <c r="V42" s="21">
        <f t="shared" ca="1" si="12"/>
        <v>1.1697834928662082E-4</v>
      </c>
      <c r="W42">
        <f t="shared" ca="1" si="13"/>
        <v>1.0815652975508266E-2</v>
      </c>
      <c r="X42" s="22">
        <f t="shared" ref="X42" ca="1" si="89">BSdelta(1,P42,Strike,W42*AnnualVarConvtr,Dividend,RiskFreeRate,G42/250)</f>
        <v>8.0709019576327908E-44</v>
      </c>
      <c r="Y42" s="22">
        <f t="shared" ca="1" si="19"/>
        <v>-3.2923762339124319E-35</v>
      </c>
      <c r="Z42" s="22">
        <f t="shared" ca="1" si="20"/>
        <v>-7.4983441524800378</v>
      </c>
      <c r="AA42">
        <f t="shared" si="7"/>
        <v>0.73884103340948371</v>
      </c>
      <c r="AB42">
        <f t="shared" ref="AB42" ca="1" si="90">BSdelta(1,P42,Strike,AA42/AnnualVarConvtr,Dividend,RiskFreeRate,G42/250)</f>
        <v>0</v>
      </c>
      <c r="AC42">
        <f t="shared" ca="1" si="16"/>
        <v>0</v>
      </c>
      <c r="AD42">
        <f t="shared" ca="1" si="17"/>
        <v>-2.5921094019324373</v>
      </c>
    </row>
    <row r="43" spans="7:30" x14ac:dyDescent="0.25">
      <c r="G43" s="19">
        <v>212</v>
      </c>
      <c r="H43" s="19">
        <f t="shared" ca="1" si="66"/>
        <v>0.71792408450527756</v>
      </c>
      <c r="I43" s="19">
        <f t="shared" ca="1" si="66"/>
        <v>0.17969789191655217</v>
      </c>
      <c r="J43" s="19">
        <f t="shared" ca="1" si="2"/>
        <v>0.34803087184849257</v>
      </c>
      <c r="K43" s="19">
        <f t="shared" ca="1" si="3"/>
        <v>0.73597378150435766</v>
      </c>
      <c r="L43" s="19">
        <f t="array" aca="1" ref="L43:M43" ca="1">MMULT(J43:K43,TRANSPOSE($B$10:$C$11))</f>
        <v>0.34803087184849257</v>
      </c>
      <c r="M43" s="19">
        <f ca="1"/>
        <v>0.26404168986046417</v>
      </c>
      <c r="N43" s="20">
        <f ca="1">GetVariance(N42,Variance_Avg,Lambda,Eta,M43,"Daily")</f>
        <v>7.5692867451121679E-2</v>
      </c>
      <c r="O43" s="20">
        <f ca="1">GetStockReturns(O42,RiskFreeRate,N42,L43,"Daily")</f>
        <v>-8.461623533754388E-2</v>
      </c>
      <c r="P43" s="19">
        <f t="shared" ca="1" si="9"/>
        <v>10.222440594777384</v>
      </c>
      <c r="Q43" s="19">
        <f ca="1">HCTrans(P43,Strike,RiskFreeRate,Dividend,Variance_T0*AnnualVarConvtr,(Simulation!G43)/250,0.5,Variance_Avg*AnnualVarConvtr,Lambda,SQRT(Simulation!N43),Rho,1,"Call")</f>
        <v>1.9213823979313815E-4</v>
      </c>
      <c r="R43" s="19" t="e">
        <f t="shared" ca="1" si="4"/>
        <v>#VALUE!</v>
      </c>
      <c r="S43" s="19" t="e">
        <f t="shared" ca="1" si="5"/>
        <v>#VALUE!</v>
      </c>
      <c r="T43" s="19" t="e">
        <f t="shared" ca="1" si="10"/>
        <v>#VALUE!</v>
      </c>
      <c r="U43" s="19" t="e">
        <f t="shared" ca="1" si="11"/>
        <v>#VALUE!</v>
      </c>
      <c r="V43" s="21">
        <f t="shared" ca="1" si="12"/>
        <v>3.5986041503735538E-5</v>
      </c>
      <c r="W43">
        <f t="shared" ca="1" si="13"/>
        <v>5.9988366792016884E-3</v>
      </c>
      <c r="X43" s="22">
        <f t="shared" ref="X43" ca="1" si="91">BSdelta(1,P43,Strike,W43*AnnualVarConvtr,Dividend,RiskFreeRate,G43/250)</f>
        <v>4.3627514725728255E-150</v>
      </c>
      <c r="Y43" s="22">
        <f t="shared" ca="1" si="19"/>
        <v>-8.2504315808173701E-43</v>
      </c>
      <c r="Z43" s="22">
        <f t="shared" ca="1" si="20"/>
        <v>-7.4985706567766224</v>
      </c>
      <c r="AA43">
        <f t="shared" si="7"/>
        <v>0.73884103340948371</v>
      </c>
      <c r="AB43">
        <f t="shared" ref="AB43" ca="1" si="92">BSdelta(1,P43,Strike,AA43/AnnualVarConvtr,Dividend,RiskFreeRate,G43/250)</f>
        <v>0</v>
      </c>
      <c r="AC43">
        <f t="shared" ca="1" si="16"/>
        <v>0</v>
      </c>
      <c r="AD43">
        <f t="shared" ca="1" si="17"/>
        <v>-2.5923359062290219</v>
      </c>
    </row>
    <row r="44" spans="7:30" x14ac:dyDescent="0.25">
      <c r="G44" s="19">
        <v>211</v>
      </c>
      <c r="H44" s="19">
        <f t="shared" ca="1" si="66"/>
        <v>0.92891398549014059</v>
      </c>
      <c r="I44" s="19">
        <f t="shared" ca="1" si="66"/>
        <v>0.37322148225000251</v>
      </c>
      <c r="J44" s="19">
        <f t="shared" ca="1" si="2"/>
        <v>-0.26849811211316782</v>
      </c>
      <c r="K44" s="19">
        <f t="shared" ca="1" si="3"/>
        <v>0.27456698500823701</v>
      </c>
      <c r="L44" s="19">
        <f t="array" aca="1" ref="L44:M44" ca="1">MMULT(J44:K44,TRANSPOSE($B$10:$C$11))</f>
        <v>-0.26849811211316782</v>
      </c>
      <c r="M44" s="19">
        <f ca="1"/>
        <v>0.38391328177814732</v>
      </c>
      <c r="N44" s="20">
        <f ca="1">GetVariance(N43,Variance_Avg,Lambda,Eta,M44,"Daily")</f>
        <v>7.7941030281906076E-2</v>
      </c>
      <c r="O44" s="20">
        <f ca="1">GetStockReturns(O43,RiskFreeRate,N43,L44,"Daily")</f>
        <v>-8.9288190982326918E-2</v>
      </c>
      <c r="P44" s="19">
        <f t="shared" ca="1" si="9"/>
        <v>9.3492597686189232</v>
      </c>
      <c r="Q44" s="19">
        <f ca="1">HCTrans(P44,Strike,RiskFreeRate,Dividend,Variance_T0*AnnualVarConvtr,(Simulation!G44)/250,0.5,Variance_Avg*AnnualVarConvtr,Lambda,SQRT(Simulation!N44),Rho,1,"Call")</f>
        <v>8.5274959074510548E-5</v>
      </c>
      <c r="R44" s="19" t="e">
        <f t="shared" ca="1" si="4"/>
        <v>#VALUE!</v>
      </c>
      <c r="S44" s="19" t="e">
        <f t="shared" ca="1" si="5"/>
        <v>#VALUE!</v>
      </c>
      <c r="T44" s="19" t="e">
        <f t="shared" ca="1" si="10"/>
        <v>#VALUE!</v>
      </c>
      <c r="U44" s="19" t="e">
        <f t="shared" ca="1" si="11"/>
        <v>#VALUE!</v>
      </c>
      <c r="V44" s="21">
        <f t="shared" ca="1" si="12"/>
        <v>2.1827169546820092E-5</v>
      </c>
      <c r="W44">
        <f t="shared" ca="1" si="13"/>
        <v>4.6719556447830379E-3</v>
      </c>
      <c r="X44" s="22">
        <f t="shared" ref="X44" ca="1" si="93">BSdelta(1,P44,Strike,W44*AnnualVarConvtr,Dividend,RiskFreeRate,G44/250)</f>
        <v>5.8643859161536646E-267</v>
      </c>
      <c r="Y44" s="22">
        <f t="shared" ca="1" si="19"/>
        <v>-4.0788496823008078E-149</v>
      </c>
      <c r="Z44" s="22">
        <f t="shared" ca="1" si="20"/>
        <v>-7.498677520057341</v>
      </c>
      <c r="AA44">
        <f t="shared" si="7"/>
        <v>0.73884103340948371</v>
      </c>
      <c r="AB44">
        <f t="shared" ref="AB44" ca="1" si="94">BSdelta(1,P44,Strike,AA44/AnnualVarConvtr,Dividend,RiskFreeRate,G44/250)</f>
        <v>0</v>
      </c>
      <c r="AC44">
        <f t="shared" ca="1" si="16"/>
        <v>0</v>
      </c>
      <c r="AD44">
        <f t="shared" ca="1" si="17"/>
        <v>-2.5924427695097405</v>
      </c>
    </row>
    <row r="45" spans="7:30" x14ac:dyDescent="0.25">
      <c r="G45" s="19">
        <v>210</v>
      </c>
      <c r="H45" s="19">
        <f t="shared" ca="1" si="66"/>
        <v>0.62194065719519054</v>
      </c>
      <c r="I45" s="19">
        <f t="shared" ca="1" si="66"/>
        <v>0.47942638069516919</v>
      </c>
      <c r="J45" s="19">
        <f t="shared" ca="1" si="2"/>
        <v>-0.96645626934875484</v>
      </c>
      <c r="K45" s="19">
        <f t="shared" ca="1" si="3"/>
        <v>0.12563229641525556</v>
      </c>
      <c r="L45" s="19">
        <f t="array" aca="1" ref="L45:M45" ca="1">MMULT(J45:K45,TRANSPOSE($B$10:$C$11))</f>
        <v>-0.96645626934875484</v>
      </c>
      <c r="M45" s="19">
        <f ca="1"/>
        <v>0.78010538522268735</v>
      </c>
      <c r="N45" s="20">
        <f ca="1">GetVariance(N44,Variance_Avg,Lambda,Eta,M45,"Daily")</f>
        <v>8.2996931409382455E-2</v>
      </c>
      <c r="O45" s="20">
        <f ca="1">GetStockReturns(O44,RiskFreeRate,N44,L45,"Daily")</f>
        <v>-0.10635275804544145</v>
      </c>
      <c r="P45" s="19">
        <f t="shared" ca="1" si="9"/>
        <v>8.4059888738805881</v>
      </c>
      <c r="Q45" s="19">
        <f ca="1">HCTrans(P45,Strike,RiskFreeRate,Dividend,Variance_T0*AnnualVarConvtr,(Simulation!G45)/250,0.5,Variance_Avg*AnnualVarConvtr,Lambda,SQRT(Simulation!N45),Rho,1,"Call")</f>
        <v>3.5884731861557384E-5</v>
      </c>
      <c r="R45" s="19" t="e">
        <f t="shared" ca="1" si="4"/>
        <v>#VALUE!</v>
      </c>
      <c r="S45" s="19" t="e">
        <f t="shared" ca="1" si="5"/>
        <v>#VALUE!</v>
      </c>
      <c r="T45" s="19" t="e">
        <f t="shared" ca="1" si="10"/>
        <v>#VALUE!</v>
      </c>
      <c r="U45" s="19" t="e">
        <f t="shared" ca="1" si="11"/>
        <v>#VALUE!</v>
      </c>
      <c r="V45" s="21">
        <f t="shared" ca="1" si="12"/>
        <v>2.9119944905153328E-4</v>
      </c>
      <c r="W45">
        <f t="shared" ca="1" si="13"/>
        <v>1.706456706311453E-2</v>
      </c>
      <c r="X45" s="22">
        <f t="shared" ref="X45" ca="1" si="95">BSdelta(1,P45,Strike,W45*AnnualVarConvtr,Dividend,RiskFreeRate,G45/250)</f>
        <v>2.3037729224276797E-23</v>
      </c>
      <c r="Y45" s="22">
        <f t="shared" ca="1" si="19"/>
        <v>1.9365489553874443E-22</v>
      </c>
      <c r="Z45" s="22">
        <f t="shared" ca="1" si="20"/>
        <v>-7.498726910284554</v>
      </c>
      <c r="AA45">
        <f t="shared" si="7"/>
        <v>0.73884103340948371</v>
      </c>
      <c r="AB45">
        <f t="shared" ref="AB45" ca="1" si="96">BSdelta(1,P45,Strike,AA45/AnnualVarConvtr,Dividend,RiskFreeRate,G45/250)</f>
        <v>0</v>
      </c>
      <c r="AC45">
        <f t="shared" ca="1" si="16"/>
        <v>0</v>
      </c>
      <c r="AD45">
        <f t="shared" ca="1" si="17"/>
        <v>-2.5924921597369535</v>
      </c>
    </row>
    <row r="46" spans="7:30" x14ac:dyDescent="0.25">
      <c r="G46" s="19">
        <v>209</v>
      </c>
      <c r="H46" s="19">
        <f t="shared" ca="1" si="66"/>
        <v>0.34844239136041921</v>
      </c>
      <c r="I46" s="19">
        <f t="shared" ca="1" si="66"/>
        <v>0.52945948703686474</v>
      </c>
      <c r="J46" s="19">
        <f t="shared" ca="1" si="2"/>
        <v>-1.4272851237878978</v>
      </c>
      <c r="K46" s="19">
        <f t="shared" ca="1" si="3"/>
        <v>-0.26724877815980069</v>
      </c>
      <c r="L46" s="19">
        <f t="array" aca="1" ref="L46:M46" ca="1">MMULT(J46:K46,TRANSPOSE($B$10:$C$11))</f>
        <v>-1.4272851237878978</v>
      </c>
      <c r="M46" s="19">
        <f ca="1"/>
        <v>0.83622049337416948</v>
      </c>
      <c r="N46" s="20">
        <f ca="1">GetVariance(N45,Variance_Avg,Lambda,Eta,M46,"Daily")</f>
        <v>8.860655150913764E-2</v>
      </c>
      <c r="O46" s="20">
        <f ca="1">GetStockReturns(O45,RiskFreeRate,N45,L46,"Daily")</f>
        <v>-0.13235864993811064</v>
      </c>
      <c r="P46" s="19">
        <f t="shared" ca="1" si="9"/>
        <v>7.3638711287748864</v>
      </c>
      <c r="Q46" s="19">
        <f ca="1">HCTrans(P46,Strike,RiskFreeRate,Dividend,Variance_T0*AnnualVarConvtr,(Simulation!G46)/250,0.5,Variance_Avg*AnnualVarConvtr,Lambda,SQRT(Simulation!N46),Rho,1,"Call")</f>
        <v>1.8410900843868205E-5</v>
      </c>
      <c r="R46" s="19" t="e">
        <f t="shared" ca="1" si="4"/>
        <v>#VALUE!</v>
      </c>
      <c r="S46" s="19" t="e">
        <f t="shared" ca="1" si="5"/>
        <v>#VALUE!</v>
      </c>
      <c r="T46" s="19" t="e">
        <f t="shared" ca="1" si="10"/>
        <v>#VALUE!</v>
      </c>
      <c r="U46" s="19" t="e">
        <f t="shared" ca="1" si="11"/>
        <v>#VALUE!</v>
      </c>
      <c r="V46" s="21">
        <f t="shared" ca="1" si="12"/>
        <v>6.7630641313319725E-4</v>
      </c>
      <c r="W46">
        <f t="shared" ca="1" si="13"/>
        <v>2.6005891892669192E-2</v>
      </c>
      <c r="X46" s="22">
        <f t="shared" ref="X46" ca="1" si="97">BSdelta(1,P46,Strike,W46*AnnualVarConvtr,Dividend,RiskFreeRate,G46/250)</f>
        <v>7.3704193045240277E-12</v>
      </c>
      <c r="Y46" s="22">
        <f t="shared" ca="1" si="19"/>
        <v>5.4274817923379914E-11</v>
      </c>
      <c r="Z46" s="22">
        <f t="shared" ca="1" si="20"/>
        <v>-7.4987443841698465</v>
      </c>
      <c r="AA46">
        <f t="shared" si="7"/>
        <v>0.73884103340948371</v>
      </c>
      <c r="AB46">
        <f t="shared" ref="AB46" ca="1" si="98">BSdelta(1,P46,Strike,AA46/AnnualVarConvtr,Dividend,RiskFreeRate,G46/250)</f>
        <v>0</v>
      </c>
      <c r="AC46">
        <f t="shared" ca="1" si="16"/>
        <v>0</v>
      </c>
      <c r="AD46">
        <f t="shared" ca="1" si="17"/>
        <v>-2.5925096335679712</v>
      </c>
    </row>
    <row r="47" spans="7:30" x14ac:dyDescent="0.25">
      <c r="G47" s="19">
        <v>208</v>
      </c>
      <c r="H47" s="19">
        <f t="shared" ca="1" si="66"/>
        <v>0.27381956763080284</v>
      </c>
      <c r="I47" s="19">
        <f t="shared" ca="1" si="66"/>
        <v>0.7170200640499732</v>
      </c>
      <c r="J47" s="19">
        <f t="shared" ca="1" si="2"/>
        <v>-0.33114252111087428</v>
      </c>
      <c r="K47" s="19">
        <f t="shared" ca="1" si="3"/>
        <v>-1.5750925161151828</v>
      </c>
      <c r="L47" s="19">
        <f t="array" aca="1" ref="L47:M47" ca="1">MMULT(J47:K47,TRANSPOSE($B$10:$C$11))</f>
        <v>-0.33114252111087428</v>
      </c>
      <c r="M47" s="19">
        <f ca="1"/>
        <v>-0.86150059052750749</v>
      </c>
      <c r="N47" s="20">
        <f ca="1">GetVariance(N46,Variance_Avg,Lambda,Eta,M47,"Daily")</f>
        <v>8.199771468470006E-2</v>
      </c>
      <c r="O47" s="20">
        <f ca="1">GetStockReturns(O46,RiskFreeRate,N46,L47,"Daily")</f>
        <v>-0.13859280878338914</v>
      </c>
      <c r="P47" s="19">
        <f t="shared" ca="1" si="9"/>
        <v>6.410856967459571</v>
      </c>
      <c r="Q47" s="19">
        <f ca="1">HCTrans(P47,Strike,RiskFreeRate,Dividend,Variance_T0*AnnualVarConvtr,(Simulation!G47)/250,0.5,Variance_Avg*AnnualVarConvtr,Lambda,SQRT(Simulation!N47),Rho,1,"Call")</f>
        <v>1.358129826911636E-5</v>
      </c>
      <c r="R47" s="19" t="e">
        <f t="shared" ca="1" si="4"/>
        <v>#VALUE!</v>
      </c>
      <c r="S47" s="19" t="e">
        <f t="shared" ca="1" si="5"/>
        <v>#VALUE!</v>
      </c>
      <c r="T47" s="19" t="e">
        <f t="shared" ca="1" si="10"/>
        <v>#VALUE!</v>
      </c>
      <c r="U47" s="19" t="e">
        <f t="shared" ca="1" si="11"/>
        <v>#VALUE!</v>
      </c>
      <c r="V47" s="21">
        <f t="shared" ca="1" si="12"/>
        <v>3.8864736508164202E-5</v>
      </c>
      <c r="W47">
        <f t="shared" ca="1" si="13"/>
        <v>6.2341588452785035E-3</v>
      </c>
      <c r="X47" s="22">
        <f t="shared" ref="X47" ca="1" si="99">BSdelta(1,P47,Strike,W47*AnnualVarConvtr,Dividend,RiskFreeRate,G47/250)</f>
        <v>9.6939984737596136E-205</v>
      </c>
      <c r="Y47" s="22">
        <f t="shared" ca="1" si="19"/>
        <v>-4.7250703951506386E-11</v>
      </c>
      <c r="Z47" s="22">
        <f t="shared" ca="1" si="20"/>
        <v>-7.4987492137251701</v>
      </c>
      <c r="AA47">
        <f t="shared" si="7"/>
        <v>0.73884103340948371</v>
      </c>
      <c r="AB47">
        <f t="shared" ref="AB47" ca="1" si="100">BSdelta(1,P47,Strike,AA47/AnnualVarConvtr,Dividend,RiskFreeRate,G47/250)</f>
        <v>0</v>
      </c>
      <c r="AC47">
        <f t="shared" ca="1" si="16"/>
        <v>0</v>
      </c>
      <c r="AD47">
        <f t="shared" ca="1" si="17"/>
        <v>-2.5925144631705459</v>
      </c>
    </row>
    <row r="48" spans="7:30" x14ac:dyDescent="0.25">
      <c r="G48" s="19">
        <v>207</v>
      </c>
      <c r="H48" s="19">
        <f t="shared" ca="1" si="66"/>
        <v>0.58715273661675482</v>
      </c>
      <c r="I48" s="19">
        <f t="shared" ca="1" si="66"/>
        <v>0.38916821044872874</v>
      </c>
      <c r="J48" s="19">
        <f t="shared" ca="1" si="2"/>
        <v>-0.79168985382185919</v>
      </c>
      <c r="K48" s="19">
        <f t="shared" ca="1" si="3"/>
        <v>0.66194241745324511</v>
      </c>
      <c r="L48" s="19">
        <f t="array" aca="1" ref="L48:M48" ca="1">MMULT(J48:K48,TRANSPOSE($B$10:$C$11))</f>
        <v>-0.79168985382185919</v>
      </c>
      <c r="M48" s="19">
        <f ca="1"/>
        <v>1.029008265887146</v>
      </c>
      <c r="N48" s="20">
        <f ca="1">GetVariance(N47,Variance_Avg,Lambda,Eta,M48,"Daily")</f>
        <v>8.898466571890383E-2</v>
      </c>
      <c r="O48" s="20">
        <f ca="1">GetStockReturns(O47,RiskFreeRate,N47,L48,"Daily")</f>
        <v>-0.15293072205517613</v>
      </c>
      <c r="P48" s="19">
        <f t="shared" ca="1" si="9"/>
        <v>5.5017280412681115</v>
      </c>
      <c r="Q48" s="19">
        <f ca="1">HCTrans(P48,Strike,RiskFreeRate,Dividend,Variance_T0*AnnualVarConvtr,(Simulation!G48)/250,0.5,Variance_Avg*AnnualVarConvtr,Lambda,SQRT(Simulation!N48),Rho,1,"Call")</f>
        <v>1.0776543410528916E-5</v>
      </c>
      <c r="R48" s="19" t="e">
        <f t="shared" ca="1" si="4"/>
        <v>#VALUE!</v>
      </c>
      <c r="S48" s="19" t="e">
        <f t="shared" ca="1" si="5"/>
        <v>#VALUE!</v>
      </c>
      <c r="T48" s="19" t="e">
        <f t="shared" ca="1" si="10"/>
        <v>#VALUE!</v>
      </c>
      <c r="U48" s="19" t="e">
        <f t="shared" ca="1" si="11"/>
        <v>#VALUE!</v>
      </c>
      <c r="V48" s="21">
        <f t="shared" ca="1" si="12"/>
        <v>2.0557575698928549E-4</v>
      </c>
      <c r="W48">
        <f t="shared" ca="1" si="13"/>
        <v>1.4337913271786989E-2</v>
      </c>
      <c r="X48" s="22">
        <f t="shared" ref="X48" ca="1" si="101">BSdelta(1,P48,Strike,W48*AnnualVarConvtr,Dividend,RiskFreeRate,G48/250)</f>
        <v>1.4565046475559317E-44</v>
      </c>
      <c r="Y48" s="22">
        <f t="shared" ca="1" si="19"/>
        <v>8.0132924616957969E-44</v>
      </c>
      <c r="Z48" s="22">
        <f t="shared" ca="1" si="20"/>
        <v>-7.4987520184800287</v>
      </c>
      <c r="AA48">
        <f t="shared" si="7"/>
        <v>0.73884103340948371</v>
      </c>
      <c r="AB48">
        <f t="shared" ref="AB48" ca="1" si="102">BSdelta(1,P48,Strike,AA48/AnnualVarConvtr,Dividend,RiskFreeRate,G48/250)</f>
        <v>0</v>
      </c>
      <c r="AC48">
        <f t="shared" ca="1" si="16"/>
        <v>0</v>
      </c>
      <c r="AD48">
        <f t="shared" ca="1" si="17"/>
        <v>-2.5925172679254045</v>
      </c>
    </row>
    <row r="49" spans="7:30" x14ac:dyDescent="0.25">
      <c r="G49" s="19">
        <v>206</v>
      </c>
      <c r="H49" s="19">
        <f t="shared" ca="1" si="66"/>
        <v>0.419622163227787</v>
      </c>
      <c r="I49" s="19">
        <f t="shared" ca="1" si="66"/>
        <v>0.86866975939660884</v>
      </c>
      <c r="J49" s="19">
        <f t="shared" ca="1" si="2"/>
        <v>0.8940882262896559</v>
      </c>
      <c r="K49" s="19">
        <f t="shared" ca="1" si="3"/>
        <v>-0.96819802289138601</v>
      </c>
      <c r="L49" s="19">
        <f t="array" aca="1" ref="L49:M49" ca="1">MMULT(J49:K49,TRANSPOSE($B$10:$C$11))</f>
        <v>0.8940882262896559</v>
      </c>
      <c r="M49" s="19">
        <f ca="1"/>
        <v>-1.3160166567635634</v>
      </c>
      <c r="N49" s="20">
        <f ca="1">GetVariance(N48,Variance_Avg,Lambda,Eta,M49,"Daily")</f>
        <v>7.9184639610277135E-2</v>
      </c>
      <c r="O49" s="20">
        <f ca="1">GetStockReturns(O48,RiskFreeRate,N48,L49,"Daily")</f>
        <v>-0.13606255248167187</v>
      </c>
      <c r="P49" s="19">
        <f t="shared" ca="1" si="9"/>
        <v>4.8018424102235562</v>
      </c>
      <c r="Q49" s="19">
        <f ca="1">HCTrans(P49,Strike,RiskFreeRate,Dividend,Variance_T0*AnnualVarConvtr,(Simulation!G49)/250,0.5,Variance_Avg*AnnualVarConvtr,Lambda,SQRT(Simulation!N49),Rho,1,"Call")</f>
        <v>8.9922723125468451E-6</v>
      </c>
      <c r="R49" s="19" t="e">
        <f t="shared" ca="1" si="4"/>
        <v>#VALUE!</v>
      </c>
      <c r="S49" s="19" t="e">
        <f t="shared" ca="1" si="5"/>
        <v>#VALUE!</v>
      </c>
      <c r="T49" s="19" t="e">
        <f t="shared" ca="1" si="10"/>
        <v>#VALUE!</v>
      </c>
      <c r="U49" s="19" t="e">
        <f t="shared" ca="1" si="11"/>
        <v>#VALUE!</v>
      </c>
      <c r="V49" s="21">
        <f t="shared" ca="1" si="12"/>
        <v>2.8453514476049492E-4</v>
      </c>
      <c r="W49">
        <f t="shared" ca="1" si="13"/>
        <v>1.686816957350426E-2</v>
      </c>
      <c r="X49" s="22">
        <f t="shared" ref="X49" ca="1" si="103">BSdelta(1,P49,Strike,W49*AnnualVarConvtr,Dividend,RiskFreeRate,G49/250)</f>
        <v>1.0212577612214806E-35</v>
      </c>
      <c r="Y49" s="22">
        <f t="shared" ca="1" si="19"/>
        <v>4.9039188226093616E-35</v>
      </c>
      <c r="Z49" s="22">
        <f t="shared" ca="1" si="20"/>
        <v>-7.4987538027511267</v>
      </c>
      <c r="AA49">
        <f t="shared" si="7"/>
        <v>0.73884103340948371</v>
      </c>
      <c r="AB49">
        <f t="shared" ref="AB49" ca="1" si="104">BSdelta(1,P49,Strike,AA49/AnnualVarConvtr,Dividend,RiskFreeRate,G49/250)</f>
        <v>0</v>
      </c>
      <c r="AC49">
        <f t="shared" ca="1" si="16"/>
        <v>0</v>
      </c>
      <c r="AD49">
        <f t="shared" ca="1" si="17"/>
        <v>-2.5925190521965025</v>
      </c>
    </row>
    <row r="50" spans="7:30" x14ac:dyDescent="0.25">
      <c r="G50" s="19">
        <v>205</v>
      </c>
      <c r="H50" s="19">
        <f t="shared" ca="1" si="66"/>
        <v>0.14872424367722203</v>
      </c>
      <c r="I50" s="19">
        <f t="shared" ca="1" si="66"/>
        <v>0.13166538093055102</v>
      </c>
      <c r="J50" s="19">
        <f t="shared" ca="1" si="2"/>
        <v>1.3214501303468678</v>
      </c>
      <c r="K50" s="19">
        <f t="shared" ca="1" si="3"/>
        <v>1.4370429205850352</v>
      </c>
      <c r="L50" s="19">
        <f t="array" aca="1" ref="L50:M50" ca="1">MMULT(J50:K50,TRANSPOSE($B$10:$C$11))</f>
        <v>1.3214501303468678</v>
      </c>
      <c r="M50" s="19">
        <f ca="1"/>
        <v>5.5643572703794941E-2</v>
      </c>
      <c r="N50" s="20">
        <f ca="1">GetVariance(N49,Variance_Avg,Lambda,Eta,M50,"Daily")</f>
        <v>7.9186620740680669E-2</v>
      </c>
      <c r="O50" s="20">
        <f ca="1">GetStockReturns(O49,RiskFreeRate,N49,L50,"Daily")</f>
        <v>-0.11254450591128737</v>
      </c>
      <c r="P50" s="19">
        <f t="shared" ca="1" si="9"/>
        <v>4.2907226722367779</v>
      </c>
      <c r="Q50" s="19">
        <f ca="1">HCTrans(P50,Strike,RiskFreeRate,Dividend,Variance_T0*AnnualVarConvtr,(Simulation!G50)/250,0.5,Variance_Avg*AnnualVarConvtr,Lambda,SQRT(Simulation!N50),Rho,1,"Call")</f>
        <v>7.6431540971810819E-6</v>
      </c>
      <c r="R50" s="19" t="e">
        <f t="shared" ca="1" si="4"/>
        <v>#VALUE!</v>
      </c>
      <c r="S50" s="19" t="e">
        <f t="shared" ca="1" si="5"/>
        <v>#VALUE!</v>
      </c>
      <c r="T50" s="19" t="e">
        <f t="shared" ca="1" si="10"/>
        <v>#VALUE!</v>
      </c>
      <c r="U50" s="19" t="e">
        <f t="shared" ca="1" si="11"/>
        <v>#VALUE!</v>
      </c>
      <c r="V50" s="21">
        <f t="shared" ca="1" si="12"/>
        <v>5.5309851448677439E-4</v>
      </c>
      <c r="W50">
        <f t="shared" ca="1" si="13"/>
        <v>2.3518046570384504E-2</v>
      </c>
      <c r="X50" s="22">
        <f t="shared" ref="X50" ca="1" si="105">BSdelta(1,P50,Strike,W50*AnnualVarConvtr,Dividend,RiskFreeRate,G50/250)</f>
        <v>2.1045300695207658E-20</v>
      </c>
      <c r="Y50" s="22">
        <f t="shared" ca="1" si="19"/>
        <v>9.029954883696789E-20</v>
      </c>
      <c r="Z50" s="22">
        <f t="shared" ca="1" si="20"/>
        <v>-7.4987551518693421</v>
      </c>
      <c r="AA50">
        <f t="shared" si="7"/>
        <v>0.73884103340948371</v>
      </c>
      <c r="AB50">
        <f t="shared" ref="AB50" ca="1" si="106">BSdelta(1,P50,Strike,AA50/AnnualVarConvtr,Dividend,RiskFreeRate,G50/250)</f>
        <v>0</v>
      </c>
      <c r="AC50">
        <f t="shared" ca="1" si="16"/>
        <v>0</v>
      </c>
      <c r="AD50">
        <f t="shared" ca="1" si="17"/>
        <v>-2.5925204013147178</v>
      </c>
    </row>
    <row r="51" spans="7:30" x14ac:dyDescent="0.25">
      <c r="G51" s="19">
        <v>204</v>
      </c>
      <c r="H51" s="19">
        <f t="shared" ca="1" si="66"/>
        <v>0.60418161942644444</v>
      </c>
      <c r="I51" s="19">
        <f t="shared" ca="1" si="66"/>
        <v>0.97286810802466728</v>
      </c>
      <c r="J51" s="19">
        <f t="shared" ca="1" si="2"/>
        <v>0.98932113549582779</v>
      </c>
      <c r="K51" s="19">
        <f t="shared" ca="1" si="3"/>
        <v>-0.17030723568191103</v>
      </c>
      <c r="L51" s="19">
        <f t="array" aca="1" ref="L51:M51" ca="1">MMULT(J51:K51,TRANSPOSE($B$10:$C$11))</f>
        <v>0.98932113549582779</v>
      </c>
      <c r="M51" s="19">
        <f ca="1"/>
        <v>-0.82765272275574797</v>
      </c>
      <c r="N51" s="20">
        <f ca="1">GetVariance(N50,Variance_Avg,Lambda,Eta,M51,"Daily")</f>
        <v>7.3196314287762757E-2</v>
      </c>
      <c r="O51" s="20">
        <f ca="1">GetStockReturns(O50,RiskFreeRate,N50,L51,"Daily")</f>
        <v>-9.4937188722195906E-2</v>
      </c>
      <c r="P51" s="19">
        <f t="shared" ca="1" si="9"/>
        <v>3.9021121563947525</v>
      </c>
      <c r="Q51" s="19">
        <f ca="1">HCTrans(P51,Strike,RiskFreeRate,Dividend,Variance_T0*AnnualVarConvtr,(Simulation!G51)/250,0.5,Variance_Avg*AnnualVarConvtr,Lambda,SQRT(Simulation!N51),Rho,1,"Call")</f>
        <v>6.5700513767197322E-6</v>
      </c>
      <c r="R51" s="19" t="e">
        <f t="shared" ca="1" si="4"/>
        <v>#VALUE!</v>
      </c>
      <c r="S51" s="19" t="e">
        <f t="shared" ca="1" si="5"/>
        <v>#VALUE!</v>
      </c>
      <c r="T51" s="19" t="e">
        <f t="shared" ca="1" si="10"/>
        <v>#VALUE!</v>
      </c>
      <c r="U51" s="19" t="e">
        <f t="shared" ca="1" si="11"/>
        <v>#VALUE!</v>
      </c>
      <c r="V51" s="21">
        <f t="shared" ca="1" si="12"/>
        <v>3.1001761859727567E-4</v>
      </c>
      <c r="W51">
        <f t="shared" ca="1" si="13"/>
        <v>1.7607317189091462E-2</v>
      </c>
      <c r="X51" s="22">
        <f t="shared" ref="X51" ca="1" si="107">BSdelta(1,P51,Strike,W51*AnnualVarConvtr,Dividend,RiskFreeRate,G51/250)</f>
        <v>1.1696595943239381E-37</v>
      </c>
      <c r="Y51" s="22">
        <f t="shared" ca="1" si="19"/>
        <v>-8.2121123677752744E-20</v>
      </c>
      <c r="Z51" s="22">
        <f t="shared" ca="1" si="20"/>
        <v>-7.4987562249720625</v>
      </c>
      <c r="AA51">
        <f t="shared" si="7"/>
        <v>0.73884103340948371</v>
      </c>
      <c r="AB51">
        <f t="shared" ref="AB51" ca="1" si="108">BSdelta(1,P51,Strike,AA51/AnnualVarConvtr,Dividend,RiskFreeRate,G51/250)</f>
        <v>0</v>
      </c>
      <c r="AC51">
        <f t="shared" ca="1" si="16"/>
        <v>0</v>
      </c>
      <c r="AD51">
        <f t="shared" ca="1" si="17"/>
        <v>-2.5925214744174383</v>
      </c>
    </row>
    <row r="52" spans="7:30" x14ac:dyDescent="0.25">
      <c r="G52" s="19">
        <v>203</v>
      </c>
      <c r="H52" s="19">
        <f t="shared" ca="1" si="66"/>
        <v>0.30286716757510168</v>
      </c>
      <c r="I52" s="19">
        <f t="shared" ca="1" si="66"/>
        <v>0.69019439170473085</v>
      </c>
      <c r="J52" s="19">
        <f t="shared" ca="1" si="2"/>
        <v>-0.56722271059423424</v>
      </c>
      <c r="K52" s="19">
        <f t="shared" ca="1" si="3"/>
        <v>-1.4377692156451531</v>
      </c>
      <c r="L52" s="19">
        <f t="array" aca="1" ref="L52:M52" ca="1">MMULT(J52:K52,TRANSPOSE($B$10:$C$11))</f>
        <v>-0.56722271059423424</v>
      </c>
      <c r="M52" s="19">
        <f ca="1"/>
        <v>-0.5965541730149968</v>
      </c>
      <c r="N52" s="20">
        <f ca="1">GetVariance(N51,Variance_Avg,Lambda,Eta,M52,"Daily")</f>
        <v>6.894163525064595E-2</v>
      </c>
      <c r="O52" s="20">
        <f ca="1">GetStockReturns(O51,RiskFreeRate,N51,L52,"Daily")</f>
        <v>-0.10464291889007722</v>
      </c>
      <c r="P52" s="19">
        <f t="shared" ca="1" si="9"/>
        <v>3.5144219739534726</v>
      </c>
      <c r="Q52" s="19">
        <f ca="1">HCTrans(P52,Strike,RiskFreeRate,Dividend,Variance_T0*AnnualVarConvtr,(Simulation!G52)/250,0.5,Variance_Avg*AnnualVarConvtr,Lambda,SQRT(Simulation!N52),Rho,1,"Call")</f>
        <v>5.4444003874110081E-6</v>
      </c>
      <c r="R52" s="19" t="e">
        <f t="shared" ca="1" si="4"/>
        <v>#VALUE!</v>
      </c>
      <c r="S52" s="19" t="e">
        <f t="shared" ca="1" si="5"/>
        <v>#VALUE!</v>
      </c>
      <c r="T52" s="19" t="e">
        <f t="shared" ca="1" si="10"/>
        <v>#VALUE!</v>
      </c>
      <c r="U52" s="19" t="e">
        <f t="shared" ca="1" si="11"/>
        <v>#VALUE!</v>
      </c>
      <c r="V52" s="21">
        <f t="shared" ca="1" si="12"/>
        <v>9.4201198091721467E-5</v>
      </c>
      <c r="W52">
        <f t="shared" ca="1" si="13"/>
        <v>9.7057301678813157E-3</v>
      </c>
      <c r="X52" s="22">
        <f t="shared" ref="X52" ca="1" si="109">BSdelta(1,P52,Strike,W52*AnnualVarConvtr,Dividend,RiskFreeRate,G52/250)</f>
        <v>4.3377955192731325E-129</v>
      </c>
      <c r="Y52" s="22">
        <f t="shared" ca="1" si="19"/>
        <v>-4.1106773803375528E-37</v>
      </c>
      <c r="Z52" s="22">
        <f t="shared" ca="1" si="20"/>
        <v>-7.4987573506230518</v>
      </c>
      <c r="AA52">
        <f t="shared" si="7"/>
        <v>0.73884103340948371</v>
      </c>
      <c r="AB52">
        <f t="shared" ref="AB52" ca="1" si="110">BSdelta(1,P52,Strike,AA52/AnnualVarConvtr,Dividend,RiskFreeRate,G52/250)</f>
        <v>0</v>
      </c>
      <c r="AC52">
        <f t="shared" ca="1" si="16"/>
        <v>0</v>
      </c>
      <c r="AD52">
        <f t="shared" ca="1" si="17"/>
        <v>-2.5925226000684276</v>
      </c>
    </row>
    <row r="53" spans="7:30" x14ac:dyDescent="0.25">
      <c r="G53" s="19">
        <v>202</v>
      </c>
      <c r="H53" s="19">
        <f t="shared" ca="1" si="66"/>
        <v>0.34783380800469521</v>
      </c>
      <c r="I53" s="19">
        <f t="shared" ca="1" si="66"/>
        <v>0.71223622584332302</v>
      </c>
      <c r="J53" s="19">
        <f t="shared" ca="1" si="2"/>
        <v>-0.34160613273128154</v>
      </c>
      <c r="K53" s="19">
        <f t="shared" ca="1" si="3"/>
        <v>-1.412574317706772</v>
      </c>
      <c r="L53" s="19">
        <f t="array" aca="1" ref="L53:M53" ca="1">MMULT(J53:K53,TRANSPOSE($B$10:$C$11))</f>
        <v>-0.34160613273128154</v>
      </c>
      <c r="M53" s="19">
        <f ca="1"/>
        <v>-0.74063281548443483</v>
      </c>
      <c r="N53" s="20">
        <f ca="1">GetVariance(N52,Variance_Avg,Lambda,Eta,M53,"Daily")</f>
        <v>6.3927598839466873E-2</v>
      </c>
      <c r="O53" s="20">
        <f ca="1">GetStockReturns(O52,RiskFreeRate,N52,L53,"Daily")</f>
        <v>-0.11031570546622264</v>
      </c>
      <c r="P53" s="19">
        <f t="shared" ca="1" si="9"/>
        <v>3.1473453790990829</v>
      </c>
      <c r="Q53" s="19">
        <f ca="1">HCTrans(P53,Strike,RiskFreeRate,Dividend,Variance_T0*AnnualVarConvtr,(Simulation!G53)/250,0.5,Variance_Avg*AnnualVarConvtr,Lambda,SQRT(Simulation!N53),Rho,1,"Call")</f>
        <v>4.3178923667674951E-6</v>
      </c>
      <c r="R53" s="19" t="e">
        <f t="shared" ca="1" si="4"/>
        <v>#VALUE!</v>
      </c>
      <c r="S53" s="19" t="e">
        <f t="shared" ca="1" si="5"/>
        <v>#VALUE!</v>
      </c>
      <c r="T53" s="19" t="e">
        <f t="shared" ca="1" si="10"/>
        <v>#VALUE!</v>
      </c>
      <c r="U53" s="19" t="e">
        <f t="shared" ca="1" si="11"/>
        <v>#VALUE!</v>
      </c>
      <c r="V53" s="21">
        <f t="shared" ca="1" si="12"/>
        <v>3.2180507538495701E-5</v>
      </c>
      <c r="W53">
        <f t="shared" ca="1" si="13"/>
        <v>5.6727865761454221E-3</v>
      </c>
      <c r="X53" s="22">
        <f t="shared" ref="X53" ca="1" si="111">BSdelta(1,P53,Strike,W53*AnnualVarConvtr,Dividend,RiskFreeRate,G53/250)</f>
        <v>0</v>
      </c>
      <c r="Y53" s="22">
        <f t="shared" ca="1" si="19"/>
        <v>-1.3652540683061E-128</v>
      </c>
      <c r="Z53" s="22">
        <f t="shared" ca="1" si="20"/>
        <v>-7.4987584771310729</v>
      </c>
      <c r="AA53">
        <f t="shared" si="7"/>
        <v>0.73884103340948371</v>
      </c>
      <c r="AB53">
        <f t="shared" ref="AB53" ca="1" si="112">BSdelta(1,P53,Strike,AA53/AnnualVarConvtr,Dividend,RiskFreeRate,G53/250)</f>
        <v>0</v>
      </c>
      <c r="AC53">
        <f t="shared" ca="1" si="16"/>
        <v>0</v>
      </c>
      <c r="AD53">
        <f t="shared" ca="1" si="17"/>
        <v>-2.5925237265764483</v>
      </c>
    </row>
    <row r="54" spans="7:30" x14ac:dyDescent="0.25">
      <c r="G54" s="19">
        <v>201</v>
      </c>
      <c r="H54" s="19">
        <f t="shared" ca="1" si="66"/>
        <v>5.2366114786035811E-2</v>
      </c>
      <c r="I54" s="19">
        <f t="shared" ca="1" si="66"/>
        <v>0.61575611316091916</v>
      </c>
      <c r="J54" s="19">
        <f t="shared" ca="1" si="2"/>
        <v>-1.8142064854792723</v>
      </c>
      <c r="K54" s="19">
        <f t="shared" ca="1" si="3"/>
        <v>-1.6148207177540439</v>
      </c>
      <c r="L54" s="19">
        <f t="array" aca="1" ref="L54:M54" ca="1">MMULT(J54:K54,TRANSPOSE($B$10:$C$11))</f>
        <v>-1.8142064854792723</v>
      </c>
      <c r="M54" s="19">
        <f ca="1"/>
        <v>0.17340085931714722</v>
      </c>
      <c r="N54" s="20">
        <f ca="1">GetVariance(N53,Variance_Avg,Lambda,Eta,M54,"Daily")</f>
        <v>6.4705608200625403E-2</v>
      </c>
      <c r="O54" s="20">
        <f ca="1">GetStockReturns(O53,RiskFreeRate,N53,L54,"Daily")</f>
        <v>-0.13932658575586285</v>
      </c>
      <c r="P54" s="19">
        <f t="shared" ca="1" si="9"/>
        <v>2.7380138217852465</v>
      </c>
      <c r="Q54" s="19">
        <f ca="1">HCTrans(P54,Strike,RiskFreeRate,Dividend,Variance_T0*AnnualVarConvtr,(Simulation!G54)/250,0.5,Variance_Avg*AnnualVarConvtr,Lambda,SQRT(Simulation!N54),Rho,1,"Call")</f>
        <v>2.9790576721033801E-6</v>
      </c>
      <c r="R54" s="19" t="e">
        <f t="shared" ca="1" si="4"/>
        <v>#VALUE!</v>
      </c>
      <c r="S54" s="19" t="e">
        <f t="shared" ca="1" si="5"/>
        <v>#VALUE!</v>
      </c>
      <c r="T54" s="19" t="e">
        <f t="shared" ca="1" si="10"/>
        <v>#VALUE!</v>
      </c>
      <c r="U54" s="19" t="e">
        <f t="shared" ca="1" si="11"/>
        <v>#VALUE!</v>
      </c>
      <c r="V54" s="21">
        <f t="shared" ca="1" si="12"/>
        <v>8.4163117517983442E-4</v>
      </c>
      <c r="W54">
        <f t="shared" ca="1" si="13"/>
        <v>2.9010880289640203E-2</v>
      </c>
      <c r="X54" s="22">
        <f t="shared" ref="X54" ca="1" si="113">BSdelta(1,P54,Strike,W54*AnnualVarConvtr,Dividend,RiskFreeRate,G54/250)</f>
        <v>6.5921678745835303E-18</v>
      </c>
      <c r="Y54" s="22">
        <f t="shared" ca="1" si="19"/>
        <v>1.8049446756138377E-17</v>
      </c>
      <c r="Z54" s="22">
        <f t="shared" ca="1" si="20"/>
        <v>-7.4987598159657676</v>
      </c>
      <c r="AA54">
        <f t="shared" si="7"/>
        <v>0.73884103340948371</v>
      </c>
      <c r="AB54">
        <f t="shared" ref="AB54" ca="1" si="114">BSdelta(1,P54,Strike,AA54/AnnualVarConvtr,Dividend,RiskFreeRate,G54/250)</f>
        <v>0</v>
      </c>
      <c r="AC54">
        <f t="shared" ca="1" si="16"/>
        <v>0</v>
      </c>
      <c r="AD54">
        <f t="shared" ca="1" si="17"/>
        <v>-2.5925250654111429</v>
      </c>
    </row>
    <row r="55" spans="7:30" x14ac:dyDescent="0.25">
      <c r="G55" s="19">
        <v>200</v>
      </c>
      <c r="H55" s="19">
        <f t="shared" ca="1" si="66"/>
        <v>0.12461572188837899</v>
      </c>
      <c r="I55" s="19">
        <f t="shared" ca="1" si="66"/>
        <v>0.88546619365405732</v>
      </c>
      <c r="J55" s="19">
        <f t="shared" ca="1" si="2"/>
        <v>1.53480583121157</v>
      </c>
      <c r="K55" s="19">
        <f t="shared" ca="1" si="3"/>
        <v>-1.3451438822287405</v>
      </c>
      <c r="L55" s="19">
        <f t="array" aca="1" ref="L55:M55" ca="1">MMULT(J55:K55,TRANSPOSE($B$10:$C$11))</f>
        <v>1.53480583121157</v>
      </c>
      <c r="M55" s="19">
        <f ca="1"/>
        <v>-2.0380433862967817</v>
      </c>
      <c r="N55" s="20">
        <f ca="1">GetVariance(N54,Variance_Avg,Lambda,Eta,M55,"Daily")</f>
        <v>5.2312386444072448E-2</v>
      </c>
      <c r="O55" s="20">
        <f ca="1">GetStockReturns(O54,RiskFreeRate,N54,L55,"Daily")</f>
        <v>-0.11463469208796423</v>
      </c>
      <c r="P55" s="19">
        <f t="shared" ca="1" si="9"/>
        <v>2.441464545717098</v>
      </c>
      <c r="Q55" s="19">
        <f ca="1">HCTrans(P55,Strike,RiskFreeRate,Dividend,Variance_T0*AnnualVarConvtr,(Simulation!G55)/250,0.5,Variance_Avg*AnnualVarConvtr,Lambda,SQRT(Simulation!N55),Rho,1,"Call")</f>
        <v>1.9415758947260997E-6</v>
      </c>
      <c r="R55" s="19" t="e">
        <f t="shared" ca="1" si="4"/>
        <v>#VALUE!</v>
      </c>
      <c r="S55" s="19" t="e">
        <f t="shared" ca="1" si="5"/>
        <v>#VALUE!</v>
      </c>
      <c r="T55" s="19" t="e">
        <f t="shared" ca="1" si="10"/>
        <v>#VALUE!</v>
      </c>
      <c r="U55" s="19" t="e">
        <f t="shared" ca="1" si="11"/>
        <v>#VALUE!</v>
      </c>
      <c r="V55" s="21">
        <f t="shared" ca="1" si="12"/>
        <v>6.0968961290681185E-4</v>
      </c>
      <c r="W55">
        <f t="shared" ca="1" si="13"/>
        <v>2.4691893667898618E-2</v>
      </c>
      <c r="X55" s="22">
        <f t="shared" ref="X55" ca="1" si="115">BSdelta(1,P55,Strike,W55*AnnualVarConvtr,Dividend,RiskFreeRate,G55/250)</f>
        <v>6.7926237093982606E-26</v>
      </c>
      <c r="Y55" s="22">
        <f t="shared" ca="1" si="19"/>
        <v>-1.6094543979371426E-17</v>
      </c>
      <c r="Z55" s="22">
        <f t="shared" ca="1" si="20"/>
        <v>-7.4987608534475445</v>
      </c>
      <c r="AA55">
        <f t="shared" si="7"/>
        <v>0.73884103340948371</v>
      </c>
      <c r="AB55">
        <f t="shared" ref="AB55" ca="1" si="116">BSdelta(1,P55,Strike,AA55/AnnualVarConvtr,Dividend,RiskFreeRate,G55/250)</f>
        <v>0</v>
      </c>
      <c r="AC55">
        <f t="shared" ca="1" si="16"/>
        <v>0</v>
      </c>
      <c r="AD55">
        <f t="shared" ca="1" si="17"/>
        <v>-2.5925261028929203</v>
      </c>
    </row>
    <row r="56" spans="7:30" x14ac:dyDescent="0.25">
      <c r="G56" s="19">
        <v>199</v>
      </c>
      <c r="H56" s="19">
        <f t="shared" ca="1" si="66"/>
        <v>0.67044981137863402</v>
      </c>
      <c r="I56" s="19">
        <f t="shared" ca="1" si="66"/>
        <v>0.83488766334110465</v>
      </c>
      <c r="J56" s="19">
        <f t="shared" ca="1" si="2"/>
        <v>0.4546469240048322</v>
      </c>
      <c r="K56" s="19">
        <f t="shared" ca="1" si="3"/>
        <v>-0.77000586859902298</v>
      </c>
      <c r="L56" s="19">
        <f t="array" aca="1" ref="L56:M56" ca="1">MMULT(J56:K56,TRANSPOSE($B$10:$C$11))</f>
        <v>0.4546469240048322</v>
      </c>
      <c r="M56" s="19">
        <f ca="1"/>
        <v>-0.86290067523786607</v>
      </c>
      <c r="N56" s="20">
        <f ca="1">GetVariance(N55,Variance_Avg,Lambda,Eta,M56,"Daily")</f>
        <v>4.734497014385651E-2</v>
      </c>
      <c r="O56" s="20">
        <f ca="1">GetStockReturns(O55,RiskFreeRate,N55,L56,"Daily")</f>
        <v>-0.10805801499405329</v>
      </c>
      <c r="P56" s="19">
        <f t="shared" ca="1" si="9"/>
        <v>2.1913988142650744</v>
      </c>
      <c r="Q56" s="19">
        <f ca="1">HCTrans(P56,Strike,RiskFreeRate,Dividend,Variance_T0*AnnualVarConvtr,(Simulation!G56)/250,0.5,Variance_Avg*AnnualVarConvtr,Lambda,SQRT(Simulation!N56),Rho,1,"Call")</f>
        <v>1.0172030697752632E-6</v>
      </c>
      <c r="R56" s="19" t="e">
        <f t="shared" ca="1" si="4"/>
        <v>#VALUE!</v>
      </c>
      <c r="S56" s="19" t="e">
        <f t="shared" ca="1" si="5"/>
        <v>#VALUE!</v>
      </c>
      <c r="T56" s="19" t="e">
        <f t="shared" ca="1" si="10"/>
        <v>#VALUE!</v>
      </c>
      <c r="U56" s="19" t="e">
        <f t="shared" ca="1" si="11"/>
        <v>#VALUE!</v>
      </c>
      <c r="V56" s="21">
        <f t="shared" ca="1" si="12"/>
        <v>4.3252681597572815E-5</v>
      </c>
      <c r="W56">
        <f t="shared" ca="1" si="13"/>
        <v>6.5766770939109376E-3</v>
      </c>
      <c r="X56" s="22">
        <f t="shared" ref="X56" ca="1" si="117">BSdelta(1,P56,Strike,W56*AnnualVarConvtr,Dividend,RiskFreeRate,G56/250)</f>
        <v>0</v>
      </c>
      <c r="Y56" s="22">
        <f t="shared" ca="1" si="19"/>
        <v>-1.4885347542524179E-25</v>
      </c>
      <c r="Z56" s="22">
        <f t="shared" ca="1" si="20"/>
        <v>-7.4987617778203699</v>
      </c>
      <c r="AA56">
        <f t="shared" si="7"/>
        <v>0.73884103340948371</v>
      </c>
      <c r="AB56">
        <f t="shared" ref="AB56" ca="1" si="118">BSdelta(1,P56,Strike,AA56/AnnualVarConvtr,Dividend,RiskFreeRate,G56/250)</f>
        <v>0</v>
      </c>
      <c r="AC56">
        <f t="shared" ca="1" si="16"/>
        <v>0</v>
      </c>
      <c r="AD56">
        <f t="shared" ca="1" si="17"/>
        <v>-2.5925270272657452</v>
      </c>
    </row>
    <row r="57" spans="7:30" x14ac:dyDescent="0.25">
      <c r="G57" s="19">
        <v>198</v>
      </c>
      <c r="H57" s="19">
        <f t="shared" ca="1" si="66"/>
        <v>0.66019304537944035</v>
      </c>
      <c r="I57" s="19">
        <f t="shared" ca="1" si="66"/>
        <v>0.68953092505178604</v>
      </c>
      <c r="J57" s="19">
        <f t="shared" ca="1" si="2"/>
        <v>-0.33796327822690281</v>
      </c>
      <c r="K57" s="19">
        <f t="shared" ca="1" si="3"/>
        <v>-0.84630184333406033</v>
      </c>
      <c r="L57" s="19">
        <f t="array" aca="1" ref="L57:M57" ca="1">MMULT(J57:K57,TRANSPOSE($B$10:$C$11))</f>
        <v>-0.33796327822690281</v>
      </c>
      <c r="M57" s="19">
        <f ca="1"/>
        <v>-0.34821855243496297</v>
      </c>
      <c r="N57" s="20">
        <f ca="1">GetVariance(N56,Variance_Avg,Lambda,Eta,M57,"Daily")</f>
        <v>4.5291695325534821E-2</v>
      </c>
      <c r="O57" s="20">
        <f ca="1">GetStockReturns(O56,RiskFreeRate,N56,L57,"Daily")</f>
        <v>-0.11270890890609785</v>
      </c>
      <c r="P57" s="19">
        <f t="shared" ca="1" si="9"/>
        <v>1.9578191183082165</v>
      </c>
      <c r="Q57" s="19">
        <f ca="1">HCTrans(P57,Strike,RiskFreeRate,Dividend,Variance_T0*AnnualVarConvtr,(Simulation!G57)/250,0.5,Variance_Avg*AnnualVarConvtr,Lambda,SQRT(Simulation!N57),Rho,1,"Call")</f>
        <v>1.0440399966782365E-7</v>
      </c>
      <c r="R57" s="19">
        <f t="shared" ca="1" si="4"/>
        <v>0.2</v>
      </c>
      <c r="S57" s="19">
        <f t="shared" ca="1" si="5"/>
        <v>0</v>
      </c>
      <c r="T57" s="19" t="e">
        <f t="shared" ca="1" si="10"/>
        <v>#VALUE!</v>
      </c>
      <c r="U57" s="19" t="e">
        <f t="shared" ca="1" si="11"/>
        <v>#VALUE!</v>
      </c>
      <c r="V57" s="21">
        <f t="shared" ca="1" si="12"/>
        <v>2.1630814181093098E-5</v>
      </c>
      <c r="W57">
        <f t="shared" ca="1" si="13"/>
        <v>4.6508939120445542E-3</v>
      </c>
      <c r="X57" s="22">
        <f t="shared" ref="X57" ca="1" si="119">BSdelta(1,P57,Strike,W57*AnnualVarConvtr,Dividend,RiskFreeRate,G57/250)</f>
        <v>0</v>
      </c>
      <c r="Y57" s="22">
        <f t="shared" ca="1" si="19"/>
        <v>0</v>
      </c>
      <c r="Z57" s="22">
        <f t="shared" ca="1" si="20"/>
        <v>-7.49876269061944</v>
      </c>
      <c r="AA57">
        <f t="shared" si="7"/>
        <v>0.73884103340948371</v>
      </c>
      <c r="AB57">
        <f t="shared" ref="AB57" ca="1" si="120">BSdelta(1,P57,Strike,AA57/AnnualVarConvtr,Dividend,RiskFreeRate,G57/250)</f>
        <v>0</v>
      </c>
      <c r="AC57">
        <f t="shared" ca="1" si="16"/>
        <v>0</v>
      </c>
      <c r="AD57">
        <f t="shared" ca="1" si="17"/>
        <v>-2.5925279400648154</v>
      </c>
    </row>
    <row r="58" spans="7:30" x14ac:dyDescent="0.25">
      <c r="G58" s="19">
        <v>197</v>
      </c>
      <c r="H58" s="19">
        <f t="shared" ca="1" si="66"/>
        <v>0.239584047392987</v>
      </c>
      <c r="I58" s="19">
        <f t="shared" ca="1" si="66"/>
        <v>0.46895170984954571</v>
      </c>
      <c r="J58" s="19">
        <f t="shared" ca="1" si="2"/>
        <v>-1.6584085574257721</v>
      </c>
      <c r="K58" s="19">
        <f t="shared" ca="1" si="3"/>
        <v>0.32769352587047063</v>
      </c>
      <c r="L58" s="19">
        <f t="array" aca="1" ref="L58:M58" ca="1">MMULT(J58:K58,TRANSPOSE($B$10:$C$11))</f>
        <v>-1.6584085574257721</v>
      </c>
      <c r="M58" s="19">
        <f ca="1"/>
        <v>1.4168445049575096</v>
      </c>
      <c r="N58" s="20">
        <f ca="1">GetVariance(N57,Variance_Avg,Lambda,Eta,M58,"Daily")</f>
        <v>5.2784310876077788E-2</v>
      </c>
      <c r="O58" s="20">
        <f ca="1">GetStockReturns(O57,RiskFreeRate,N57,L58,"Daily")</f>
        <v>-0.13503079123084272</v>
      </c>
      <c r="P58" s="19">
        <f t="shared" ca="1" si="9"/>
        <v>1.7105250458904941</v>
      </c>
      <c r="Q58" s="19">
        <f ca="1">HCTrans(P58,Strike,RiskFreeRate,Dividend,Variance_T0*AnnualVarConvtr,(Simulation!G58)/250,0.5,Variance_Avg*AnnualVarConvtr,Lambda,SQRT(Simulation!N58),Rho,1,"Call")</f>
        <v>-9.2324597367188233E-7</v>
      </c>
      <c r="R58" s="19">
        <f t="shared" ca="1" si="4"/>
        <v>0.2</v>
      </c>
      <c r="S58" s="19">
        <f t="shared" ca="1" si="5"/>
        <v>0</v>
      </c>
      <c r="T58" s="19">
        <f t="shared" ca="1" si="10"/>
        <v>0</v>
      </c>
      <c r="U58" s="19" t="e">
        <f t="shared" ca="1" si="11"/>
        <v>#VALUE!</v>
      </c>
      <c r="V58" s="21">
        <f t="shared" ca="1" si="12"/>
        <v>4.9826643051975746E-4</v>
      </c>
      <c r="W58">
        <f t="shared" ca="1" si="13"/>
        <v>2.2321882324744871E-2</v>
      </c>
      <c r="X58" s="22">
        <f t="shared" ref="X58" ca="1" si="121">BSdelta(1,P58,Strike,W58*AnnualVarConvtr,Dividend,RiskFreeRate,G58/250)</f>
        <v>5.656320539398945E-38</v>
      </c>
      <c r="Y58" s="22">
        <f t="shared" ca="1" si="19"/>
        <v>9.6752779502267241E-38</v>
      </c>
      <c r="Z58" s="22">
        <f t="shared" ca="1" si="20"/>
        <v>-7.4987637182694131</v>
      </c>
      <c r="AA58">
        <f t="shared" si="7"/>
        <v>0.73884103340948371</v>
      </c>
      <c r="AB58">
        <f t="shared" ref="AB58" ca="1" si="122">BSdelta(1,P58,Strike,AA58/AnnualVarConvtr,Dividend,RiskFreeRate,G58/250)</f>
        <v>0</v>
      </c>
      <c r="AC58">
        <f t="shared" ca="1" si="16"/>
        <v>0</v>
      </c>
      <c r="AD58">
        <f t="shared" ca="1" si="17"/>
        <v>-2.5925289677147889</v>
      </c>
    </row>
    <row r="59" spans="7:30" x14ac:dyDescent="0.25">
      <c r="G59" s="19">
        <v>196</v>
      </c>
      <c r="H59" s="19">
        <f t="shared" ca="1" si="66"/>
        <v>5.300515925396776E-2</v>
      </c>
      <c r="I59" s="19">
        <f t="shared" ca="1" si="66"/>
        <v>0.67908011023513293</v>
      </c>
      <c r="J59" s="19">
        <f t="shared" ca="1" si="2"/>
        <v>-1.0446558015032223</v>
      </c>
      <c r="K59" s="19">
        <f t="shared" ca="1" si="3"/>
        <v>-2.1871045489166812</v>
      </c>
      <c r="L59" s="19">
        <f t="array" aca="1" ref="L59:M59" ca="1">MMULT(J59:K59,TRANSPOSE($B$10:$C$11))</f>
        <v>-1.0446558015032223</v>
      </c>
      <c r="M59" s="19">
        <f ca="1"/>
        <v>-0.77720001895162505</v>
      </c>
      <c r="N59" s="20">
        <f ca="1">GetVariance(N58,Variance_Avg,Lambda,Eta,M59,"Daily")</f>
        <v>4.8254280328289136E-2</v>
      </c>
      <c r="O59" s="20">
        <f ca="1">GetStockReturns(O58,RiskFreeRate,N58,L59,"Daily")</f>
        <v>-0.15021022753550023</v>
      </c>
      <c r="P59" s="19">
        <f t="shared" ca="1" si="9"/>
        <v>1.4719530732766031</v>
      </c>
      <c r="Q59" s="19">
        <f ca="1">HCTrans(P59,Strike,RiskFreeRate,Dividend,Variance_T0*AnnualVarConvtr,(Simulation!G59)/250,0.5,Variance_Avg*AnnualVarConvtr,Lambda,SQRT(Simulation!N59),Rho,1,"Call")</f>
        <v>-1.9914032252099645E-6</v>
      </c>
      <c r="R59" s="19" t="e">
        <f t="shared" ca="1" si="4"/>
        <v>#VALUE!</v>
      </c>
      <c r="S59" s="19" t="e">
        <f t="shared" ca="1" si="5"/>
        <v>#VALUE!</v>
      </c>
      <c r="T59" s="19" t="e">
        <f t="shared" ca="1" si="10"/>
        <v>#VALUE!</v>
      </c>
      <c r="U59" s="19" t="e">
        <f t="shared" ca="1" si="11"/>
        <v>#VALUE!</v>
      </c>
      <c r="V59" s="21">
        <f t="shared" ca="1" si="12"/>
        <v>2.304152865271545E-4</v>
      </c>
      <c r="W59">
        <f t="shared" ca="1" si="13"/>
        <v>1.5179436304657512E-2</v>
      </c>
      <c r="X59" s="22">
        <f t="shared" ref="X59" ca="1" si="123">BSdelta(1,P59,Strike,W59*AnnualVarConvtr,Dividend,RiskFreeRate,G59/250)</f>
        <v>4.4498401936795098E-87</v>
      </c>
      <c r="Y59" s="22">
        <f t="shared" ca="1" si="19"/>
        <v>-8.3258384014058505E-38</v>
      </c>
      <c r="Z59" s="22">
        <f t="shared" ca="1" si="20"/>
        <v>-7.4987647864266647</v>
      </c>
      <c r="AA59">
        <f t="shared" si="7"/>
        <v>0.73884103340948371</v>
      </c>
      <c r="AB59">
        <f t="shared" ref="AB59" ca="1" si="124">BSdelta(1,P59,Strike,AA59/AnnualVarConvtr,Dividend,RiskFreeRate,G59/250)</f>
        <v>0</v>
      </c>
      <c r="AC59">
        <f t="shared" ca="1" si="16"/>
        <v>0</v>
      </c>
      <c r="AD59">
        <f t="shared" ca="1" si="17"/>
        <v>-2.5925300358720405</v>
      </c>
    </row>
    <row r="60" spans="7:30" x14ac:dyDescent="0.25">
      <c r="G60" s="19">
        <v>195</v>
      </c>
      <c r="H60" s="19">
        <f t="shared" ca="1" si="66"/>
        <v>0.96439176096435175</v>
      </c>
      <c r="I60" s="19">
        <f t="shared" ca="1" si="66"/>
        <v>0.71644774861843108</v>
      </c>
      <c r="J60" s="19">
        <f t="shared" ca="1" si="2"/>
        <v>-5.6350120079835676E-2</v>
      </c>
      <c r="K60" s="19">
        <f t="shared" ca="1" si="3"/>
        <v>-0.26332492425784826</v>
      </c>
      <c r="L60" s="19">
        <f t="array" aca="1" ref="L60:M60" ca="1">MMULT(J60:K60,TRANSPOSE($B$10:$C$11))</f>
        <v>-5.6350120079835676E-2</v>
      </c>
      <c r="M60" s="19">
        <f ca="1"/>
        <v>-0.14331720695236291</v>
      </c>
      <c r="N60" s="20">
        <f ca="1">GetVariance(N59,Variance_Avg,Lambda,Eta,M60,"Daily")</f>
        <v>4.7266958171168223E-2</v>
      </c>
      <c r="O60" s="20">
        <f ca="1">GetStockReturns(O59,RiskFreeRate,N59,L60,"Daily")</f>
        <v>-0.15099310314521985</v>
      </c>
      <c r="P60" s="19">
        <f t="shared" ca="1" si="9"/>
        <v>1.2656641916632607</v>
      </c>
      <c r="Q60" s="19">
        <f ca="1">HCTrans(P60,Strike,RiskFreeRate,Dividend,Variance_T0*AnnualVarConvtr,(Simulation!G60)/250,0.5,Variance_Avg*AnnualVarConvtr,Lambda,SQRT(Simulation!N60),Rho,1,"Call")</f>
        <v>-2.986934282134257E-6</v>
      </c>
      <c r="R60" s="19" t="e">
        <f t="shared" ca="1" si="4"/>
        <v>#VALUE!</v>
      </c>
      <c r="S60" s="19" t="e">
        <f t="shared" ca="1" si="5"/>
        <v>#VALUE!</v>
      </c>
      <c r="T60" s="19" t="e">
        <f t="shared" ca="1" si="10"/>
        <v>#VALUE!</v>
      </c>
      <c r="U60" s="19" t="e">
        <f t="shared" ca="1" si="11"/>
        <v>#VALUE!</v>
      </c>
      <c r="V60" s="21">
        <f t="shared" ca="1" si="12"/>
        <v>6.1289422029387351E-7</v>
      </c>
      <c r="W60">
        <f t="shared" ca="1" si="13"/>
        <v>7.8287560971962433E-4</v>
      </c>
      <c r="X60" s="22">
        <f t="shared" ref="X60" ca="1" si="125">BSdelta(1,P60,Strike,W60*AnnualVarConvtr,Dividend,RiskFreeRate,G60/250)</f>
        <v>0</v>
      </c>
      <c r="Y60" s="22">
        <f t="shared" ca="1" si="19"/>
        <v>-5.6320033917640638E-87</v>
      </c>
      <c r="Z60" s="22">
        <f t="shared" ca="1" si="20"/>
        <v>-7.4987657819577214</v>
      </c>
      <c r="AA60">
        <f t="shared" si="7"/>
        <v>0.73884103340948371</v>
      </c>
      <c r="AB60">
        <f t="shared" ref="AB60" ca="1" si="126">BSdelta(1,P60,Strike,AA60/AnnualVarConvtr,Dividend,RiskFreeRate,G60/250)</f>
        <v>0</v>
      </c>
      <c r="AC60">
        <f t="shared" ca="1" si="16"/>
        <v>0</v>
      </c>
      <c r="AD60">
        <f t="shared" ca="1" si="17"/>
        <v>-2.5925310314030972</v>
      </c>
    </row>
    <row r="61" spans="7:30" x14ac:dyDescent="0.25">
      <c r="G61" s="19">
        <v>194</v>
      </c>
      <c r="H61" s="19">
        <f t="shared" ca="1" si="66"/>
        <v>0.86557880357749373</v>
      </c>
      <c r="I61" s="19">
        <f t="shared" ca="1" si="66"/>
        <v>0.517925214683572</v>
      </c>
      <c r="J61" s="19">
        <f t="shared" ca="1" si="2"/>
        <v>-0.5339165291710456</v>
      </c>
      <c r="K61" s="19">
        <f t="shared" ca="1" si="3"/>
        <v>-6.0389215557465632E-2</v>
      </c>
      <c r="L61" s="19">
        <f t="array" aca="1" ref="L61:M61" ca="1">MMULT(J61:K61,TRANSPOSE($B$10:$C$11))</f>
        <v>-0.5339165291710456</v>
      </c>
      <c r="M61" s="19">
        <f ca="1"/>
        <v>0.34042445592219933</v>
      </c>
      <c r="N61" s="20">
        <f ca="1">GetVariance(N60,Variance_Avg,Lambda,Eta,M61,"Daily")</f>
        <v>4.8885942973856067E-2</v>
      </c>
      <c r="O61" s="20">
        <f ca="1">GetStockReturns(O60,RiskFreeRate,N60,L61,"Daily")</f>
        <v>-0.1583345589554459</v>
      </c>
      <c r="P61" s="19">
        <f t="shared" ca="1" si="9"/>
        <v>1.080325601025369</v>
      </c>
      <c r="Q61" s="19">
        <f ca="1">HCTrans(P61,Strike,RiskFreeRate,Dividend,Variance_T0*AnnualVarConvtr,(Simulation!G61)/250,0.5,Variance_Avg*AnnualVarConvtr,Lambda,SQRT(Simulation!N61),Rho,1,"Call")</f>
        <v>-3.952908339099892E-6</v>
      </c>
      <c r="R61" s="19" t="e">
        <f t="shared" ca="1" si="4"/>
        <v>#VALUE!</v>
      </c>
      <c r="S61" s="19" t="e">
        <f t="shared" ca="1" si="5"/>
        <v>#VALUE!</v>
      </c>
      <c r="T61" s="19" t="e">
        <f t="shared" ca="1" si="10"/>
        <v>#VALUE!</v>
      </c>
      <c r="U61" s="19" t="e">
        <f t="shared" ca="1" si="11"/>
        <v>#VALUE!</v>
      </c>
      <c r="V61" s="21">
        <f t="shared" ca="1" si="12"/>
        <v>5.3896973413501822E-5</v>
      </c>
      <c r="W61">
        <f t="shared" ca="1" si="13"/>
        <v>7.3414558102260496E-3</v>
      </c>
      <c r="X61" s="22">
        <f t="shared" ref="X61" ca="1" si="127">BSdelta(1,P61,Strike,W61*AnnualVarConvtr,Dividend,RiskFreeRate,G61/250)</f>
        <v>0</v>
      </c>
      <c r="Y61" s="22">
        <f t="shared" ca="1" si="19"/>
        <v>0</v>
      </c>
      <c r="Z61" s="22">
        <f t="shared" ca="1" si="20"/>
        <v>-7.4987667479317786</v>
      </c>
      <c r="AA61">
        <f t="shared" si="7"/>
        <v>0.73884103340948371</v>
      </c>
      <c r="AB61">
        <f t="shared" ref="AB61" ca="1" si="128">BSdelta(1,P61,Strike,AA61/AnnualVarConvtr,Dividend,RiskFreeRate,G61/250)</f>
        <v>0</v>
      </c>
      <c r="AC61">
        <f t="shared" ca="1" si="16"/>
        <v>0</v>
      </c>
      <c r="AD61">
        <f t="shared" ca="1" si="17"/>
        <v>-2.5925319973771543</v>
      </c>
    </row>
    <row r="62" spans="7:30" x14ac:dyDescent="0.25">
      <c r="G62" s="19">
        <v>193</v>
      </c>
      <c r="H62" s="19">
        <f t="shared" ca="1" si="66"/>
        <v>0.86816890535042224</v>
      </c>
      <c r="I62" s="19">
        <f t="shared" ca="1" si="66"/>
        <v>0.43785057992527798</v>
      </c>
      <c r="J62" s="19">
        <f t="shared" ca="1" si="2"/>
        <v>-0.49170253377501705</v>
      </c>
      <c r="K62" s="19">
        <f t="shared" ca="1" si="3"/>
        <v>0.2024020799019515</v>
      </c>
      <c r="L62" s="19">
        <f t="array" aca="1" ref="L62:M62" ca="1">MMULT(J62:K62,TRANSPOSE($B$10:$C$11))</f>
        <v>-0.49170253377501705</v>
      </c>
      <c r="M62" s="19">
        <f ca="1"/>
        <v>0.49349794364915878</v>
      </c>
      <c r="N62" s="20">
        <f ca="1">GetVariance(N61,Variance_Avg,Lambda,Eta,M62,"Daily")</f>
        <v>5.1376235679342436E-2</v>
      </c>
      <c r="O62" s="20">
        <f ca="1">GetStockReturns(O61,RiskFreeRate,N61,L62,"Daily")</f>
        <v>-0.16521037802796723</v>
      </c>
      <c r="P62" s="19">
        <f t="shared" ca="1" si="9"/>
        <v>0.91580858920164399</v>
      </c>
      <c r="Q62" s="19">
        <f ca="1">HCTrans(P62,Strike,RiskFreeRate,Dividend,Variance_T0*AnnualVarConvtr,(Simulation!G62)/250,0.5,Variance_Avg*AnnualVarConvtr,Lambda,SQRT(Simulation!N62),Rho,1,"Call")</f>
        <v>-4.8821955529465555E-6</v>
      </c>
      <c r="R62" s="19" t="e">
        <f t="shared" ca="1" si="4"/>
        <v>#VALUE!</v>
      </c>
      <c r="S62" s="19" t="e">
        <f t="shared" ca="1" si="5"/>
        <v>#VALUE!</v>
      </c>
      <c r="T62" s="19" t="e">
        <f t="shared" ca="1" si="10"/>
        <v>#VALUE!</v>
      </c>
      <c r="U62" s="19" t="e">
        <f t="shared" ca="1" si="11"/>
        <v>#VALUE!</v>
      </c>
      <c r="V62" s="21">
        <f t="shared" ca="1" si="12"/>
        <v>4.7276887918048046E-5</v>
      </c>
      <c r="W62">
        <f t="shared" ca="1" si="13"/>
        <v>6.8758190725213275E-3</v>
      </c>
      <c r="X62" s="22">
        <f t="shared" ref="X62" ca="1" si="129">BSdelta(1,P62,Strike,W62*AnnualVarConvtr,Dividend,RiskFreeRate,G62/250)</f>
        <v>0</v>
      </c>
      <c r="Y62" s="22">
        <f t="shared" ca="1" si="19"/>
        <v>0</v>
      </c>
      <c r="Z62" s="22">
        <f t="shared" ca="1" si="20"/>
        <v>-7.4987676772189928</v>
      </c>
      <c r="AA62">
        <f t="shared" si="7"/>
        <v>0.73884103340948371</v>
      </c>
      <c r="AB62">
        <f t="shared" ref="AB62" ca="1" si="130">BSdelta(1,P62,Strike,AA62/AnnualVarConvtr,Dividend,RiskFreeRate,G62/250)</f>
        <v>0</v>
      </c>
      <c r="AC62">
        <f t="shared" ca="1" si="16"/>
        <v>0</v>
      </c>
      <c r="AD62">
        <f t="shared" ca="1" si="17"/>
        <v>-2.5925329266643682</v>
      </c>
    </row>
    <row r="63" spans="7:30" x14ac:dyDescent="0.25">
      <c r="G63" s="19">
        <v>192</v>
      </c>
      <c r="H63" s="19">
        <f t="shared" ca="1" si="66"/>
        <v>0.12515099820528086</v>
      </c>
      <c r="I63" s="19">
        <f t="shared" ca="1" si="66"/>
        <v>0.71283957587384172</v>
      </c>
      <c r="J63" s="19">
        <f t="shared" ca="1" si="2"/>
        <v>-0.4717040578509798</v>
      </c>
      <c r="K63" s="19">
        <f t="shared" ca="1" si="3"/>
        <v>-1.9834222575985483</v>
      </c>
      <c r="L63" s="19">
        <f t="array" aca="1" ref="L63:M63" ca="1">MMULT(J63:K63,TRANSPOSE($B$10:$C$11))</f>
        <v>-0.4717040578509798</v>
      </c>
      <c r="M63" s="19">
        <f ca="1"/>
        <v>-1.0456338061209873</v>
      </c>
      <c r="N63" s="20">
        <f ca="1">GetVariance(N62,Variance_Avg,Lambda,Eta,M63,"Daily")</f>
        <v>4.5494096632344647E-2</v>
      </c>
      <c r="O63" s="20">
        <f ca="1">GetStockReturns(O62,RiskFreeRate,N62,L63,"Daily")</f>
        <v>-0.1719724649370962</v>
      </c>
      <c r="P63" s="19">
        <f t="shared" ca="1" si="9"/>
        <v>0.77111299106900721</v>
      </c>
      <c r="Q63" s="19">
        <f ca="1">HCTrans(P63,Strike,RiskFreeRate,Dividend,Variance_T0*AnnualVarConvtr,(Simulation!G63)/250,0.5,Variance_Avg*AnnualVarConvtr,Lambda,SQRT(Simulation!N63),Rho,1,"Call")</f>
        <v>-5.7718102266512972E-6</v>
      </c>
      <c r="R63" s="19" t="e">
        <f t="shared" ca="1" si="4"/>
        <v>#VALUE!</v>
      </c>
      <c r="S63" s="19" t="e">
        <f t="shared" ca="1" si="5"/>
        <v>#VALUE!</v>
      </c>
      <c r="T63" s="19" t="e">
        <f t="shared" ca="1" si="10"/>
        <v>#VALUE!</v>
      </c>
      <c r="U63" s="19" t="e">
        <f t="shared" ca="1" si="11"/>
        <v>#VALUE!</v>
      </c>
      <c r="V63" s="21">
        <f t="shared" ca="1" si="12"/>
        <v>4.572581936661335E-5</v>
      </c>
      <c r="W63">
        <f t="shared" ca="1" si="13"/>
        <v>6.762086909128967E-3</v>
      </c>
      <c r="X63" s="22">
        <f t="shared" ref="X63" ca="1" si="131">BSdelta(1,P63,Strike,W63*AnnualVarConvtr,Dividend,RiskFreeRate,G63/250)</f>
        <v>0</v>
      </c>
      <c r="Y63" s="22">
        <f t="shared" ca="1" si="19"/>
        <v>0</v>
      </c>
      <c r="Z63" s="22">
        <f t="shared" ca="1" si="20"/>
        <v>-7.4987685668336663</v>
      </c>
      <c r="AA63">
        <f t="shared" si="7"/>
        <v>0.73884103340948371</v>
      </c>
      <c r="AB63">
        <f t="shared" ref="AB63" ca="1" si="132">BSdelta(1,P63,Strike,AA63/AnnualVarConvtr,Dividend,RiskFreeRate,G63/250)</f>
        <v>0</v>
      </c>
      <c r="AC63">
        <f t="shared" ca="1" si="16"/>
        <v>0</v>
      </c>
      <c r="AD63">
        <f t="shared" ca="1" si="17"/>
        <v>-2.5925338162790421</v>
      </c>
    </row>
    <row r="64" spans="7:30" x14ac:dyDescent="0.25">
      <c r="G64" s="19">
        <v>191</v>
      </c>
      <c r="H64" s="19">
        <f t="shared" ca="1" si="66"/>
        <v>0.16748896460328</v>
      </c>
      <c r="I64" s="19">
        <f t="shared" ca="1" si="66"/>
        <v>0.10736591008606688</v>
      </c>
      <c r="J64" s="19">
        <f t="shared" ca="1" si="2"/>
        <v>1.4763340417734534</v>
      </c>
      <c r="K64" s="19">
        <f t="shared" ca="1" si="3"/>
        <v>1.1807258033966364</v>
      </c>
      <c r="L64" s="19">
        <f t="array" aca="1" ref="L64:M64" ca="1">MMULT(J64:K64,TRANSPOSE($B$10:$C$11))</f>
        <v>1.4763340417734534</v>
      </c>
      <c r="M64" s="19">
        <f ca="1"/>
        <v>-0.23413426207269095</v>
      </c>
      <c r="N64" s="20">
        <f ca="1">GetVariance(N63,Variance_Avg,Lambda,Eta,M64,"Daily")</f>
        <v>4.4073987621284616E-2</v>
      </c>
      <c r="O64" s="20">
        <f ca="1">GetStockReturns(O63,RiskFreeRate,N63,L64,"Daily")</f>
        <v>-0.15205692191413051</v>
      </c>
      <c r="P64" s="19">
        <f t="shared" ca="1" si="9"/>
        <v>0.66233931976058247</v>
      </c>
      <c r="Q64" s="19">
        <f ca="1">HCTrans(P64,Strike,RiskFreeRate,Dividend,Variance_T0*AnnualVarConvtr,(Simulation!G64)/250,0.5,Variance_Avg*AnnualVarConvtr,Lambda,SQRT(Simulation!N64),Rho,1,"Call")</f>
        <v>-6.4955089673635058E-6</v>
      </c>
      <c r="R64" s="19" t="e">
        <f t="shared" ca="1" si="4"/>
        <v>#VALUE!</v>
      </c>
      <c r="S64" s="19" t="e">
        <f t="shared" ca="1" si="5"/>
        <v>#VALUE!</v>
      </c>
      <c r="T64" s="19" t="e">
        <f t="shared" ca="1" si="10"/>
        <v>#VALUE!</v>
      </c>
      <c r="U64" s="19" t="e">
        <f t="shared" ca="1" si="11"/>
        <v>#VALUE!</v>
      </c>
      <c r="V64" s="21">
        <f t="shared" ca="1" si="12"/>
        <v>3.9662885389959746E-4</v>
      </c>
      <c r="W64">
        <f t="shared" ca="1" si="13"/>
        <v>1.9915543022965693E-2</v>
      </c>
      <c r="X64" s="22">
        <f t="shared" ref="X64" ca="1" si="133">BSdelta(1,P64,Strike,W64*AnnualVarConvtr,Dividend,RiskFreeRate,G64/250)</f>
        <v>1.884302703547619E-73</v>
      </c>
      <c r="Y64" s="22">
        <f t="shared" ca="1" si="19"/>
        <v>1.2480477708907565E-73</v>
      </c>
      <c r="Z64" s="22">
        <f t="shared" ca="1" si="20"/>
        <v>-7.4987692905324073</v>
      </c>
      <c r="AA64">
        <f t="shared" si="7"/>
        <v>0.73884103340948371</v>
      </c>
      <c r="AB64">
        <f t="shared" ref="AB64" ca="1" si="134">BSdelta(1,P64,Strike,AA64/AnnualVarConvtr,Dividend,RiskFreeRate,G64/250)</f>
        <v>0</v>
      </c>
      <c r="AC64">
        <f t="shared" ca="1" si="16"/>
        <v>0</v>
      </c>
      <c r="AD64">
        <f t="shared" ca="1" si="17"/>
        <v>-2.592534539977783</v>
      </c>
    </row>
    <row r="65" spans="7:30" x14ac:dyDescent="0.25">
      <c r="G65" s="19">
        <v>190</v>
      </c>
      <c r="H65" s="19">
        <f t="shared" ca="1" si="66"/>
        <v>0.92735831814446956</v>
      </c>
      <c r="I65" s="19">
        <f t="shared" ca="1" si="66"/>
        <v>0.61797104968549177</v>
      </c>
      <c r="J65" s="19">
        <f t="shared" ca="1" si="2"/>
        <v>-0.28647495993702238</v>
      </c>
      <c r="K65" s="19">
        <f t="shared" ca="1" si="3"/>
        <v>-0.26222624411426204</v>
      </c>
      <c r="L65" s="19">
        <f t="array" aca="1" ref="L65:M65" ca="1">MMULT(J65:K65,TRANSPOSE($B$10:$C$11))</f>
        <v>-0.28647495993702238</v>
      </c>
      <c r="M65" s="19">
        <f ca="1"/>
        <v>2.2333665890985371E-2</v>
      </c>
      <c r="N65" s="20">
        <f ca="1">GetVariance(N64,Variance_Avg,Lambda,Eta,M65,"Daily")</f>
        <v>4.3992736764342205E-2</v>
      </c>
      <c r="O65" s="20">
        <f ca="1">GetStockReturns(O64,RiskFreeRate,N64,L65,"Daily")</f>
        <v>-0.15586063574480855</v>
      </c>
      <c r="P65" s="19">
        <f t="shared" ca="1" si="9"/>
        <v>0.56674947127963959</v>
      </c>
      <c r="Q65" s="19">
        <f ca="1">HCTrans(P65,Strike,RiskFreeRate,Dividend,Variance_T0*AnnualVarConvtr,(Simulation!G65)/250,0.5,Variance_Avg*AnnualVarConvtr,Lambda,SQRT(Simulation!N65),Rho,1,"Call")</f>
        <v>-7.1812738391408004E-6</v>
      </c>
      <c r="R65" s="19" t="e">
        <f t="shared" ca="1" si="4"/>
        <v>#VALUE!</v>
      </c>
      <c r="S65" s="19" t="e">
        <f t="shared" ca="1" si="5"/>
        <v>#VALUE!</v>
      </c>
      <c r="T65" s="19" t="e">
        <f t="shared" ca="1" si="10"/>
        <v>#VALUE!</v>
      </c>
      <c r="U65" s="19" t="e">
        <f t="shared" ca="1" si="11"/>
        <v>#VALUE!</v>
      </c>
      <c r="V65" s="21">
        <f t="shared" ca="1" si="12"/>
        <v>1.4468238905691412E-5</v>
      </c>
      <c r="W65">
        <f t="shared" ca="1" si="13"/>
        <v>3.8037138306780405E-3</v>
      </c>
      <c r="X65" s="22">
        <f t="shared" ref="X65" ca="1" si="135">BSdelta(1,P65,Strike,W65*AnnualVarConvtr,Dividend,RiskFreeRate,G65/250)</f>
        <v>0</v>
      </c>
      <c r="Y65" s="22">
        <f t="shared" ca="1" si="19"/>
        <v>-1.0679275609664086E-73</v>
      </c>
      <c r="Z65" s="22">
        <f t="shared" ca="1" si="20"/>
        <v>-7.4987699762972788</v>
      </c>
      <c r="AA65">
        <f t="shared" si="7"/>
        <v>0.73884103340948371</v>
      </c>
      <c r="AB65">
        <f t="shared" ref="AB65" ca="1" si="136">BSdelta(1,P65,Strike,AA65/AnnualVarConvtr,Dividend,RiskFreeRate,G65/250)</f>
        <v>0</v>
      </c>
      <c r="AC65">
        <f t="shared" ca="1" si="16"/>
        <v>0</v>
      </c>
      <c r="AD65">
        <f t="shared" ca="1" si="17"/>
        <v>-2.5925352257426546</v>
      </c>
    </row>
    <row r="66" spans="7:30" x14ac:dyDescent="0.25">
      <c r="G66" s="19">
        <v>189</v>
      </c>
      <c r="H66" s="19">
        <f t="shared" ca="1" si="66"/>
        <v>0.16212489545904529</v>
      </c>
      <c r="I66" s="19">
        <f t="shared" ca="1" si="66"/>
        <v>0.6014886632107711</v>
      </c>
      <c r="J66" s="19">
        <f t="shared" ca="1" si="2"/>
        <v>-1.5326917633216621</v>
      </c>
      <c r="K66" s="19">
        <f t="shared" ca="1" si="3"/>
        <v>-1.1356198840155056</v>
      </c>
      <c r="L66" s="19">
        <f t="array" aca="1" ref="L66:M66" ca="1">MMULT(J66:K66,TRANSPOSE($B$10:$C$11))</f>
        <v>-1.5326917633216621</v>
      </c>
      <c r="M66" s="19">
        <f ca="1"/>
        <v>0.30597987666514614</v>
      </c>
      <c r="N66" s="20">
        <f ca="1">GetVariance(N65,Variance_Avg,Lambda,Eta,M66,"Daily")</f>
        <v>4.538459999970948E-2</v>
      </c>
      <c r="O66" s="20">
        <f ca="1">GetStockReturns(O65,RiskFreeRate,N65,L66,"Daily")</f>
        <v>-0.17619241141077657</v>
      </c>
      <c r="P66" s="19">
        <f t="shared" ca="1" si="9"/>
        <v>0.47519485695213232</v>
      </c>
      <c r="Q66" s="19">
        <f ca="1">HCTrans(P66,Strike,RiskFreeRate,Dividend,Variance_T0*AnnualVarConvtr,(Simulation!G66)/250,0.5,Variance_Avg*AnnualVarConvtr,Lambda,SQRT(Simulation!N66),Rho,1,"Call")</f>
        <v>-7.893565392269597E-6</v>
      </c>
      <c r="R66" s="19" t="e">
        <f t="shared" ca="1" si="4"/>
        <v>#VALUE!</v>
      </c>
      <c r="S66" s="19" t="e">
        <f t="shared" ca="1" si="5"/>
        <v>#VALUE!</v>
      </c>
      <c r="T66" s="19" t="e">
        <f t="shared" ca="1" si="10"/>
        <v>#VALUE!</v>
      </c>
      <c r="U66" s="19" t="e">
        <f t="shared" ca="1" si="11"/>
        <v>#VALUE!</v>
      </c>
      <c r="V66" s="21">
        <f t="shared" ca="1" si="12"/>
        <v>4.1338110173124961E-4</v>
      </c>
      <c r="W66">
        <f t="shared" ca="1" si="13"/>
        <v>2.0331775665968027E-2</v>
      </c>
      <c r="X66" s="22">
        <f t="shared" ref="X66" ca="1" si="137">BSdelta(1,P66,Strike,W66*AnnualVarConvtr,Dividend,RiskFreeRate,G66/250)</f>
        <v>8.9210017396720386E-81</v>
      </c>
      <c r="Y66" s="22">
        <f t="shared" ca="1" si="19"/>
        <v>4.2392141455531779E-81</v>
      </c>
      <c r="Z66" s="22">
        <f t="shared" ca="1" si="20"/>
        <v>-7.4987706885888317</v>
      </c>
      <c r="AA66">
        <f t="shared" si="7"/>
        <v>0.73884103340948371</v>
      </c>
      <c r="AB66">
        <f t="shared" ref="AB66" ca="1" si="138">BSdelta(1,P66,Strike,AA66/AnnualVarConvtr,Dividend,RiskFreeRate,G66/250)</f>
        <v>0</v>
      </c>
      <c r="AC66">
        <f t="shared" ca="1" si="16"/>
        <v>0</v>
      </c>
      <c r="AD66">
        <f t="shared" ca="1" si="17"/>
        <v>-2.5925359380342079</v>
      </c>
    </row>
    <row r="67" spans="7:30" x14ac:dyDescent="0.25">
      <c r="G67" s="19">
        <v>188</v>
      </c>
      <c r="H67" s="19">
        <f t="shared" ca="1" si="66"/>
        <v>0.91899262556954564</v>
      </c>
      <c r="I67" s="19">
        <f t="shared" ca="1" si="66"/>
        <v>0.44606854558693232</v>
      </c>
      <c r="J67" s="19">
        <f t="shared" ca="1" si="2"/>
        <v>-0.387666263795509</v>
      </c>
      <c r="K67" s="19">
        <f t="shared" ca="1" si="3"/>
        <v>0.13663539090235488</v>
      </c>
      <c r="L67" s="19">
        <f t="array" aca="1" ref="L67:M67" ca="1">MMULT(J67:K67,TRANSPOSE($B$10:$C$11))</f>
        <v>-0.387666263795509</v>
      </c>
      <c r="M67" s="19">
        <f ca="1"/>
        <v>0.37307796292274836</v>
      </c>
      <c r="N67" s="20">
        <f ca="1">GetVariance(N66,Variance_Avg,Lambda,Eta,M67,"Daily")</f>
        <v>4.7151135297473411E-2</v>
      </c>
      <c r="O67" s="20">
        <f ca="1">GetStockReturns(O66,RiskFreeRate,N66,L67,"Daily")</f>
        <v>-0.18141567881943521</v>
      </c>
      <c r="P67" s="19">
        <f t="shared" ca="1" si="9"/>
        <v>0.39635460045127452</v>
      </c>
      <c r="Q67" s="19">
        <f ca="1">HCTrans(P67,Strike,RiskFreeRate,Dividend,Variance_T0*AnnualVarConvtr,(Simulation!G67)/250,0.5,Variance_Avg*AnnualVarConvtr,Lambda,SQRT(Simulation!N67),Rho,1,"Call")</f>
        <v>-8.5626628516521919E-6</v>
      </c>
      <c r="R67" s="19" t="e">
        <f t="shared" ca="1" si="4"/>
        <v>#VALUE!</v>
      </c>
      <c r="S67" s="19" t="e">
        <f t="shared" ca="1" si="5"/>
        <v>#VALUE!</v>
      </c>
      <c r="T67" s="19" t="e">
        <f t="shared" ca="1" si="10"/>
        <v>#VALUE!</v>
      </c>
      <c r="U67" s="19" t="e">
        <f t="shared" ca="1" si="11"/>
        <v>#VALUE!</v>
      </c>
      <c r="V67" s="21">
        <f t="shared" ca="1" si="12"/>
        <v>2.7282522422355525E-5</v>
      </c>
      <c r="W67">
        <f t="shared" ca="1" si="13"/>
        <v>5.2232674086586384E-3</v>
      </c>
      <c r="X67" s="22">
        <f t="shared" ref="X67" ca="1" si="139">BSdelta(1,P67,Strike,W67*AnnualVarConvtr,Dividend,RiskFreeRate,G67/250)</f>
        <v>0</v>
      </c>
      <c r="Y67" s="22">
        <f t="shared" ca="1" si="19"/>
        <v>-3.5358800801528359E-81</v>
      </c>
      <c r="Z67" s="22">
        <f t="shared" ca="1" si="20"/>
        <v>-7.4987713576862909</v>
      </c>
      <c r="AA67">
        <f t="shared" si="7"/>
        <v>0.73884103340948371</v>
      </c>
      <c r="AB67">
        <f t="shared" ref="AB67" ca="1" si="140">BSdelta(1,P67,Strike,AA67/AnnualVarConvtr,Dividend,RiskFreeRate,G67/250)</f>
        <v>0</v>
      </c>
      <c r="AC67">
        <f t="shared" ca="1" si="16"/>
        <v>0</v>
      </c>
      <c r="AD67">
        <f t="shared" ca="1" si="17"/>
        <v>-2.5925366071316671</v>
      </c>
    </row>
    <row r="68" spans="7:30" x14ac:dyDescent="0.25">
      <c r="G68" s="19">
        <v>187</v>
      </c>
      <c r="H68" s="19">
        <f t="shared" ca="1" si="66"/>
        <v>0.88735425252352684</v>
      </c>
      <c r="I68" s="19">
        <f t="shared" ca="1" si="66"/>
        <v>4.1931478453494098E-2</v>
      </c>
      <c r="J68" s="19">
        <f t="shared" ca="1" si="2"/>
        <v>0.47202873609495749</v>
      </c>
      <c r="K68" s="19">
        <f t="shared" ca="1" si="3"/>
        <v>0.12732187382818008</v>
      </c>
      <c r="L68" s="19">
        <f t="array" aca="1" ref="L68:M68" ca="1">MMULT(J68:K68,TRANSPOSE($B$10:$C$11))</f>
        <v>0.47202873609495749</v>
      </c>
      <c r="M68" s="19">
        <f ca="1"/>
        <v>-0.24939049378466188</v>
      </c>
      <c r="N68" s="20">
        <f ca="1">GetVariance(N67,Variance_Avg,Lambda,Eta,M68,"Daily")</f>
        <v>4.5620019181788207E-2</v>
      </c>
      <c r="O68" s="20">
        <f ca="1">GetStockReturns(O67,RiskFreeRate,N67,L68,"Daily")</f>
        <v>-0.17493314918111125</v>
      </c>
      <c r="P68" s="19">
        <f t="shared" ca="1" si="9"/>
        <v>0.33274489558824033</v>
      </c>
      <c r="Q68" s="19">
        <f ca="1">HCTrans(P68,Strike,RiskFreeRate,Dividend,Variance_T0*AnnualVarConvtr,(Simulation!G68)/250,0.5,Variance_Avg*AnnualVarConvtr,Lambda,SQRT(Simulation!N68),Rho,1,"Call")</f>
        <v>-9.1513829574840777E-6</v>
      </c>
      <c r="R68" s="19" t="e">
        <f t="shared" ca="1" si="4"/>
        <v>#VALUE!</v>
      </c>
      <c r="S68" s="19" t="e">
        <f t="shared" ca="1" si="5"/>
        <v>#VALUE!</v>
      </c>
      <c r="T68" s="19" t="e">
        <f t="shared" ca="1" si="10"/>
        <v>#VALUE!</v>
      </c>
      <c r="U68" s="19" t="e">
        <f t="shared" ca="1" si="11"/>
        <v>#VALUE!</v>
      </c>
      <c r="V68" s="21">
        <f t="shared" ca="1" si="12"/>
        <v>4.2023190511748623E-5</v>
      </c>
      <c r="W68">
        <f t="shared" ca="1" si="13"/>
        <v>6.4825296383239639E-3</v>
      </c>
      <c r="X68" s="22">
        <f t="shared" ref="X68" ca="1" si="141">BSdelta(1,P68,Strike,W68*AnnualVarConvtr,Dividend,RiskFreeRate,G68/250)</f>
        <v>0</v>
      </c>
      <c r="Y68" s="22">
        <f t="shared" ca="1" si="19"/>
        <v>0</v>
      </c>
      <c r="Z68" s="22">
        <f t="shared" ca="1" si="20"/>
        <v>-7.4987719464063964</v>
      </c>
      <c r="AA68">
        <f t="shared" si="7"/>
        <v>0.73884103340948371</v>
      </c>
      <c r="AB68">
        <f t="shared" ref="AB68" ca="1" si="142">BSdelta(1,P68,Strike,AA68/AnnualVarConvtr,Dividend,RiskFreeRate,G68/250)</f>
        <v>0</v>
      </c>
      <c r="AC68">
        <f t="shared" ca="1" si="16"/>
        <v>0</v>
      </c>
      <c r="AD68">
        <f t="shared" ca="1" si="17"/>
        <v>-2.5925371958517731</v>
      </c>
    </row>
    <row r="69" spans="7:30" x14ac:dyDescent="0.25">
      <c r="G69" s="19">
        <v>186</v>
      </c>
      <c r="H69" s="19">
        <f t="shared" ca="1" si="66"/>
        <v>0.13489875961172892</v>
      </c>
      <c r="I69" s="19">
        <f t="shared" ca="1" si="66"/>
        <v>0.10597100924596103</v>
      </c>
      <c r="J69" s="19">
        <f t="shared" ca="1" si="2"/>
        <v>1.5740717341382409</v>
      </c>
      <c r="K69" s="19">
        <f t="shared" ca="1" si="3"/>
        <v>1.2364301828866033</v>
      </c>
      <c r="L69" s="19">
        <f t="array" aca="1" ref="L69:M69" ca="1">MMULT(J69:K69,TRANSPOSE($B$10:$C$11))</f>
        <v>1.5740717341382409</v>
      </c>
      <c r="M69" s="19">
        <f ca="1"/>
        <v>-0.26530466258892327</v>
      </c>
      <c r="N69" s="20">
        <f ca="1">GetVariance(N68,Variance_Avg,Lambda,Eta,M69,"Daily")</f>
        <v>4.403664186369164E-2</v>
      </c>
      <c r="O69" s="20">
        <f ca="1">GetStockReturns(O68,RiskFreeRate,N68,L69,"Daily")</f>
        <v>-0.15366977176854132</v>
      </c>
      <c r="P69" s="19">
        <f t="shared" ca="1" si="9"/>
        <v>0.28534710323449414</v>
      </c>
      <c r="Q69" s="19">
        <f ca="1">HCTrans(P69,Strike,RiskFreeRate,Dividend,Variance_T0*AnnualVarConvtr,(Simulation!G69)/250,0.5,Variance_Avg*AnnualVarConvtr,Lambda,SQRT(Simulation!N69),Rho,1,"Call")</f>
        <v>-9.626135838602945E-6</v>
      </c>
      <c r="R69" s="19" t="e">
        <f t="shared" ca="1" si="4"/>
        <v>#VALUE!</v>
      </c>
      <c r="S69" s="19" t="e">
        <f t="shared" ca="1" si="5"/>
        <v>#VALUE!</v>
      </c>
      <c r="T69" s="19" t="e">
        <f t="shared" ca="1" si="10"/>
        <v>#VALUE!</v>
      </c>
      <c r="U69" s="19" t="e">
        <f t="shared" ca="1" si="11"/>
        <v>#VALUE!</v>
      </c>
      <c r="V69" s="21">
        <f t="shared" ca="1" si="12"/>
        <v>4.5213121898938878E-4</v>
      </c>
      <c r="W69">
        <f t="shared" ca="1" si="13"/>
        <v>2.1263377412569923E-2</v>
      </c>
      <c r="X69" s="22">
        <f t="shared" ref="X69" ca="1" si="143">BSdelta(1,P69,Strike,W69*AnnualVarConvtr,Dividend,RiskFreeRate,G69/250)</f>
        <v>8.3144075759911396E-90</v>
      </c>
      <c r="Y69" s="22">
        <f t="shared" ca="1" si="19"/>
        <v>2.372492116920004E-90</v>
      </c>
      <c r="Z69" s="22">
        <f t="shared" ca="1" si="20"/>
        <v>-7.4987724211592779</v>
      </c>
      <c r="AA69">
        <f t="shared" si="7"/>
        <v>0.73884103340948371</v>
      </c>
      <c r="AB69">
        <f t="shared" ref="AB69" ca="1" si="144">BSdelta(1,P69,Strike,AA69/AnnualVarConvtr,Dividend,RiskFreeRate,G69/250)</f>
        <v>0</v>
      </c>
      <c r="AC69">
        <f t="shared" ca="1" si="16"/>
        <v>0</v>
      </c>
      <c r="AD69">
        <f t="shared" ca="1" si="17"/>
        <v>-2.5925376706046541</v>
      </c>
    </row>
    <row r="70" spans="7:30" x14ac:dyDescent="0.25">
      <c r="G70" s="19">
        <v>185</v>
      </c>
      <c r="H70" s="19">
        <f t="shared" ca="1" si="66"/>
        <v>0.51213563042714738</v>
      </c>
      <c r="I70" s="19">
        <f t="shared" ca="1" si="66"/>
        <v>0.16798128108492416</v>
      </c>
      <c r="J70" s="19">
        <f t="shared" ref="J70:J133" ca="1" si="145">SQRT(-2*LN(H70))*COS(2*PI()*I70)</f>
        <v>0.57013633566292721</v>
      </c>
      <c r="K70" s="19">
        <f t="shared" ref="K70:K133" ca="1" si="146">SQRT(-2*LN(H70))*SIN(2*PI()*I70)</f>
        <v>1.0066161783159295</v>
      </c>
      <c r="L70" s="19">
        <f t="array" aca="1" ref="L70:M70" ca="1">MMULT(J70:K70,TRANSPOSE($B$10:$C$11))</f>
        <v>0.57013633566292721</v>
      </c>
      <c r="M70" s="19">
        <f ca="1"/>
        <v>0.2936997674216773</v>
      </c>
      <c r="N70" s="20">
        <f ca="1">GetVariance(N69,Variance_Avg,Lambda,Eta,M70,"Daily")</f>
        <v>4.536476242600241E-2</v>
      </c>
      <c r="O70" s="20">
        <f ca="1">GetStockReturns(O69,RiskFreeRate,N69,L70,"Daily")</f>
        <v>-0.14610290978965765</v>
      </c>
      <c r="P70" s="19">
        <f t="shared" ca="1" si="9"/>
        <v>0.24655952264726808</v>
      </c>
      <c r="Q70" s="19">
        <f ca="1">HCTrans(P70,Strike,RiskFreeRate,Dividend,Variance_T0*AnnualVarConvtr,(Simulation!G70)/250,0.5,Variance_Avg*AnnualVarConvtr,Lambda,SQRT(Simulation!N70),Rho,1,"Call")</f>
        <v>-1.0043403405685103E-5</v>
      </c>
      <c r="R70" s="19" t="e">
        <f t="shared" ref="R70:R133" ca="1" si="147">BSvol(1,P70,Strike,Q70,Dividend,RiskFreeRate,G70/250)</f>
        <v>#VALUE!</v>
      </c>
      <c r="S70" s="19" t="e">
        <f t="shared" ref="S70:S133" ca="1" si="148">BSdelta(1,P70,Strike,R70/AnnualVarConvtr,Dividend,RiskFreeRate,G70/250)</f>
        <v>#VALUE!</v>
      </c>
      <c r="T70" s="19" t="e">
        <f t="shared" ca="1" si="10"/>
        <v>#VALUE!</v>
      </c>
      <c r="U70" s="19" t="e">
        <f t="shared" ca="1" si="11"/>
        <v>#VALUE!</v>
      </c>
      <c r="V70" s="21">
        <f t="shared" ca="1" si="12"/>
        <v>5.7257400207475393E-5</v>
      </c>
      <c r="W70">
        <f t="shared" ca="1" si="13"/>
        <v>7.5668619788836766E-3</v>
      </c>
      <c r="X70" s="22">
        <f t="shared" ref="X70" ca="1" si="149">BSdelta(1,P70,Strike,W70*AnnualVarConvtr,Dividend,RiskFreeRate,G70/250)</f>
        <v>0</v>
      </c>
      <c r="Y70" s="22">
        <f t="shared" ca="1" si="19"/>
        <v>-2.0499963630312046E-90</v>
      </c>
      <c r="Z70" s="22">
        <f t="shared" ca="1" si="20"/>
        <v>-7.4987728384268451</v>
      </c>
      <c r="AA70">
        <f t="shared" ref="AA70:AA133" si="150">$R$5</f>
        <v>0.73884103340948371</v>
      </c>
      <c r="AB70">
        <f t="shared" ref="AB70" ca="1" si="151">BSdelta(1,P70,Strike,AA70/AnnualVarConvtr,Dividend,RiskFreeRate,G70/250)</f>
        <v>0</v>
      </c>
      <c r="AC70">
        <f t="shared" ca="1" si="16"/>
        <v>0</v>
      </c>
      <c r="AD70">
        <f t="shared" ca="1" si="17"/>
        <v>-2.5925380878722213</v>
      </c>
    </row>
    <row r="71" spans="7:30" x14ac:dyDescent="0.25">
      <c r="G71" s="19">
        <v>184</v>
      </c>
      <c r="H71" s="19">
        <f t="shared" ca="1" si="66"/>
        <v>5.267759188954968E-2</v>
      </c>
      <c r="I71" s="19">
        <f t="shared" ca="1" si="66"/>
        <v>0.95890464560115984</v>
      </c>
      <c r="J71" s="19">
        <f t="shared" ca="1" si="145"/>
        <v>2.3459044942782623</v>
      </c>
      <c r="K71" s="19">
        <f t="shared" ca="1" si="146"/>
        <v>-0.61956624675313854</v>
      </c>
      <c r="L71" s="19">
        <f t="array" aca="1" ref="L71:M71" ca="1">MMULT(J71:K71,TRANSPOSE($B$10:$C$11))</f>
        <v>2.3459044942782623</v>
      </c>
      <c r="M71" s="19">
        <f ca="1"/>
        <v>-2.1130419861134717</v>
      </c>
      <c r="N71" s="20">
        <f ca="1">GetVariance(N70,Variance_Avg,Lambda,Eta,M71,"Daily")</f>
        <v>3.4797226578107007E-2</v>
      </c>
      <c r="O71" s="20">
        <f ca="1">GetStockReturns(O70,RiskFreeRate,N70,L71,"Daily")</f>
        <v>-0.11450199583571263</v>
      </c>
      <c r="P71" s="19">
        <f t="shared" ref="P71:P134" ca="1" si="152">P70*EXP(O71)</f>
        <v>0.21988428697415724</v>
      </c>
      <c r="Q71" s="19">
        <f ca="1">HCTrans(P71,Strike,RiskFreeRate,Dividend,Variance_T0*AnnualVarConvtr,(Simulation!G71)/250,0.5,Variance_Avg*AnnualVarConvtr,Lambda,SQRT(Simulation!N71),Rho,1,"Call")</f>
        <v>-1.0349419172189789E-5</v>
      </c>
      <c r="R71" s="19" t="e">
        <f t="shared" ca="1" si="147"/>
        <v>#VALUE!</v>
      </c>
      <c r="S71" s="19" t="e">
        <f t="shared" ca="1" si="148"/>
        <v>#VALUE!</v>
      </c>
      <c r="T71" s="19" t="e">
        <f t="shared" ref="T71:T134" ca="1" si="153">(S71-S70)*P71</f>
        <v>#VALUE!</v>
      </c>
      <c r="U71" s="19" t="e">
        <f t="shared" ref="U71:U134" ca="1" si="154">(Q71-Q70)+U70-T71</f>
        <v>#VALUE!</v>
      </c>
      <c r="V71" s="21">
        <f t="shared" ref="V71:V134" ca="1" si="155">(O71-O70)^2</f>
        <v>9.9861776272463674E-4</v>
      </c>
      <c r="W71">
        <f t="shared" ref="W71:W134" ca="1" si="156">SQRT(V71)</f>
        <v>3.1600913953945015E-2</v>
      </c>
      <c r="X71" s="22">
        <f t="shared" ref="X71" ca="1" si="157">BSdelta(1,P71,Strike,W71*AnnualVarConvtr,Dividend,RiskFreeRate,G71/250)</f>
        <v>3.2302362294661064E-45</v>
      </c>
      <c r="Y71" s="22">
        <f t="shared" ca="1" si="19"/>
        <v>7.1027819007424493E-46</v>
      </c>
      <c r="Z71" s="22">
        <f t="shared" ca="1" si="20"/>
        <v>-7.4987731444426116</v>
      </c>
      <c r="AA71">
        <f t="shared" si="150"/>
        <v>0.73884103340948371</v>
      </c>
      <c r="AB71">
        <f t="shared" ref="AB71" ca="1" si="158">BSdelta(1,P71,Strike,AA71/AnnualVarConvtr,Dividend,RiskFreeRate,G71/250)</f>
        <v>0</v>
      </c>
      <c r="AC71">
        <f t="shared" ref="AC71:AC134" ca="1" si="159">(AB71-AB70)*P71</f>
        <v>0</v>
      </c>
      <c r="AD71">
        <f t="shared" ref="AD71:AD134" ca="1" si="160">(Q71-Q70)+AD70-AC71</f>
        <v>-2.5925383938879878</v>
      </c>
    </row>
    <row r="72" spans="7:30" x14ac:dyDescent="0.25">
      <c r="G72" s="19">
        <v>183</v>
      </c>
      <c r="H72" s="19">
        <f t="shared" ca="1" si="66"/>
        <v>0.3162372555862395</v>
      </c>
      <c r="I72" s="19">
        <f t="shared" ca="1" si="66"/>
        <v>0.53016147541908587</v>
      </c>
      <c r="J72" s="19">
        <f t="shared" ca="1" si="145"/>
        <v>-1.4902406510762771</v>
      </c>
      <c r="K72" s="19">
        <f t="shared" ca="1" si="146"/>
        <v>-0.28584589986154157</v>
      </c>
      <c r="L72" s="19">
        <f t="array" aca="1" ref="L72:M72" ca="1">MMULT(J72:K72,TRANSPOSE($B$10:$C$11))</f>
        <v>-1.4902406510762771</v>
      </c>
      <c r="M72" s="19">
        <f ca="1"/>
        <v>0.86835501664113579</v>
      </c>
      <c r="N72" s="20">
        <f ca="1">GetVariance(N71,Variance_Avg,Lambda,Eta,M72,"Daily")</f>
        <v>3.8735325198484105E-2</v>
      </c>
      <c r="O72" s="20">
        <f ca="1">GetStockReturns(O71,RiskFreeRate,N71,L72,"Daily")</f>
        <v>-0.1320836088711024</v>
      </c>
      <c r="P72" s="19">
        <f t="shared" ca="1" si="152"/>
        <v>0.19267750462713337</v>
      </c>
      <c r="Q72" s="19">
        <f ca="1">HCTrans(P72,Strike,RiskFreeRate,Dividend,Variance_T0*AnnualVarConvtr,(Simulation!G72)/250,0.5,Variance_Avg*AnnualVarConvtr,Lambda,SQRT(Simulation!N72),Rho,1,"Call")</f>
        <v>-1.06795337792287E-5</v>
      </c>
      <c r="R72" s="19" t="e">
        <f t="shared" ca="1" si="147"/>
        <v>#VALUE!</v>
      </c>
      <c r="S72" s="19" t="e">
        <f t="shared" ca="1" si="148"/>
        <v>#VALUE!</v>
      </c>
      <c r="T72" s="19" t="e">
        <f t="shared" ca="1" si="153"/>
        <v>#VALUE!</v>
      </c>
      <c r="U72" s="19" t="e">
        <f t="shared" ca="1" si="154"/>
        <v>#VALUE!</v>
      </c>
      <c r="V72" s="21">
        <f t="shared" ca="1" si="155"/>
        <v>3.091131169261875E-4</v>
      </c>
      <c r="W72">
        <f t="shared" ca="1" si="156"/>
        <v>1.758161303538977E-2</v>
      </c>
      <c r="X72" s="22">
        <f t="shared" ref="X72" ca="1" si="161">BSdelta(1,P72,Strike,W72*AnnualVarConvtr,Dividend,RiskFreeRate,G72/250)</f>
        <v>3.1311595511813918E-151</v>
      </c>
      <c r="Y72" s="22">
        <f t="shared" ref="Y72:Y135" ca="1" si="162">(X72-X71)*P72</f>
        <v>-6.2239385604968961E-46</v>
      </c>
      <c r="Z72" s="22">
        <f t="shared" ref="Z72:Z135" ca="1" si="163">(Q72-Q71)+Z71-Y72</f>
        <v>-7.4987734745572183</v>
      </c>
      <c r="AA72">
        <f t="shared" si="150"/>
        <v>0.73884103340948371</v>
      </c>
      <c r="AB72">
        <f t="shared" ref="AB72" ca="1" si="164">BSdelta(1,P72,Strike,AA72/AnnualVarConvtr,Dividend,RiskFreeRate,G72/250)</f>
        <v>0</v>
      </c>
      <c r="AC72">
        <f t="shared" ca="1" si="159"/>
        <v>0</v>
      </c>
      <c r="AD72">
        <f t="shared" ca="1" si="160"/>
        <v>-2.592538724002595</v>
      </c>
    </row>
    <row r="73" spans="7:30" x14ac:dyDescent="0.25">
      <c r="G73" s="19">
        <v>182</v>
      </c>
      <c r="H73" s="19">
        <f t="shared" ca="1" si="66"/>
        <v>0.26649270298499128</v>
      </c>
      <c r="I73" s="19">
        <f t="shared" ca="1" si="66"/>
        <v>0.11296928905103865</v>
      </c>
      <c r="J73" s="19">
        <f t="shared" ca="1" si="145"/>
        <v>1.2335203867042837</v>
      </c>
      <c r="K73" s="19">
        <f t="shared" ca="1" si="146"/>
        <v>1.0598321984756987</v>
      </c>
      <c r="L73" s="19">
        <f t="array" aca="1" ref="L73:M73" ca="1">MMULT(J73:K73,TRANSPOSE($B$10:$C$11))</f>
        <v>1.2335203867042837</v>
      </c>
      <c r="M73" s="19">
        <f ca="1"/>
        <v>-0.14449209643367078</v>
      </c>
      <c r="N73" s="20">
        <f ca="1">GetVariance(N72,Variance_Avg,Lambda,Eta,M73,"Daily")</f>
        <v>3.7873164731981088E-2</v>
      </c>
      <c r="O73" s="20">
        <f ca="1">GetStockReturns(O72,RiskFreeRate,N72,L73,"Daily")</f>
        <v>-0.11672931210166314</v>
      </c>
      <c r="P73" s="19">
        <f t="shared" ca="1" si="152"/>
        <v>0.17144945818482923</v>
      </c>
      <c r="Q73" s="19">
        <f ca="1">HCTrans(P73,Strike,RiskFreeRate,Dividend,Variance_T0*AnnualVarConvtr,(Simulation!G73)/250,0.5,Variance_Avg*AnnualVarConvtr,Lambda,SQRT(Simulation!N73),Rho,1,"Call")</f>
        <v>-1.0952997713448154E-5</v>
      </c>
      <c r="R73" s="19" t="e">
        <f t="shared" ca="1" si="147"/>
        <v>#VALUE!</v>
      </c>
      <c r="S73" s="19" t="e">
        <f t="shared" ca="1" si="148"/>
        <v>#VALUE!</v>
      </c>
      <c r="T73" s="19" t="e">
        <f t="shared" ca="1" si="153"/>
        <v>#VALUE!</v>
      </c>
      <c r="U73" s="19" t="e">
        <f t="shared" ca="1" si="154"/>
        <v>#VALUE!</v>
      </c>
      <c r="V73" s="21">
        <f t="shared" ca="1" si="155"/>
        <v>2.3575442928401306E-4</v>
      </c>
      <c r="W73">
        <f t="shared" ca="1" si="156"/>
        <v>1.5354296769439266E-2</v>
      </c>
      <c r="X73" s="22">
        <f t="shared" ref="X73" ca="1" si="165">BSdelta(1,P73,Strike,W73*AnnualVarConvtr,Dividend,RiskFreeRate,G73/250)</f>
        <v>1.6950939628938686E-206</v>
      </c>
      <c r="Y73" s="22">
        <f t="shared" ca="1" si="162"/>
        <v>-5.3683560854030269E-152</v>
      </c>
      <c r="Z73" s="22">
        <f t="shared" ca="1" si="163"/>
        <v>-7.4987737480211525</v>
      </c>
      <c r="AA73">
        <f t="shared" si="150"/>
        <v>0.73884103340948371</v>
      </c>
      <c r="AB73">
        <f t="shared" ref="AB73" ca="1" si="166">BSdelta(1,P73,Strike,AA73/AnnualVarConvtr,Dividend,RiskFreeRate,G73/250)</f>
        <v>0</v>
      </c>
      <c r="AC73">
        <f t="shared" ca="1" si="159"/>
        <v>0</v>
      </c>
      <c r="AD73">
        <f t="shared" ca="1" si="160"/>
        <v>-2.5925389974665292</v>
      </c>
    </row>
    <row r="74" spans="7:30" x14ac:dyDescent="0.25">
      <c r="G74" s="19">
        <v>181</v>
      </c>
      <c r="H74" s="19">
        <f t="shared" ca="1" si="66"/>
        <v>0.24482000801474768</v>
      </c>
      <c r="I74" s="19">
        <f t="shared" ca="1" si="66"/>
        <v>0.31503021732792114</v>
      </c>
      <c r="J74" s="19">
        <f t="shared" ca="1" si="145"/>
        <v>-0.66656207958479818</v>
      </c>
      <c r="K74" s="19">
        <f t="shared" ca="1" si="146"/>
        <v>1.5395320695765047</v>
      </c>
      <c r="L74" s="19">
        <f t="array" aca="1" ref="L74:M74" ca="1">MMULT(J74:K74,TRANSPOSE($B$10:$C$11))</f>
        <v>-0.66656207958479818</v>
      </c>
      <c r="M74" s="19">
        <f ca="1"/>
        <v>1.5515494284583959</v>
      </c>
      <c r="N74" s="20">
        <f ca="1">GetVariance(N73,Variance_Avg,Lambda,Eta,M74,"Daily")</f>
        <v>4.5475431084316439E-2</v>
      </c>
      <c r="O74" s="20">
        <f ca="1">GetStockReturns(O73,RiskFreeRate,N73,L74,"Daily")</f>
        <v>-0.1249335150931121</v>
      </c>
      <c r="P74" s="19">
        <f t="shared" ca="1" si="152"/>
        <v>0.1513136755391338</v>
      </c>
      <c r="Q74" s="19">
        <f ca="1">HCTrans(P74,Strike,RiskFreeRate,Dividend,Variance_T0*AnnualVarConvtr,(Simulation!G74)/250,0.5,Variance_Avg*AnnualVarConvtr,Lambda,SQRT(Simulation!N74),Rho,1,"Call")</f>
        <v>-1.1227313170852904E-5</v>
      </c>
      <c r="R74" s="19" t="e">
        <f t="shared" ca="1" si="147"/>
        <v>#VALUE!</v>
      </c>
      <c r="S74" s="19" t="e">
        <f t="shared" ca="1" si="148"/>
        <v>#VALUE!</v>
      </c>
      <c r="T74" s="19" t="e">
        <f t="shared" ca="1" si="153"/>
        <v>#VALUE!</v>
      </c>
      <c r="U74" s="19" t="e">
        <f t="shared" ca="1" si="154"/>
        <v>#VALUE!</v>
      </c>
      <c r="V74" s="21">
        <f t="shared" ca="1" si="155"/>
        <v>6.730894672490004E-5</v>
      </c>
      <c r="W74">
        <f t="shared" ca="1" si="156"/>
        <v>8.2042029914489584E-3</v>
      </c>
      <c r="X74" s="22">
        <f t="shared" ref="X74" ca="1" si="167">BSdelta(1,P74,Strike,W74*AnnualVarConvtr,Dividend,RiskFreeRate,G74/250)</f>
        <v>0</v>
      </c>
      <c r="Y74" s="22">
        <f t="shared" ca="1" si="162"/>
        <v>-2.5649089790966732E-207</v>
      </c>
      <c r="Z74" s="22">
        <f t="shared" ca="1" si="163"/>
        <v>-7.4987740223366099</v>
      </c>
      <c r="AA74">
        <f t="shared" si="150"/>
        <v>0.73884103340948371</v>
      </c>
      <c r="AB74">
        <f t="shared" ref="AB74" ca="1" si="168">BSdelta(1,P74,Strike,AA74/AnnualVarConvtr,Dividend,RiskFreeRate,G74/250)</f>
        <v>0</v>
      </c>
      <c r="AC74">
        <f t="shared" ca="1" si="159"/>
        <v>0</v>
      </c>
      <c r="AD74">
        <f t="shared" ca="1" si="160"/>
        <v>-2.5925392717819866</v>
      </c>
    </row>
    <row r="75" spans="7:30" x14ac:dyDescent="0.25">
      <c r="G75" s="19">
        <v>180</v>
      </c>
      <c r="H75" s="19">
        <f t="shared" ca="1" si="66"/>
        <v>0.84318604032258426</v>
      </c>
      <c r="I75" s="19">
        <f t="shared" ca="1" si="66"/>
        <v>0.52456294415927007</v>
      </c>
      <c r="J75" s="19">
        <f t="shared" ca="1" si="145"/>
        <v>-0.57712578810559945</v>
      </c>
      <c r="K75" s="19">
        <f t="shared" ca="1" si="146"/>
        <v>-8.978384351862076E-2</v>
      </c>
      <c r="L75" s="19">
        <f t="array" aca="1" ref="L75:M75" ca="1">MMULT(J75:K75,TRANSPOSE($B$10:$C$11))</f>
        <v>-0.57712578810559945</v>
      </c>
      <c r="M75" s="19">
        <f ca="1"/>
        <v>0.35087857692845204</v>
      </c>
      <c r="N75" s="20">
        <f ca="1">GetVariance(N74,Variance_Avg,Lambda,Eta,M75,"Daily")</f>
        <v>4.7124938961787842E-2</v>
      </c>
      <c r="O75" s="20">
        <f ca="1">GetStockReturns(O74,RiskFreeRate,N74,L75,"Daily")</f>
        <v>-0.13271726527015706</v>
      </c>
      <c r="P75" s="19">
        <f t="shared" ca="1" si="152"/>
        <v>0.13250730001310929</v>
      </c>
      <c r="Q75" s="19">
        <f ca="1">HCTrans(P75,Strike,RiskFreeRate,Dividend,Variance_T0*AnnualVarConvtr,(Simulation!G75)/250,0.5,Variance_Avg*AnnualVarConvtr,Lambda,SQRT(Simulation!N75),Rho,1,"Call")</f>
        <v>-1.1500024021615651E-5</v>
      </c>
      <c r="R75" s="19" t="e">
        <f t="shared" ca="1" si="147"/>
        <v>#VALUE!</v>
      </c>
      <c r="S75" s="19" t="e">
        <f t="shared" ca="1" si="148"/>
        <v>#VALUE!</v>
      </c>
      <c r="T75" s="19" t="e">
        <f t="shared" ca="1" si="153"/>
        <v>#VALUE!</v>
      </c>
      <c r="U75" s="19" t="e">
        <f t="shared" ca="1" si="154"/>
        <v>#VALUE!</v>
      </c>
      <c r="V75" s="21">
        <f t="shared" ca="1" si="155"/>
        <v>6.0586766818647573E-5</v>
      </c>
      <c r="W75">
        <f t="shared" ca="1" si="156"/>
        <v>7.783750177044968E-3</v>
      </c>
      <c r="X75" s="22">
        <f t="shared" ref="X75" ca="1" si="169">BSdelta(1,P75,Strike,W75*AnnualVarConvtr,Dividend,RiskFreeRate,G75/250)</f>
        <v>0</v>
      </c>
      <c r="Y75" s="22">
        <f t="shared" ca="1" si="162"/>
        <v>0</v>
      </c>
      <c r="Z75" s="22">
        <f t="shared" ca="1" si="163"/>
        <v>-7.4987742950474603</v>
      </c>
      <c r="AA75">
        <f t="shared" si="150"/>
        <v>0.73884103340948371</v>
      </c>
      <c r="AB75">
        <f t="shared" ref="AB75" ca="1" si="170">BSdelta(1,P75,Strike,AA75/AnnualVarConvtr,Dividend,RiskFreeRate,G75/250)</f>
        <v>0</v>
      </c>
      <c r="AC75">
        <f t="shared" ca="1" si="159"/>
        <v>0</v>
      </c>
      <c r="AD75">
        <f t="shared" ca="1" si="160"/>
        <v>-2.5925395444928374</v>
      </c>
    </row>
    <row r="76" spans="7:30" x14ac:dyDescent="0.25">
      <c r="G76" s="19">
        <v>179</v>
      </c>
      <c r="H76" s="19">
        <f t="shared" ca="1" si="66"/>
        <v>2.8057153139311897E-2</v>
      </c>
      <c r="I76" s="19">
        <f t="shared" ca="1" si="66"/>
        <v>0.46657675715052604</v>
      </c>
      <c r="J76" s="19">
        <f t="shared" ca="1" si="145"/>
        <v>-2.6146572891976025</v>
      </c>
      <c r="K76" s="19">
        <f t="shared" ca="1" si="146"/>
        <v>0.55730655059429224</v>
      </c>
      <c r="L76" s="19">
        <f t="array" aca="1" ref="L76:M76" ca="1">MMULT(J76:K76,TRANSPOSE($B$10:$C$11))</f>
        <v>-2.6146572891976025</v>
      </c>
      <c r="M76" s="19">
        <f ca="1"/>
        <v>2.2621718033222047</v>
      </c>
      <c r="N76" s="20">
        <f ca="1">GetVariance(N75,Variance_Avg,Lambda,Eta,M76,"Daily")</f>
        <v>5.9723072031494337E-2</v>
      </c>
      <c r="O76" s="20">
        <f ca="1">GetStockReturns(O75,RiskFreeRate,N75,L76,"Daily")</f>
        <v>-0.16861525828295418</v>
      </c>
      <c r="P76" s="19">
        <f t="shared" ca="1" si="152"/>
        <v>0.11194665688924829</v>
      </c>
      <c r="Q76" s="19">
        <f ca="1">HCTrans(P76,Strike,RiskFreeRate,Dividend,Variance_T0*AnnualVarConvtr,(Simulation!G76)/250,0.5,Variance_Avg*AnnualVarConvtr,Lambda,SQRT(Simulation!N76),Rho,1,"Call")</f>
        <v>-1.1819871741203247E-5</v>
      </c>
      <c r="R76" s="19" t="e">
        <f t="shared" ca="1" si="147"/>
        <v>#VALUE!</v>
      </c>
      <c r="S76" s="19" t="e">
        <f t="shared" ca="1" si="148"/>
        <v>#VALUE!</v>
      </c>
      <c r="T76" s="19" t="e">
        <f t="shared" ca="1" si="153"/>
        <v>#VALUE!</v>
      </c>
      <c r="U76" s="19" t="e">
        <f t="shared" ca="1" si="154"/>
        <v>#VALUE!</v>
      </c>
      <c r="V76" s="21">
        <f t="shared" ca="1" si="155"/>
        <v>1.2886659023468303E-3</v>
      </c>
      <c r="W76">
        <f t="shared" ca="1" si="156"/>
        <v>3.5897993012797114E-2</v>
      </c>
      <c r="X76" s="22">
        <f t="shared" ref="X76" ca="1" si="171">BSdelta(1,P76,Strike,W76*AnnualVarConvtr,Dividend,RiskFreeRate,G76/250)</f>
        <v>2.8486296361506935E-44</v>
      </c>
      <c r="Y76" s="22">
        <f t="shared" ca="1" si="162"/>
        <v>3.1889456448270591E-45</v>
      </c>
      <c r="Z76" s="22">
        <f t="shared" ca="1" si="163"/>
        <v>-7.4987746148951802</v>
      </c>
      <c r="AA76">
        <f t="shared" si="150"/>
        <v>0.73884103340948371</v>
      </c>
      <c r="AB76">
        <f t="shared" ref="AB76" ca="1" si="172">BSdelta(1,P76,Strike,AA76/AnnualVarConvtr,Dividend,RiskFreeRate,G76/250)</f>
        <v>0</v>
      </c>
      <c r="AC76">
        <f t="shared" ca="1" si="159"/>
        <v>0</v>
      </c>
      <c r="AD76">
        <f t="shared" ca="1" si="160"/>
        <v>-2.5925398643405568</v>
      </c>
    </row>
    <row r="77" spans="7:30" x14ac:dyDescent="0.25">
      <c r="G77" s="19">
        <v>178</v>
      </c>
      <c r="H77" s="19">
        <f t="shared" ca="1" si="66"/>
        <v>0.45907208881527906</v>
      </c>
      <c r="I77" s="19">
        <f t="shared" ca="1" si="66"/>
        <v>0.73185762412005351</v>
      </c>
      <c r="J77" s="19">
        <f t="shared" ca="1" si="145"/>
        <v>-0.14193541579846231</v>
      </c>
      <c r="K77" s="19">
        <f t="shared" ca="1" si="146"/>
        <v>-1.2397380319101718</v>
      </c>
      <c r="L77" s="19">
        <f t="array" aca="1" ref="L77:M77" ca="1">MMULT(J77:K77,TRANSPOSE($B$10:$C$11))</f>
        <v>-0.14193541579846231</v>
      </c>
      <c r="M77" s="19">
        <f ca="1"/>
        <v>-0.76312852228046113</v>
      </c>
      <c r="N77" s="20">
        <f ca="1">GetVariance(N76,Variance_Avg,Lambda,Eta,M77,"Daily")</f>
        <v>5.4958425344305818E-2</v>
      </c>
      <c r="O77" s="20">
        <f ca="1">GetStockReturns(O76,RiskFreeRate,N76,L77,"Daily")</f>
        <v>-0.17080903205264847</v>
      </c>
      <c r="P77" s="19">
        <f t="shared" ca="1" si="152"/>
        <v>9.4369077252608249E-2</v>
      </c>
      <c r="Q77" s="19">
        <f ca="1">HCTrans(P77,Strike,RiskFreeRate,Dividend,Variance_T0*AnnualVarConvtr,(Simulation!G77)/250,0.5,Variance_Avg*AnnualVarConvtr,Lambda,SQRT(Simulation!N77),Rho,1,"Call")</f>
        <v>-1.2116644050236269E-5</v>
      </c>
      <c r="R77" s="19" t="e">
        <f t="shared" ca="1" si="147"/>
        <v>#VALUE!</v>
      </c>
      <c r="S77" s="19" t="e">
        <f t="shared" ca="1" si="148"/>
        <v>#VALUE!</v>
      </c>
      <c r="T77" s="19" t="e">
        <f t="shared" ca="1" si="153"/>
        <v>#VALUE!</v>
      </c>
      <c r="U77" s="19" t="e">
        <f t="shared" ca="1" si="154"/>
        <v>#VALUE!</v>
      </c>
      <c r="V77" s="21">
        <f t="shared" ca="1" si="155"/>
        <v>4.8126433525986982E-6</v>
      </c>
      <c r="W77">
        <f t="shared" ca="1" si="156"/>
        <v>2.1937737696942905E-3</v>
      </c>
      <c r="X77" s="22">
        <f t="shared" ref="X77" ca="1" si="173">BSdelta(1,P77,Strike,W77*AnnualVarConvtr,Dividend,RiskFreeRate,G77/250)</f>
        <v>0</v>
      </c>
      <c r="Y77" s="22">
        <f t="shared" ca="1" si="162"/>
        <v>-2.6882255019797411E-45</v>
      </c>
      <c r="Z77" s="22">
        <f t="shared" ca="1" si="163"/>
        <v>-7.4987749116674891</v>
      </c>
      <c r="AA77">
        <f t="shared" si="150"/>
        <v>0.73884103340948371</v>
      </c>
      <c r="AB77">
        <f t="shared" ref="AB77" ca="1" si="174">BSdelta(1,P77,Strike,AA77/AnnualVarConvtr,Dividend,RiskFreeRate,G77/250)</f>
        <v>0</v>
      </c>
      <c r="AC77">
        <f t="shared" ca="1" si="159"/>
        <v>0</v>
      </c>
      <c r="AD77">
        <f t="shared" ca="1" si="160"/>
        <v>-2.5925401611128658</v>
      </c>
    </row>
    <row r="78" spans="7:30" x14ac:dyDescent="0.25">
      <c r="G78" s="19">
        <v>177</v>
      </c>
      <c r="H78" s="19">
        <f t="shared" ca="1" si="66"/>
        <v>1.3037504529933353E-2</v>
      </c>
      <c r="I78" s="19">
        <f t="shared" ca="1" si="66"/>
        <v>0.20269253722578906</v>
      </c>
      <c r="J78" s="19">
        <f t="shared" ca="1" si="145"/>
        <v>0.86288223792651686</v>
      </c>
      <c r="K78" s="19">
        <f t="shared" ca="1" si="146"/>
        <v>2.8169636962291968</v>
      </c>
      <c r="L78" s="19">
        <f t="array" aca="1" ref="L78:M78" ca="1">MMULT(J78:K78,TRANSPOSE($B$10:$C$11))</f>
        <v>0.86288223792651686</v>
      </c>
      <c r="M78" s="19">
        <f ca="1"/>
        <v>1.346822387780068</v>
      </c>
      <c r="N78" s="20">
        <f ca="1">GetVariance(N77,Variance_Avg,Lambda,Eta,M78,"Daily")</f>
        <v>6.2719086900208859E-2</v>
      </c>
      <c r="O78" s="20">
        <f ca="1">GetStockReturns(O77,RiskFreeRate,N77,L78,"Daily")</f>
        <v>-0.15801525832569369</v>
      </c>
      <c r="P78" s="19">
        <f t="shared" ca="1" si="152"/>
        <v>8.0575786575732028E-2</v>
      </c>
      <c r="Q78" s="19">
        <f ca="1">HCTrans(P78,Strike,RiskFreeRate,Dividend,Variance_T0*AnnualVarConvtr,(Simulation!G78)/250,0.5,Variance_Avg*AnnualVarConvtr,Lambda,SQRT(Simulation!N78),Rho,1,"Call")</f>
        <v>-1.2367703011564868E-5</v>
      </c>
      <c r="R78" s="19" t="e">
        <f t="shared" ca="1" si="147"/>
        <v>#VALUE!</v>
      </c>
      <c r="S78" s="19" t="e">
        <f t="shared" ca="1" si="148"/>
        <v>#VALUE!</v>
      </c>
      <c r="T78" s="19" t="e">
        <f t="shared" ca="1" si="153"/>
        <v>#VALUE!</v>
      </c>
      <c r="U78" s="19" t="e">
        <f t="shared" ca="1" si="154"/>
        <v>#VALUE!</v>
      </c>
      <c r="V78" s="21">
        <f t="shared" ca="1" si="155"/>
        <v>1.6368064617651847E-4</v>
      </c>
      <c r="W78">
        <f t="shared" ca="1" si="156"/>
        <v>1.2793773726954782E-2</v>
      </c>
      <c r="X78" s="22">
        <f t="shared" ref="X78" ca="1" si="175">BSdelta(1,P78,Strike,W78*AnnualVarConvtr,Dividend,RiskFreeRate,G78/250)</f>
        <v>0</v>
      </c>
      <c r="Y78" s="22">
        <f t="shared" ca="1" si="162"/>
        <v>0</v>
      </c>
      <c r="Z78" s="22">
        <f t="shared" ca="1" si="163"/>
        <v>-7.4987751627264503</v>
      </c>
      <c r="AA78">
        <f t="shared" si="150"/>
        <v>0.73884103340948371</v>
      </c>
      <c r="AB78">
        <f t="shared" ref="AB78" ca="1" si="176">BSdelta(1,P78,Strike,AA78/AnnualVarConvtr,Dividend,RiskFreeRate,G78/250)</f>
        <v>0</v>
      </c>
      <c r="AC78">
        <f t="shared" ca="1" si="159"/>
        <v>0</v>
      </c>
      <c r="AD78">
        <f t="shared" ca="1" si="160"/>
        <v>-2.592540412171827</v>
      </c>
    </row>
    <row r="79" spans="7:30" x14ac:dyDescent="0.25">
      <c r="G79" s="19">
        <v>176</v>
      </c>
      <c r="H79" s="19">
        <f t="shared" ca="1" si="66"/>
        <v>0.44314277289619541</v>
      </c>
      <c r="I79" s="19">
        <f t="shared" ca="1" si="66"/>
        <v>0.29641704029783578</v>
      </c>
      <c r="J79" s="19">
        <f t="shared" ca="1" si="145"/>
        <v>-0.36683755521851136</v>
      </c>
      <c r="K79" s="19">
        <f t="shared" ca="1" si="146"/>
        <v>1.2219479354320966</v>
      </c>
      <c r="L79" s="19">
        <f t="array" aca="1" ref="L79:M79" ca="1">MMULT(J79:K79,TRANSPOSE($B$10:$C$11))</f>
        <v>-0.36683755521851136</v>
      </c>
      <c r="M79" s="19">
        <f ca="1"/>
        <v>1.1152542143573778</v>
      </c>
      <c r="N79" s="20">
        <f ca="1">GetVariance(N78,Variance_Avg,Lambda,Eta,M79,"Daily")</f>
        <v>6.9459471871587727E-2</v>
      </c>
      <c r="O79" s="20">
        <f ca="1">GetStockReturns(O78,RiskFreeRate,N78,L79,"Daily")</f>
        <v>-0.16382562646325316</v>
      </c>
      <c r="P79" s="19">
        <f t="shared" ca="1" si="152"/>
        <v>6.8399982119841538E-2</v>
      </c>
      <c r="Q79" s="19">
        <f ca="1">HCTrans(P79,Strike,RiskFreeRate,Dividend,Variance_T0*AnnualVarConvtr,(Simulation!G79)/250,0.5,Variance_Avg*AnnualVarConvtr,Lambda,SQRT(Simulation!N79),Rho,1,"Call")</f>
        <v>-1.26066393469626E-5</v>
      </c>
      <c r="R79" s="19" t="e">
        <f t="shared" ca="1" si="147"/>
        <v>#VALUE!</v>
      </c>
      <c r="S79" s="19" t="e">
        <f t="shared" ca="1" si="148"/>
        <v>#VALUE!</v>
      </c>
      <c r="T79" s="19" t="e">
        <f t="shared" ca="1" si="153"/>
        <v>#VALUE!</v>
      </c>
      <c r="U79" s="19" t="e">
        <f t="shared" ca="1" si="154"/>
        <v>#VALUE!</v>
      </c>
      <c r="V79" s="21">
        <f t="shared" ca="1" si="155"/>
        <v>3.3760377893966352E-5</v>
      </c>
      <c r="W79">
        <f t="shared" ca="1" si="156"/>
        <v>5.810368137559474E-3</v>
      </c>
      <c r="X79" s="22">
        <f t="shared" ref="X79" ca="1" si="177">BSdelta(1,P79,Strike,W79*AnnualVarConvtr,Dividend,RiskFreeRate,G79/250)</f>
        <v>0</v>
      </c>
      <c r="Y79" s="22">
        <f t="shared" ca="1" si="162"/>
        <v>0</v>
      </c>
      <c r="Z79" s="22">
        <f t="shared" ca="1" si="163"/>
        <v>-7.4987754016627859</v>
      </c>
      <c r="AA79">
        <f t="shared" si="150"/>
        <v>0.73884103340948371</v>
      </c>
      <c r="AB79">
        <f t="shared" ref="AB79" ca="1" si="178">BSdelta(1,P79,Strike,AA79/AnnualVarConvtr,Dividend,RiskFreeRate,G79/250)</f>
        <v>0</v>
      </c>
      <c r="AC79">
        <f t="shared" ca="1" si="159"/>
        <v>0</v>
      </c>
      <c r="AD79">
        <f t="shared" ca="1" si="160"/>
        <v>-2.5925406511081626</v>
      </c>
    </row>
    <row r="80" spans="7:30" x14ac:dyDescent="0.25">
      <c r="G80" s="19">
        <v>175</v>
      </c>
      <c r="H80" s="19">
        <f t="shared" ca="1" si="66"/>
        <v>0.84547974705988538</v>
      </c>
      <c r="I80" s="19">
        <f t="shared" ca="1" si="66"/>
        <v>0.3613478225403598</v>
      </c>
      <c r="J80" s="19">
        <f t="shared" ca="1" si="145"/>
        <v>-0.37308962258140332</v>
      </c>
      <c r="K80" s="19">
        <f t="shared" ca="1" si="146"/>
        <v>0.44329026944892741</v>
      </c>
      <c r="L80" s="19">
        <f t="array" aca="1" ref="L80:M80" ca="1">MMULT(J80:K80,TRANSPOSE($B$10:$C$11))</f>
        <v>-0.37308962258140332</v>
      </c>
      <c r="M80" s="19">
        <f ca="1"/>
        <v>0.57655228426244265</v>
      </c>
      <c r="N80" s="20">
        <f ca="1">GetVariance(N79,Variance_Avg,Lambda,Eta,M80,"Daily")</f>
        <v>7.2904461609948304E-2</v>
      </c>
      <c r="O80" s="20">
        <f ca="1">GetStockReturns(O79,RiskFreeRate,N79,L80,"Daily")</f>
        <v>-0.17004445959247133</v>
      </c>
      <c r="P80" s="19">
        <f t="shared" ca="1" si="152"/>
        <v>5.7704092812850251E-2</v>
      </c>
      <c r="Q80" s="19">
        <f ca="1">HCTrans(P80,Strike,RiskFreeRate,Dividend,Variance_T0*AnnualVarConvtr,(Simulation!G80)/250,0.5,Variance_Avg*AnnualVarConvtr,Lambda,SQRT(Simulation!N80),Rho,1,"Call")</f>
        <v>-1.2833529860180326E-5</v>
      </c>
      <c r="R80" s="19" t="e">
        <f t="shared" ca="1" si="147"/>
        <v>#VALUE!</v>
      </c>
      <c r="S80" s="19" t="e">
        <f t="shared" ca="1" si="148"/>
        <v>#VALUE!</v>
      </c>
      <c r="T80" s="19" t="e">
        <f t="shared" ca="1" si="153"/>
        <v>#VALUE!</v>
      </c>
      <c r="U80" s="19" t="e">
        <f t="shared" ca="1" si="154"/>
        <v>#VALUE!</v>
      </c>
      <c r="V80" s="21">
        <f t="shared" ca="1" si="155"/>
        <v>3.867388548906147E-5</v>
      </c>
      <c r="W80">
        <f t="shared" ca="1" si="156"/>
        <v>6.2188331292181709E-3</v>
      </c>
      <c r="X80" s="22">
        <f t="shared" ref="X80" ca="1" si="179">BSdelta(1,P80,Strike,W80*AnnualVarConvtr,Dividend,RiskFreeRate,G80/250)</f>
        <v>0</v>
      </c>
      <c r="Y80" s="22">
        <f t="shared" ca="1" si="162"/>
        <v>0</v>
      </c>
      <c r="Z80" s="22">
        <f t="shared" ca="1" si="163"/>
        <v>-7.4987756285532994</v>
      </c>
      <c r="AA80">
        <f t="shared" si="150"/>
        <v>0.73884103340948371</v>
      </c>
      <c r="AB80">
        <f t="shared" ref="AB80" ca="1" si="180">BSdelta(1,P80,Strike,AA80/AnnualVarConvtr,Dividend,RiskFreeRate,G80/250)</f>
        <v>0</v>
      </c>
      <c r="AC80">
        <f t="shared" ca="1" si="159"/>
        <v>0</v>
      </c>
      <c r="AD80">
        <f t="shared" ca="1" si="160"/>
        <v>-2.5925408779986756</v>
      </c>
    </row>
    <row r="81" spans="7:30" x14ac:dyDescent="0.25">
      <c r="G81" s="19">
        <v>174</v>
      </c>
      <c r="H81" s="19">
        <f t="shared" ca="1" si="66"/>
        <v>0.48205539727006153</v>
      </c>
      <c r="I81" s="19">
        <f t="shared" ca="1" si="66"/>
        <v>0.71505248781999009</v>
      </c>
      <c r="J81" s="19">
        <f t="shared" ca="1" si="145"/>
        <v>-0.26313981169736322</v>
      </c>
      <c r="K81" s="19">
        <f t="shared" ca="1" si="146"/>
        <v>-1.1790461900961291</v>
      </c>
      <c r="L81" s="19">
        <f t="array" aca="1" ref="L81:M81" ca="1">MMULT(J81:K81,TRANSPOSE($B$10:$C$11))</f>
        <v>-0.26313981169736322</v>
      </c>
      <c r="M81" s="19">
        <f ca="1"/>
        <v>-0.63394772721995596</v>
      </c>
      <c r="N81" s="20">
        <f ca="1">GetVariance(N80,Variance_Avg,Lambda,Eta,M81,"Daily")</f>
        <v>6.8418572748996639E-2</v>
      </c>
      <c r="O81" s="20">
        <f ca="1">GetStockReturns(O80,RiskFreeRate,N80,L81,"Daily")</f>
        <v>-0.17453805129344097</v>
      </c>
      <c r="P81" s="19">
        <f t="shared" ca="1" si="152"/>
        <v>4.8462487852376022E-2</v>
      </c>
      <c r="Q81" s="19">
        <f ca="1">HCTrans(P81,Strike,RiskFreeRate,Dividend,Variance_T0*AnnualVarConvtr,(Simulation!G81)/250,0.5,Variance_Avg*AnnualVarConvtr,Lambda,SQRT(Simulation!N81),Rho,1,"Call")</f>
        <v>-1.3045964548229205E-5</v>
      </c>
      <c r="R81" s="19" t="e">
        <f t="shared" ca="1" si="147"/>
        <v>#VALUE!</v>
      </c>
      <c r="S81" s="19" t="e">
        <f t="shared" ca="1" si="148"/>
        <v>#VALUE!</v>
      </c>
      <c r="T81" s="19" t="e">
        <f t="shared" ca="1" si="153"/>
        <v>#VALUE!</v>
      </c>
      <c r="U81" s="19" t="e">
        <f t="shared" ca="1" si="154"/>
        <v>#VALUE!</v>
      </c>
      <c r="V81" s="21">
        <f t="shared" ca="1" si="155"/>
        <v>2.0192366375023174E-5</v>
      </c>
      <c r="W81">
        <f t="shared" ca="1" si="156"/>
        <v>4.4935917009696347E-3</v>
      </c>
      <c r="X81" s="22">
        <f t="shared" ref="X81" ca="1" si="181">BSdelta(1,P81,Strike,W81*AnnualVarConvtr,Dividend,RiskFreeRate,G81/250)</f>
        <v>0</v>
      </c>
      <c r="Y81" s="22">
        <f t="shared" ca="1" si="162"/>
        <v>0</v>
      </c>
      <c r="Z81" s="22">
        <f t="shared" ca="1" si="163"/>
        <v>-7.498775840987987</v>
      </c>
      <c r="AA81">
        <f t="shared" si="150"/>
        <v>0.73884103340948371</v>
      </c>
      <c r="AB81">
        <f t="shared" ref="AB81" ca="1" si="182">BSdelta(1,P81,Strike,AA81/AnnualVarConvtr,Dividend,RiskFreeRate,G81/250)</f>
        <v>0</v>
      </c>
      <c r="AC81">
        <f t="shared" ca="1" si="159"/>
        <v>0</v>
      </c>
      <c r="AD81">
        <f t="shared" ca="1" si="160"/>
        <v>-2.5925410904333637</v>
      </c>
    </row>
    <row r="82" spans="7:30" x14ac:dyDescent="0.25">
      <c r="G82" s="19">
        <v>173</v>
      </c>
      <c r="H82" s="19">
        <f t="shared" ca="1" si="66"/>
        <v>0.44291705521931468</v>
      </c>
      <c r="I82" s="19">
        <f t="shared" ca="1" si="66"/>
        <v>0.47512755308958943</v>
      </c>
      <c r="J82" s="19">
        <f t="shared" ca="1" si="145"/>
        <v>-1.2606703213191013</v>
      </c>
      <c r="K82" s="19">
        <f t="shared" ca="1" si="146"/>
        <v>0.1986349979637767</v>
      </c>
      <c r="L82" s="19">
        <f t="array" aca="1" ref="L82:M82" ca="1">MMULT(J82:K82,TRANSPOSE($B$10:$C$11))</f>
        <v>-1.2606703213191013</v>
      </c>
      <c r="M82" s="19">
        <f ca="1"/>
        <v>1.0418354956924156</v>
      </c>
      <c r="N82" s="20">
        <f ca="1">GetVariance(N81,Variance_Avg,Lambda,Eta,M82,"Daily")</f>
        <v>7.4938458783720505E-2</v>
      </c>
      <c r="O82" s="20">
        <f ca="1">GetStockReturns(O81,RiskFreeRate,N81,L82,"Daily")</f>
        <v>-0.19539345156840757</v>
      </c>
      <c r="P82" s="19">
        <f t="shared" ca="1" si="152"/>
        <v>3.9860928190116218E-2</v>
      </c>
      <c r="Q82" s="19">
        <f ca="1">HCTrans(P82,Strike,RiskFreeRate,Dividend,Variance_T0*AnnualVarConvtr,(Simulation!G82)/250,0.5,Variance_Avg*AnnualVarConvtr,Lambda,SQRT(Simulation!N82),Rho,1,"Call")</f>
        <v>-1.3260997605381297E-5</v>
      </c>
      <c r="R82" s="19" t="e">
        <f t="shared" ca="1" si="147"/>
        <v>#VALUE!</v>
      </c>
      <c r="S82" s="19" t="e">
        <f t="shared" ca="1" si="148"/>
        <v>#VALUE!</v>
      </c>
      <c r="T82" s="19" t="e">
        <f t="shared" ca="1" si="153"/>
        <v>#VALUE!</v>
      </c>
      <c r="U82" s="19" t="e">
        <f t="shared" ca="1" si="154"/>
        <v>#VALUE!</v>
      </c>
      <c r="V82" s="21">
        <f t="shared" ca="1" si="155"/>
        <v>4.3494772062907701E-4</v>
      </c>
      <c r="W82">
        <f t="shared" ca="1" si="156"/>
        <v>2.0855400274966601E-2</v>
      </c>
      <c r="X82" s="22">
        <f t="shared" ref="X82" ca="1" si="183">BSdelta(1,P82,Strike,W82*AnnualVarConvtr,Dividend,RiskFreeRate,G82/250)</f>
        <v>1.0645170588424425E-177</v>
      </c>
      <c r="Y82" s="22">
        <f t="shared" ca="1" si="162"/>
        <v>4.2432638039672318E-179</v>
      </c>
      <c r="Z82" s="22">
        <f t="shared" ca="1" si="163"/>
        <v>-7.4987760560210441</v>
      </c>
      <c r="AA82">
        <f t="shared" si="150"/>
        <v>0.73884103340948371</v>
      </c>
      <c r="AB82">
        <f t="shared" ref="AB82" ca="1" si="184">BSdelta(1,P82,Strike,AA82/AnnualVarConvtr,Dividend,RiskFreeRate,G82/250)</f>
        <v>0</v>
      </c>
      <c r="AC82">
        <f t="shared" ca="1" si="159"/>
        <v>0</v>
      </c>
      <c r="AD82">
        <f t="shared" ca="1" si="160"/>
        <v>-2.5925413054664208</v>
      </c>
    </row>
    <row r="83" spans="7:30" x14ac:dyDescent="0.25">
      <c r="G83" s="19">
        <v>172</v>
      </c>
      <c r="H83" s="19">
        <f t="shared" ca="1" si="66"/>
        <v>0.21901599259192372</v>
      </c>
      <c r="I83" s="19">
        <f t="shared" ca="1" si="66"/>
        <v>0.17526289789195793</v>
      </c>
      <c r="J83" s="19">
        <f t="shared" ca="1" si="145"/>
        <v>0.78863153753967996</v>
      </c>
      <c r="K83" s="19">
        <f t="shared" ca="1" si="146"/>
        <v>1.5541175472253523</v>
      </c>
      <c r="L83" s="19">
        <f t="array" aca="1" ref="L83:M83" ca="1">MMULT(J83:K83,TRANSPOSE($B$10:$C$11))</f>
        <v>0.78863153753967996</v>
      </c>
      <c r="M83" s="19">
        <f ca="1"/>
        <v>0.51907784271752777</v>
      </c>
      <c r="N83" s="20">
        <f ca="1">GetVariance(N82,Variance_Avg,Lambda,Eta,M83,"Daily")</f>
        <v>7.8103307252375881E-2</v>
      </c>
      <c r="O83" s="20">
        <f ca="1">GetStockReturns(O82,RiskFreeRate,N82,L83,"Daily")</f>
        <v>-0.18173955795164737</v>
      </c>
      <c r="P83" s="19">
        <f t="shared" ca="1" si="152"/>
        <v>3.3236778296988068E-2</v>
      </c>
      <c r="Q83" s="19">
        <f ca="1">HCTrans(P83,Strike,RiskFreeRate,Dividend,Variance_T0*AnnualVarConvtr,(Simulation!G83)/250,0.5,Variance_Avg*AnnualVarConvtr,Lambda,SQRT(Simulation!N83),Rho,1,"Call")</f>
        <v>-1.3441542799016992E-5</v>
      </c>
      <c r="R83" s="19" t="e">
        <f t="shared" ca="1" si="147"/>
        <v>#VALUE!</v>
      </c>
      <c r="S83" s="19" t="e">
        <f t="shared" ca="1" si="148"/>
        <v>#VALUE!</v>
      </c>
      <c r="T83" s="19" t="e">
        <f t="shared" ca="1" si="153"/>
        <v>#VALUE!</v>
      </c>
      <c r="U83" s="19" t="e">
        <f t="shared" ca="1" si="154"/>
        <v>#VALUE!</v>
      </c>
      <c r="V83" s="21">
        <f t="shared" ca="1" si="155"/>
        <v>1.8642881089780489E-4</v>
      </c>
      <c r="W83">
        <f t="shared" ca="1" si="156"/>
        <v>1.3653893616760199E-2</v>
      </c>
      <c r="X83" s="22">
        <f t="shared" ref="X83" ca="1" si="185">BSdelta(1,P83,Strike,W83*AnnualVarConvtr,Dividend,RiskFreeRate,G83/250)</f>
        <v>0</v>
      </c>
      <c r="Y83" s="22">
        <f t="shared" ca="1" si="162"/>
        <v>-3.538111747810806E-179</v>
      </c>
      <c r="Z83" s="22">
        <f t="shared" ca="1" si="163"/>
        <v>-7.498776236566238</v>
      </c>
      <c r="AA83">
        <f t="shared" si="150"/>
        <v>0.73884103340948371</v>
      </c>
      <c r="AB83">
        <f t="shared" ref="AB83" ca="1" si="186">BSdelta(1,P83,Strike,AA83/AnnualVarConvtr,Dividend,RiskFreeRate,G83/250)</f>
        <v>0</v>
      </c>
      <c r="AC83">
        <f t="shared" ca="1" si="159"/>
        <v>0</v>
      </c>
      <c r="AD83">
        <f t="shared" ca="1" si="160"/>
        <v>-2.5925414860116143</v>
      </c>
    </row>
    <row r="84" spans="7:30" x14ac:dyDescent="0.25">
      <c r="G84" s="19">
        <v>171</v>
      </c>
      <c r="H84" s="19">
        <f t="shared" ca="1" si="66"/>
        <v>0.2316005000940925</v>
      </c>
      <c r="I84" s="19">
        <f t="shared" ca="1" si="66"/>
        <v>5.9838476627322335E-2</v>
      </c>
      <c r="J84" s="19">
        <f t="shared" ca="1" si="145"/>
        <v>1.5909318590652595</v>
      </c>
      <c r="K84" s="19">
        <f t="shared" ca="1" si="146"/>
        <v>0.62802752151524288</v>
      </c>
      <c r="L84" s="19">
        <f t="array" aca="1" ref="L84:M84" ca="1">MMULT(J84:K84,TRANSPOSE($B$10:$C$11))</f>
        <v>1.5909318590652595</v>
      </c>
      <c r="M84" s="19">
        <f ca="1"/>
        <v>-0.70179878500686232</v>
      </c>
      <c r="N84" s="20">
        <f ca="1">GetVariance(N83,Variance_Avg,Lambda,Eta,M84,"Daily")</f>
        <v>7.2991445610183392E-2</v>
      </c>
      <c r="O84" s="20">
        <f ca="1">GetStockReturns(O83,RiskFreeRate,N83,L84,"Daily")</f>
        <v>-0.15361949512520459</v>
      </c>
      <c r="P84" s="19">
        <f t="shared" ca="1" si="152"/>
        <v>2.8503803875708521E-2</v>
      </c>
      <c r="Q84" s="19">
        <f ca="1">HCTrans(P84,Strike,RiskFreeRate,Dividend,Variance_T0*AnnualVarConvtr,(Simulation!G84)/250,0.5,Variance_Avg*AnnualVarConvtr,Lambda,SQRT(Simulation!N84),Rho,1,"Call")</f>
        <v>-1.3580847462599244E-5</v>
      </c>
      <c r="R84" s="19" t="e">
        <f t="shared" ca="1" si="147"/>
        <v>#VALUE!</v>
      </c>
      <c r="S84" s="19" t="e">
        <f t="shared" ca="1" si="148"/>
        <v>#VALUE!</v>
      </c>
      <c r="T84" s="19" t="e">
        <f t="shared" ca="1" si="153"/>
        <v>#VALUE!</v>
      </c>
      <c r="U84" s="19" t="e">
        <f t="shared" ca="1" si="154"/>
        <v>#VALUE!</v>
      </c>
      <c r="V84" s="21">
        <f t="shared" ca="1" si="155"/>
        <v>7.9073793336308887E-4</v>
      </c>
      <c r="W84">
        <f t="shared" ca="1" si="156"/>
        <v>2.8120062826442777E-2</v>
      </c>
      <c r="X84" s="22">
        <f t="shared" ref="X84" ca="1" si="187">BSdelta(1,P84,Strike,W84*AnnualVarConvtr,Dividend,RiskFreeRate,G84/250)</f>
        <v>1.0357040005055599E-107</v>
      </c>
      <c r="Y84" s="22">
        <f t="shared" ca="1" si="162"/>
        <v>2.9521503703697197E-109</v>
      </c>
      <c r="Z84" s="22">
        <f t="shared" ca="1" si="163"/>
        <v>-7.4987763758709018</v>
      </c>
      <c r="AA84">
        <f t="shared" si="150"/>
        <v>0.73884103340948371</v>
      </c>
      <c r="AB84">
        <f t="shared" ref="AB84" ca="1" si="188">BSdelta(1,P84,Strike,AA84/AnnualVarConvtr,Dividend,RiskFreeRate,G84/250)</f>
        <v>0</v>
      </c>
      <c r="AC84">
        <f t="shared" ca="1" si="159"/>
        <v>0</v>
      </c>
      <c r="AD84">
        <f t="shared" ca="1" si="160"/>
        <v>-2.5925416253162776</v>
      </c>
    </row>
    <row r="85" spans="7:30" x14ac:dyDescent="0.25">
      <c r="G85" s="19">
        <v>170</v>
      </c>
      <c r="H85" s="19">
        <f t="shared" ca="1" si="66"/>
        <v>0.59161153146001599</v>
      </c>
      <c r="I85" s="19">
        <f t="shared" ca="1" si="66"/>
        <v>0.21726971561579167</v>
      </c>
      <c r="J85" s="19">
        <f t="shared" ca="1" si="145"/>
        <v>0.2092278495673868</v>
      </c>
      <c r="K85" s="19">
        <f t="shared" ca="1" si="146"/>
        <v>1.0030123726358569</v>
      </c>
      <c r="L85" s="19">
        <f t="array" aca="1" ref="L85:M85" ca="1">MMULT(J85:K85,TRANSPOSE($B$10:$C$11))</f>
        <v>0.2092278495673868</v>
      </c>
      <c r="M85" s="19">
        <f ca="1"/>
        <v>0.54977672938702637</v>
      </c>
      <c r="N85" s="20">
        <f ca="1">GetVariance(N84,Variance_Avg,Lambda,Eta,M85,"Daily")</f>
        <v>7.6329355496413023E-2</v>
      </c>
      <c r="O85" s="20">
        <f ca="1">GetStockReturns(O84,RiskFreeRate,N84,L85,"Daily")</f>
        <v>-0.1500444175528714</v>
      </c>
      <c r="P85" s="19">
        <f t="shared" ca="1" si="152"/>
        <v>2.4532361662606052E-2</v>
      </c>
      <c r="Q85" s="19">
        <f ca="1">HCTrans(P85,Strike,RiskFreeRate,Dividend,Variance_T0*AnnualVarConvtr,(Simulation!G85)/250,0.5,Variance_Avg*AnnualVarConvtr,Lambda,SQRT(Simulation!N85),Rho,1,"Call")</f>
        <v>-1.3705932465496451E-5</v>
      </c>
      <c r="R85" s="19" t="e">
        <f t="shared" ca="1" si="147"/>
        <v>#VALUE!</v>
      </c>
      <c r="S85" s="19" t="e">
        <f t="shared" ca="1" si="148"/>
        <v>#VALUE!</v>
      </c>
      <c r="T85" s="19" t="e">
        <f t="shared" ca="1" si="153"/>
        <v>#VALUE!</v>
      </c>
      <c r="U85" s="19" t="e">
        <f t="shared" ca="1" si="154"/>
        <v>#VALUE!</v>
      </c>
      <c r="V85" s="21">
        <f t="shared" ca="1" si="155"/>
        <v>1.2781179648199781E-5</v>
      </c>
      <c r="W85">
        <f t="shared" ca="1" si="156"/>
        <v>3.5750775723331907E-3</v>
      </c>
      <c r="X85" s="22">
        <f t="shared" ref="X85" ca="1" si="189">BSdelta(1,P85,Strike,W85*AnnualVarConvtr,Dividend,RiskFreeRate,G85/250)</f>
        <v>0</v>
      </c>
      <c r="Y85" s="22">
        <f t="shared" ca="1" si="162"/>
        <v>-2.5408265115810315E-109</v>
      </c>
      <c r="Z85" s="22">
        <f t="shared" ca="1" si="163"/>
        <v>-7.4987765009559046</v>
      </c>
      <c r="AA85">
        <f t="shared" si="150"/>
        <v>0.73884103340948371</v>
      </c>
      <c r="AB85">
        <f t="shared" ref="AB85" ca="1" si="190">BSdelta(1,P85,Strike,AA85/AnnualVarConvtr,Dividend,RiskFreeRate,G85/250)</f>
        <v>0</v>
      </c>
      <c r="AC85">
        <f t="shared" ca="1" si="159"/>
        <v>0</v>
      </c>
      <c r="AD85">
        <f t="shared" ca="1" si="160"/>
        <v>-2.5925417504012804</v>
      </c>
    </row>
    <row r="86" spans="7:30" x14ac:dyDescent="0.25">
      <c r="G86" s="19">
        <v>169</v>
      </c>
      <c r="H86" s="19">
        <f t="shared" ca="1" si="66"/>
        <v>0.14874219256424959</v>
      </c>
      <c r="I86" s="19">
        <f t="shared" ca="1" si="66"/>
        <v>0.26637656349300631</v>
      </c>
      <c r="J86" s="19">
        <f t="shared" ca="1" si="145"/>
        <v>-0.20052111753943544</v>
      </c>
      <c r="K86" s="19">
        <f t="shared" ca="1" si="146"/>
        <v>1.9418735095815498</v>
      </c>
      <c r="L86" s="19">
        <f t="array" aca="1" ref="L86:M86" ca="1">MMULT(J86:K86,TRANSPOSE($B$10:$C$11))</f>
        <v>-0.20052111753943544</v>
      </c>
      <c r="M86" s="19">
        <f ca="1"/>
        <v>1.4982992740103485</v>
      </c>
      <c r="N86" s="20">
        <f ca="1">GetVariance(N85,Variance_Avg,Lambda,Eta,M86,"Daily")</f>
        <v>8.644959974678694E-2</v>
      </c>
      <c r="O86" s="20">
        <f ca="1">GetStockReturns(O85,RiskFreeRate,N85,L86,"Daily")</f>
        <v>-0.15354819013367163</v>
      </c>
      <c r="P86" s="19">
        <f t="shared" ca="1" si="152"/>
        <v>2.1040411380950932E-2</v>
      </c>
      <c r="Q86" s="19">
        <f ca="1">HCTrans(P86,Strike,RiskFreeRate,Dividend,Variance_T0*AnnualVarConvtr,(Simulation!G86)/250,0.5,Variance_Avg*AnnualVarConvtr,Lambda,SQRT(Simulation!N86),Rho,1,"Call")</f>
        <v>-1.3823636731427613E-5</v>
      </c>
      <c r="R86" s="19" t="e">
        <f t="shared" ca="1" si="147"/>
        <v>#VALUE!</v>
      </c>
      <c r="S86" s="19" t="e">
        <f t="shared" ca="1" si="148"/>
        <v>#VALUE!</v>
      </c>
      <c r="T86" s="19" t="e">
        <f t="shared" ca="1" si="153"/>
        <v>#VALUE!</v>
      </c>
      <c r="U86" s="19" t="e">
        <f t="shared" ca="1" si="154"/>
        <v>#VALUE!</v>
      </c>
      <c r="V86" s="21">
        <f t="shared" ca="1" si="155"/>
        <v>1.2276422297967502E-5</v>
      </c>
      <c r="W86">
        <f t="shared" ca="1" si="156"/>
        <v>3.5037725808002296E-3</v>
      </c>
      <c r="X86" s="22">
        <f t="shared" ref="X86" ca="1" si="191">BSdelta(1,P86,Strike,W86*AnnualVarConvtr,Dividend,RiskFreeRate,G86/250)</f>
        <v>0</v>
      </c>
      <c r="Y86" s="22">
        <f t="shared" ca="1" si="162"/>
        <v>0</v>
      </c>
      <c r="Z86" s="22">
        <f t="shared" ca="1" si="163"/>
        <v>-7.4987766186601705</v>
      </c>
      <c r="AA86">
        <f t="shared" si="150"/>
        <v>0.73884103340948371</v>
      </c>
      <c r="AB86">
        <f t="shared" ref="AB86" ca="1" si="192">BSdelta(1,P86,Strike,AA86/AnnualVarConvtr,Dividend,RiskFreeRate,G86/250)</f>
        <v>0</v>
      </c>
      <c r="AC86">
        <f t="shared" ca="1" si="159"/>
        <v>0</v>
      </c>
      <c r="AD86">
        <f t="shared" ca="1" si="160"/>
        <v>-2.5925418681055463</v>
      </c>
    </row>
    <row r="87" spans="7:30" x14ac:dyDescent="0.25">
      <c r="G87" s="19">
        <v>168</v>
      </c>
      <c r="H87" s="19">
        <f t="shared" ca="1" si="66"/>
        <v>0.6918671211408598</v>
      </c>
      <c r="I87" s="19">
        <f t="shared" ca="1" si="66"/>
        <v>0.95539650596379222</v>
      </c>
      <c r="J87" s="19">
        <f t="shared" ca="1" si="145"/>
        <v>0.82483861892435462</v>
      </c>
      <c r="K87" s="19">
        <f t="shared" ca="1" si="146"/>
        <v>-0.23741099233682719</v>
      </c>
      <c r="L87" s="19">
        <f t="array" aca="1" ref="L87:M87" ca="1">MMULT(J87:K87,TRANSPOSE($B$10:$C$11))</f>
        <v>0.82483861892435462</v>
      </c>
      <c r="M87" s="19">
        <f ca="1"/>
        <v>-0.7566117140549754</v>
      </c>
      <c r="N87" s="20">
        <f ca="1">GetVariance(N86,Variance_Avg,Lambda,Eta,M87,"Daily")</f>
        <v>8.0659892632238342E-2</v>
      </c>
      <c r="O87" s="20">
        <f ca="1">GetStockReturns(O86,RiskFreeRate,N86,L87,"Daily")</f>
        <v>-0.13820977543258423</v>
      </c>
      <c r="P87" s="19">
        <f t="shared" ca="1" si="152"/>
        <v>1.832443040920563E-2</v>
      </c>
      <c r="Q87" s="19">
        <f ca="1">HCTrans(P87,Strike,RiskFreeRate,Dividend,Variance_T0*AnnualVarConvtr,(Simulation!G87)/250,0.5,Variance_Avg*AnnualVarConvtr,Lambda,SQRT(Simulation!N87),Rho,1,"Call")</f>
        <v>-1.3921524890811443E-5</v>
      </c>
      <c r="R87" s="19" t="e">
        <f t="shared" ca="1" si="147"/>
        <v>#VALUE!</v>
      </c>
      <c r="S87" s="19" t="e">
        <f t="shared" ca="1" si="148"/>
        <v>#VALUE!</v>
      </c>
      <c r="T87" s="19" t="e">
        <f t="shared" ca="1" si="153"/>
        <v>#VALUE!</v>
      </c>
      <c r="U87" s="19" t="e">
        <f t="shared" ca="1" si="154"/>
        <v>#VALUE!</v>
      </c>
      <c r="V87" s="21">
        <f t="shared" ca="1" si="155"/>
        <v>2.3526696554253422E-4</v>
      </c>
      <c r="W87">
        <f t="shared" ca="1" si="156"/>
        <v>1.5338414701087405E-2</v>
      </c>
      <c r="X87" s="22">
        <f t="shared" ref="X87" ca="1" si="193">BSdelta(1,P87,Strike,W87*AnnualVarConvtr,Dividend,RiskFreeRate,G87/250)</f>
        <v>0</v>
      </c>
      <c r="Y87" s="22">
        <f t="shared" ca="1" si="162"/>
        <v>0</v>
      </c>
      <c r="Z87" s="22">
        <f t="shared" ca="1" si="163"/>
        <v>-7.4987767165483303</v>
      </c>
      <c r="AA87">
        <f t="shared" si="150"/>
        <v>0.73884103340948371</v>
      </c>
      <c r="AB87">
        <f t="shared" ref="AB87" ca="1" si="194">BSdelta(1,P87,Strike,AA87/AnnualVarConvtr,Dividend,RiskFreeRate,G87/250)</f>
        <v>0</v>
      </c>
      <c r="AC87">
        <f t="shared" ca="1" si="159"/>
        <v>0</v>
      </c>
      <c r="AD87">
        <f t="shared" ca="1" si="160"/>
        <v>-2.5925419659937057</v>
      </c>
    </row>
    <row r="88" spans="7:30" x14ac:dyDescent="0.25">
      <c r="G88" s="19">
        <v>167</v>
      </c>
      <c r="H88" s="19">
        <f t="shared" ca="1" si="66"/>
        <v>0.25917157778799127</v>
      </c>
      <c r="I88" s="19">
        <f t="shared" ca="1" si="66"/>
        <v>0.35886193414709544</v>
      </c>
      <c r="J88" s="19">
        <f t="shared" ca="1" si="145"/>
        <v>-1.0384163380461211</v>
      </c>
      <c r="K88" s="19">
        <f t="shared" ca="1" si="146"/>
        <v>1.273664577941592</v>
      </c>
      <c r="L88" s="19">
        <f t="array" aca="1" ref="L88:M88" ca="1">MMULT(J88:K88,TRANSPOSE($B$10:$C$11))</f>
        <v>-1.0384163380461211</v>
      </c>
      <c r="M88" s="19">
        <f ca="1"/>
        <v>1.6325172744752741</v>
      </c>
      <c r="N88" s="20">
        <f ca="1">GetVariance(N87,Variance_Avg,Lambda,Eta,M88,"Daily")</f>
        <v>9.203898788743782E-2</v>
      </c>
      <c r="O88" s="20">
        <f ca="1">GetStockReturns(O87,RiskFreeRate,N87,L88,"Daily")</f>
        <v>-0.15686198678869534</v>
      </c>
      <c r="P88" s="19">
        <f t="shared" ca="1" si="152"/>
        <v>1.5664126753530291E-2</v>
      </c>
      <c r="Q88" s="19">
        <f ca="1">HCTrans(P88,Strike,RiskFreeRate,Dividend,Variance_T0*AnnualVarConvtr,(Simulation!G88)/250,0.5,Variance_Avg*AnnualVarConvtr,Lambda,SQRT(Simulation!N88),Rho,1,"Call")</f>
        <v>-1.4023789212402188E-5</v>
      </c>
      <c r="R88" s="19" t="e">
        <f t="shared" ca="1" si="147"/>
        <v>#VALUE!</v>
      </c>
      <c r="S88" s="19" t="e">
        <f t="shared" ca="1" si="148"/>
        <v>#VALUE!</v>
      </c>
      <c r="T88" s="19" t="e">
        <f t="shared" ca="1" si="153"/>
        <v>#VALUE!</v>
      </c>
      <c r="U88" s="19" t="e">
        <f t="shared" ca="1" si="154"/>
        <v>#VALUE!</v>
      </c>
      <c r="V88" s="21">
        <f t="shared" ca="1" si="155"/>
        <v>3.4790498847304041E-4</v>
      </c>
      <c r="W88">
        <f t="shared" ca="1" si="156"/>
        <v>1.8652211356111115E-2</v>
      </c>
      <c r="X88" s="22">
        <f t="shared" ref="X88" ca="1" si="195">BSdelta(1,P88,Strike,W88*AnnualVarConvtr,Dividend,RiskFreeRate,G88/250)</f>
        <v>1.084274267778758E-287</v>
      </c>
      <c r="Y88" s="22">
        <f t="shared" ca="1" si="162"/>
        <v>1.698420956607771E-289</v>
      </c>
      <c r="Z88" s="22">
        <f t="shared" ca="1" si="163"/>
        <v>-7.4987768188126518</v>
      </c>
      <c r="AA88">
        <f t="shared" si="150"/>
        <v>0.73884103340948371</v>
      </c>
      <c r="AB88">
        <f t="shared" ref="AB88" ca="1" si="196">BSdelta(1,P88,Strike,AA88/AnnualVarConvtr,Dividend,RiskFreeRate,G88/250)</f>
        <v>0</v>
      </c>
      <c r="AC88">
        <f t="shared" ca="1" si="159"/>
        <v>0</v>
      </c>
      <c r="AD88">
        <f t="shared" ca="1" si="160"/>
        <v>-2.5925420682580271</v>
      </c>
    </row>
    <row r="89" spans="7:30" x14ac:dyDescent="0.25">
      <c r="G89" s="19">
        <v>166</v>
      </c>
      <c r="H89" s="19">
        <f t="shared" ca="1" si="66"/>
        <v>0.94544069134654329</v>
      </c>
      <c r="I89" s="19">
        <f t="shared" ca="1" si="66"/>
        <v>0.14140910623027003</v>
      </c>
      <c r="J89" s="19">
        <f t="shared" ca="1" si="145"/>
        <v>0.21122759510861924</v>
      </c>
      <c r="K89" s="19">
        <f t="shared" ca="1" si="146"/>
        <v>0.25998296741972876</v>
      </c>
      <c r="L89" s="19">
        <f t="array" aca="1" ref="L89:M89" ca="1">MMULT(J89:K89,TRANSPOSE($B$10:$C$11))</f>
        <v>0.21122759510861924</v>
      </c>
      <c r="M89" s="19">
        <f ca="1"/>
        <v>3.0016190144161931E-2</v>
      </c>
      <c r="N89" s="20">
        <f ca="1">GetVariance(N88,Variance_Avg,Lambda,Eta,M89,"Daily")</f>
        <v>9.1811846396858895E-2</v>
      </c>
      <c r="O89" s="20">
        <f ca="1">GetStockReturns(O88,RiskFreeRate,N88,L89,"Daily")</f>
        <v>-0.15280908045155542</v>
      </c>
      <c r="P89" s="19">
        <f t="shared" ca="1" si="152"/>
        <v>1.3444419290874683E-2</v>
      </c>
      <c r="Q89" s="19">
        <f ca="1">HCTrans(P89,Strike,RiskFreeRate,Dividend,Variance_T0*AnnualVarConvtr,(Simulation!G89)/250,0.5,Variance_Avg*AnnualVarConvtr,Lambda,SQRT(Simulation!N89),Rho,1,"Call")</f>
        <v>-1.4115298450858085E-5</v>
      </c>
      <c r="R89" s="19" t="e">
        <f t="shared" ca="1" si="147"/>
        <v>#VALUE!</v>
      </c>
      <c r="S89" s="19" t="e">
        <f t="shared" ca="1" si="148"/>
        <v>#VALUE!</v>
      </c>
      <c r="T89" s="19" t="e">
        <f t="shared" ca="1" si="153"/>
        <v>#VALUE!</v>
      </c>
      <c r="U89" s="19" t="e">
        <f t="shared" ca="1" si="154"/>
        <v>#VALUE!</v>
      </c>
      <c r="V89" s="21">
        <f t="shared" ca="1" si="155"/>
        <v>1.642604977762894E-5</v>
      </c>
      <c r="W89">
        <f t="shared" ca="1" si="156"/>
        <v>4.0529063371399221E-3</v>
      </c>
      <c r="X89" s="22">
        <f t="shared" ref="X89" ca="1" si="197">BSdelta(1,P89,Strike,W89*AnnualVarConvtr,Dividend,RiskFreeRate,G89/250)</f>
        <v>0</v>
      </c>
      <c r="Y89" s="22">
        <f t="shared" ca="1" si="162"/>
        <v>-1.4577437882323757E-289</v>
      </c>
      <c r="Z89" s="22">
        <f t="shared" ca="1" si="163"/>
        <v>-7.4987769103218902</v>
      </c>
      <c r="AA89">
        <f t="shared" si="150"/>
        <v>0.73884103340948371</v>
      </c>
      <c r="AB89">
        <f t="shared" ref="AB89" ca="1" si="198">BSdelta(1,P89,Strike,AA89/AnnualVarConvtr,Dividend,RiskFreeRate,G89/250)</f>
        <v>0</v>
      </c>
      <c r="AC89">
        <f t="shared" ca="1" si="159"/>
        <v>0</v>
      </c>
      <c r="AD89">
        <f t="shared" ca="1" si="160"/>
        <v>-2.5925421597672655</v>
      </c>
    </row>
    <row r="90" spans="7:30" x14ac:dyDescent="0.25">
      <c r="G90" s="19">
        <v>165</v>
      </c>
      <c r="H90" s="19">
        <f t="shared" ca="1" si="66"/>
        <v>0.97858440196218621</v>
      </c>
      <c r="I90" s="19">
        <f t="shared" ca="1" si="66"/>
        <v>0.75939796690130423</v>
      </c>
      <c r="J90" s="19">
        <f t="shared" ca="1" si="145"/>
        <v>1.227969713590505E-2</v>
      </c>
      <c r="K90" s="19">
        <f t="shared" ca="1" si="146"/>
        <v>-0.2077154010109884</v>
      </c>
      <c r="L90" s="19">
        <f t="array" aca="1" ref="L90:M90" ca="1">MMULT(J90:K90,TRANSPOSE($B$10:$C$11))</f>
        <v>1.227969713590505E-2</v>
      </c>
      <c r="M90" s="19">
        <f ca="1"/>
        <v>-0.15369798541502752</v>
      </c>
      <c r="N90" s="20">
        <f ca="1">GetVariance(N89,Variance_Avg,Lambda,Eta,M90,"Daily")</f>
        <v>9.022409531817277E-2</v>
      </c>
      <c r="O90" s="20">
        <f ca="1">GetStockReturns(O89,RiskFreeRate,N89,L90,"Daily")</f>
        <v>-0.1525737560234296</v>
      </c>
      <c r="P90" s="19">
        <f t="shared" ca="1" si="152"/>
        <v>1.1541974434727893E-2</v>
      </c>
      <c r="Q90" s="19">
        <f ca="1">HCTrans(P90,Strike,RiskFreeRate,Dividend,Variance_T0*AnnualVarConvtr,(Simulation!G90)/250,0.5,Variance_Avg*AnnualVarConvtr,Lambda,SQRT(Simulation!N90),Rho,1,"Call")</f>
        <v>-1.419921818273176E-5</v>
      </c>
      <c r="R90" s="19" t="e">
        <f t="shared" ca="1" si="147"/>
        <v>#VALUE!</v>
      </c>
      <c r="S90" s="19" t="e">
        <f t="shared" ca="1" si="148"/>
        <v>#VALUE!</v>
      </c>
      <c r="T90" s="19" t="e">
        <f t="shared" ca="1" si="153"/>
        <v>#VALUE!</v>
      </c>
      <c r="U90" s="19" t="e">
        <f t="shared" ca="1" si="154"/>
        <v>#VALUE!</v>
      </c>
      <c r="V90" s="21">
        <f t="shared" ca="1" si="155"/>
        <v>5.5377586472744952E-8</v>
      </c>
      <c r="W90">
        <f t="shared" ca="1" si="156"/>
        <v>2.3532442812582155E-4</v>
      </c>
      <c r="X90" s="22">
        <f t="shared" ref="X90" ca="1" si="199">BSdelta(1,P90,Strike,W90*AnnualVarConvtr,Dividend,RiskFreeRate,G90/250)</f>
        <v>0</v>
      </c>
      <c r="Y90" s="22">
        <f t="shared" ca="1" si="162"/>
        <v>0</v>
      </c>
      <c r="Z90" s="22">
        <f t="shared" ca="1" si="163"/>
        <v>-7.4987769942416218</v>
      </c>
      <c r="AA90">
        <f t="shared" si="150"/>
        <v>0.73884103340948371</v>
      </c>
      <c r="AB90">
        <f t="shared" ref="AB90" ca="1" si="200">BSdelta(1,P90,Strike,AA90/AnnualVarConvtr,Dividend,RiskFreeRate,G90/250)</f>
        <v>0</v>
      </c>
      <c r="AC90">
        <f t="shared" ca="1" si="159"/>
        <v>0</v>
      </c>
      <c r="AD90">
        <f t="shared" ca="1" si="160"/>
        <v>-2.5925422436869976</v>
      </c>
    </row>
    <row r="91" spans="7:30" x14ac:dyDescent="0.25">
      <c r="G91" s="19">
        <v>164</v>
      </c>
      <c r="H91" s="19">
        <f t="shared" ca="1" si="66"/>
        <v>0.38196807512445186</v>
      </c>
      <c r="I91" s="19">
        <f t="shared" ca="1" si="66"/>
        <v>0.52598504059119799</v>
      </c>
      <c r="J91" s="19">
        <f t="shared" ca="1" si="145"/>
        <v>-1.368934252015187</v>
      </c>
      <c r="K91" s="19">
        <f t="shared" ca="1" si="146"/>
        <v>-0.22551165677377627</v>
      </c>
      <c r="L91" s="19">
        <f t="array" aca="1" ref="L91:M91" ca="1">MMULT(J91:K91,TRANSPOSE($B$10:$C$11))</f>
        <v>-1.368934252015187</v>
      </c>
      <c r="M91" s="19">
        <f ca="1"/>
        <v>0.82352737085747763</v>
      </c>
      <c r="N91" s="20">
        <f ca="1">GetVariance(N90,Variance_Avg,Lambda,Eta,M91,"Daily")</f>
        <v>9.5950570239453761E-2</v>
      </c>
      <c r="O91" s="20">
        <f ca="1">GetStockReturns(O90,RiskFreeRate,N90,L91,"Daily")</f>
        <v>-0.17857977372210987</v>
      </c>
      <c r="P91" s="19">
        <f t="shared" ca="1" si="152"/>
        <v>9.6543690828370856E-3</v>
      </c>
      <c r="Q91" s="19">
        <f ca="1">HCTrans(P91,Strike,RiskFreeRate,Dividend,Variance_T0*AnnualVarConvtr,(Simulation!G91)/250,0.5,Variance_Avg*AnnualVarConvtr,Lambda,SQRT(Simulation!N91),Rho,1,"Call")</f>
        <v>-1.4288738816613245E-5</v>
      </c>
      <c r="R91" s="19" t="e">
        <f t="shared" ca="1" si="147"/>
        <v>#VALUE!</v>
      </c>
      <c r="S91" s="19" t="e">
        <f t="shared" ca="1" si="148"/>
        <v>#VALUE!</v>
      </c>
      <c r="T91" s="19" t="e">
        <f t="shared" ca="1" si="153"/>
        <v>#VALUE!</v>
      </c>
      <c r="U91" s="19" t="e">
        <f t="shared" ca="1" si="154"/>
        <v>#VALUE!</v>
      </c>
      <c r="V91" s="21">
        <f t="shared" ca="1" si="155"/>
        <v>6.7631295654407158E-4</v>
      </c>
      <c r="W91">
        <f t="shared" ca="1" si="156"/>
        <v>2.6006017698680273E-2</v>
      </c>
      <c r="X91" s="22">
        <f t="shared" ref="X91" ca="1" si="201">BSdelta(1,P91,Strike,W91*AnnualVarConvtr,Dividend,RiskFreeRate,G91/250)</f>
        <v>6.4777685526522762E-168</v>
      </c>
      <c r="Y91" s="22">
        <f t="shared" ca="1" si="162"/>
        <v>6.2538768440500471E-170</v>
      </c>
      <c r="Z91" s="22">
        <f t="shared" ca="1" si="163"/>
        <v>-7.4987770837622554</v>
      </c>
      <c r="AA91">
        <f t="shared" si="150"/>
        <v>0.73884103340948371</v>
      </c>
      <c r="AB91">
        <f t="shared" ref="AB91" ca="1" si="202">BSdelta(1,P91,Strike,AA91/AnnualVarConvtr,Dividend,RiskFreeRate,G91/250)</f>
        <v>0</v>
      </c>
      <c r="AC91">
        <f t="shared" ca="1" si="159"/>
        <v>0</v>
      </c>
      <c r="AD91">
        <f t="shared" ca="1" si="160"/>
        <v>-2.5925423332076316</v>
      </c>
    </row>
    <row r="92" spans="7:30" x14ac:dyDescent="0.25">
      <c r="G92" s="19">
        <v>163</v>
      </c>
      <c r="H92" s="19">
        <f t="shared" ca="1" si="66"/>
        <v>0.29697223926884753</v>
      </c>
      <c r="I92" s="19">
        <f t="shared" ca="1" si="66"/>
        <v>0.94540673978823797</v>
      </c>
      <c r="J92" s="19">
        <f t="shared" ca="1" si="145"/>
        <v>1.4674988705815295</v>
      </c>
      <c r="K92" s="19">
        <f t="shared" ca="1" si="146"/>
        <v>-0.5240995085750475</v>
      </c>
      <c r="L92" s="19">
        <f t="array" aca="1" ref="L92:M92" ca="1">MMULT(J92:K92,TRANSPOSE($B$10:$C$11))</f>
        <v>1.4674988705815295</v>
      </c>
      <c r="M92" s="19">
        <f ca="1"/>
        <v>-1.4170679925296785</v>
      </c>
      <c r="N92" s="20">
        <f ca="1">GetVariance(N91,Variance_Avg,Lambda,Eta,M92,"Daily")</f>
        <v>8.5017933991315547E-2</v>
      </c>
      <c r="O92" s="20">
        <f ca="1">GetStockReturns(O91,RiskFreeRate,N91,L92,"Daily")</f>
        <v>-0.14983019061770533</v>
      </c>
      <c r="P92" s="19">
        <f t="shared" ca="1" si="152"/>
        <v>8.3110036435262522E-3</v>
      </c>
      <c r="Q92" s="19">
        <f ca="1">HCTrans(P92,Strike,RiskFreeRate,Dividend,Variance_T0*AnnualVarConvtr,(Simulation!G92)/250,0.5,Variance_Avg*AnnualVarConvtr,Lambda,SQRT(Simulation!N92),Rho,1,"Call")</f>
        <v>-1.4357276082106393E-5</v>
      </c>
      <c r="R92" s="19" t="e">
        <f t="shared" ca="1" si="147"/>
        <v>#VALUE!</v>
      </c>
      <c r="S92" s="19" t="e">
        <f t="shared" ca="1" si="148"/>
        <v>#VALUE!</v>
      </c>
      <c r="T92" s="19" t="e">
        <f t="shared" ca="1" si="153"/>
        <v>#VALUE!</v>
      </c>
      <c r="U92" s="19" t="e">
        <f t="shared" ca="1" si="154"/>
        <v>#VALUE!</v>
      </c>
      <c r="V92" s="21">
        <f t="shared" ca="1" si="155"/>
        <v>8.2653852867706277E-4</v>
      </c>
      <c r="W92">
        <f t="shared" ca="1" si="156"/>
        <v>2.8749583104404536E-2</v>
      </c>
      <c r="X92" s="22">
        <f t="shared" ref="X92" ca="1" si="203">BSdelta(1,P92,Strike,W92*AnnualVarConvtr,Dividend,RiskFreeRate,G92/250)</f>
        <v>8.9717644541353824E-143</v>
      </c>
      <c r="Y92" s="22">
        <f t="shared" ca="1" si="162"/>
        <v>7.4564367067178479E-145</v>
      </c>
      <c r="Z92" s="22">
        <f t="shared" ca="1" si="163"/>
        <v>-7.498777152299521</v>
      </c>
      <c r="AA92">
        <f t="shared" si="150"/>
        <v>0.73884103340948371</v>
      </c>
      <c r="AB92">
        <f t="shared" ref="AB92" ca="1" si="204">BSdelta(1,P92,Strike,AA92/AnnualVarConvtr,Dividend,RiskFreeRate,G92/250)</f>
        <v>0</v>
      </c>
      <c r="AC92">
        <f t="shared" ca="1" si="159"/>
        <v>0</v>
      </c>
      <c r="AD92">
        <f t="shared" ca="1" si="160"/>
        <v>-2.5925424017448973</v>
      </c>
    </row>
    <row r="93" spans="7:30" x14ac:dyDescent="0.25">
      <c r="G93" s="19">
        <v>162</v>
      </c>
      <c r="H93" s="19">
        <f t="shared" ca="1" si="66"/>
        <v>0.77743162594105131</v>
      </c>
      <c r="I93" s="19">
        <f t="shared" ca="1" si="66"/>
        <v>0.12525324717141062</v>
      </c>
      <c r="J93" s="19">
        <f t="shared" ca="1" si="145"/>
        <v>0.50095746518454631</v>
      </c>
      <c r="K93" s="19">
        <f t="shared" ca="1" si="146"/>
        <v>0.50255425328126457</v>
      </c>
      <c r="L93" s="19">
        <f t="array" aca="1" ref="L93:M93" ca="1">MMULT(J93:K93,TRANSPOSE($B$10:$C$11))</f>
        <v>0.50095746518454631</v>
      </c>
      <c r="M93" s="19">
        <f ca="1"/>
        <v>-8.3606640192178672E-3</v>
      </c>
      <c r="N93" s="20">
        <f ca="1">GetVariance(N92,Variance_Avg,Lambda,Eta,M93,"Daily")</f>
        <v>8.4544823305903544E-2</v>
      </c>
      <c r="O93" s="20">
        <f ca="1">GetStockReturns(O92,RiskFreeRate,N92,L93,"Daily")</f>
        <v>-0.14059201695642515</v>
      </c>
      <c r="P93" s="19">
        <f t="shared" ca="1" si="152"/>
        <v>7.220963263569199E-3</v>
      </c>
      <c r="Q93" s="19">
        <f ca="1">HCTrans(P93,Strike,RiskFreeRate,Dividend,Variance_T0*AnnualVarConvtr,(Simulation!G93)/250,0.5,Variance_Avg*AnnualVarConvtr,Lambda,SQRT(Simulation!N93),Rho,1,"Call")</f>
        <v>-1.4416448263071362E-5</v>
      </c>
      <c r="R93" s="19" t="e">
        <f t="shared" ca="1" si="147"/>
        <v>#VALUE!</v>
      </c>
      <c r="S93" s="19" t="e">
        <f t="shared" ca="1" si="148"/>
        <v>#VALUE!</v>
      </c>
      <c r="T93" s="19" t="e">
        <f t="shared" ca="1" si="153"/>
        <v>#VALUE!</v>
      </c>
      <c r="U93" s="19" t="e">
        <f t="shared" ca="1" si="154"/>
        <v>#VALUE!</v>
      </c>
      <c r="V93" s="21">
        <f t="shared" ca="1" si="155"/>
        <v>8.5343852595970955E-5</v>
      </c>
      <c r="W93">
        <f t="shared" ca="1" si="156"/>
        <v>9.2381736612801857E-3</v>
      </c>
      <c r="X93" s="22">
        <f t="shared" ref="X93" ca="1" si="205">BSdelta(1,P93,Strike,W93*AnnualVarConvtr,Dividend,RiskFreeRate,G93/250)</f>
        <v>0</v>
      </c>
      <c r="Y93" s="22">
        <f t="shared" ca="1" si="162"/>
        <v>-6.4784781532707563E-145</v>
      </c>
      <c r="Z93" s="22">
        <f t="shared" ca="1" si="163"/>
        <v>-7.498777211471702</v>
      </c>
      <c r="AA93">
        <f t="shared" si="150"/>
        <v>0.73884103340948371</v>
      </c>
      <c r="AB93">
        <f t="shared" ref="AB93" ca="1" si="206">BSdelta(1,P93,Strike,AA93/AnnualVarConvtr,Dividend,RiskFreeRate,G93/250)</f>
        <v>0</v>
      </c>
      <c r="AC93">
        <f t="shared" ca="1" si="159"/>
        <v>0</v>
      </c>
      <c r="AD93">
        <f t="shared" ca="1" si="160"/>
        <v>-2.5925424609170782</v>
      </c>
    </row>
    <row r="94" spans="7:30" x14ac:dyDescent="0.25">
      <c r="G94" s="19">
        <v>161</v>
      </c>
      <c r="H94" s="19">
        <f t="shared" ca="1" si="66"/>
        <v>0.50135935855785885</v>
      </c>
      <c r="I94" s="19">
        <f t="shared" ca="1" si="66"/>
        <v>0.42145889450852458</v>
      </c>
      <c r="J94" s="19">
        <f t="shared" ca="1" si="145"/>
        <v>-1.0348954929569534</v>
      </c>
      <c r="K94" s="19">
        <f t="shared" ca="1" si="146"/>
        <v>0.55664676734807395</v>
      </c>
      <c r="L94" s="19">
        <f t="array" aca="1" ref="L94:M94" ca="1">MMULT(J94:K94,TRANSPOSE($B$10:$C$11))</f>
        <v>-1.0348954929569534</v>
      </c>
      <c r="M94" s="19">
        <f ca="1"/>
        <v>1.1298122200401375</v>
      </c>
      <c r="N94" s="20">
        <f ca="1">GetVariance(N93,Variance_Avg,Lambda,Eta,M94,"Daily")</f>
        <v>9.2381040213833004E-2</v>
      </c>
      <c r="O94" s="20">
        <f ca="1">GetStockReturns(O93,RiskFreeRate,N93,L94,"Daily")</f>
        <v>-0.15962338471843324</v>
      </c>
      <c r="P94" s="19">
        <f t="shared" ca="1" si="152"/>
        <v>6.1556168582812881E-3</v>
      </c>
      <c r="Q94" s="19">
        <f ca="1">HCTrans(P94,Strike,RiskFreeRate,Dividend,Variance_T0*AnnualVarConvtr,(Simulation!G94)/250,0.5,Variance_Avg*AnnualVarConvtr,Lambda,SQRT(Simulation!N94),Rho,1,"Call")</f>
        <v>-1.4478131365592076E-5</v>
      </c>
      <c r="R94" s="19" t="e">
        <f t="shared" ca="1" si="147"/>
        <v>#VALUE!</v>
      </c>
      <c r="S94" s="19" t="e">
        <f t="shared" ca="1" si="148"/>
        <v>#VALUE!</v>
      </c>
      <c r="T94" s="19" t="e">
        <f t="shared" ca="1" si="153"/>
        <v>#VALUE!</v>
      </c>
      <c r="U94" s="19" t="e">
        <f t="shared" ca="1" si="154"/>
        <v>#VALUE!</v>
      </c>
      <c r="V94" s="21">
        <f t="shared" ca="1" si="155"/>
        <v>3.6219295889280078E-4</v>
      </c>
      <c r="W94">
        <f t="shared" ca="1" si="156"/>
        <v>1.9031367762008089E-2</v>
      </c>
      <c r="X94" s="22">
        <f t="shared" ref="X94" ca="1" si="207">BSdelta(1,P94,Strike,W94*AnnualVarConvtr,Dividend,RiskFreeRate,G94/250)</f>
        <v>0</v>
      </c>
      <c r="Y94" s="22">
        <f t="shared" ca="1" si="162"/>
        <v>0</v>
      </c>
      <c r="Z94" s="22">
        <f t="shared" ca="1" si="163"/>
        <v>-7.4987772731548041</v>
      </c>
      <c r="AA94">
        <f t="shared" si="150"/>
        <v>0.73884103340948371</v>
      </c>
      <c r="AB94">
        <f t="shared" ref="AB94" ca="1" si="208">BSdelta(1,P94,Strike,AA94/AnnualVarConvtr,Dividend,RiskFreeRate,G94/250)</f>
        <v>0</v>
      </c>
      <c r="AC94">
        <f t="shared" ca="1" si="159"/>
        <v>0</v>
      </c>
      <c r="AD94">
        <f t="shared" ca="1" si="160"/>
        <v>-2.5925425226001808</v>
      </c>
    </row>
    <row r="95" spans="7:30" x14ac:dyDescent="0.25">
      <c r="G95" s="19">
        <v>160</v>
      </c>
      <c r="H95" s="19">
        <f t="shared" ref="H95:I158" ca="1" si="209">RAND()</f>
        <v>0.26942473548409107</v>
      </c>
      <c r="I95" s="19">
        <f t="shared" ca="1" si="209"/>
        <v>0.90859003221605639</v>
      </c>
      <c r="J95" s="19">
        <f t="shared" ca="1" si="145"/>
        <v>1.3596872906155433</v>
      </c>
      <c r="K95" s="19">
        <f t="shared" ca="1" si="146"/>
        <v>-0.8798766256110947</v>
      </c>
      <c r="L95" s="19">
        <f t="array" aca="1" ref="L95:M95" ca="1">MMULT(J95:K95,TRANSPOSE($B$10:$C$11))</f>
        <v>1.3596872906155433</v>
      </c>
      <c r="M95" s="19">
        <f ca="1"/>
        <v>-1.5880065197214848</v>
      </c>
      <c r="N95" s="20">
        <f ca="1">GetVariance(N94,Variance_Avg,Lambda,Eta,M95,"Daily")</f>
        <v>8.0472676959205056E-2</v>
      </c>
      <c r="O95" s="20">
        <f ca="1">GetStockReturns(O94,RiskFreeRate,N94,L95,"Daily")</f>
        <v>-0.13348610065787142</v>
      </c>
      <c r="P95" s="19">
        <f t="shared" ca="1" si="152"/>
        <v>5.3864087065149781E-3</v>
      </c>
      <c r="Q95" s="19">
        <f ca="1">HCTrans(P95,Strike,RiskFreeRate,Dividend,Variance_T0*AnnualVarConvtr,(Simulation!G95)/250,0.5,Variance_Avg*AnnualVarConvtr,Lambda,SQRT(Simulation!N95),Rho,1,"Call")</f>
        <v>-1.4525641446435505E-5</v>
      </c>
      <c r="R95" s="19" t="e">
        <f t="shared" ca="1" si="147"/>
        <v>#VALUE!</v>
      </c>
      <c r="S95" s="19" t="e">
        <f t="shared" ca="1" si="148"/>
        <v>#VALUE!</v>
      </c>
      <c r="T95" s="19" t="e">
        <f t="shared" ca="1" si="153"/>
        <v>#VALUE!</v>
      </c>
      <c r="U95" s="19" t="e">
        <f t="shared" ca="1" si="154"/>
        <v>#VALUE!</v>
      </c>
      <c r="V95" s="21">
        <f t="shared" ca="1" si="155"/>
        <v>6.8315761806249874E-4</v>
      </c>
      <c r="W95">
        <f t="shared" ca="1" si="156"/>
        <v>2.6137284060561816E-2</v>
      </c>
      <c r="X95" s="22">
        <f t="shared" ref="X95" ca="1" si="210">BSdelta(1,P95,Strike,W95*AnnualVarConvtr,Dividend,RiskFreeRate,G95/250)</f>
        <v>2.1429122759091158E-192</v>
      </c>
      <c r="Y95" s="22">
        <f t="shared" ca="1" si="162"/>
        <v>1.1542601340254688E-194</v>
      </c>
      <c r="Z95" s="22">
        <f t="shared" ca="1" si="163"/>
        <v>-7.4987773206648853</v>
      </c>
      <c r="AA95">
        <f t="shared" si="150"/>
        <v>0.73884103340948371</v>
      </c>
      <c r="AB95">
        <f t="shared" ref="AB95" ca="1" si="211">BSdelta(1,P95,Strike,AA95/AnnualVarConvtr,Dividend,RiskFreeRate,G95/250)</f>
        <v>0</v>
      </c>
      <c r="AC95">
        <f t="shared" ca="1" si="159"/>
        <v>0</v>
      </c>
      <c r="AD95">
        <f t="shared" ca="1" si="160"/>
        <v>-2.5925425701102616</v>
      </c>
    </row>
    <row r="96" spans="7:30" x14ac:dyDescent="0.25">
      <c r="G96" s="19">
        <v>159</v>
      </c>
      <c r="H96" s="19">
        <f t="shared" ca="1" si="209"/>
        <v>0.99477688160604605</v>
      </c>
      <c r="I96" s="19">
        <f t="shared" ca="1" si="209"/>
        <v>0.34525865235150399</v>
      </c>
      <c r="J96" s="19">
        <f t="shared" ca="1" si="145"/>
        <v>-5.7661474588125129E-2</v>
      </c>
      <c r="K96" s="19">
        <f t="shared" ca="1" si="146"/>
        <v>8.4550384210549084E-2</v>
      </c>
      <c r="L96" s="19">
        <f t="array" aca="1" ref="L96:M96" ca="1">MMULT(J96:K96,TRANSPOSE($B$10:$C$11))</f>
        <v>-5.7661474588125129E-2</v>
      </c>
      <c r="M96" s="19">
        <f ca="1"/>
        <v>0.10029570313525343</v>
      </c>
      <c r="N96" s="20">
        <f ca="1">GetVariance(N95,Variance_Avg,Lambda,Eta,M96,"Daily")</f>
        <v>8.0782579975758023E-2</v>
      </c>
      <c r="O96" s="20">
        <f ca="1">GetStockReturns(O95,RiskFreeRate,N95,L96,"Daily")</f>
        <v>-0.13452062321454503</v>
      </c>
      <c r="P96" s="19">
        <f t="shared" ca="1" si="152"/>
        <v>4.7084475732801249E-3</v>
      </c>
      <c r="Q96" s="19">
        <f ca="1">HCTrans(P96,Strike,RiskFreeRate,Dividend,Variance_T0*AnnualVarConvtr,(Simulation!G96)/250,0.5,Variance_Avg*AnnualVarConvtr,Lambda,SQRT(Simulation!N96),Rho,1,"Call")</f>
        <v>-1.4569929622208939E-5</v>
      </c>
      <c r="R96" s="19" t="e">
        <f t="shared" ca="1" si="147"/>
        <v>#VALUE!</v>
      </c>
      <c r="S96" s="19" t="e">
        <f t="shared" ca="1" si="148"/>
        <v>#VALUE!</v>
      </c>
      <c r="T96" s="19" t="e">
        <f t="shared" ca="1" si="153"/>
        <v>#VALUE!</v>
      </c>
      <c r="U96" s="19" t="e">
        <f t="shared" ca="1" si="154"/>
        <v>#VALUE!</v>
      </c>
      <c r="V96" s="21">
        <f t="shared" ca="1" si="155"/>
        <v>1.0702369202664944E-6</v>
      </c>
      <c r="W96">
        <f t="shared" ca="1" si="156"/>
        <v>1.034522556673606E-3</v>
      </c>
      <c r="X96" s="22">
        <f t="shared" ref="X96" ca="1" si="212">BSdelta(1,P96,Strike,W96*AnnualVarConvtr,Dividend,RiskFreeRate,G96/250)</f>
        <v>0</v>
      </c>
      <c r="Y96" s="22">
        <f t="shared" ca="1" si="162"/>
        <v>-1.0089790105256466E-194</v>
      </c>
      <c r="Z96" s="22">
        <f t="shared" ca="1" si="163"/>
        <v>-7.4987773649530611</v>
      </c>
      <c r="AA96">
        <f t="shared" si="150"/>
        <v>0.73884103340948371</v>
      </c>
      <c r="AB96">
        <f t="shared" ref="AB96" ca="1" si="213">BSdelta(1,P96,Strike,AA96/AnnualVarConvtr,Dividend,RiskFreeRate,G96/250)</f>
        <v>0</v>
      </c>
      <c r="AC96">
        <f t="shared" ca="1" si="159"/>
        <v>0</v>
      </c>
      <c r="AD96">
        <f t="shared" ca="1" si="160"/>
        <v>-2.5925426143984374</v>
      </c>
    </row>
    <row r="97" spans="7:30" x14ac:dyDescent="0.25">
      <c r="G97" s="19">
        <v>158</v>
      </c>
      <c r="H97" s="19">
        <f t="shared" ca="1" si="209"/>
        <v>0.67802307480319413</v>
      </c>
      <c r="I97" s="19">
        <f t="shared" ca="1" si="209"/>
        <v>0.17338301181053783</v>
      </c>
      <c r="J97" s="19">
        <f t="shared" ca="1" si="145"/>
        <v>0.40817934589668425</v>
      </c>
      <c r="K97" s="19">
        <f t="shared" ca="1" si="146"/>
        <v>0.78136901497246514</v>
      </c>
      <c r="L97" s="19">
        <f t="array" aca="1" ref="L97:M97" ca="1">MMULT(J97:K97,TRANSPOSE($B$10:$C$11))</f>
        <v>0.40817934589668425</v>
      </c>
      <c r="M97" s="19">
        <f ca="1"/>
        <v>0.25261243708051551</v>
      </c>
      <c r="N97" s="20">
        <f ca="1">GetVariance(N96,Variance_Avg,Lambda,Eta,M97,"Daily")</f>
        <v>8.2161791976373494E-2</v>
      </c>
      <c r="O97" s="20">
        <f ca="1">GetStockReturns(O96,RiskFreeRate,N96,L97,"Daily")</f>
        <v>-0.12718326232135355</v>
      </c>
      <c r="P97" s="19">
        <f t="shared" ca="1" si="152"/>
        <v>4.1461284246981584E-3</v>
      </c>
      <c r="Q97" s="19">
        <f ca="1">HCTrans(P97,Strike,RiskFreeRate,Dividend,Variance_T0*AnnualVarConvtr,(Simulation!G97)/250,0.5,Variance_Avg*AnnualVarConvtr,Lambda,SQRT(Simulation!N97),Rho,1,"Call")</f>
        <v>-1.4608758128959072E-5</v>
      </c>
      <c r="R97" s="19" t="e">
        <f t="shared" ca="1" si="147"/>
        <v>#VALUE!</v>
      </c>
      <c r="S97" s="19" t="e">
        <f t="shared" ca="1" si="148"/>
        <v>#VALUE!</v>
      </c>
      <c r="T97" s="19" t="e">
        <f t="shared" ca="1" si="153"/>
        <v>#VALUE!</v>
      </c>
      <c r="U97" s="19" t="e">
        <f t="shared" ca="1" si="154"/>
        <v>#VALUE!</v>
      </c>
      <c r="V97" s="21">
        <f t="shared" ca="1" si="155"/>
        <v>5.3836864876935678E-5</v>
      </c>
      <c r="W97">
        <f t="shared" ca="1" si="156"/>
        <v>7.3373608931914802E-3</v>
      </c>
      <c r="X97" s="22">
        <f t="shared" ref="X97" ca="1" si="214">BSdelta(1,P97,Strike,W97*AnnualVarConvtr,Dividend,RiskFreeRate,G97/250)</f>
        <v>0</v>
      </c>
      <c r="Y97" s="22">
        <f t="shared" ca="1" si="162"/>
        <v>0</v>
      </c>
      <c r="Z97" s="22">
        <f t="shared" ca="1" si="163"/>
        <v>-7.4987774037815678</v>
      </c>
      <c r="AA97">
        <f t="shared" si="150"/>
        <v>0.73884103340948371</v>
      </c>
      <c r="AB97">
        <f t="shared" ref="AB97" ca="1" si="215">BSdelta(1,P97,Strike,AA97/AnnualVarConvtr,Dividend,RiskFreeRate,G97/250)</f>
        <v>0</v>
      </c>
      <c r="AC97">
        <f t="shared" ca="1" si="159"/>
        <v>0</v>
      </c>
      <c r="AD97">
        <f t="shared" ca="1" si="160"/>
        <v>-2.592542653226944</v>
      </c>
    </row>
    <row r="98" spans="7:30" x14ac:dyDescent="0.25">
      <c r="G98" s="19">
        <v>157</v>
      </c>
      <c r="H98" s="19">
        <f t="shared" ca="1" si="209"/>
        <v>0.13524255395266127</v>
      </c>
      <c r="I98" s="19">
        <f t="shared" ca="1" si="209"/>
        <v>0.55581569617991256</v>
      </c>
      <c r="J98" s="19">
        <f t="shared" ca="1" si="145"/>
        <v>-1.8785864806081825</v>
      </c>
      <c r="K98" s="19">
        <f t="shared" ca="1" si="146"/>
        <v>-0.68722897809041472</v>
      </c>
      <c r="L98" s="19">
        <f t="array" aca="1" ref="L98:M98" ca="1">MMULT(J98:K98,TRANSPOSE($B$10:$C$11))</f>
        <v>-1.8785864806081825</v>
      </c>
      <c r="M98" s="19">
        <f ca="1"/>
        <v>0.86660514944717937</v>
      </c>
      <c r="N98" s="20">
        <f ca="1">GetVariance(N97,Variance_Avg,Lambda,Eta,M98,"Daily")</f>
        <v>8.7967379157956008E-2</v>
      </c>
      <c r="O98" s="20">
        <f ca="1">GetStockReturns(O97,RiskFreeRate,N97,L98,"Daily")</f>
        <v>-0.16123945855800889</v>
      </c>
      <c r="P98" s="19">
        <f t="shared" ca="1" si="152"/>
        <v>3.5287211700773041E-3</v>
      </c>
      <c r="Q98" s="19">
        <f ca="1">HCTrans(P98,Strike,RiskFreeRate,Dividend,Variance_T0*AnnualVarConvtr,(Simulation!G98)/250,0.5,Variance_Avg*AnnualVarConvtr,Lambda,SQRT(Simulation!N98),Rho,1,"Call")</f>
        <v>-1.4654079184488623E-5</v>
      </c>
      <c r="R98" s="19" t="e">
        <f t="shared" ca="1" si="147"/>
        <v>#VALUE!</v>
      </c>
      <c r="S98" s="19" t="e">
        <f t="shared" ca="1" si="148"/>
        <v>#VALUE!</v>
      </c>
      <c r="T98" s="19" t="e">
        <f t="shared" ca="1" si="153"/>
        <v>#VALUE!</v>
      </c>
      <c r="U98" s="19" t="e">
        <f t="shared" ca="1" si="154"/>
        <v>#VALUE!</v>
      </c>
      <c r="V98" s="21">
        <f t="shared" ca="1" si="155"/>
        <v>1.1598245021095777E-3</v>
      </c>
      <c r="W98">
        <f t="shared" ca="1" si="156"/>
        <v>3.4056196236655345E-2</v>
      </c>
      <c r="X98" s="22">
        <f t="shared" ref="X98" ca="1" si="216">BSdelta(1,P98,Strike,W98*AnnualVarConvtr,Dividend,RiskFreeRate,G98/250)</f>
        <v>1.2671550924508657E-125</v>
      </c>
      <c r="Y98" s="22">
        <f t="shared" ca="1" si="162"/>
        <v>4.4714370005026333E-128</v>
      </c>
      <c r="Z98" s="22">
        <f t="shared" ca="1" si="163"/>
        <v>-7.4987774491026231</v>
      </c>
      <c r="AA98">
        <f t="shared" si="150"/>
        <v>0.73884103340948371</v>
      </c>
      <c r="AB98">
        <f t="shared" ref="AB98" ca="1" si="217">BSdelta(1,P98,Strike,AA98/AnnualVarConvtr,Dividend,RiskFreeRate,G98/250)</f>
        <v>0</v>
      </c>
      <c r="AC98">
        <f t="shared" ca="1" si="159"/>
        <v>0</v>
      </c>
      <c r="AD98">
        <f t="shared" ca="1" si="160"/>
        <v>-2.5925426985479993</v>
      </c>
    </row>
    <row r="99" spans="7:30" x14ac:dyDescent="0.25">
      <c r="G99" s="19">
        <v>156</v>
      </c>
      <c r="H99" s="19">
        <f t="shared" ca="1" si="209"/>
        <v>0.9048078269934523</v>
      </c>
      <c r="I99" s="19">
        <f t="shared" ca="1" si="209"/>
        <v>0.77363091378633042</v>
      </c>
      <c r="J99" s="19">
        <f t="shared" ca="1" si="145"/>
        <v>6.6168227610528998E-2</v>
      </c>
      <c r="K99" s="19">
        <f t="shared" ca="1" si="146"/>
        <v>-0.44236542930435963</v>
      </c>
      <c r="L99" s="19">
        <f t="array" aca="1" ref="L99:M99" ca="1">MMULT(J99:K99,TRANSPOSE($B$10:$C$11))</f>
        <v>6.6168227610528998E-2</v>
      </c>
      <c r="M99" s="19">
        <f ca="1"/>
        <v>-0.3559979482194105</v>
      </c>
      <c r="N99" s="20">
        <f ca="1">GetVariance(N98,Variance_Avg,Lambda,Eta,M99,"Daily")</f>
        <v>8.496843498312702E-2</v>
      </c>
      <c r="O99" s="20">
        <f ca="1">GetStockReturns(O98,RiskFreeRate,N98,L99,"Daily")</f>
        <v>-0.15999826268196121</v>
      </c>
      <c r="P99" s="19">
        <f t="shared" ca="1" si="152"/>
        <v>3.0069830521563174E-3</v>
      </c>
      <c r="Q99" s="19">
        <f ca="1">HCTrans(P99,Strike,RiskFreeRate,Dividend,Variance_T0*AnnualVarConvtr,(Simulation!G99)/250,0.5,Variance_Avg*AnnualVarConvtr,Lambda,SQRT(Simulation!N99),Rho,1,"Call")</f>
        <v>-1.4695080053569575E-5</v>
      </c>
      <c r="R99" s="19" t="e">
        <f t="shared" ca="1" si="147"/>
        <v>#VALUE!</v>
      </c>
      <c r="S99" s="19" t="e">
        <f t="shared" ca="1" si="148"/>
        <v>#VALUE!</v>
      </c>
      <c r="T99" s="19" t="e">
        <f t="shared" ca="1" si="153"/>
        <v>#VALUE!</v>
      </c>
      <c r="U99" s="19" t="e">
        <f t="shared" ca="1" si="154"/>
        <v>#VALUE!</v>
      </c>
      <c r="V99" s="21">
        <f t="shared" ca="1" si="155"/>
        <v>1.5405672027177661E-6</v>
      </c>
      <c r="W99">
        <f t="shared" ca="1" si="156"/>
        <v>1.2411958760476793E-3</v>
      </c>
      <c r="X99" s="22">
        <f t="shared" ref="X99" ca="1" si="218">BSdelta(1,P99,Strike,W99*AnnualVarConvtr,Dividend,RiskFreeRate,G99/250)</f>
        <v>0</v>
      </c>
      <c r="Y99" s="22">
        <f t="shared" ca="1" si="162"/>
        <v>-3.8103138874533246E-128</v>
      </c>
      <c r="Z99" s="22">
        <f t="shared" ca="1" si="163"/>
        <v>-7.4987774901034925</v>
      </c>
      <c r="AA99">
        <f t="shared" si="150"/>
        <v>0.73884103340948371</v>
      </c>
      <c r="AB99">
        <f t="shared" ref="AB99" ca="1" si="219">BSdelta(1,P99,Strike,AA99/AnnualVarConvtr,Dividend,RiskFreeRate,G99/250)</f>
        <v>0</v>
      </c>
      <c r="AC99">
        <f t="shared" ca="1" si="159"/>
        <v>0</v>
      </c>
      <c r="AD99">
        <f t="shared" ca="1" si="160"/>
        <v>-2.5925427395488683</v>
      </c>
    </row>
    <row r="100" spans="7:30" x14ac:dyDescent="0.25">
      <c r="G100" s="19">
        <v>155</v>
      </c>
      <c r="H100" s="19">
        <f t="shared" ca="1" si="209"/>
        <v>0.708361792336618</v>
      </c>
      <c r="I100" s="19">
        <f t="shared" ca="1" si="209"/>
        <v>0.8006536967940564</v>
      </c>
      <c r="J100" s="19">
        <f t="shared" ca="1" si="145"/>
        <v>0.25985617674062605</v>
      </c>
      <c r="K100" s="19">
        <f t="shared" ca="1" si="146"/>
        <v>-0.78871755830245172</v>
      </c>
      <c r="L100" s="19">
        <f t="array" aca="1" ref="L100:M100" ca="1">MMULT(J100:K100,TRANSPOSE($B$10:$C$11))</f>
        <v>0.25985617674062605</v>
      </c>
      <c r="M100" s="19">
        <f ca="1"/>
        <v>-0.73638613801727759</v>
      </c>
      <c r="N100" s="20">
        <f ca="1">GetVariance(N99,Variance_Avg,Lambda,Eta,M100,"Daily")</f>
        <v>7.9373534708005469E-2</v>
      </c>
      <c r="O100" s="20">
        <f ca="1">GetStockReturns(O99,RiskFreeRate,N99,L100,"Daily")</f>
        <v>-0.15520764128800169</v>
      </c>
      <c r="P100" s="19">
        <f t="shared" ca="1" si="152"/>
        <v>2.5746912565863208E-3</v>
      </c>
      <c r="Q100" s="19">
        <f ca="1">HCTrans(P100,Strike,RiskFreeRate,Dividend,Variance_T0*AnnualVarConvtr,(Simulation!G100)/250,0.5,Variance_Avg*AnnualVarConvtr,Lambda,SQRT(Simulation!N100),Rho,1,"Call")</f>
        <v>-1.4731363917637377E-5</v>
      </c>
      <c r="R100" s="19" t="e">
        <f t="shared" ca="1" si="147"/>
        <v>#VALUE!</v>
      </c>
      <c r="S100" s="19" t="e">
        <f t="shared" ca="1" si="148"/>
        <v>#VALUE!</v>
      </c>
      <c r="T100" s="19" t="e">
        <f t="shared" ca="1" si="153"/>
        <v>#VALUE!</v>
      </c>
      <c r="U100" s="19" t="e">
        <f t="shared" ca="1" si="154"/>
        <v>#VALUE!</v>
      </c>
      <c r="V100" s="21">
        <f t="shared" ca="1" si="155"/>
        <v>2.2950053340262717E-5</v>
      </c>
      <c r="W100">
        <f t="shared" ca="1" si="156"/>
        <v>4.7906213939595266E-3</v>
      </c>
      <c r="X100" s="22">
        <f t="shared" ref="X100" ca="1" si="220">BSdelta(1,P100,Strike,W100*AnnualVarConvtr,Dividend,RiskFreeRate,G100/250)</f>
        <v>0</v>
      </c>
      <c r="Y100" s="22">
        <f t="shared" ca="1" si="162"/>
        <v>0</v>
      </c>
      <c r="Z100" s="22">
        <f t="shared" ca="1" si="163"/>
        <v>-7.4987775263873564</v>
      </c>
      <c r="AA100">
        <f t="shared" si="150"/>
        <v>0.73884103340948371</v>
      </c>
      <c r="AB100">
        <f t="shared" ref="AB100" ca="1" si="221">BSdelta(1,P100,Strike,AA100/AnnualVarConvtr,Dividend,RiskFreeRate,G100/250)</f>
        <v>0</v>
      </c>
      <c r="AC100">
        <f t="shared" ca="1" si="159"/>
        <v>0</v>
      </c>
      <c r="AD100">
        <f t="shared" ca="1" si="160"/>
        <v>-2.5925427758327322</v>
      </c>
    </row>
    <row r="101" spans="7:30" x14ac:dyDescent="0.25">
      <c r="G101" s="19">
        <v>154</v>
      </c>
      <c r="H101" s="19">
        <f t="shared" ca="1" si="209"/>
        <v>0.58731856752260181</v>
      </c>
      <c r="I101" s="19">
        <f t="shared" ca="1" si="209"/>
        <v>0.68936248625769814</v>
      </c>
      <c r="J101" s="19">
        <f t="shared" ca="1" si="145"/>
        <v>-0.38362819186331004</v>
      </c>
      <c r="K101" s="19">
        <f t="shared" ca="1" si="146"/>
        <v>-0.9577083137374236</v>
      </c>
      <c r="L101" s="19">
        <f t="array" aca="1" ref="L101:M101" ca="1">MMULT(J101:K101,TRANSPOSE($B$10:$C$11))</f>
        <v>-0.38362819186331004</v>
      </c>
      <c r="M101" s="19">
        <f ca="1"/>
        <v>-0.39321535745927966</v>
      </c>
      <c r="N101" s="20">
        <f ca="1">GetVariance(N100,Variance_Avg,Lambda,Eta,M101,"Daily")</f>
        <v>7.629694925066971E-2</v>
      </c>
      <c r="O101" s="20">
        <f ca="1">GetStockReturns(O100,RiskFreeRate,N100,L101,"Daily")</f>
        <v>-0.16204326851628237</v>
      </c>
      <c r="P101" s="19">
        <f t="shared" ca="1" si="152"/>
        <v>2.1895287938586004E-3</v>
      </c>
      <c r="Q101" s="19">
        <f ca="1">HCTrans(P101,Strike,RiskFreeRate,Dividend,Variance_T0*AnnualVarConvtr,(Simulation!G101)/250,0.5,Variance_Avg*AnnualVarConvtr,Lambda,SQRT(Simulation!N101),Rho,1,"Call")</f>
        <v>-1.4765876514938672E-5</v>
      </c>
      <c r="R101" s="19" t="e">
        <f t="shared" ca="1" si="147"/>
        <v>#VALUE!</v>
      </c>
      <c r="S101" s="19" t="e">
        <f t="shared" ca="1" si="148"/>
        <v>#VALUE!</v>
      </c>
      <c r="T101" s="19" t="e">
        <f t="shared" ca="1" si="153"/>
        <v>#VALUE!</v>
      </c>
      <c r="U101" s="19" t="e">
        <f t="shared" ca="1" si="154"/>
        <v>#VALUE!</v>
      </c>
      <c r="V101" s="21">
        <f t="shared" ca="1" si="155"/>
        <v>4.6725799604012252E-5</v>
      </c>
      <c r="W101">
        <f t="shared" ca="1" si="156"/>
        <v>6.8356272282806829E-3</v>
      </c>
      <c r="X101" s="22">
        <f t="shared" ref="X101" ca="1" si="222">BSdelta(1,P101,Strike,W101*AnnualVarConvtr,Dividend,RiskFreeRate,G101/250)</f>
        <v>0</v>
      </c>
      <c r="Y101" s="22">
        <f t="shared" ca="1" si="162"/>
        <v>0</v>
      </c>
      <c r="Z101" s="22">
        <f t="shared" ca="1" si="163"/>
        <v>-7.4987775608999536</v>
      </c>
      <c r="AA101">
        <f t="shared" si="150"/>
        <v>0.73884103340948371</v>
      </c>
      <c r="AB101">
        <f t="shared" ref="AB101" ca="1" si="223">BSdelta(1,P101,Strike,AA101/AnnualVarConvtr,Dividend,RiskFreeRate,G101/250)</f>
        <v>0</v>
      </c>
      <c r="AC101">
        <f t="shared" ca="1" si="159"/>
        <v>0</v>
      </c>
      <c r="AD101">
        <f t="shared" ca="1" si="160"/>
        <v>-2.5925428103453294</v>
      </c>
    </row>
    <row r="102" spans="7:30" x14ac:dyDescent="0.25">
      <c r="G102" s="19">
        <v>153</v>
      </c>
      <c r="H102" s="19">
        <f t="shared" ca="1" si="209"/>
        <v>0.1838234907352061</v>
      </c>
      <c r="I102" s="19">
        <f t="shared" ca="1" si="209"/>
        <v>0.6708374828437742</v>
      </c>
      <c r="J102" s="19">
        <f t="shared" ca="1" si="145"/>
        <v>-0.87818386032881224</v>
      </c>
      <c r="K102" s="19">
        <f t="shared" ca="1" si="146"/>
        <v>-1.6175140339405683</v>
      </c>
      <c r="L102" s="19">
        <f t="array" aca="1" ref="L102:M102" ca="1">MMULT(J102:K102,TRANSPOSE($B$10:$C$11))</f>
        <v>-0.87818386032881224</v>
      </c>
      <c r="M102" s="19">
        <f ca="1"/>
        <v>-0.49913817420776596</v>
      </c>
      <c r="N102" s="20">
        <f ca="1">GetVariance(N101,Variance_Avg,Lambda,Eta,M102,"Daily")</f>
        <v>7.2586633765930969E-2</v>
      </c>
      <c r="O102" s="20">
        <f ca="1">GetStockReturns(O101,RiskFreeRate,N101,L102,"Daily")</f>
        <v>-0.17738481122124458</v>
      </c>
      <c r="P102" s="19">
        <f t="shared" ca="1" si="152"/>
        <v>1.8336372211677332E-3</v>
      </c>
      <c r="Q102" s="19">
        <f ca="1">HCTrans(P102,Strike,RiskFreeRate,Dividend,Variance_T0*AnnualVarConvtr,(Simulation!G102)/250,0.5,Variance_Avg*AnnualVarConvtr,Lambda,SQRT(Simulation!N102),Rho,1,"Call")</f>
        <v>-1.480006643724322E-5</v>
      </c>
      <c r="R102" s="19" t="e">
        <f t="shared" ca="1" si="147"/>
        <v>#VALUE!</v>
      </c>
      <c r="S102" s="19" t="e">
        <f t="shared" ca="1" si="148"/>
        <v>#VALUE!</v>
      </c>
      <c r="T102" s="19" t="e">
        <f t="shared" ca="1" si="153"/>
        <v>#VALUE!</v>
      </c>
      <c r="U102" s="19" t="e">
        <f t="shared" ca="1" si="154"/>
        <v>#VALUE!</v>
      </c>
      <c r="V102" s="21">
        <f t="shared" ca="1" si="155"/>
        <v>2.3536293256817931E-4</v>
      </c>
      <c r="W102">
        <f t="shared" ca="1" si="156"/>
        <v>1.5341542704962213E-2</v>
      </c>
      <c r="X102" s="22">
        <f t="shared" ref="X102" ca="1" si="224">BSdelta(1,P102,Strike,W102*AnnualVarConvtr,Dividend,RiskFreeRate,G102/250)</f>
        <v>0</v>
      </c>
      <c r="Y102" s="22">
        <f t="shared" ca="1" si="162"/>
        <v>0</v>
      </c>
      <c r="Z102" s="22">
        <f t="shared" ca="1" si="163"/>
        <v>-7.4987775950898756</v>
      </c>
      <c r="AA102">
        <f t="shared" si="150"/>
        <v>0.73884103340948371</v>
      </c>
      <c r="AB102">
        <f t="shared" ref="AB102" ca="1" si="225">BSdelta(1,P102,Strike,AA102/AnnualVarConvtr,Dividend,RiskFreeRate,G102/250)</f>
        <v>0</v>
      </c>
      <c r="AC102">
        <f t="shared" ca="1" si="159"/>
        <v>0</v>
      </c>
      <c r="AD102">
        <f t="shared" ca="1" si="160"/>
        <v>-2.5925428445352519</v>
      </c>
    </row>
    <row r="103" spans="7:30" x14ac:dyDescent="0.25">
      <c r="G103" s="19">
        <v>152</v>
      </c>
      <c r="H103" s="19">
        <f t="shared" ca="1" si="209"/>
        <v>0.9987836908725598</v>
      </c>
      <c r="I103" s="19">
        <f t="shared" ca="1" si="209"/>
        <v>0.18803649878292561</v>
      </c>
      <c r="J103" s="19">
        <f t="shared" ca="1" si="145"/>
        <v>1.872653748097218E-2</v>
      </c>
      <c r="K103" s="19">
        <f t="shared" ca="1" si="146"/>
        <v>4.5644448265419635E-2</v>
      </c>
      <c r="L103" s="19">
        <f t="array" aca="1" ref="L103:M103" ca="1">MMULT(J103:K103,TRANSPOSE($B$10:$C$11))</f>
        <v>1.872653748097218E-2</v>
      </c>
      <c r="M103" s="19">
        <f ca="1"/>
        <v>1.8423413796039165E-2</v>
      </c>
      <c r="N103" s="20">
        <f ca="1">GetVariance(N102,Variance_Avg,Lambda,Eta,M103,"Daily")</f>
        <v>7.2360949142815448E-2</v>
      </c>
      <c r="O103" s="20">
        <f ca="1">GetStockReturns(O102,RiskFreeRate,N102,L103,"Daily")</f>
        <v>-0.17706571930067191</v>
      </c>
      <c r="P103" s="19">
        <f t="shared" ca="1" si="152"/>
        <v>1.5360832424095149E-3</v>
      </c>
      <c r="Q103" s="19">
        <f ca="1">HCTrans(P103,Strike,RiskFreeRate,Dividend,Variance_T0*AnnualVarConvtr,(Simulation!G103)/250,0.5,Variance_Avg*AnnualVarConvtr,Lambda,SQRT(Simulation!N103),Rho,1,"Call")</f>
        <v>-1.483077498025745E-5</v>
      </c>
      <c r="R103" s="19" t="e">
        <f t="shared" ca="1" si="147"/>
        <v>#VALUE!</v>
      </c>
      <c r="S103" s="19" t="e">
        <f t="shared" ca="1" si="148"/>
        <v>#VALUE!</v>
      </c>
      <c r="T103" s="19" t="e">
        <f t="shared" ca="1" si="153"/>
        <v>#VALUE!</v>
      </c>
      <c r="U103" s="19" t="e">
        <f t="shared" ca="1" si="154"/>
        <v>#VALUE!</v>
      </c>
      <c r="V103" s="21">
        <f t="shared" ca="1" si="155"/>
        <v>1.0181965377475337E-7</v>
      </c>
      <c r="W103">
        <f t="shared" ca="1" si="156"/>
        <v>3.1909192057266722E-4</v>
      </c>
      <c r="X103" s="22">
        <f t="shared" ref="X103" ca="1" si="226">BSdelta(1,P103,Strike,W103*AnnualVarConvtr,Dividend,RiskFreeRate,G103/250)</f>
        <v>0</v>
      </c>
      <c r="Y103" s="22">
        <f t="shared" ca="1" si="162"/>
        <v>0</v>
      </c>
      <c r="Z103" s="22">
        <f t="shared" ca="1" si="163"/>
        <v>-7.4987776257984189</v>
      </c>
      <c r="AA103">
        <f t="shared" si="150"/>
        <v>0.73884103340948371</v>
      </c>
      <c r="AB103">
        <f t="shared" ref="AB103" ca="1" si="227">BSdelta(1,P103,Strike,AA103/AnnualVarConvtr,Dividend,RiskFreeRate,G103/250)</f>
        <v>0</v>
      </c>
      <c r="AC103">
        <f t="shared" ca="1" si="159"/>
        <v>0</v>
      </c>
      <c r="AD103">
        <f t="shared" ca="1" si="160"/>
        <v>-2.5925428752437947</v>
      </c>
    </row>
    <row r="104" spans="7:30" x14ac:dyDescent="0.25">
      <c r="G104" s="19">
        <v>151</v>
      </c>
      <c r="H104" s="19">
        <f t="shared" ca="1" si="209"/>
        <v>0.3278018310694002</v>
      </c>
      <c r="I104" s="19">
        <f t="shared" ca="1" si="209"/>
        <v>0.6055830724979917</v>
      </c>
      <c r="J104" s="19">
        <f t="shared" ca="1" si="145"/>
        <v>-1.1767745826787348</v>
      </c>
      <c r="K104" s="19">
        <f t="shared" ca="1" si="146"/>
        <v>-0.91972476049515739</v>
      </c>
      <c r="L104" s="19">
        <f t="array" aca="1" ref="L104:M104" ca="1">MMULT(J104:K104,TRANSPOSE($B$10:$C$11))</f>
        <v>-1.1767745826787348</v>
      </c>
      <c r="M104" s="19">
        <f ca="1"/>
        <v>0.20157086798488821</v>
      </c>
      <c r="N104" s="20">
        <f ca="1">GetVariance(N103,Variance_Avg,Lambda,Eta,M104,"Daily")</f>
        <v>7.3350360848652207E-2</v>
      </c>
      <c r="O104" s="20">
        <f ca="1">GetStockReturns(O103,RiskFreeRate,N103,L104,"Daily")</f>
        <v>-0.19708624156455851</v>
      </c>
      <c r="P104" s="19">
        <f t="shared" ca="1" si="152"/>
        <v>1.2613083887557004E-3</v>
      </c>
      <c r="Q104" s="19">
        <f ca="1">HCTrans(P104,Strike,RiskFreeRate,Dividend,Variance_T0*AnnualVarConvtr,(Simulation!G104)/250,0.5,Variance_Avg*AnnualVarConvtr,Lambda,SQRT(Simulation!N104),Rho,1,"Call")</f>
        <v>-1.486134309766499E-5</v>
      </c>
      <c r="R104" s="19" t="e">
        <f t="shared" ca="1" si="147"/>
        <v>#VALUE!</v>
      </c>
      <c r="S104" s="19" t="e">
        <f t="shared" ca="1" si="148"/>
        <v>#VALUE!</v>
      </c>
      <c r="T104" s="19" t="e">
        <f t="shared" ca="1" si="153"/>
        <v>#VALUE!</v>
      </c>
      <c r="U104" s="19" t="e">
        <f t="shared" ca="1" si="154"/>
        <v>#VALUE!</v>
      </c>
      <c r="V104" s="21">
        <f t="shared" ca="1" si="155"/>
        <v>4.0082131171877871E-4</v>
      </c>
      <c r="W104">
        <f t="shared" ca="1" si="156"/>
        <v>2.0020522263886592E-2</v>
      </c>
      <c r="X104" s="22">
        <f t="shared" ref="X104" ca="1" si="228">BSdelta(1,P104,Strike,W104*AnnualVarConvtr,Dividend,RiskFreeRate,G104/250)</f>
        <v>0</v>
      </c>
      <c r="Y104" s="22">
        <f t="shared" ca="1" si="162"/>
        <v>0</v>
      </c>
      <c r="Z104" s="22">
        <f t="shared" ca="1" si="163"/>
        <v>-7.4987776563665367</v>
      </c>
      <c r="AA104">
        <f t="shared" si="150"/>
        <v>0.73884103340948371</v>
      </c>
      <c r="AB104">
        <f t="shared" ref="AB104" ca="1" si="229">BSdelta(1,P104,Strike,AA104/AnnualVarConvtr,Dividend,RiskFreeRate,G104/250)</f>
        <v>0</v>
      </c>
      <c r="AC104">
        <f t="shared" ca="1" si="159"/>
        <v>0</v>
      </c>
      <c r="AD104">
        <f t="shared" ca="1" si="160"/>
        <v>-2.592542905811912</v>
      </c>
    </row>
    <row r="105" spans="7:30" x14ac:dyDescent="0.25">
      <c r="G105" s="19">
        <v>150</v>
      </c>
      <c r="H105" s="19">
        <f t="shared" ca="1" si="209"/>
        <v>0.72538412690357967</v>
      </c>
      <c r="I105" s="19">
        <f t="shared" ca="1" si="209"/>
        <v>8.3745744326806926E-2</v>
      </c>
      <c r="J105" s="19">
        <f t="shared" ca="1" si="145"/>
        <v>0.6929197663957386</v>
      </c>
      <c r="K105" s="19">
        <f t="shared" ca="1" si="146"/>
        <v>0.40245504816099437</v>
      </c>
      <c r="L105" s="19">
        <f t="array" aca="1" ref="L105:M105" ca="1">MMULT(J105:K105,TRANSPOSE($B$10:$C$11))</f>
        <v>0.6929197663957386</v>
      </c>
      <c r="M105" s="19">
        <f ca="1"/>
        <v>-0.21572956618203104</v>
      </c>
      <c r="N105" s="20">
        <f ca="1">GetVariance(N104,Variance_Avg,Lambda,Eta,M105,"Daily")</f>
        <v>7.1573224058387674E-2</v>
      </c>
      <c r="O105" s="20">
        <f ca="1">GetStockReturns(O104,RiskFreeRate,N104,L105,"Daily")</f>
        <v>-0.18521724310936757</v>
      </c>
      <c r="P105" s="19">
        <f t="shared" ca="1" si="152"/>
        <v>1.048051098541111E-3</v>
      </c>
      <c r="Q105" s="19">
        <f ca="1">HCTrans(P105,Strike,RiskFreeRate,Dividend,Variance_T0*AnnualVarConvtr,(Simulation!G105)/250,0.5,Variance_Avg*AnnualVarConvtr,Lambda,SQRT(Simulation!N105),Rho,1,"Call")</f>
        <v>-1.4886941312257504E-5</v>
      </c>
      <c r="R105" s="19" t="e">
        <f t="shared" ca="1" si="147"/>
        <v>#VALUE!</v>
      </c>
      <c r="S105" s="19" t="e">
        <f t="shared" ca="1" si="148"/>
        <v>#VALUE!</v>
      </c>
      <c r="T105" s="19" t="e">
        <f t="shared" ca="1" si="153"/>
        <v>#VALUE!</v>
      </c>
      <c r="U105" s="19" t="e">
        <f t="shared" ca="1" si="154"/>
        <v>#VALUE!</v>
      </c>
      <c r="V105" s="21">
        <f t="shared" ca="1" si="155"/>
        <v>1.4087312432932474E-4</v>
      </c>
      <c r="W105">
        <f t="shared" ca="1" si="156"/>
        <v>1.1868998455190932E-2</v>
      </c>
      <c r="X105" s="22">
        <f t="shared" ref="X105" ca="1" si="230">BSdelta(1,P105,Strike,W105*AnnualVarConvtr,Dividend,RiskFreeRate,G105/250)</f>
        <v>0</v>
      </c>
      <c r="Y105" s="22">
        <f t="shared" ca="1" si="162"/>
        <v>0</v>
      </c>
      <c r="Z105" s="22">
        <f t="shared" ca="1" si="163"/>
        <v>-7.4987776819647509</v>
      </c>
      <c r="AA105">
        <f t="shared" si="150"/>
        <v>0.73884103340948371</v>
      </c>
      <c r="AB105">
        <f t="shared" ref="AB105" ca="1" si="231">BSdelta(1,P105,Strike,AA105/AnnualVarConvtr,Dividend,RiskFreeRate,G105/250)</f>
        <v>0</v>
      </c>
      <c r="AC105">
        <f t="shared" ca="1" si="159"/>
        <v>0</v>
      </c>
      <c r="AD105">
        <f t="shared" ca="1" si="160"/>
        <v>-2.5925429314101267</v>
      </c>
    </row>
    <row r="106" spans="7:30" x14ac:dyDescent="0.25">
      <c r="G106" s="19">
        <v>149</v>
      </c>
      <c r="H106" s="19">
        <f t="shared" ca="1" si="209"/>
        <v>0.28435072185840804</v>
      </c>
      <c r="I106" s="19">
        <f t="shared" ca="1" si="209"/>
        <v>0.25914481835359848</v>
      </c>
      <c r="J106" s="19">
        <f t="shared" ca="1" si="145"/>
        <v>-9.1073713092629016E-2</v>
      </c>
      <c r="K106" s="19">
        <f t="shared" ca="1" si="146"/>
        <v>1.5832875013704506</v>
      </c>
      <c r="L106" s="19">
        <f t="array" aca="1" ref="L106:M106" ca="1">MMULT(J106:K106,TRANSPOSE($B$10:$C$11))</f>
        <v>-9.1073713092629016E-2</v>
      </c>
      <c r="M106" s="19">
        <f ca="1"/>
        <v>1.1697352382620896</v>
      </c>
      <c r="N106" s="20">
        <f ca="1">GetVariance(N105,Variance_Avg,Lambda,Eta,M106,"Daily")</f>
        <v>7.9110233816612988E-2</v>
      </c>
      <c r="O106" s="20">
        <f ca="1">GetStockReturns(O105,RiskFreeRate,N105,L106,"Daily")</f>
        <v>-0.18675822781813228</v>
      </c>
      <c r="P106" s="19">
        <f t="shared" ca="1" si="152"/>
        <v>8.6950961692298728E-4</v>
      </c>
      <c r="Q106" s="19">
        <f ca="1">HCTrans(P106,Strike,RiskFreeRate,Dividend,Variance_T0*AnnualVarConvtr,(Simulation!G106)/250,0.5,Variance_Avg*AnnualVarConvtr,Lambda,SQRT(Simulation!N106),Rho,1,"Call")</f>
        <v>-1.490997741153638E-5</v>
      </c>
      <c r="R106" s="19" t="e">
        <f t="shared" ca="1" si="147"/>
        <v>#VALUE!</v>
      </c>
      <c r="S106" s="19" t="e">
        <f t="shared" ca="1" si="148"/>
        <v>#VALUE!</v>
      </c>
      <c r="T106" s="19" t="e">
        <f t="shared" ca="1" si="153"/>
        <v>#VALUE!</v>
      </c>
      <c r="U106" s="19" t="e">
        <f t="shared" ca="1" si="154"/>
        <v>#VALUE!</v>
      </c>
      <c r="V106" s="21">
        <f t="shared" ca="1" si="155"/>
        <v>2.3746338726466543E-6</v>
      </c>
      <c r="W106">
        <f t="shared" ca="1" si="156"/>
        <v>1.5409847087647088E-3</v>
      </c>
      <c r="X106" s="22">
        <f t="shared" ref="X106" ca="1" si="232">BSdelta(1,P106,Strike,W106*AnnualVarConvtr,Dividend,RiskFreeRate,G106/250)</f>
        <v>0</v>
      </c>
      <c r="Y106" s="22">
        <f t="shared" ca="1" si="162"/>
        <v>0</v>
      </c>
      <c r="Z106" s="22">
        <f t="shared" ca="1" si="163"/>
        <v>-7.4987777050008502</v>
      </c>
      <c r="AA106">
        <f t="shared" si="150"/>
        <v>0.73884103340948371</v>
      </c>
      <c r="AB106">
        <f t="shared" ref="AB106" ca="1" si="233">BSdelta(1,P106,Strike,AA106/AnnualVarConvtr,Dividend,RiskFreeRate,G106/250)</f>
        <v>0</v>
      </c>
      <c r="AC106">
        <f t="shared" ca="1" si="159"/>
        <v>0</v>
      </c>
      <c r="AD106">
        <f t="shared" ca="1" si="160"/>
        <v>-2.592542954446226</v>
      </c>
    </row>
    <row r="107" spans="7:30" x14ac:dyDescent="0.25">
      <c r="G107" s="19">
        <v>148</v>
      </c>
      <c r="H107" s="19">
        <f t="shared" ca="1" si="209"/>
        <v>0.55473832024647407</v>
      </c>
      <c r="I107" s="19">
        <f t="shared" ca="1" si="209"/>
        <v>0.64961258869880933</v>
      </c>
      <c r="J107" s="19">
        <f t="shared" ca="1" si="145"/>
        <v>-0.64023297260300993</v>
      </c>
      <c r="K107" s="19">
        <f t="shared" ca="1" si="146"/>
        <v>-0.87670934963852232</v>
      </c>
      <c r="L107" s="19">
        <f t="array" aca="1" ref="L107:M107" ca="1">MMULT(J107:K107,TRANSPOSE($B$10:$C$11))</f>
        <v>-0.64023297260300993</v>
      </c>
      <c r="M107" s="19">
        <f ca="1"/>
        <v>-0.15285420029222307</v>
      </c>
      <c r="N107" s="20">
        <f ca="1">GetVariance(N106,Variance_Avg,Lambda,Eta,M107,"Daily")</f>
        <v>7.767752627451445E-2</v>
      </c>
      <c r="O107" s="20">
        <f ca="1">GetStockReturns(O106,RiskFreeRate,N106,L107,"Daily")</f>
        <v>-0.19814719566021075</v>
      </c>
      <c r="P107" s="19">
        <f t="shared" ca="1" si="152"/>
        <v>7.1321448693293461E-4</v>
      </c>
      <c r="Q107" s="19">
        <f ca="1">HCTrans(P107,Strike,RiskFreeRate,Dividend,Variance_T0*AnnualVarConvtr,(Simulation!G107)/250,0.5,Variance_Avg*AnnualVarConvtr,Lambda,SQRT(Simulation!N107),Rho,1,"Call")</f>
        <v>-1.4931714202205877E-5</v>
      </c>
      <c r="R107" s="19" t="e">
        <f t="shared" ca="1" si="147"/>
        <v>#VALUE!</v>
      </c>
      <c r="S107" s="19" t="e">
        <f t="shared" ca="1" si="148"/>
        <v>#VALUE!</v>
      </c>
      <c r="T107" s="19" t="e">
        <f t="shared" ca="1" si="153"/>
        <v>#VALUE!</v>
      </c>
      <c r="U107" s="19" t="e">
        <f t="shared" ca="1" si="154"/>
        <v>#VALUE!</v>
      </c>
      <c r="V107" s="21">
        <f t="shared" ca="1" si="155"/>
        <v>1.2970858850789733E-4</v>
      </c>
      <c r="W107">
        <f t="shared" ca="1" si="156"/>
        <v>1.1388967842078462E-2</v>
      </c>
      <c r="X107" s="22">
        <f t="shared" ref="X107" ca="1" si="234">BSdelta(1,P107,Strike,W107*AnnualVarConvtr,Dividend,RiskFreeRate,G107/250)</f>
        <v>0</v>
      </c>
      <c r="Y107" s="22">
        <f t="shared" ca="1" si="162"/>
        <v>0</v>
      </c>
      <c r="Z107" s="22">
        <f t="shared" ca="1" si="163"/>
        <v>-7.4987777267376412</v>
      </c>
      <c r="AA107">
        <f t="shared" si="150"/>
        <v>0.73884103340948371</v>
      </c>
      <c r="AB107">
        <f t="shared" ref="AB107" ca="1" si="235">BSdelta(1,P107,Strike,AA107/AnnualVarConvtr,Dividend,RiskFreeRate,G107/250)</f>
        <v>0</v>
      </c>
      <c r="AC107">
        <f t="shared" ca="1" si="159"/>
        <v>0</v>
      </c>
      <c r="AD107">
        <f t="shared" ca="1" si="160"/>
        <v>-2.5925429761830165</v>
      </c>
    </row>
    <row r="108" spans="7:30" x14ac:dyDescent="0.25">
      <c r="G108" s="19">
        <v>147</v>
      </c>
      <c r="H108" s="19">
        <f t="shared" ca="1" si="209"/>
        <v>0.96797798122938328</v>
      </c>
      <c r="I108" s="19">
        <f t="shared" ca="1" si="209"/>
        <v>0.47085259130330426</v>
      </c>
      <c r="J108" s="19">
        <f t="shared" ca="1" si="145"/>
        <v>-0.25086452834954648</v>
      </c>
      <c r="K108" s="19">
        <f t="shared" ca="1" si="146"/>
        <v>4.6463595128000343E-2</v>
      </c>
      <c r="L108" s="19">
        <f t="array" aca="1" ref="L108:M108" ca="1">MMULT(J108:K108,TRANSPOSE($B$10:$C$11))</f>
        <v>-0.25086452834954648</v>
      </c>
      <c r="M108" s="19">
        <f ca="1"/>
        <v>0.21215683874085128</v>
      </c>
      <c r="N108" s="20">
        <f ca="1">GetVariance(N107,Variance_Avg,Lambda,Eta,M108,"Daily")</f>
        <v>7.875973383211643E-2</v>
      </c>
      <c r="O108" s="20">
        <f ca="1">GetStockReturns(O107,RiskFreeRate,N107,L108,"Daily")</f>
        <v>-0.20256917741542124</v>
      </c>
      <c r="P108" s="19">
        <f t="shared" ca="1" si="152"/>
        <v>5.8243233811381475E-4</v>
      </c>
      <c r="Q108" s="19">
        <f ca="1">HCTrans(P108,Strike,RiskFreeRate,Dividend,Variance_T0*AnnualVarConvtr,(Simulation!G108)/250,0.5,Variance_Avg*AnnualVarConvtr,Lambda,SQRT(Simulation!N108),Rho,1,"Call")</f>
        <v>-1.4951339839918928E-5</v>
      </c>
      <c r="R108" s="19" t="e">
        <f t="shared" ca="1" si="147"/>
        <v>#VALUE!</v>
      </c>
      <c r="S108" s="19" t="e">
        <f t="shared" ca="1" si="148"/>
        <v>#VALUE!</v>
      </c>
      <c r="T108" s="19" t="e">
        <f t="shared" ca="1" si="153"/>
        <v>#VALUE!</v>
      </c>
      <c r="U108" s="19" t="e">
        <f t="shared" ca="1" si="154"/>
        <v>#VALUE!</v>
      </c>
      <c r="V108" s="21">
        <f t="shared" ca="1" si="155"/>
        <v>1.9553922643414507E-5</v>
      </c>
      <c r="W108">
        <f t="shared" ca="1" si="156"/>
        <v>4.4219817552104967E-3</v>
      </c>
      <c r="X108" s="22">
        <f t="shared" ref="X108" ca="1" si="236">BSdelta(1,P108,Strike,W108*AnnualVarConvtr,Dividend,RiskFreeRate,G108/250)</f>
        <v>0</v>
      </c>
      <c r="Y108" s="22">
        <f t="shared" ca="1" si="162"/>
        <v>0</v>
      </c>
      <c r="Z108" s="22">
        <f t="shared" ca="1" si="163"/>
        <v>-7.4987777463632792</v>
      </c>
      <c r="AA108">
        <f t="shared" si="150"/>
        <v>0.73884103340948371</v>
      </c>
      <c r="AB108">
        <f t="shared" ref="AB108" ca="1" si="237">BSdelta(1,P108,Strike,AA108/AnnualVarConvtr,Dividend,RiskFreeRate,G108/250)</f>
        <v>0</v>
      </c>
      <c r="AC108">
        <f t="shared" ca="1" si="159"/>
        <v>0</v>
      </c>
      <c r="AD108">
        <f t="shared" ca="1" si="160"/>
        <v>-2.5925429958086541</v>
      </c>
    </row>
    <row r="109" spans="7:30" x14ac:dyDescent="0.25">
      <c r="G109" s="19">
        <v>146</v>
      </c>
      <c r="H109" s="19">
        <f t="shared" ca="1" si="209"/>
        <v>0.56809932403383667</v>
      </c>
      <c r="I109" s="19">
        <f t="shared" ca="1" si="209"/>
        <v>0.48426092133476173</v>
      </c>
      <c r="J109" s="19">
        <f t="shared" ca="1" si="145"/>
        <v>-1.058250522813535</v>
      </c>
      <c r="K109" s="19">
        <f t="shared" ca="1" si="146"/>
        <v>0.10499452151414972</v>
      </c>
      <c r="L109" s="19">
        <f t="array" aca="1" ref="L109:M109" ca="1">MMULT(J109:K109,TRANSPOSE($B$10:$C$11))</f>
        <v>-1.058250522813535</v>
      </c>
      <c r="M109" s="19">
        <f ca="1"/>
        <v>0.83147932246527245</v>
      </c>
      <c r="N109" s="20">
        <f ca="1">GetVariance(N108,Variance_Avg,Lambda,Eta,M109,"Daily")</f>
        <v>8.4205239292390405E-2</v>
      </c>
      <c r="O109" s="20">
        <f ca="1">GetStockReturns(O108,RiskFreeRate,N108,L109,"Daily")</f>
        <v>-0.2213524217223396</v>
      </c>
      <c r="P109" s="19">
        <f t="shared" ca="1" si="152"/>
        <v>4.6678118778534201E-4</v>
      </c>
      <c r="Q109" s="19">
        <f ca="1">HCTrans(P109,Strike,RiskFreeRate,Dividend,Variance_T0*AnnualVarConvtr,(Simulation!G109)/250,0.5,Variance_Avg*AnnualVarConvtr,Lambda,SQRT(Simulation!N109),Rho,1,"Call")</f>
        <v>-1.4970120340742092E-5</v>
      </c>
      <c r="R109" s="19" t="e">
        <f t="shared" ca="1" si="147"/>
        <v>#VALUE!</v>
      </c>
      <c r="S109" s="19" t="e">
        <f t="shared" ca="1" si="148"/>
        <v>#VALUE!</v>
      </c>
      <c r="T109" s="19" t="e">
        <f t="shared" ca="1" si="153"/>
        <v>#VALUE!</v>
      </c>
      <c r="U109" s="19" t="e">
        <f t="shared" ca="1" si="154"/>
        <v>#VALUE!</v>
      </c>
      <c r="V109" s="21">
        <f t="shared" ca="1" si="155"/>
        <v>3.5281026669338082E-4</v>
      </c>
      <c r="W109">
        <f t="shared" ca="1" si="156"/>
        <v>1.8783244306918356E-2</v>
      </c>
      <c r="X109" s="22">
        <f t="shared" ref="X109" ca="1" si="238">BSdelta(1,P109,Strike,W109*AnnualVarConvtr,Dividend,RiskFreeRate,G109/250)</f>
        <v>0</v>
      </c>
      <c r="Y109" s="22">
        <f t="shared" ca="1" si="162"/>
        <v>0</v>
      </c>
      <c r="Z109" s="22">
        <f t="shared" ca="1" si="163"/>
        <v>-7.4987777651437799</v>
      </c>
      <c r="AA109">
        <f t="shared" si="150"/>
        <v>0.73884103340948371</v>
      </c>
      <c r="AB109">
        <f t="shared" ref="AB109" ca="1" si="239">BSdelta(1,P109,Strike,AA109/AnnualVarConvtr,Dividend,RiskFreeRate,G109/250)</f>
        <v>0</v>
      </c>
      <c r="AC109">
        <f t="shared" ca="1" si="159"/>
        <v>0</v>
      </c>
      <c r="AD109">
        <f t="shared" ca="1" si="160"/>
        <v>-2.5925430145891548</v>
      </c>
    </row>
    <row r="110" spans="7:30" x14ac:dyDescent="0.25">
      <c r="G110" s="19">
        <v>145</v>
      </c>
      <c r="H110" s="19">
        <f t="shared" ca="1" si="209"/>
        <v>0.64831352203648918</v>
      </c>
      <c r="I110" s="19">
        <f t="shared" ca="1" si="209"/>
        <v>0.86245529469001259</v>
      </c>
      <c r="J110" s="19">
        <f t="shared" ca="1" si="145"/>
        <v>0.60443751277268432</v>
      </c>
      <c r="K110" s="19">
        <f t="shared" ca="1" si="146"/>
        <v>-0.70810806507391943</v>
      </c>
      <c r="L110" s="19">
        <f t="array" aca="1" ref="L110:M110" ca="1">MMULT(J110:K110,TRANSPOSE($B$10:$C$11))</f>
        <v>0.60443751277268432</v>
      </c>
      <c r="M110" s="19">
        <f ca="1"/>
        <v>-0.92704652336880677</v>
      </c>
      <c r="N110" s="20">
        <f ca="1">GetVariance(N109,Variance_Avg,Lambda,Eta,M110,"Daily")</f>
        <v>7.7329134882706096E-2</v>
      </c>
      <c r="O110" s="20">
        <f ca="1">GetStockReturns(O109,RiskFreeRate,N109,L110,"Daily")</f>
        <v>-0.21025937192271363</v>
      </c>
      <c r="P110" s="19">
        <f t="shared" ca="1" si="152"/>
        <v>3.7826735247869738E-4</v>
      </c>
      <c r="Q110" s="19">
        <f ca="1">HCTrans(P110,Strike,RiskFreeRate,Dividend,Variance_T0*AnnualVarConvtr,(Simulation!G110)/250,0.5,Variance_Avg*AnnualVarConvtr,Lambda,SQRT(Simulation!N110),Rho,1,"Call")</f>
        <v>-1.4985687348787282E-5</v>
      </c>
      <c r="R110" s="19" t="e">
        <f t="shared" ca="1" si="147"/>
        <v>#VALUE!</v>
      </c>
      <c r="S110" s="19" t="e">
        <f t="shared" ca="1" si="148"/>
        <v>#VALUE!</v>
      </c>
      <c r="T110" s="19" t="e">
        <f t="shared" ca="1" si="153"/>
        <v>#VALUE!</v>
      </c>
      <c r="U110" s="19" t="e">
        <f t="shared" ca="1" si="154"/>
        <v>#VALUE!</v>
      </c>
      <c r="V110" s="21">
        <f t="shared" ca="1" si="155"/>
        <v>1.2305575385698178E-4</v>
      </c>
      <c r="W110">
        <f t="shared" ca="1" si="156"/>
        <v>1.109304979962597E-2</v>
      </c>
      <c r="X110" s="22">
        <f t="shared" ref="X110" ca="1" si="240">BSdelta(1,P110,Strike,W110*AnnualVarConvtr,Dividend,RiskFreeRate,G110/250)</f>
        <v>0</v>
      </c>
      <c r="Y110" s="22">
        <f t="shared" ca="1" si="162"/>
        <v>0</v>
      </c>
      <c r="Z110" s="22">
        <f t="shared" ca="1" si="163"/>
        <v>-7.498777780710788</v>
      </c>
      <c r="AA110">
        <f t="shared" si="150"/>
        <v>0.73884103340948371</v>
      </c>
      <c r="AB110">
        <f t="shared" ref="AB110" ca="1" si="241">BSdelta(1,P110,Strike,AA110/AnnualVarConvtr,Dividend,RiskFreeRate,G110/250)</f>
        <v>0</v>
      </c>
      <c r="AC110">
        <f t="shared" ca="1" si="159"/>
        <v>0</v>
      </c>
      <c r="AD110">
        <f t="shared" ca="1" si="160"/>
        <v>-2.5925430301561629</v>
      </c>
    </row>
    <row r="111" spans="7:30" x14ac:dyDescent="0.25">
      <c r="G111" s="19">
        <v>144</v>
      </c>
      <c r="H111" s="19">
        <f t="shared" ca="1" si="209"/>
        <v>0.55939203084398981</v>
      </c>
      <c r="I111" s="19">
        <f t="shared" ca="1" si="209"/>
        <v>0.60098955873163606</v>
      </c>
      <c r="J111" s="19">
        <f t="shared" ca="1" si="145"/>
        <v>-0.86806128028014828</v>
      </c>
      <c r="K111" s="19">
        <f t="shared" ca="1" si="146"/>
        <v>-0.63896721520613609</v>
      </c>
      <c r="L111" s="19">
        <f t="array" aca="1" ref="L111:M111" ca="1">MMULT(J111:K111,TRANSPOSE($B$10:$C$11))</f>
        <v>-0.86806128028014828</v>
      </c>
      <c r="M111" s="19">
        <f ca="1"/>
        <v>0.17623062620538227</v>
      </c>
      <c r="N111" s="20">
        <f ca="1">GetVariance(N110,Variance_Avg,Lambda,Eta,M111,"Daily")</f>
        <v>7.8162869235359561E-2</v>
      </c>
      <c r="O111" s="20">
        <f ca="1">GetStockReturns(O110,RiskFreeRate,N110,L111,"Daily")</f>
        <v>-0.22552631043468535</v>
      </c>
      <c r="P111" s="19">
        <f t="shared" ca="1" si="152"/>
        <v>3.0189368436514758E-4</v>
      </c>
      <c r="Q111" s="19">
        <f ca="1">HCTrans(P111,Strike,RiskFreeRate,Dividend,Variance_T0*AnnualVarConvtr,(Simulation!G111)/250,0.5,Variance_Avg*AnnualVarConvtr,Lambda,SQRT(Simulation!N111),Rho,1,"Call")</f>
        <v>-1.5000201049892052E-5</v>
      </c>
      <c r="R111" s="19" t="e">
        <f t="shared" ca="1" si="147"/>
        <v>#VALUE!</v>
      </c>
      <c r="S111" s="19" t="e">
        <f t="shared" ca="1" si="148"/>
        <v>#VALUE!</v>
      </c>
      <c r="T111" s="19" t="e">
        <f t="shared" ca="1" si="153"/>
        <v>#VALUE!</v>
      </c>
      <c r="U111" s="19" t="e">
        <f t="shared" ca="1" si="154"/>
        <v>#VALUE!</v>
      </c>
      <c r="V111" s="21">
        <f t="shared" ca="1" si="155"/>
        <v>2.3307941152832536E-4</v>
      </c>
      <c r="W111">
        <f t="shared" ca="1" si="156"/>
        <v>1.5266938511971723E-2</v>
      </c>
      <c r="X111" s="22">
        <f t="shared" ref="X111" ca="1" si="242">BSdelta(1,P111,Strike,W111*AnnualVarConvtr,Dividend,RiskFreeRate,G111/250)</f>
        <v>0</v>
      </c>
      <c r="Y111" s="22">
        <f t="shared" ca="1" si="162"/>
        <v>0</v>
      </c>
      <c r="Z111" s="22">
        <f t="shared" ca="1" si="163"/>
        <v>-7.4987777952244894</v>
      </c>
      <c r="AA111">
        <f t="shared" si="150"/>
        <v>0.73884103340948371</v>
      </c>
      <c r="AB111">
        <f t="shared" ref="AB111" ca="1" si="243">BSdelta(1,P111,Strike,AA111/AnnualVarConvtr,Dividend,RiskFreeRate,G111/250)</f>
        <v>0</v>
      </c>
      <c r="AC111">
        <f t="shared" ca="1" si="159"/>
        <v>0</v>
      </c>
      <c r="AD111">
        <f t="shared" ca="1" si="160"/>
        <v>-2.5925430446698638</v>
      </c>
    </row>
    <row r="112" spans="7:30" x14ac:dyDescent="0.25">
      <c r="G112" s="19">
        <v>143</v>
      </c>
      <c r="H112" s="19">
        <f t="shared" ca="1" si="209"/>
        <v>0.49898436902946641</v>
      </c>
      <c r="I112" s="19">
        <f t="shared" ca="1" si="209"/>
        <v>0.56638447522636504</v>
      </c>
      <c r="J112" s="19">
        <f t="shared" ca="1" si="145"/>
        <v>-1.0780427318731249</v>
      </c>
      <c r="K112" s="19">
        <f t="shared" ca="1" si="146"/>
        <v>-0.47768701560594284</v>
      </c>
      <c r="L112" s="19">
        <f t="array" aca="1" ref="L112:M112" ca="1">MMULT(J112:K112,TRANSPOSE($B$10:$C$11))</f>
        <v>-1.0780427318731249</v>
      </c>
      <c r="M112" s="19">
        <f ca="1"/>
        <v>0.43918932160109775</v>
      </c>
      <c r="N112" s="20">
        <f ca="1">GetVariance(N111,Variance_Avg,Lambda,Eta,M112,"Daily")</f>
        <v>8.082562818859286E-2</v>
      </c>
      <c r="O112" s="20">
        <f ca="1">GetStockReturns(O111,RiskFreeRate,N111,L112,"Daily")</f>
        <v>-0.24458821181036128</v>
      </c>
      <c r="P112" s="19">
        <f t="shared" ca="1" si="152"/>
        <v>2.363908797519869E-4</v>
      </c>
      <c r="Q112" s="19">
        <f ca="1">HCTrans(P112,Strike,RiskFreeRate,Dividend,Variance_T0*AnnualVarConvtr,(Simulation!G112)/250,0.5,Variance_Avg*AnnualVarConvtr,Lambda,SQRT(Simulation!N112),Rho,1,"Call")</f>
        <v>-1.5013708983082258E-5</v>
      </c>
      <c r="R112" s="19" t="e">
        <f t="shared" ca="1" si="147"/>
        <v>#VALUE!</v>
      </c>
      <c r="S112" s="19" t="e">
        <f t="shared" ca="1" si="148"/>
        <v>#VALUE!</v>
      </c>
      <c r="T112" s="19" t="e">
        <f t="shared" ca="1" si="153"/>
        <v>#VALUE!</v>
      </c>
      <c r="U112" s="19" t="e">
        <f t="shared" ca="1" si="154"/>
        <v>#VALUE!</v>
      </c>
      <c r="V112" s="21">
        <f t="shared" ca="1" si="155"/>
        <v>3.6335608405599579E-4</v>
      </c>
      <c r="W112">
        <f t="shared" ca="1" si="156"/>
        <v>1.9061901375675927E-2</v>
      </c>
      <c r="X112" s="22">
        <f t="shared" ref="X112" ca="1" si="244">BSdelta(1,P112,Strike,W112*AnnualVarConvtr,Dividend,RiskFreeRate,G112/250)</f>
        <v>0</v>
      </c>
      <c r="Y112" s="22">
        <f t="shared" ca="1" si="162"/>
        <v>0</v>
      </c>
      <c r="Z112" s="22">
        <f t="shared" ca="1" si="163"/>
        <v>-7.4987778087324228</v>
      </c>
      <c r="AA112">
        <f t="shared" si="150"/>
        <v>0.73884103340948371</v>
      </c>
      <c r="AB112">
        <f t="shared" ref="AB112" ca="1" si="245">BSdelta(1,P112,Strike,AA112/AnnualVarConvtr,Dividend,RiskFreeRate,G112/250)</f>
        <v>0</v>
      </c>
      <c r="AC112">
        <f t="shared" ca="1" si="159"/>
        <v>0</v>
      </c>
      <c r="AD112">
        <f t="shared" ca="1" si="160"/>
        <v>-2.5925430581777968</v>
      </c>
    </row>
    <row r="113" spans="7:30" x14ac:dyDescent="0.25">
      <c r="G113" s="19">
        <v>142</v>
      </c>
      <c r="H113" s="19">
        <f t="shared" ca="1" si="209"/>
        <v>0.95311887972819787</v>
      </c>
      <c r="I113" s="19">
        <f t="shared" ca="1" si="209"/>
        <v>0.37993319491704447</v>
      </c>
      <c r="J113" s="19">
        <f t="shared" ca="1" si="145"/>
        <v>-0.22581040047540654</v>
      </c>
      <c r="K113" s="19">
        <f t="shared" ca="1" si="146"/>
        <v>0.21222851832080109</v>
      </c>
      <c r="L113" s="19">
        <f t="array" aca="1" ref="L113:M113" ca="1">MMULT(J113:K113,TRANSPOSE($B$10:$C$11))</f>
        <v>-0.22581040047540654</v>
      </c>
      <c r="M113" s="19">
        <f ca="1"/>
        <v>0.30984102673479519</v>
      </c>
      <c r="N113" s="20">
        <f ca="1">GetVariance(N112,Variance_Avg,Lambda,Eta,M113,"Daily")</f>
        <v>8.2608864610861116E-2</v>
      </c>
      <c r="O113" s="20">
        <f ca="1">GetStockReturns(O112,RiskFreeRate,N112,L113,"Daily")</f>
        <v>-0.24864842166531778</v>
      </c>
      <c r="P113" s="19">
        <f t="shared" ca="1" si="152"/>
        <v>1.8435039795915763E-4</v>
      </c>
      <c r="Q113" s="19">
        <f ca="1">HCTrans(P113,Strike,RiskFreeRate,Dividend,Variance_T0*AnnualVarConvtr,(Simulation!G113)/250,0.5,Variance_Avg*AnnualVarConvtr,Lambda,SQRT(Simulation!N113),Rho,1,"Call")</f>
        <v>-1.5025372361483769E-5</v>
      </c>
      <c r="R113" s="19" t="e">
        <f t="shared" ca="1" si="147"/>
        <v>#VALUE!</v>
      </c>
      <c r="S113" s="19" t="e">
        <f t="shared" ca="1" si="148"/>
        <v>#VALUE!</v>
      </c>
      <c r="T113" s="19" t="e">
        <f t="shared" ca="1" si="153"/>
        <v>#VALUE!</v>
      </c>
      <c r="U113" s="19" t="e">
        <f t="shared" ca="1" si="154"/>
        <v>#VALUE!</v>
      </c>
      <c r="V113" s="21">
        <f t="shared" ca="1" si="155"/>
        <v>1.6485304066285912E-5</v>
      </c>
      <c r="W113">
        <f t="shared" ca="1" si="156"/>
        <v>4.0602098549565036E-3</v>
      </c>
      <c r="X113" s="22">
        <f t="shared" ref="X113" ca="1" si="246">BSdelta(1,P113,Strike,W113*AnnualVarConvtr,Dividend,RiskFreeRate,G113/250)</f>
        <v>0</v>
      </c>
      <c r="Y113" s="22">
        <f t="shared" ca="1" si="162"/>
        <v>0</v>
      </c>
      <c r="Z113" s="22">
        <f t="shared" ca="1" si="163"/>
        <v>-7.4987778203958015</v>
      </c>
      <c r="AA113">
        <f t="shared" si="150"/>
        <v>0.73884103340948371</v>
      </c>
      <c r="AB113">
        <f t="shared" ref="AB113" ca="1" si="247">BSdelta(1,P113,Strike,AA113/AnnualVarConvtr,Dividend,RiskFreeRate,G113/250)</f>
        <v>0</v>
      </c>
      <c r="AC113">
        <f t="shared" ca="1" si="159"/>
        <v>0</v>
      </c>
      <c r="AD113">
        <f t="shared" ca="1" si="160"/>
        <v>-2.5925430698411751</v>
      </c>
    </row>
    <row r="114" spans="7:30" x14ac:dyDescent="0.25">
      <c r="G114" s="19">
        <v>141</v>
      </c>
      <c r="H114" s="19">
        <f t="shared" ca="1" si="209"/>
        <v>0.60244704704754126</v>
      </c>
      <c r="I114" s="19">
        <f t="shared" ca="1" si="209"/>
        <v>0.34166724080876987</v>
      </c>
      <c r="J114" s="19">
        <f t="shared" ca="1" si="145"/>
        <v>-0.54830904865765184</v>
      </c>
      <c r="K114" s="19">
        <f t="shared" ca="1" si="146"/>
        <v>0.84431522523002134</v>
      </c>
      <c r="L114" s="19">
        <f t="array" aca="1" ref="L114:M114" ca="1">MMULT(J114:K114,TRANSPOSE($B$10:$C$11))</f>
        <v>-0.54830904865765184</v>
      </c>
      <c r="M114" s="19">
        <f ca="1"/>
        <v>0.98184683550295238</v>
      </c>
      <c r="N114" s="20">
        <f ca="1">GetVariance(N113,Variance_Avg,Lambda,Eta,M114,"Daily")</f>
        <v>8.9272823181868799E-2</v>
      </c>
      <c r="O114" s="20">
        <f ca="1">GetStockReturns(O113,RiskFreeRate,N113,L114,"Daily")</f>
        <v>-0.25861551982318026</v>
      </c>
      <c r="P114" s="19">
        <f t="shared" ca="1" si="152"/>
        <v>1.4234059807106012E-4</v>
      </c>
      <c r="Q114" s="19">
        <f ca="1">HCTrans(P114,Strike,RiskFreeRate,Dividend,Variance_T0*AnnualVarConvtr,(Simulation!G114)/250,0.5,Variance_Avg*AnnualVarConvtr,Lambda,SQRT(Simulation!N114),Rho,1,"Call")</f>
        <v>-1.5035593142050037E-5</v>
      </c>
      <c r="R114" s="19" t="e">
        <f t="shared" ca="1" si="147"/>
        <v>#VALUE!</v>
      </c>
      <c r="S114" s="19" t="e">
        <f t="shared" ca="1" si="148"/>
        <v>#VALUE!</v>
      </c>
      <c r="T114" s="19" t="e">
        <f t="shared" ca="1" si="153"/>
        <v>#VALUE!</v>
      </c>
      <c r="U114" s="19" t="e">
        <f t="shared" ca="1" si="154"/>
        <v>#VALUE!</v>
      </c>
      <c r="V114" s="21">
        <f t="shared" ca="1" si="155"/>
        <v>9.9343045688465653E-5</v>
      </c>
      <c r="W114">
        <f t="shared" ca="1" si="156"/>
        <v>9.9670981578624807E-3</v>
      </c>
      <c r="X114" s="22">
        <f t="shared" ref="X114" ca="1" si="248">BSdelta(1,P114,Strike,W114*AnnualVarConvtr,Dividend,RiskFreeRate,G114/250)</f>
        <v>0</v>
      </c>
      <c r="Y114" s="22">
        <f t="shared" ca="1" si="162"/>
        <v>0</v>
      </c>
      <c r="Z114" s="22">
        <f t="shared" ca="1" si="163"/>
        <v>-7.4987778306165822</v>
      </c>
      <c r="AA114">
        <f t="shared" si="150"/>
        <v>0.73884103340948371</v>
      </c>
      <c r="AB114">
        <f t="shared" ref="AB114" ca="1" si="249">BSdelta(1,P114,Strike,AA114/AnnualVarConvtr,Dividend,RiskFreeRate,G114/250)</f>
        <v>0</v>
      </c>
      <c r="AC114">
        <f t="shared" ca="1" si="159"/>
        <v>0</v>
      </c>
      <c r="AD114">
        <f t="shared" ca="1" si="160"/>
        <v>-2.5925430800619558</v>
      </c>
    </row>
    <row r="115" spans="7:30" x14ac:dyDescent="0.25">
      <c r="G115" s="19">
        <v>140</v>
      </c>
      <c r="H115" s="19">
        <f t="shared" ca="1" si="209"/>
        <v>0.49630457773273895</v>
      </c>
      <c r="I115" s="19">
        <f t="shared" ca="1" si="209"/>
        <v>0.96878453796648034</v>
      </c>
      <c r="J115" s="19">
        <f t="shared" ca="1" si="145"/>
        <v>1.1609995137112636</v>
      </c>
      <c r="K115" s="19">
        <f t="shared" ca="1" si="146"/>
        <v>-0.2306752578469205</v>
      </c>
      <c r="L115" s="19">
        <f t="array" aca="1" ref="L115:M115" ca="1">MMULT(J115:K115,TRANSPOSE($B$10:$C$11))</f>
        <v>1.1609995137112636</v>
      </c>
      <c r="M115" s="19">
        <f ca="1"/>
        <v>-0.99277223373896351</v>
      </c>
      <c r="N115" s="20">
        <f ca="1">GetVariance(N114,Variance_Avg,Lambda,Eta,M115,"Daily")</f>
        <v>8.171170810336581E-2</v>
      </c>
      <c r="O115" s="20">
        <f ca="1">GetStockReturns(O114,RiskFreeRate,N114,L115,"Daily")</f>
        <v>-0.23667627532455365</v>
      </c>
      <c r="P115" s="19">
        <f t="shared" ca="1" si="152"/>
        <v>1.1234185375348116E-4</v>
      </c>
      <c r="Q115" s="19">
        <f ca="1">HCTrans(P115,Strike,RiskFreeRate,Dividend,Variance_T0*AnnualVarConvtr,(Simulation!G115)/250,0.5,Variance_Avg*AnnualVarConvtr,Lambda,SQRT(Simulation!N115),Rho,1,"Call")</f>
        <v>-1.5043481107277225E-5</v>
      </c>
      <c r="R115" s="19" t="e">
        <f t="shared" ca="1" si="147"/>
        <v>#VALUE!</v>
      </c>
      <c r="S115" s="19" t="e">
        <f t="shared" ca="1" si="148"/>
        <v>#VALUE!</v>
      </c>
      <c r="T115" s="19" t="e">
        <f t="shared" ca="1" si="153"/>
        <v>#VALUE!</v>
      </c>
      <c r="U115" s="19" t="e">
        <f t="shared" ca="1" si="154"/>
        <v>#VALUE!</v>
      </c>
      <c r="V115" s="21">
        <f t="shared" ca="1" si="155"/>
        <v>4.8133044917051792E-4</v>
      </c>
      <c r="W115">
        <f t="shared" ca="1" si="156"/>
        <v>2.1939244498626609E-2</v>
      </c>
      <c r="X115" s="22">
        <f t="shared" ref="X115" ca="1" si="250">BSdelta(1,P115,Strike,W115*AnnualVarConvtr,Dividend,RiskFreeRate,G115/250)</f>
        <v>0</v>
      </c>
      <c r="Y115" s="22">
        <f t="shared" ca="1" si="162"/>
        <v>0</v>
      </c>
      <c r="Z115" s="22">
        <f t="shared" ca="1" si="163"/>
        <v>-7.4987778385045472</v>
      </c>
      <c r="AA115">
        <f t="shared" si="150"/>
        <v>0.73884103340948371</v>
      </c>
      <c r="AB115">
        <f t="shared" ref="AB115" ca="1" si="251">BSdelta(1,P115,Strike,AA115/AnnualVarConvtr,Dividend,RiskFreeRate,G115/250)</f>
        <v>0</v>
      </c>
      <c r="AC115">
        <f t="shared" ca="1" si="159"/>
        <v>0</v>
      </c>
      <c r="AD115">
        <f t="shared" ca="1" si="160"/>
        <v>-2.5925430879499212</v>
      </c>
    </row>
    <row r="116" spans="7:30" x14ac:dyDescent="0.25">
      <c r="G116" s="19">
        <v>139</v>
      </c>
      <c r="H116" s="19">
        <f t="shared" ca="1" si="209"/>
        <v>0.28490238493378695</v>
      </c>
      <c r="I116" s="19">
        <f t="shared" ca="1" si="209"/>
        <v>0.20422250477622406</v>
      </c>
      <c r="J116" s="19">
        <f t="shared" ca="1" si="145"/>
        <v>0.44954092623680225</v>
      </c>
      <c r="K116" s="19">
        <f t="shared" ca="1" si="146"/>
        <v>1.519582274315167</v>
      </c>
      <c r="L116" s="19">
        <f t="array" aca="1" ref="L116:M116" ca="1">MMULT(J116:K116,TRANSPOSE($B$10:$C$11))</f>
        <v>0.44954092623680225</v>
      </c>
      <c r="M116" s="19">
        <f ca="1"/>
        <v>0.73794490513809419</v>
      </c>
      <c r="N116" s="20">
        <f ca="1">GetVariance(N115,Variance_Avg,Lambda,Eta,M116,"Daily")</f>
        <v>8.6570140448061828E-2</v>
      </c>
      <c r="O116" s="20">
        <f ca="1">GetStockReturns(O115,RiskFreeRate,N115,L116,"Daily")</f>
        <v>-0.22854906729710245</v>
      </c>
      <c r="P116" s="19">
        <f t="shared" ca="1" si="152"/>
        <v>8.9388981125042557E-5</v>
      </c>
      <c r="Q116" s="19">
        <f ca="1">HCTrans(P116,Strike,RiskFreeRate,Dividend,Variance_T0*AnnualVarConvtr,(Simulation!G116)/250,0.5,Variance_Avg*AnnualVarConvtr,Lambda,SQRT(Simulation!N116),Rho,1,"Call")</f>
        <v>-1.5049941171928991E-5</v>
      </c>
      <c r="R116" s="19" t="e">
        <f t="shared" ca="1" si="147"/>
        <v>#VALUE!</v>
      </c>
      <c r="S116" s="19" t="e">
        <f t="shared" ca="1" si="148"/>
        <v>#VALUE!</v>
      </c>
      <c r="T116" s="19" t="e">
        <f t="shared" ca="1" si="153"/>
        <v>#VALUE!</v>
      </c>
      <c r="U116" s="19" t="e">
        <f t="shared" ca="1" si="154"/>
        <v>#VALUE!</v>
      </c>
      <c r="V116" s="21">
        <f t="shared" ca="1" si="155"/>
        <v>6.6051510321467303E-5</v>
      </c>
      <c r="W116">
        <f t="shared" ca="1" si="156"/>
        <v>8.1272080274512049E-3</v>
      </c>
      <c r="X116" s="22">
        <f t="shared" ref="X116" ca="1" si="252">BSdelta(1,P116,Strike,W116*AnnualVarConvtr,Dividend,RiskFreeRate,G116/250)</f>
        <v>0</v>
      </c>
      <c r="Y116" s="22">
        <f t="shared" ca="1" si="162"/>
        <v>0</v>
      </c>
      <c r="Z116" s="22">
        <f t="shared" ca="1" si="163"/>
        <v>-7.4987778449646116</v>
      </c>
      <c r="AA116">
        <f t="shared" si="150"/>
        <v>0.73884103340948371</v>
      </c>
      <c r="AB116">
        <f t="shared" ref="AB116" ca="1" si="253">BSdelta(1,P116,Strike,AA116/AnnualVarConvtr,Dividend,RiskFreeRate,G116/250)</f>
        <v>0</v>
      </c>
      <c r="AC116">
        <f t="shared" ca="1" si="159"/>
        <v>0</v>
      </c>
      <c r="AD116">
        <f t="shared" ca="1" si="160"/>
        <v>-2.5925430944099856</v>
      </c>
    </row>
    <row r="117" spans="7:30" x14ac:dyDescent="0.25">
      <c r="G117" s="19">
        <v>138</v>
      </c>
      <c r="H117" s="19">
        <f t="shared" ca="1" si="209"/>
        <v>0.5104047785058422</v>
      </c>
      <c r="I117" s="19">
        <f t="shared" ca="1" si="209"/>
        <v>0.50901641078621063</v>
      </c>
      <c r="J117" s="19">
        <f t="shared" ca="1" si="145"/>
        <v>-1.1579248601687819</v>
      </c>
      <c r="K117" s="19">
        <f t="shared" ca="1" si="146"/>
        <v>-6.5668772191957978E-2</v>
      </c>
      <c r="L117" s="19">
        <f t="array" aca="1" ref="L117:M117" ca="1">MMULT(J117:K117,TRANSPOSE($B$10:$C$11))</f>
        <v>-1.1579248601687819</v>
      </c>
      <c r="M117" s="19">
        <f ca="1"/>
        <v>0.78384347452587311</v>
      </c>
      <c r="N117" s="20">
        <f ca="1">GetVariance(N116,Variance_Avg,Lambda,Eta,M117,"Daily")</f>
        <v>9.1896004741853637E-2</v>
      </c>
      <c r="O117" s="20">
        <f ca="1">GetStockReturns(O116,RiskFreeRate,N116,L117,"Daily")</f>
        <v>-0.25009644551678489</v>
      </c>
      <c r="P117" s="19">
        <f t="shared" ca="1" si="152"/>
        <v>6.9609494650698417E-5</v>
      </c>
      <c r="Q117" s="19">
        <f ca="1">HCTrans(P117,Strike,RiskFreeRate,Dividend,Variance_T0*AnnualVarConvtr,(Simulation!G117)/250,0.5,Variance_Avg*AnnualVarConvtr,Lambda,SQRT(Simulation!N117),Rho,1,"Call")</f>
        <v>-1.5055889901145352E-5</v>
      </c>
      <c r="R117" s="19" t="e">
        <f t="shared" ca="1" si="147"/>
        <v>#VALUE!</v>
      </c>
      <c r="S117" s="19" t="e">
        <f t="shared" ca="1" si="148"/>
        <v>#VALUE!</v>
      </c>
      <c r="T117" s="19" t="e">
        <f t="shared" ca="1" si="153"/>
        <v>#VALUE!</v>
      </c>
      <c r="U117" s="19" t="e">
        <f t="shared" ca="1" si="154"/>
        <v>#VALUE!</v>
      </c>
      <c r="V117" s="21">
        <f t="shared" ca="1" si="155"/>
        <v>4.6428950814204542E-4</v>
      </c>
      <c r="W117">
        <f t="shared" ca="1" si="156"/>
        <v>2.1547378219682445E-2</v>
      </c>
      <c r="X117" s="22">
        <f t="shared" ref="X117" ca="1" si="254">BSdelta(1,P117,Strike,W117*AnnualVarConvtr,Dividend,RiskFreeRate,G117/250)</f>
        <v>0</v>
      </c>
      <c r="Y117" s="22">
        <f t="shared" ca="1" si="162"/>
        <v>0</v>
      </c>
      <c r="Z117" s="22">
        <f t="shared" ca="1" si="163"/>
        <v>-7.4987778509133411</v>
      </c>
      <c r="AA117">
        <f t="shared" si="150"/>
        <v>0.73884103340948371</v>
      </c>
      <c r="AB117">
        <f t="shared" ref="AB117" ca="1" si="255">BSdelta(1,P117,Strike,AA117/AnnualVarConvtr,Dividend,RiskFreeRate,G117/250)</f>
        <v>0</v>
      </c>
      <c r="AC117">
        <f t="shared" ca="1" si="159"/>
        <v>0</v>
      </c>
      <c r="AD117">
        <f t="shared" ca="1" si="160"/>
        <v>-2.5925431003587147</v>
      </c>
    </row>
    <row r="118" spans="7:30" x14ac:dyDescent="0.25">
      <c r="G118" s="19">
        <v>137</v>
      </c>
      <c r="H118" s="19">
        <f t="shared" ca="1" si="209"/>
        <v>0.7835991157929999</v>
      </c>
      <c r="I118" s="19">
        <f t="shared" ca="1" si="209"/>
        <v>0.79110626814149865</v>
      </c>
      <c r="J118" s="19">
        <f t="shared" ca="1" si="145"/>
        <v>0.17837415450662938</v>
      </c>
      <c r="K118" s="19">
        <f t="shared" ca="1" si="146"/>
        <v>-0.67520226866498501</v>
      </c>
      <c r="L118" s="19">
        <f t="array" aca="1" ref="L118:M118" ca="1">MMULT(J118:K118,TRANSPOSE($B$10:$C$11))</f>
        <v>0.17837415450662938</v>
      </c>
      <c r="M118" s="19">
        <f ca="1"/>
        <v>-0.59881746836614269</v>
      </c>
      <c r="N118" s="20">
        <f ca="1">GetVariance(N117,Variance_Avg,Lambda,Eta,M118,"Daily")</f>
        <v>8.7048983291015805E-2</v>
      </c>
      <c r="O118" s="20">
        <f ca="1">GetStockReturns(O117,RiskFreeRate,N117,L118,"Daily")</f>
        <v>-0.24667657046921637</v>
      </c>
      <c r="P118" s="19">
        <f t="shared" ca="1" si="152"/>
        <v>5.4392398191043422E-5</v>
      </c>
      <c r="Q118" s="19">
        <f ca="1">HCTrans(P118,Strike,RiskFreeRate,Dividend,Variance_T0*AnnualVarConvtr,(Simulation!G118)/250,0.5,Variance_Avg*AnnualVarConvtr,Lambda,SQRT(Simulation!N118),Rho,1,"Call")</f>
        <v>-1.5060770410895819E-5</v>
      </c>
      <c r="R118" s="19" t="e">
        <f t="shared" ca="1" si="147"/>
        <v>#VALUE!</v>
      </c>
      <c r="S118" s="19" t="e">
        <f t="shared" ca="1" si="148"/>
        <v>#VALUE!</v>
      </c>
      <c r="T118" s="19" t="e">
        <f t="shared" ca="1" si="153"/>
        <v>#VALUE!</v>
      </c>
      <c r="U118" s="19" t="e">
        <f t="shared" ca="1" si="154"/>
        <v>#VALUE!</v>
      </c>
      <c r="V118" s="21">
        <f t="shared" ca="1" si="155"/>
        <v>1.1695545340981797E-5</v>
      </c>
      <c r="W118">
        <f t="shared" ca="1" si="156"/>
        <v>3.4198750475685213E-3</v>
      </c>
      <c r="X118" s="22">
        <f t="shared" ref="X118" ca="1" si="256">BSdelta(1,P118,Strike,W118*AnnualVarConvtr,Dividend,RiskFreeRate,G118/250)</f>
        <v>0</v>
      </c>
      <c r="Y118" s="22">
        <f t="shared" ca="1" si="162"/>
        <v>0</v>
      </c>
      <c r="Z118" s="22">
        <f t="shared" ca="1" si="163"/>
        <v>-7.4987778557938505</v>
      </c>
      <c r="AA118">
        <f t="shared" si="150"/>
        <v>0.73884103340948371</v>
      </c>
      <c r="AB118">
        <f t="shared" ref="AB118" ca="1" si="257">BSdelta(1,P118,Strike,AA118/AnnualVarConvtr,Dividend,RiskFreeRate,G118/250)</f>
        <v>0</v>
      </c>
      <c r="AC118">
        <f t="shared" ca="1" si="159"/>
        <v>0</v>
      </c>
      <c r="AD118">
        <f t="shared" ca="1" si="160"/>
        <v>-2.5925431052392245</v>
      </c>
    </row>
    <row r="119" spans="7:30" x14ac:dyDescent="0.25">
      <c r="G119" s="19">
        <v>136</v>
      </c>
      <c r="H119" s="19">
        <f t="shared" ca="1" si="209"/>
        <v>0.84991053351800905</v>
      </c>
      <c r="I119" s="19">
        <f t="shared" ca="1" si="209"/>
        <v>0.64717523796176291</v>
      </c>
      <c r="J119" s="19">
        <f t="shared" ca="1" si="145"/>
        <v>-0.3433528697892832</v>
      </c>
      <c r="K119" s="19">
        <f t="shared" ca="1" si="146"/>
        <v>-0.45536489352137138</v>
      </c>
      <c r="L119" s="19">
        <f t="array" aca="1" ref="L119:M119" ca="1">MMULT(J119:K119,TRANSPOSE($B$10:$C$11))</f>
        <v>-0.3433528697892832</v>
      </c>
      <c r="M119" s="19">
        <f ca="1"/>
        <v>-7.1644340364529518E-2</v>
      </c>
      <c r="N119" s="20">
        <f ca="1">GetVariance(N118,Variance_Avg,Lambda,Eta,M119,"Daily")</f>
        <v>8.6107332006607251E-2</v>
      </c>
      <c r="O119" s="20">
        <f ca="1">GetStockReturns(O118,RiskFreeRate,N118,L119,"Daily")</f>
        <v>-0.25308353808467221</v>
      </c>
      <c r="P119" s="19">
        <f t="shared" ca="1" si="152"/>
        <v>4.2230422214767116E-5</v>
      </c>
      <c r="Q119" s="19">
        <f ca="1">HCTrans(P119,Strike,RiskFreeRate,Dividend,Variance_T0*AnnualVarConvtr,(Simulation!G119)/250,0.5,Variance_Avg*AnnualVarConvtr,Lambda,SQRT(Simulation!N119),Rho,1,"Call")</f>
        <v>-1.506490341523611E-5</v>
      </c>
      <c r="R119" s="19" t="e">
        <f t="shared" ca="1" si="147"/>
        <v>#VALUE!</v>
      </c>
      <c r="S119" s="19" t="e">
        <f t="shared" ca="1" si="148"/>
        <v>#VALUE!</v>
      </c>
      <c r="T119" s="19" t="e">
        <f t="shared" ca="1" si="153"/>
        <v>#VALUE!</v>
      </c>
      <c r="U119" s="19" t="e">
        <f t="shared" ca="1" si="154"/>
        <v>#VALUE!</v>
      </c>
      <c r="V119" s="21">
        <f t="shared" ca="1" si="155"/>
        <v>4.1049234025499872E-5</v>
      </c>
      <c r="W119">
        <f t="shared" ca="1" si="156"/>
        <v>6.4069676154558386E-3</v>
      </c>
      <c r="X119" s="22">
        <f t="shared" ref="X119" ca="1" si="258">BSdelta(1,P119,Strike,W119*AnnualVarConvtr,Dividend,RiskFreeRate,G119/250)</f>
        <v>0</v>
      </c>
      <c r="Y119" s="22">
        <f t="shared" ca="1" si="162"/>
        <v>0</v>
      </c>
      <c r="Z119" s="22">
        <f t="shared" ca="1" si="163"/>
        <v>-7.4987778599268546</v>
      </c>
      <c r="AA119">
        <f t="shared" si="150"/>
        <v>0.73884103340948371</v>
      </c>
      <c r="AB119">
        <f t="shared" ref="AB119" ca="1" si="259">BSdelta(1,P119,Strike,AA119/AnnualVarConvtr,Dividend,RiskFreeRate,G119/250)</f>
        <v>0</v>
      </c>
      <c r="AC119">
        <f t="shared" ca="1" si="159"/>
        <v>0</v>
      </c>
      <c r="AD119">
        <f t="shared" ca="1" si="160"/>
        <v>-2.5925431093722286</v>
      </c>
    </row>
    <row r="120" spans="7:30" x14ac:dyDescent="0.25">
      <c r="G120" s="19">
        <v>135</v>
      </c>
      <c r="H120" s="19">
        <f t="shared" ca="1" si="209"/>
        <v>0.92180927665986334</v>
      </c>
      <c r="I120" s="19">
        <f t="shared" ca="1" si="209"/>
        <v>0.37060880034734189</v>
      </c>
      <c r="J120" s="19">
        <f t="shared" ca="1" si="145"/>
        <v>-0.27735628873132817</v>
      </c>
      <c r="K120" s="19">
        <f t="shared" ca="1" si="146"/>
        <v>0.29309957236660672</v>
      </c>
      <c r="L120" s="19">
        <f t="array" aca="1" ref="L120:M120" ca="1">MMULT(J120:K120,TRANSPOSE($B$10:$C$11))</f>
        <v>-0.27735628873132817</v>
      </c>
      <c r="M120" s="19">
        <f ca="1"/>
        <v>0.40318825903533301</v>
      </c>
      <c r="N120" s="20">
        <f ca="1">GetVariance(N119,Variance_Avg,Lambda,Eta,M120,"Daily")</f>
        <v>8.8613685881584595E-2</v>
      </c>
      <c r="O120" s="20">
        <f ca="1">GetStockReturns(O119,RiskFreeRate,N119,L120,"Daily")</f>
        <v>-0.25823093999789959</v>
      </c>
      <c r="P120" s="19">
        <f t="shared" ca="1" si="152"/>
        <v>3.2619488838388572E-5</v>
      </c>
      <c r="Q120" s="19">
        <f ca="1">HCTrans(P120,Strike,RiskFreeRate,Dividend,Variance_T0*AnnualVarConvtr,(Simulation!G120)/250,0.5,Variance_Avg*AnnualVarConvtr,Lambda,SQRT(Simulation!N120),Rho,1,"Call")</f>
        <v>-1.5068343095197427E-5</v>
      </c>
      <c r="R120" s="19" t="e">
        <f t="shared" ca="1" si="147"/>
        <v>#VALUE!</v>
      </c>
      <c r="S120" s="19" t="e">
        <f t="shared" ca="1" si="148"/>
        <v>#VALUE!</v>
      </c>
      <c r="T120" s="19" t="e">
        <f t="shared" ca="1" si="153"/>
        <v>#VALUE!</v>
      </c>
      <c r="U120" s="19" t="e">
        <f t="shared" ca="1" si="154"/>
        <v>#VALUE!</v>
      </c>
      <c r="V120" s="21">
        <f t="shared" ca="1" si="155"/>
        <v>2.6495746456296876E-5</v>
      </c>
      <c r="W120">
        <f t="shared" ca="1" si="156"/>
        <v>5.1474019132273785E-3</v>
      </c>
      <c r="X120" s="22">
        <f t="shared" ref="X120" ca="1" si="260">BSdelta(1,P120,Strike,W120*AnnualVarConvtr,Dividend,RiskFreeRate,G120/250)</f>
        <v>0</v>
      </c>
      <c r="Y120" s="22">
        <f t="shared" ca="1" si="162"/>
        <v>0</v>
      </c>
      <c r="Z120" s="22">
        <f t="shared" ca="1" si="163"/>
        <v>-7.4987778633665343</v>
      </c>
      <c r="AA120">
        <f t="shared" si="150"/>
        <v>0.73884103340948371</v>
      </c>
      <c r="AB120">
        <f t="shared" ref="AB120" ca="1" si="261">BSdelta(1,P120,Strike,AA120/AnnualVarConvtr,Dividend,RiskFreeRate,G120/250)</f>
        <v>0</v>
      </c>
      <c r="AC120">
        <f t="shared" ca="1" si="159"/>
        <v>0</v>
      </c>
      <c r="AD120">
        <f t="shared" ca="1" si="160"/>
        <v>-2.5925431128119087</v>
      </c>
    </row>
    <row r="121" spans="7:30" x14ac:dyDescent="0.25">
      <c r="G121" s="19">
        <v>134</v>
      </c>
      <c r="H121" s="19">
        <f t="shared" ca="1" si="209"/>
        <v>0.90388555391626524</v>
      </c>
      <c r="I121" s="19">
        <f t="shared" ca="1" si="209"/>
        <v>3.1288827163709954E-2</v>
      </c>
      <c r="J121" s="19">
        <f t="shared" ca="1" si="145"/>
        <v>0.44090135810091113</v>
      </c>
      <c r="K121" s="19">
        <f t="shared" ca="1" si="146"/>
        <v>8.7812555672953679E-2</v>
      </c>
      <c r="L121" s="19">
        <f t="array" aca="1" ref="L121:M121" ca="1">MMULT(J121:K121,TRANSPOSE($B$10:$C$11))</f>
        <v>0.44090135810091113</v>
      </c>
      <c r="M121" s="19">
        <f ca="1"/>
        <v>-0.25464891778453969</v>
      </c>
      <c r="N121" s="20">
        <f ca="1">GetVariance(N120,Variance_Avg,Lambda,Eta,M121,"Daily")</f>
        <v>8.6332287919494669E-2</v>
      </c>
      <c r="O121" s="20">
        <f ca="1">GetStockReturns(O120,RiskFreeRate,N120,L121,"Daily")</f>
        <v>-0.24993010400999244</v>
      </c>
      <c r="P121" s="19">
        <f t="shared" ca="1" si="152"/>
        <v>2.5405859156345624E-5</v>
      </c>
      <c r="Q121" s="19">
        <f ca="1">HCTrans(P121,Strike,RiskFreeRate,Dividend,Variance_T0*AnnualVarConvtr,(Simulation!G121)/250,0.5,Variance_Avg*AnnualVarConvtr,Lambda,SQRT(Simulation!N121),Rho,1,"Call")</f>
        <v>-1.5071038030889766E-5</v>
      </c>
      <c r="R121" s="19" t="e">
        <f t="shared" ca="1" si="147"/>
        <v>#VALUE!</v>
      </c>
      <c r="S121" s="19" t="e">
        <f t="shared" ca="1" si="148"/>
        <v>#VALUE!</v>
      </c>
      <c r="T121" s="19" t="e">
        <f t="shared" ca="1" si="153"/>
        <v>#VALUE!</v>
      </c>
      <c r="U121" s="19" t="e">
        <f t="shared" ca="1" si="154"/>
        <v>#VALUE!</v>
      </c>
      <c r="V121" s="21">
        <f t="shared" ca="1" si="155"/>
        <v>6.8903878098134489E-5</v>
      </c>
      <c r="W121">
        <f t="shared" ca="1" si="156"/>
        <v>8.3008359879071514E-3</v>
      </c>
      <c r="X121" s="22">
        <f t="shared" ref="X121" ca="1" si="262">BSdelta(1,P121,Strike,W121*AnnualVarConvtr,Dividend,RiskFreeRate,G121/250)</f>
        <v>0</v>
      </c>
      <c r="Y121" s="22">
        <f t="shared" ca="1" si="162"/>
        <v>0</v>
      </c>
      <c r="Z121" s="22">
        <f t="shared" ca="1" si="163"/>
        <v>-7.4987778660614701</v>
      </c>
      <c r="AA121">
        <f t="shared" si="150"/>
        <v>0.73884103340948371</v>
      </c>
      <c r="AB121">
        <f t="shared" ref="AB121" ca="1" si="263">BSdelta(1,P121,Strike,AA121/AnnualVarConvtr,Dividend,RiskFreeRate,G121/250)</f>
        <v>0</v>
      </c>
      <c r="AC121">
        <f t="shared" ca="1" si="159"/>
        <v>0</v>
      </c>
      <c r="AD121">
        <f t="shared" ca="1" si="160"/>
        <v>-2.5925431155068446</v>
      </c>
    </row>
    <row r="122" spans="7:30" x14ac:dyDescent="0.25">
      <c r="G122" s="19">
        <v>133</v>
      </c>
      <c r="H122" s="19">
        <f t="shared" ca="1" si="209"/>
        <v>0.77714093284637453</v>
      </c>
      <c r="I122" s="19">
        <f t="shared" ca="1" si="209"/>
        <v>0.99910589644682701</v>
      </c>
      <c r="J122" s="19">
        <f t="shared" ca="1" si="145"/>
        <v>0.71010648086798911</v>
      </c>
      <c r="K122" s="19">
        <f t="shared" ca="1" si="146"/>
        <v>-3.9892911564043017E-3</v>
      </c>
      <c r="L122" s="19">
        <f t="array" aca="1" ref="L122:M122" ca="1">MMULT(J122:K122,TRANSPOSE($B$10:$C$11))</f>
        <v>0.71010648086798911</v>
      </c>
      <c r="M122" s="19">
        <f ca="1"/>
        <v>-0.51157417155620666</v>
      </c>
      <c r="N122" s="20">
        <f ca="1">GetVariance(N121,Variance_Avg,Lambda,Eta,M122,"Daily")</f>
        <v>8.2265603170341789E-2</v>
      </c>
      <c r="O122" s="20">
        <f ca="1">GetStockReturns(O121,RiskFreeRate,N121,L122,"Daily")</f>
        <v>-0.23673417115088144</v>
      </c>
      <c r="P122" s="19">
        <f t="shared" ca="1" si="152"/>
        <v>2.0050330786951347E-5</v>
      </c>
      <c r="Q122" s="19">
        <f ca="1">HCTrans(P122,Strike,RiskFreeRate,Dividend,Variance_T0*AnnualVarConvtr,(Simulation!G122)/250,0.5,Variance_Avg*AnnualVarConvtr,Lambda,SQRT(Simulation!N122),Rho,1,"Call")</f>
        <v>-1.5073101290546432E-5</v>
      </c>
      <c r="R122" s="19" t="e">
        <f t="shared" ca="1" si="147"/>
        <v>#VALUE!</v>
      </c>
      <c r="S122" s="19" t="e">
        <f t="shared" ca="1" si="148"/>
        <v>#VALUE!</v>
      </c>
      <c r="T122" s="19" t="e">
        <f t="shared" ca="1" si="153"/>
        <v>#VALUE!</v>
      </c>
      <c r="U122" s="19" t="e">
        <f t="shared" ca="1" si="154"/>
        <v>#VALUE!</v>
      </c>
      <c r="V122" s="21">
        <f t="shared" ca="1" si="155"/>
        <v>1.7413264402216537E-4</v>
      </c>
      <c r="W122">
        <f t="shared" ca="1" si="156"/>
        <v>1.3195932859110998E-2</v>
      </c>
      <c r="X122" s="22">
        <f t="shared" ref="X122" ca="1" si="264">BSdelta(1,P122,Strike,W122*AnnualVarConvtr,Dividend,RiskFreeRate,G122/250)</f>
        <v>0</v>
      </c>
      <c r="Y122" s="22">
        <f t="shared" ca="1" si="162"/>
        <v>0</v>
      </c>
      <c r="Z122" s="22">
        <f t="shared" ca="1" si="163"/>
        <v>-7.4987778681247299</v>
      </c>
      <c r="AA122">
        <f t="shared" si="150"/>
        <v>0.73884103340948371</v>
      </c>
      <c r="AB122">
        <f t="shared" ref="AB122" ca="1" si="265">BSdelta(1,P122,Strike,AA122/AnnualVarConvtr,Dividend,RiskFreeRate,G122/250)</f>
        <v>0</v>
      </c>
      <c r="AC122">
        <f t="shared" ca="1" si="159"/>
        <v>0</v>
      </c>
      <c r="AD122">
        <f t="shared" ca="1" si="160"/>
        <v>-2.5925431175701044</v>
      </c>
    </row>
    <row r="123" spans="7:30" x14ac:dyDescent="0.25">
      <c r="G123" s="19">
        <v>132</v>
      </c>
      <c r="H123" s="19">
        <f t="shared" ca="1" si="209"/>
        <v>0.51594909731224914</v>
      </c>
      <c r="I123" s="19">
        <f t="shared" ca="1" si="209"/>
        <v>4.0081637366143008E-2</v>
      </c>
      <c r="J123" s="19">
        <f t="shared" ca="1" si="145"/>
        <v>1.1141423937049193</v>
      </c>
      <c r="K123" s="19">
        <f t="shared" ca="1" si="146"/>
        <v>0.28667239232642538</v>
      </c>
      <c r="L123" s="19">
        <f t="array" aca="1" ref="L123:M123" ca="1">MMULT(J123:K123,TRANSPOSE($B$10:$C$11))</f>
        <v>1.1141423937049193</v>
      </c>
      <c r="M123" s="19">
        <f ca="1"/>
        <v>-0.59830406475996756</v>
      </c>
      <c r="N123" s="20">
        <f ca="1">GetVariance(N122,Variance_Avg,Lambda,Eta,M123,"Daily")</f>
        <v>7.7712837061993806E-2</v>
      </c>
      <c r="O123" s="20">
        <f ca="1">GetStockReturns(O122,RiskFreeRate,N122,L123,"Daily")</f>
        <v>-0.21652354175308591</v>
      </c>
      <c r="P123" s="19">
        <f t="shared" ca="1" si="152"/>
        <v>1.6146803590155939E-5</v>
      </c>
      <c r="Q123" s="19">
        <f ca="1">HCTrans(P123,Strike,RiskFreeRate,Dividend,Variance_T0*AnnualVarConvtr,(Simulation!G123)/250,0.5,Variance_Avg*AnnualVarConvtr,Lambda,SQRT(Simulation!N123),Rho,1,"Call")</f>
        <v>-1.5074631708745455E-5</v>
      </c>
      <c r="R123" s="19" t="e">
        <f t="shared" ca="1" si="147"/>
        <v>#VALUE!</v>
      </c>
      <c r="S123" s="19" t="e">
        <f t="shared" ca="1" si="148"/>
        <v>#VALUE!</v>
      </c>
      <c r="T123" s="19" t="e">
        <f t="shared" ca="1" si="153"/>
        <v>#VALUE!</v>
      </c>
      <c r="U123" s="19" t="e">
        <f t="shared" ca="1" si="154"/>
        <v>#VALUE!</v>
      </c>
      <c r="V123" s="21">
        <f t="shared" ca="1" si="155"/>
        <v>4.0846954065503675E-4</v>
      </c>
      <c r="W123">
        <f t="shared" ca="1" si="156"/>
        <v>2.0210629397795526E-2</v>
      </c>
      <c r="X123" s="22">
        <f t="shared" ref="X123" ca="1" si="266">BSdelta(1,P123,Strike,W123*AnnualVarConvtr,Dividend,RiskFreeRate,G123/250)</f>
        <v>0</v>
      </c>
      <c r="Y123" s="22">
        <f t="shared" ca="1" si="162"/>
        <v>0</v>
      </c>
      <c r="Z123" s="22">
        <f t="shared" ca="1" si="163"/>
        <v>-7.4987778696551484</v>
      </c>
      <c r="AA123">
        <f t="shared" si="150"/>
        <v>0.73884103340948371</v>
      </c>
      <c r="AB123">
        <f t="shared" ref="AB123" ca="1" si="267">BSdelta(1,P123,Strike,AA123/AnnualVarConvtr,Dividend,RiskFreeRate,G123/250)</f>
        <v>0</v>
      </c>
      <c r="AC123">
        <f t="shared" ca="1" si="159"/>
        <v>0</v>
      </c>
      <c r="AD123">
        <f t="shared" ca="1" si="160"/>
        <v>-2.5925431191005224</v>
      </c>
    </row>
    <row r="124" spans="7:30" x14ac:dyDescent="0.25">
      <c r="G124" s="19">
        <v>131</v>
      </c>
      <c r="H124" s="19">
        <f t="shared" ca="1" si="209"/>
        <v>0.33887426225162443</v>
      </c>
      <c r="I124" s="19">
        <f t="shared" ca="1" si="209"/>
        <v>4.5792284013394857E-2</v>
      </c>
      <c r="J124" s="19">
        <f t="shared" ca="1" si="145"/>
        <v>1.4106655872334422</v>
      </c>
      <c r="K124" s="19">
        <f t="shared" ca="1" si="146"/>
        <v>0.41746245032334167</v>
      </c>
      <c r="L124" s="19">
        <f t="array" aca="1" ref="L124:M124" ca="1">MMULT(J124:K124,TRANSPOSE($B$10:$C$11))</f>
        <v>1.4106655872334422</v>
      </c>
      <c r="M124" s="19">
        <f ca="1"/>
        <v>-0.71952547678928946</v>
      </c>
      <c r="N124" s="20">
        <f ca="1">GetVariance(N123,Variance_Avg,Lambda,Eta,M124,"Daily")</f>
        <v>7.2497697844530945E-2</v>
      </c>
      <c r="O124" s="20">
        <f ca="1">GetStockReturns(O123,RiskFreeRate,N123,L124,"Daily")</f>
        <v>-0.19165212929895292</v>
      </c>
      <c r="P124" s="19">
        <f t="shared" ca="1" si="152"/>
        <v>1.3330704462140973E-5</v>
      </c>
      <c r="Q124" s="19">
        <f ca="1">HCTrans(P124,Strike,RiskFreeRate,Dividend,Variance_T0*AnnualVarConvtr,(Simulation!G124)/250,0.5,Variance_Avg*AnnualVarConvtr,Lambda,SQRT(Simulation!N124),Rho,1,"Call")</f>
        <v>-1.5075740665132639E-5</v>
      </c>
      <c r="R124" s="19" t="e">
        <f t="shared" ca="1" si="147"/>
        <v>#VALUE!</v>
      </c>
      <c r="S124" s="19" t="e">
        <f t="shared" ca="1" si="148"/>
        <v>#VALUE!</v>
      </c>
      <c r="T124" s="19" t="e">
        <f t="shared" ca="1" si="153"/>
        <v>#VALUE!</v>
      </c>
      <c r="U124" s="19" t="e">
        <f t="shared" ca="1" si="154"/>
        <v>#VALUE!</v>
      </c>
      <c r="V124" s="21">
        <f t="shared" ca="1" si="155"/>
        <v>6.185871574636016E-4</v>
      </c>
      <c r="W124">
        <f t="shared" ca="1" si="156"/>
        <v>2.4871412454132991E-2</v>
      </c>
      <c r="X124" s="22">
        <f t="shared" ref="X124" ca="1" si="268">BSdelta(1,P124,Strike,W124*AnnualVarConvtr,Dividend,RiskFreeRate,G124/250)</f>
        <v>0</v>
      </c>
      <c r="Y124" s="22">
        <f t="shared" ca="1" si="162"/>
        <v>0</v>
      </c>
      <c r="Z124" s="22">
        <f t="shared" ca="1" si="163"/>
        <v>-7.4987778707641048</v>
      </c>
      <c r="AA124">
        <f t="shared" si="150"/>
        <v>0.73884103340948371</v>
      </c>
      <c r="AB124">
        <f t="shared" ref="AB124" ca="1" si="269">BSdelta(1,P124,Strike,AA124/AnnualVarConvtr,Dividend,RiskFreeRate,G124/250)</f>
        <v>0</v>
      </c>
      <c r="AC124">
        <f t="shared" ca="1" si="159"/>
        <v>0</v>
      </c>
      <c r="AD124">
        <f t="shared" ca="1" si="160"/>
        <v>-2.5925431202094789</v>
      </c>
    </row>
    <row r="125" spans="7:30" x14ac:dyDescent="0.25">
      <c r="G125" s="19">
        <v>130</v>
      </c>
      <c r="H125" s="19">
        <f t="shared" ca="1" si="209"/>
        <v>0.41932395536670264</v>
      </c>
      <c r="I125" s="19">
        <f t="shared" ca="1" si="209"/>
        <v>0.31613914979017721</v>
      </c>
      <c r="J125" s="19">
        <f t="shared" ca="1" si="145"/>
        <v>-0.53225342625790006</v>
      </c>
      <c r="K125" s="19">
        <f t="shared" ca="1" si="146"/>
        <v>1.2062044932337777</v>
      </c>
      <c r="L125" s="19">
        <f t="array" aca="1" ref="L125:M125" ca="1">MMULT(J125:K125,TRANSPOSE($B$10:$C$11))</f>
        <v>-0.53225342625790006</v>
      </c>
      <c r="M125" s="19">
        <f ca="1"/>
        <v>1.2227922639063424</v>
      </c>
      <c r="N125" s="20">
        <f ca="1">GetVariance(N124,Variance_Avg,Lambda,Eta,M125,"Daily")</f>
        <v>8.044857756440299E-2</v>
      </c>
      <c r="O125" s="20">
        <f ca="1">GetStockReturns(O124,RiskFreeRate,N124,L125,"Daily")</f>
        <v>-0.20071593463041809</v>
      </c>
      <c r="P125" s="19">
        <f t="shared" ca="1" si="152"/>
        <v>1.0906446604745194E-5</v>
      </c>
      <c r="Q125" s="19">
        <f ca="1">HCTrans(P125,Strike,RiskFreeRate,Dividend,Variance_T0*AnnualVarConvtr,(Simulation!G125)/250,0.5,Variance_Avg*AnnualVarConvtr,Lambda,SQRT(Simulation!N125),Rho,1,"Call")</f>
        <v>-1.5076686182664186E-5</v>
      </c>
      <c r="R125" s="19" t="e">
        <f t="shared" ca="1" si="147"/>
        <v>#VALUE!</v>
      </c>
      <c r="S125" s="19" t="e">
        <f t="shared" ca="1" si="148"/>
        <v>#VALUE!</v>
      </c>
      <c r="T125" s="19" t="e">
        <f t="shared" ca="1" si="153"/>
        <v>#VALUE!</v>
      </c>
      <c r="U125" s="19" t="e">
        <f t="shared" ca="1" si="154"/>
        <v>#VALUE!</v>
      </c>
      <c r="V125" s="21">
        <f t="shared" ca="1" si="155"/>
        <v>8.2152567086696417E-5</v>
      </c>
      <c r="W125">
        <f t="shared" ca="1" si="156"/>
        <v>9.063805331465169E-3</v>
      </c>
      <c r="X125" s="22">
        <f t="shared" ref="X125" ca="1" si="270">BSdelta(1,P125,Strike,W125*AnnualVarConvtr,Dividend,RiskFreeRate,G125/250)</f>
        <v>0</v>
      </c>
      <c r="Y125" s="22">
        <f t="shared" ca="1" si="162"/>
        <v>0</v>
      </c>
      <c r="Z125" s="22">
        <f t="shared" ca="1" si="163"/>
        <v>-7.4987778717096223</v>
      </c>
      <c r="AA125">
        <f t="shared" si="150"/>
        <v>0.73884103340948371</v>
      </c>
      <c r="AB125">
        <f t="shared" ref="AB125" ca="1" si="271">BSdelta(1,P125,Strike,AA125/AnnualVarConvtr,Dividend,RiskFreeRate,G125/250)</f>
        <v>0</v>
      </c>
      <c r="AC125">
        <f t="shared" ca="1" si="159"/>
        <v>0</v>
      </c>
      <c r="AD125">
        <f t="shared" ca="1" si="160"/>
        <v>-2.5925431211549963</v>
      </c>
    </row>
    <row r="126" spans="7:30" x14ac:dyDescent="0.25">
      <c r="G126" s="19">
        <v>129</v>
      </c>
      <c r="H126" s="19">
        <f t="shared" ca="1" si="209"/>
        <v>0.72322607965617181</v>
      </c>
      <c r="I126" s="19">
        <f t="shared" ca="1" si="209"/>
        <v>0.355481498177458</v>
      </c>
      <c r="J126" s="19">
        <f t="shared" ca="1" si="145"/>
        <v>-0.49532824268561787</v>
      </c>
      <c r="K126" s="19">
        <f t="shared" ca="1" si="146"/>
        <v>0.63459967709081255</v>
      </c>
      <c r="L126" s="19">
        <f t="array" aca="1" ref="L126:M126" ca="1">MMULT(J126:K126,TRANSPOSE($B$10:$C$11))</f>
        <v>-0.49532824268561787</v>
      </c>
      <c r="M126" s="19">
        <f ca="1"/>
        <v>0.79759122878941735</v>
      </c>
      <c r="N126" s="20">
        <f ca="1">GetVariance(N125,Variance_Avg,Lambda,Eta,M126,"Daily")</f>
        <v>8.5702167317870503E-2</v>
      </c>
      <c r="O126" s="20">
        <f ca="1">GetStockReturns(O125,RiskFreeRate,N125,L126,"Daily")</f>
        <v>-0.20960144282659737</v>
      </c>
      <c r="P126" s="19">
        <f t="shared" ca="1" si="152"/>
        <v>8.8441179816443706E-6</v>
      </c>
      <c r="Q126" s="19">
        <f ca="1">HCTrans(P126,Strike,RiskFreeRate,Dividend,Variance_T0*AnnualVarConvtr,(Simulation!G126)/250,0.5,Variance_Avg*AnnualVarConvtr,Lambda,SQRT(Simulation!N126),Rho,1,"Call")</f>
        <v>-1.5077469710370586E-5</v>
      </c>
      <c r="R126" s="19" t="e">
        <f t="shared" ca="1" si="147"/>
        <v>#VALUE!</v>
      </c>
      <c r="S126" s="19" t="e">
        <f t="shared" ca="1" si="148"/>
        <v>#VALUE!</v>
      </c>
      <c r="T126" s="19" t="e">
        <f t="shared" ca="1" si="153"/>
        <v>#VALUE!</v>
      </c>
      <c r="U126" s="19" t="e">
        <f t="shared" ca="1" si="154"/>
        <v>#VALUE!</v>
      </c>
      <c r="V126" s="21">
        <f t="shared" ca="1" si="155"/>
        <v>7.8952255904369187E-5</v>
      </c>
      <c r="W126">
        <f t="shared" ca="1" si="156"/>
        <v>8.8855081961792814E-3</v>
      </c>
      <c r="X126" s="22">
        <f t="shared" ref="X126" ca="1" si="272">BSdelta(1,P126,Strike,W126*AnnualVarConvtr,Dividend,RiskFreeRate,G126/250)</f>
        <v>0</v>
      </c>
      <c r="Y126" s="22">
        <f t="shared" ca="1" si="162"/>
        <v>0</v>
      </c>
      <c r="Z126" s="22">
        <f t="shared" ca="1" si="163"/>
        <v>-7.4987778724931502</v>
      </c>
      <c r="AA126">
        <f t="shared" si="150"/>
        <v>0.73884103340948371</v>
      </c>
      <c r="AB126">
        <f t="shared" ref="AB126" ca="1" si="273">BSdelta(1,P126,Strike,AA126/AnnualVarConvtr,Dividend,RiskFreeRate,G126/250)</f>
        <v>0</v>
      </c>
      <c r="AC126">
        <f t="shared" ca="1" si="159"/>
        <v>0</v>
      </c>
      <c r="AD126">
        <f t="shared" ca="1" si="160"/>
        <v>-2.5925431219385242</v>
      </c>
    </row>
    <row r="127" spans="7:30" x14ac:dyDescent="0.25">
      <c r="G127" s="19">
        <v>128</v>
      </c>
      <c r="H127" s="19">
        <f t="shared" ca="1" si="209"/>
        <v>0.68280777913603741</v>
      </c>
      <c r="I127" s="19">
        <f t="shared" ca="1" si="209"/>
        <v>0.76307639340758671</v>
      </c>
      <c r="J127" s="19">
        <f t="shared" ca="1" si="145"/>
        <v>7.1691098212878751E-2</v>
      </c>
      <c r="K127" s="19">
        <f t="shared" ca="1" si="146"/>
        <v>-0.8705998947296697</v>
      </c>
      <c r="L127" s="19">
        <f t="array" aca="1" ref="L127:M127" ca="1">MMULT(J127:K127,TRANSPOSE($B$10:$C$11))</f>
        <v>7.1691098212878751E-2</v>
      </c>
      <c r="M127" s="19">
        <f ca="1"/>
        <v>-0.65868592015228622</v>
      </c>
      <c r="N127" s="20">
        <f ca="1">GetVariance(N126,Variance_Avg,Lambda,Eta,M127,"Daily")</f>
        <v>8.0622163139327352E-2</v>
      </c>
      <c r="O127" s="20">
        <f ca="1">GetStockReturns(O126,RiskFreeRate,N126,L127,"Daily")</f>
        <v>-0.20827407547499838</v>
      </c>
      <c r="P127" s="19">
        <f t="shared" ca="1" si="152"/>
        <v>7.1812863739837989E-6</v>
      </c>
      <c r="Q127" s="19">
        <f ca="1">HCTrans(P127,Strike,RiskFreeRate,Dividend,Variance_T0*AnnualVarConvtr,(Simulation!G127)/250,0.5,Variance_Avg*AnnualVarConvtr,Lambda,SQRT(Simulation!N127),Rho,1,"Call")</f>
        <v>-1.5078070364867071E-5</v>
      </c>
      <c r="R127" s="19" t="e">
        <f t="shared" ca="1" si="147"/>
        <v>#VALUE!</v>
      </c>
      <c r="S127" s="19" t="e">
        <f t="shared" ca="1" si="148"/>
        <v>#VALUE!</v>
      </c>
      <c r="T127" s="19" t="e">
        <f t="shared" ca="1" si="153"/>
        <v>#VALUE!</v>
      </c>
      <c r="U127" s="19" t="e">
        <f t="shared" ca="1" si="154"/>
        <v>#VALUE!</v>
      </c>
      <c r="V127" s="21">
        <f t="shared" ca="1" si="155"/>
        <v>1.7619040860909324E-6</v>
      </c>
      <c r="W127">
        <f t="shared" ca="1" si="156"/>
        <v>1.3273673515989959E-3</v>
      </c>
      <c r="X127" s="22">
        <f t="shared" ref="X127" ca="1" si="274">BSdelta(1,P127,Strike,W127*AnnualVarConvtr,Dividend,RiskFreeRate,G127/250)</f>
        <v>0</v>
      </c>
      <c r="Y127" s="22">
        <f t="shared" ca="1" si="162"/>
        <v>0</v>
      </c>
      <c r="Z127" s="22">
        <f t="shared" ca="1" si="163"/>
        <v>-7.4987778730938048</v>
      </c>
      <c r="AA127">
        <f t="shared" si="150"/>
        <v>0.73884103340948371</v>
      </c>
      <c r="AB127">
        <f t="shared" ref="AB127" ca="1" si="275">BSdelta(1,P127,Strike,AA127/AnnualVarConvtr,Dividend,RiskFreeRate,G127/250)</f>
        <v>0</v>
      </c>
      <c r="AC127">
        <f t="shared" ca="1" si="159"/>
        <v>0</v>
      </c>
      <c r="AD127">
        <f t="shared" ca="1" si="160"/>
        <v>-2.5925431225391788</v>
      </c>
    </row>
    <row r="128" spans="7:30" x14ac:dyDescent="0.25">
      <c r="G128" s="19">
        <v>127</v>
      </c>
      <c r="H128" s="19">
        <f t="shared" ca="1" si="209"/>
        <v>0.35134628592207129</v>
      </c>
      <c r="I128" s="19">
        <f t="shared" ca="1" si="209"/>
        <v>0.97575028218304993</v>
      </c>
      <c r="J128" s="19">
        <f t="shared" ca="1" si="145"/>
        <v>1.4296066306633703</v>
      </c>
      <c r="K128" s="19">
        <f t="shared" ca="1" si="146"/>
        <v>-0.21952409006441398</v>
      </c>
      <c r="L128" s="19">
        <f t="array" aca="1" ref="L128:M128" ca="1">MMULT(J128:K128,TRANSPOSE($B$10:$C$11))</f>
        <v>1.4296066306633703</v>
      </c>
      <c r="M128" s="19">
        <f ca="1"/>
        <v>-1.1774503223367385</v>
      </c>
      <c r="N128" s="20">
        <f ca="1">GetVariance(N127,Variance_Avg,Lambda,Eta,M128,"Daily")</f>
        <v>7.2242742278169111E-2</v>
      </c>
      <c r="O128" s="20">
        <f ca="1">GetStockReturns(O127,RiskFreeRate,N127,L128,"Daily")</f>
        <v>-0.18260124384163939</v>
      </c>
      <c r="P128" s="19">
        <f t="shared" ca="1" si="152"/>
        <v>5.9827317850421686E-6</v>
      </c>
      <c r="Q128" s="19">
        <f ca="1">HCTrans(P128,Strike,RiskFreeRate,Dividend,Variance_T0*AnnualVarConvtr,(Simulation!G128)/250,0.5,Variance_Avg*AnnualVarConvtr,Lambda,SQRT(Simulation!N128),Rho,1,"Call")</f>
        <v>-1.507847083829794E-5</v>
      </c>
      <c r="R128" s="19" t="e">
        <f t="shared" ca="1" si="147"/>
        <v>#VALUE!</v>
      </c>
      <c r="S128" s="19" t="e">
        <f t="shared" ca="1" si="148"/>
        <v>#VALUE!</v>
      </c>
      <c r="T128" s="19" t="e">
        <f t="shared" ca="1" si="153"/>
        <v>#VALUE!</v>
      </c>
      <c r="U128" s="19" t="e">
        <f t="shared" ca="1" si="154"/>
        <v>#VALUE!</v>
      </c>
      <c r="V128" s="21">
        <f t="shared" ca="1" si="155"/>
        <v>6.5909428407479769E-4</v>
      </c>
      <c r="W128">
        <f t="shared" ca="1" si="156"/>
        <v>2.5672831633358983E-2</v>
      </c>
      <c r="X128" s="22">
        <f t="shared" ref="X128" ca="1" si="276">BSdelta(1,P128,Strike,W128*AnnualVarConvtr,Dividend,RiskFreeRate,G128/250)</f>
        <v>0</v>
      </c>
      <c r="Y128" s="22">
        <f t="shared" ca="1" si="162"/>
        <v>0</v>
      </c>
      <c r="Z128" s="22">
        <f t="shared" ca="1" si="163"/>
        <v>-7.4987778734942783</v>
      </c>
      <c r="AA128">
        <f t="shared" si="150"/>
        <v>0.73884103340948371</v>
      </c>
      <c r="AB128">
        <f t="shared" ref="AB128" ca="1" si="277">BSdelta(1,P128,Strike,AA128/AnnualVarConvtr,Dividend,RiskFreeRate,G128/250)</f>
        <v>0</v>
      </c>
      <c r="AC128">
        <f t="shared" ca="1" si="159"/>
        <v>0</v>
      </c>
      <c r="AD128">
        <f t="shared" ca="1" si="160"/>
        <v>-2.5925431229396523</v>
      </c>
    </row>
    <row r="129" spans="7:30" x14ac:dyDescent="0.25">
      <c r="G129" s="19">
        <v>126</v>
      </c>
      <c r="H129" s="19">
        <f t="shared" ca="1" si="209"/>
        <v>0.80462597083314558</v>
      </c>
      <c r="I129" s="19">
        <f t="shared" ca="1" si="209"/>
        <v>0.99471003084916942</v>
      </c>
      <c r="J129" s="19">
        <f t="shared" ca="1" si="145"/>
        <v>0.65899572274342211</v>
      </c>
      <c r="K129" s="19">
        <f t="shared" ca="1" si="146"/>
        <v>-2.1911674835574154E-2</v>
      </c>
      <c r="L129" s="19">
        <f t="array" aca="1" ref="L129:M129" ca="1">MMULT(J129:K129,TRANSPOSE($B$10:$C$11))</f>
        <v>0.65899572274342211</v>
      </c>
      <c r="M129" s="19">
        <f ca="1"/>
        <v>-0.48745573686053201</v>
      </c>
      <c r="N129" s="20">
        <f ca="1">GetVariance(N128,Variance_Avg,Lambda,Eta,M129,"Daily")</f>
        <v>6.8720225527801548E-2</v>
      </c>
      <c r="O129" s="20">
        <f ca="1">GetStockReturns(O128,RiskFreeRate,N128,L129,"Daily")</f>
        <v>-0.17139887925238489</v>
      </c>
      <c r="P129" s="19">
        <f t="shared" ca="1" si="152"/>
        <v>5.0403645188708247E-6</v>
      </c>
      <c r="Q129" s="19">
        <f ca="1">HCTrans(P129,Strike,RiskFreeRate,Dividend,Variance_T0*AnnualVarConvtr,(Simulation!G129)/250,0.5,Variance_Avg*AnnualVarConvtr,Lambda,SQRT(Simulation!N129),Rho,1,"Call")</f>
        <v>-1.5078753317146474E-5</v>
      </c>
      <c r="R129" s="19" t="e">
        <f t="shared" ca="1" si="147"/>
        <v>#VALUE!</v>
      </c>
      <c r="S129" s="19" t="e">
        <f t="shared" ca="1" si="148"/>
        <v>#VALUE!</v>
      </c>
      <c r="T129" s="19" t="e">
        <f t="shared" ca="1" si="153"/>
        <v>#VALUE!</v>
      </c>
      <c r="U129" s="19" t="e">
        <f t="shared" ca="1" si="154"/>
        <v>#VALUE!</v>
      </c>
      <c r="V129" s="21">
        <f t="shared" ca="1" si="155"/>
        <v>1.2549297239058312E-4</v>
      </c>
      <c r="W129">
        <f t="shared" ca="1" si="156"/>
        <v>1.1202364589254499E-2</v>
      </c>
      <c r="X129" s="22">
        <f t="shared" ref="X129" ca="1" si="278">BSdelta(1,P129,Strike,W129*AnnualVarConvtr,Dividend,RiskFreeRate,G129/250)</f>
        <v>0</v>
      </c>
      <c r="Y129" s="22">
        <f t="shared" ca="1" si="162"/>
        <v>0</v>
      </c>
      <c r="Z129" s="22">
        <f t="shared" ca="1" si="163"/>
        <v>-7.4987778737767572</v>
      </c>
      <c r="AA129">
        <f t="shared" si="150"/>
        <v>0.73884103340948371</v>
      </c>
      <c r="AB129">
        <f t="shared" ref="AB129" ca="1" si="279">BSdelta(1,P129,Strike,AA129/AnnualVarConvtr,Dividend,RiskFreeRate,G129/250)</f>
        <v>0</v>
      </c>
      <c r="AC129">
        <f t="shared" ca="1" si="159"/>
        <v>0</v>
      </c>
      <c r="AD129">
        <f t="shared" ca="1" si="160"/>
        <v>-2.5925431232221312</v>
      </c>
    </row>
    <row r="130" spans="7:30" x14ac:dyDescent="0.25">
      <c r="G130" s="19">
        <v>125</v>
      </c>
      <c r="H130" s="19">
        <f t="shared" ca="1" si="209"/>
        <v>0.66476183484101348</v>
      </c>
      <c r="I130" s="19">
        <f t="shared" ca="1" si="209"/>
        <v>0.97921417563747803</v>
      </c>
      <c r="J130" s="19">
        <f t="shared" ca="1" si="145"/>
        <v>0.89599248254686525</v>
      </c>
      <c r="K130" s="19">
        <f t="shared" ca="1" si="146"/>
        <v>-0.11768756247634089</v>
      </c>
      <c r="L130" s="19">
        <f t="array" aca="1" ref="L130:M130" ca="1">MMULT(J130:K130,TRANSPOSE($B$10:$C$11))</f>
        <v>0.89599248254686525</v>
      </c>
      <c r="M130" s="19">
        <f ca="1"/>
        <v>-0.72407593813923976</v>
      </c>
      <c r="N130" s="20">
        <f ca="1">GetVariance(N129,Variance_Avg,Lambda,Eta,M130,"Daily")</f>
        <v>6.3817806441557087E-2</v>
      </c>
      <c r="O130" s="20">
        <f ca="1">GetStockReturns(O129,RiskFreeRate,N129,L130,"Daily")</f>
        <v>-0.15654374265495369</v>
      </c>
      <c r="P130" s="19">
        <f t="shared" ca="1" si="152"/>
        <v>4.309986026442829E-6</v>
      </c>
      <c r="Q130" s="19">
        <f ca="1">HCTrans(P130,Strike,RiskFreeRate,Dividend,Variance_T0*AnnualVarConvtr,(Simulation!G130)/250,0.5,Variance_Avg*AnnualVarConvtr,Lambda,SQRT(Simulation!N130),Rho,1,"Call")</f>
        <v>-1.5078942117263692E-5</v>
      </c>
      <c r="R130" s="19" t="e">
        <f t="shared" ca="1" si="147"/>
        <v>#VALUE!</v>
      </c>
      <c r="S130" s="19" t="e">
        <f t="shared" ca="1" si="148"/>
        <v>#VALUE!</v>
      </c>
      <c r="T130" s="19" t="e">
        <f t="shared" ca="1" si="153"/>
        <v>#VALUE!</v>
      </c>
      <c r="U130" s="19" t="e">
        <f t="shared" ca="1" si="154"/>
        <v>#VALUE!</v>
      </c>
      <c r="V130" s="21">
        <f t="shared" ca="1" si="155"/>
        <v>2.2067508332834001E-4</v>
      </c>
      <c r="W130">
        <f t="shared" ca="1" si="156"/>
        <v>1.4855136597431207E-2</v>
      </c>
      <c r="X130" s="22">
        <f t="shared" ref="X130" ca="1" si="280">BSdelta(1,P130,Strike,W130*AnnualVarConvtr,Dividend,RiskFreeRate,G130/250)</f>
        <v>0</v>
      </c>
      <c r="Y130" s="22">
        <f t="shared" ca="1" si="162"/>
        <v>0</v>
      </c>
      <c r="Z130" s="22">
        <f t="shared" ca="1" si="163"/>
        <v>-7.4987778739655573</v>
      </c>
      <c r="AA130">
        <f t="shared" si="150"/>
        <v>0.73884103340948371</v>
      </c>
      <c r="AB130">
        <f t="shared" ref="AB130" ca="1" si="281">BSdelta(1,P130,Strike,AA130/AnnualVarConvtr,Dividend,RiskFreeRate,G130/250)</f>
        <v>0</v>
      </c>
      <c r="AC130">
        <f t="shared" ca="1" si="159"/>
        <v>0</v>
      </c>
      <c r="AD130">
        <f t="shared" ca="1" si="160"/>
        <v>-2.5925431234109313</v>
      </c>
    </row>
    <row r="131" spans="7:30" x14ac:dyDescent="0.25">
      <c r="G131" s="19">
        <v>124</v>
      </c>
      <c r="H131" s="19">
        <f t="shared" ca="1" si="209"/>
        <v>0.6477752037690091</v>
      </c>
      <c r="I131" s="19">
        <f t="shared" ca="1" si="209"/>
        <v>0.95009087952470828</v>
      </c>
      <c r="J131" s="19">
        <f t="shared" ca="1" si="145"/>
        <v>0.88644645434893554</v>
      </c>
      <c r="K131" s="19">
        <f t="shared" ca="1" si="146"/>
        <v>-0.28746440602709622</v>
      </c>
      <c r="L131" s="19">
        <f t="array" aca="1" ref="L131:M131" ca="1">MMULT(J131:K131,TRANSPOSE($B$10:$C$11))</f>
        <v>0.88644645434893554</v>
      </c>
      <c r="M131" s="19">
        <f ca="1"/>
        <v>-0.83567034340436941</v>
      </c>
      <c r="N131" s="20">
        <f ca="1">GetVariance(N130,Variance_Avg,Lambda,Eta,M131,"Daily")</f>
        <v>5.844536938438092E-2</v>
      </c>
      <c r="O131" s="20">
        <f ca="1">GetStockReturns(O130,RiskFreeRate,N130,L131,"Daily")</f>
        <v>-0.14238080187783825</v>
      </c>
      <c r="P131" s="19">
        <f t="shared" ca="1" si="152"/>
        <v>3.7380117787352544E-6</v>
      </c>
      <c r="Q131" s="19">
        <f ca="1">HCTrans(P131,Strike,RiskFreeRate,Dividend,Variance_T0*AnnualVarConvtr,(Simulation!G131)/250,0.5,Variance_Avg*AnnualVarConvtr,Lambda,SQRT(Simulation!N131),Rho,1,"Call")</f>
        <v>-1.5079063124764499E-5</v>
      </c>
      <c r="R131" s="19" t="e">
        <f t="shared" ca="1" si="147"/>
        <v>#VALUE!</v>
      </c>
      <c r="S131" s="19" t="e">
        <f t="shared" ca="1" si="148"/>
        <v>#VALUE!</v>
      </c>
      <c r="T131" s="19" t="e">
        <f t="shared" ca="1" si="153"/>
        <v>#VALUE!</v>
      </c>
      <c r="U131" s="19" t="e">
        <f t="shared" ca="1" si="154"/>
        <v>#VALUE!</v>
      </c>
      <c r="V131" s="21">
        <f t="shared" ca="1" si="155"/>
        <v>2.0058889145607931E-4</v>
      </c>
      <c r="W131">
        <f t="shared" ca="1" si="156"/>
        <v>1.416294077711544E-2</v>
      </c>
      <c r="X131" s="22">
        <f t="shared" ref="X131" ca="1" si="282">BSdelta(1,P131,Strike,W131*AnnualVarConvtr,Dividend,RiskFreeRate,G131/250)</f>
        <v>0</v>
      </c>
      <c r="Y131" s="22">
        <f t="shared" ca="1" si="162"/>
        <v>0</v>
      </c>
      <c r="Z131" s="22">
        <f t="shared" ca="1" si="163"/>
        <v>-7.4987778740865645</v>
      </c>
      <c r="AA131">
        <f t="shared" si="150"/>
        <v>0.73884103340948371</v>
      </c>
      <c r="AB131">
        <f t="shared" ref="AB131" ca="1" si="283">BSdelta(1,P131,Strike,AA131/AnnualVarConvtr,Dividend,RiskFreeRate,G131/250)</f>
        <v>0</v>
      </c>
      <c r="AC131">
        <f t="shared" ca="1" si="159"/>
        <v>0</v>
      </c>
      <c r="AD131">
        <f t="shared" ca="1" si="160"/>
        <v>-2.5925431235319389</v>
      </c>
    </row>
    <row r="132" spans="7:30" x14ac:dyDescent="0.25">
      <c r="G132" s="19">
        <v>123</v>
      </c>
      <c r="H132" s="19">
        <f t="shared" ca="1" si="209"/>
        <v>0.47476057201105526</v>
      </c>
      <c r="I132" s="19">
        <f t="shared" ca="1" si="209"/>
        <v>0.43738853675352551</v>
      </c>
      <c r="J132" s="19">
        <f t="shared" ca="1" si="145"/>
        <v>-1.1273693918101682</v>
      </c>
      <c r="K132" s="19">
        <f t="shared" ca="1" si="146"/>
        <v>0.46789697190039831</v>
      </c>
      <c r="L132" s="19">
        <f t="array" aca="1" ref="L132:M132" ca="1">MMULT(J132:K132,TRANSPOSE($B$10:$C$11))</f>
        <v>-1.1273693918101682</v>
      </c>
      <c r="M132" s="19">
        <f ca="1"/>
        <v>1.134159056905369</v>
      </c>
      <c r="N132" s="20">
        <f ca="1">GetVariance(N131,Variance_Avg,Lambda,Eta,M132,"Daily")</f>
        <v>6.5089419106572524E-2</v>
      </c>
      <c r="O132" s="20">
        <f ca="1">GetStockReturns(O131,RiskFreeRate,N131,L132,"Daily")</f>
        <v>-0.15961818319803306</v>
      </c>
      <c r="P132" s="19">
        <f t="shared" ca="1" si="152"/>
        <v>3.1865399625858175E-6</v>
      </c>
      <c r="Q132" s="19">
        <f ca="1">HCTrans(P132,Strike,RiskFreeRate,Dividend,Variance_T0*AnnualVarConvtr,(Simulation!G132)/250,0.5,Variance_Avg*AnnualVarConvtr,Lambda,SQRT(Simulation!N132),Rho,1,"Call")</f>
        <v>-1.5079147440945216E-5</v>
      </c>
      <c r="R132" s="19" t="e">
        <f t="shared" ca="1" si="147"/>
        <v>#VALUE!</v>
      </c>
      <c r="S132" s="19" t="e">
        <f t="shared" ca="1" si="148"/>
        <v>#VALUE!</v>
      </c>
      <c r="T132" s="19" t="e">
        <f t="shared" ca="1" si="153"/>
        <v>#VALUE!</v>
      </c>
      <c r="U132" s="19" t="e">
        <f t="shared" ca="1" si="154"/>
        <v>#VALUE!</v>
      </c>
      <c r="V132" s="21">
        <f t="shared" ca="1" si="155"/>
        <v>2.97127314777801E-4</v>
      </c>
      <c r="W132">
        <f t="shared" ca="1" si="156"/>
        <v>1.7237381320194811E-2</v>
      </c>
      <c r="X132" s="22">
        <f t="shared" ref="X132" ca="1" si="284">BSdelta(1,P132,Strike,W132*AnnualVarConvtr,Dividend,RiskFreeRate,G132/250)</f>
        <v>0</v>
      </c>
      <c r="Y132" s="22">
        <f t="shared" ca="1" si="162"/>
        <v>0</v>
      </c>
      <c r="Z132" s="22">
        <f t="shared" ca="1" si="163"/>
        <v>-7.498777874170881</v>
      </c>
      <c r="AA132">
        <f t="shared" si="150"/>
        <v>0.73884103340948371</v>
      </c>
      <c r="AB132">
        <f t="shared" ref="AB132" ca="1" si="285">BSdelta(1,P132,Strike,AA132/AnnualVarConvtr,Dividend,RiskFreeRate,G132/250)</f>
        <v>0</v>
      </c>
      <c r="AC132">
        <f t="shared" ca="1" si="159"/>
        <v>0</v>
      </c>
      <c r="AD132">
        <f t="shared" ca="1" si="160"/>
        <v>-2.5925431236162551</v>
      </c>
    </row>
    <row r="133" spans="7:30" x14ac:dyDescent="0.25">
      <c r="G133" s="19">
        <v>122</v>
      </c>
      <c r="H133" s="19">
        <f t="shared" ca="1" si="209"/>
        <v>2.1161293923636637E-2</v>
      </c>
      <c r="I133" s="19">
        <f t="shared" ca="1" si="209"/>
        <v>7.9819278367222912E-2</v>
      </c>
      <c r="J133" s="19">
        <f t="shared" ca="1" si="145"/>
        <v>2.4349318444893511</v>
      </c>
      <c r="K133" s="19">
        <f t="shared" ca="1" si="146"/>
        <v>1.3350168393673527</v>
      </c>
      <c r="L133" s="19">
        <f t="array" aca="1" ref="L133:M133" ca="1">MMULT(J133:K133,TRANSPOSE($B$10:$C$11))</f>
        <v>2.4349318444893511</v>
      </c>
      <c r="M133" s="19">
        <f ca="1"/>
        <v>-0.81333815271644905</v>
      </c>
      <c r="N133" s="20">
        <f ca="1">GetVariance(N132,Variance_Avg,Lambda,Eta,M133,"Daily")</f>
        <v>5.979309302465035E-2</v>
      </c>
      <c r="O133" s="20">
        <f ca="1">GetStockReturns(O132,RiskFreeRate,N132,L133,"Daily")</f>
        <v>-0.12032909020784702</v>
      </c>
      <c r="P133" s="19">
        <f t="shared" ca="1" si="152"/>
        <v>2.8252774910704508E-6</v>
      </c>
      <c r="Q133" s="19">
        <f ca="1">HCTrans(P133,Strike,RiskFreeRate,Dividend,Variance_T0*AnnualVarConvtr,(Simulation!G133)/250,0.5,Variance_Avg*AnnualVarConvtr,Lambda,SQRT(Simulation!N133),Rho,1,"Call")</f>
        <v>-1.5079179806691863E-5</v>
      </c>
      <c r="R133" s="19" t="e">
        <f t="shared" ca="1" si="147"/>
        <v>#VALUE!</v>
      </c>
      <c r="S133" s="19" t="e">
        <f t="shared" ca="1" si="148"/>
        <v>#VALUE!</v>
      </c>
      <c r="T133" s="19" t="e">
        <f t="shared" ca="1" si="153"/>
        <v>#VALUE!</v>
      </c>
      <c r="U133" s="19" t="e">
        <f t="shared" ca="1" si="154"/>
        <v>#VALUE!</v>
      </c>
      <c r="V133" s="21">
        <f t="shared" ca="1" si="155"/>
        <v>1.543632827991486E-3</v>
      </c>
      <c r="W133">
        <f t="shared" ca="1" si="156"/>
        <v>3.9289092990186042E-2</v>
      </c>
      <c r="X133" s="22">
        <f t="shared" ref="X133" ca="1" si="286">BSdelta(1,P133,Strike,W133*AnnualVarConvtr,Dividend,RiskFreeRate,G133/250)</f>
        <v>0</v>
      </c>
      <c r="Y133" s="22">
        <f t="shared" ca="1" si="162"/>
        <v>0</v>
      </c>
      <c r="Z133" s="22">
        <f t="shared" ca="1" si="163"/>
        <v>-7.4987778742032472</v>
      </c>
      <c r="AA133">
        <f t="shared" si="150"/>
        <v>0.73884103340948371</v>
      </c>
      <c r="AB133">
        <f t="shared" ref="AB133" ca="1" si="287">BSdelta(1,P133,Strike,AA133/AnnualVarConvtr,Dividend,RiskFreeRate,G133/250)</f>
        <v>0</v>
      </c>
      <c r="AC133">
        <f t="shared" ca="1" si="159"/>
        <v>0</v>
      </c>
      <c r="AD133">
        <f t="shared" ca="1" si="160"/>
        <v>-2.5925431236486207</v>
      </c>
    </row>
    <row r="134" spans="7:30" x14ac:dyDescent="0.25">
      <c r="G134" s="19">
        <v>121</v>
      </c>
      <c r="H134" s="19">
        <f t="shared" ca="1" si="209"/>
        <v>0.86055344302720871</v>
      </c>
      <c r="I134" s="19">
        <f t="shared" ca="1" si="209"/>
        <v>0.71515666236194431</v>
      </c>
      <c r="J134" s="19">
        <f t="shared" ref="J134:J197" ca="1" si="288">SQRT(-2*LN(H134))*COS(2*PI()*I134)</f>
        <v>-0.119026933164393</v>
      </c>
      <c r="K134" s="19">
        <f t="shared" ref="K134:K197" ca="1" si="289">SQRT(-2*LN(H134))*SIN(2*PI()*I134)</f>
        <v>-0.53496888302710632</v>
      </c>
      <c r="L134" s="19">
        <f t="array" aca="1" ref="L134:M134" ca="1">MMULT(J134:K134,TRANSPOSE($B$10:$C$11))</f>
        <v>-0.119026933164393</v>
      </c>
      <c r="M134" s="19">
        <f ca="1"/>
        <v>-0.28790458945438913</v>
      </c>
      <c r="N134" s="20">
        <f ca="1">GetVariance(N133,Variance_Avg,Lambda,Eta,M134,"Daily")</f>
        <v>5.7799693323433043E-2</v>
      </c>
      <c r="O134" s="20">
        <f ca="1">GetStockReturns(O133,RiskFreeRate,N133,L134,"Daily")</f>
        <v>-0.12216986538476597</v>
      </c>
      <c r="P134" s="19">
        <f t="shared" ca="1" si="152"/>
        <v>2.5003650002502626E-6</v>
      </c>
      <c r="Q134" s="19">
        <f ca="1">HCTrans(P134,Strike,RiskFreeRate,Dividend,Variance_T0*AnnualVarConvtr,(Simulation!G134)/250,0.5,Variance_Avg*AnnualVarConvtr,Lambda,SQRT(Simulation!N134),Rho,1,"Call")</f>
        <v>-1.5079187667900669E-5</v>
      </c>
      <c r="R134" s="19" t="e">
        <f t="shared" ref="R134:R197" ca="1" si="290">BSvol(1,P134,Strike,Q134,Dividend,RiskFreeRate,G134/250)</f>
        <v>#VALUE!</v>
      </c>
      <c r="S134" s="19" t="e">
        <f t="shared" ref="S134:S197" ca="1" si="291">BSdelta(1,P134,Strike,R134/AnnualVarConvtr,Dividend,RiskFreeRate,G134/250)</f>
        <v>#VALUE!</v>
      </c>
      <c r="T134" s="19" t="e">
        <f t="shared" ca="1" si="153"/>
        <v>#VALUE!</v>
      </c>
      <c r="U134" s="19" t="e">
        <f t="shared" ca="1" si="154"/>
        <v>#VALUE!</v>
      </c>
      <c r="V134" s="21">
        <f t="shared" ca="1" si="155"/>
        <v>3.3884532519610082E-6</v>
      </c>
      <c r="W134">
        <f t="shared" ca="1" si="156"/>
        <v>1.8407751769189545E-3</v>
      </c>
      <c r="X134" s="22">
        <f t="shared" ref="X134" ca="1" si="292">BSdelta(1,P134,Strike,W134*AnnualVarConvtr,Dividend,RiskFreeRate,G134/250)</f>
        <v>0</v>
      </c>
      <c r="Y134" s="22">
        <f t="shared" ca="1" si="162"/>
        <v>0</v>
      </c>
      <c r="Z134" s="22">
        <f t="shared" ca="1" si="163"/>
        <v>-7.4987778742111084</v>
      </c>
      <c r="AA134">
        <f t="shared" ref="AA134:AA197" si="293">$R$5</f>
        <v>0.73884103340948371</v>
      </c>
      <c r="AB134">
        <f t="shared" ref="AB134" ca="1" si="294">BSdelta(1,P134,Strike,AA134/AnnualVarConvtr,Dividend,RiskFreeRate,G134/250)</f>
        <v>0</v>
      </c>
      <c r="AC134">
        <f t="shared" ca="1" si="159"/>
        <v>0</v>
      </c>
      <c r="AD134">
        <f t="shared" ca="1" si="160"/>
        <v>-2.592543123656482</v>
      </c>
    </row>
    <row r="135" spans="7:30" x14ac:dyDescent="0.25">
      <c r="G135" s="19">
        <v>120</v>
      </c>
      <c r="H135" s="19">
        <f t="shared" ca="1" si="209"/>
        <v>6.497230935665943E-2</v>
      </c>
      <c r="I135" s="19">
        <f t="shared" ca="1" si="209"/>
        <v>0.11080930144215628</v>
      </c>
      <c r="J135" s="19">
        <f t="shared" ca="1" si="288"/>
        <v>1.7940791086843224</v>
      </c>
      <c r="K135" s="19">
        <f t="shared" ca="1" si="289"/>
        <v>1.4996227429879001</v>
      </c>
      <c r="L135" s="19">
        <f t="array" aca="1" ref="L135:M135" ca="1">MMULT(J135:K135,TRANSPOSE($B$10:$C$11))</f>
        <v>1.7940791086843224</v>
      </c>
      <c r="M135" s="19">
        <f ca="1"/>
        <v>-0.23934021398859162</v>
      </c>
      <c r="N135" s="20">
        <f ca="1">GetVariance(N134,Variance_Avg,Lambda,Eta,M135,"Daily")</f>
        <v>5.612832116469884E-2</v>
      </c>
      <c r="O135" s="20">
        <f ca="1">GetStockReturns(O134,RiskFreeRate,N134,L135,"Daily")</f>
        <v>-9.4890494415403773E-2</v>
      </c>
      <c r="P135" s="19">
        <f t="shared" ref="P135:P198" ca="1" si="295">P134*EXP(O135)</f>
        <v>2.2740132610368839E-6</v>
      </c>
      <c r="Q135" s="19">
        <f ca="1">HCTrans(P135,Strike,RiskFreeRate,Dividend,Variance_T0*AnnualVarConvtr,(Simulation!G135)/250,0.5,Variance_Avg*AnnualVarConvtr,Lambda,SQRT(Simulation!N135),Rho,1,"Call")</f>
        <v>-1.5079178429907259E-5</v>
      </c>
      <c r="R135" s="19" t="e">
        <f t="shared" ca="1" si="290"/>
        <v>#VALUE!</v>
      </c>
      <c r="S135" s="19" t="e">
        <f t="shared" ca="1" si="291"/>
        <v>#VALUE!</v>
      </c>
      <c r="T135" s="19" t="e">
        <f t="shared" ref="T135:T198" ca="1" si="296">(S135-S134)*P135</f>
        <v>#VALUE!</v>
      </c>
      <c r="U135" s="19" t="e">
        <f t="shared" ref="U135:U198" ca="1" si="297">(Q135-Q134)+U134-T135</f>
        <v>#VALUE!</v>
      </c>
      <c r="V135" s="21">
        <f t="shared" ref="V135:V198" ca="1" si="298">(O135-O134)^2</f>
        <v>7.4416408048408116E-4</v>
      </c>
      <c r="W135">
        <f t="shared" ref="W135:W198" ca="1" si="299">SQRT(V135)</f>
        <v>2.7279370969362199E-2</v>
      </c>
      <c r="X135" s="22">
        <f t="shared" ref="X135" ca="1" si="300">BSdelta(1,P135,Strike,W135*AnnualVarConvtr,Dividend,RiskFreeRate,G135/250)</f>
        <v>0</v>
      </c>
      <c r="Y135" s="22">
        <f t="shared" ca="1" si="162"/>
        <v>0</v>
      </c>
      <c r="Z135" s="22">
        <f t="shared" ca="1" si="163"/>
        <v>-7.4987778742018705</v>
      </c>
      <c r="AA135">
        <f t="shared" si="293"/>
        <v>0.73884103340948371</v>
      </c>
      <c r="AB135">
        <f t="shared" ref="AB135" ca="1" si="301">BSdelta(1,P135,Strike,AA135/AnnualVarConvtr,Dividend,RiskFreeRate,G135/250)</f>
        <v>0</v>
      </c>
      <c r="AC135">
        <f t="shared" ref="AC135:AC198" ca="1" si="302">(AB135-AB134)*P135</f>
        <v>0</v>
      </c>
      <c r="AD135">
        <f t="shared" ref="AD135:AD198" ca="1" si="303">(Q135-Q134)+AD134-AC135</f>
        <v>-2.592543123647244</v>
      </c>
    </row>
    <row r="136" spans="7:30" x14ac:dyDescent="0.25">
      <c r="G136" s="19">
        <v>119</v>
      </c>
      <c r="H136" s="19">
        <f t="shared" ca="1" si="209"/>
        <v>0.51266341457682185</v>
      </c>
      <c r="I136" s="19">
        <f t="shared" ca="1" si="209"/>
        <v>0.89432976822208154</v>
      </c>
      <c r="J136" s="19">
        <f t="shared" ca="1" si="288"/>
        <v>0.91040542459773588</v>
      </c>
      <c r="K136" s="19">
        <f t="shared" ca="1" si="289"/>
        <v>-0.71234365655142384</v>
      </c>
      <c r="L136" s="19">
        <f t="array" aca="1" ref="L136:M136" ca="1">MMULT(J136:K136,TRANSPOSE($B$10:$C$11))</f>
        <v>0.91040542459773588</v>
      </c>
      <c r="M136" s="19">
        <f ca="1"/>
        <v>-1.1492272261303402</v>
      </c>
      <c r="N136" s="20">
        <f ca="1">GetVariance(N135,Variance_Avg,Lambda,Eta,M136,"Daily")</f>
        <v>4.9390546110482755E-2</v>
      </c>
      <c r="O136" s="20">
        <f ca="1">GetStockReturns(O135,RiskFreeRate,N135,L136,"Daily")</f>
        <v>-8.1249191319006681E-2</v>
      </c>
      <c r="P136" s="19">
        <f t="shared" ca="1" si="295"/>
        <v>2.0965581743930699E-6</v>
      </c>
      <c r="Q136" s="19">
        <f ca="1">HCTrans(P136,Strike,RiskFreeRate,Dividend,Variance_T0*AnnualVarConvtr,(Simulation!G136)/250,0.5,Variance_Avg*AnnualVarConvtr,Lambda,SQRT(Simulation!N136),Rho,1,"Call")</f>
        <v>-1.5079160777462388E-5</v>
      </c>
      <c r="R136" s="19" t="e">
        <f t="shared" ca="1" si="290"/>
        <v>#VALUE!</v>
      </c>
      <c r="S136" s="19" t="e">
        <f t="shared" ca="1" si="291"/>
        <v>#VALUE!</v>
      </c>
      <c r="T136" s="19" t="e">
        <f t="shared" ca="1" si="296"/>
        <v>#VALUE!</v>
      </c>
      <c r="U136" s="19" t="e">
        <f t="shared" ca="1" si="297"/>
        <v>#VALUE!</v>
      </c>
      <c r="V136" s="21">
        <f t="shared" ca="1" si="298"/>
        <v>1.8608515016777289E-4</v>
      </c>
      <c r="W136">
        <f t="shared" ca="1" si="299"/>
        <v>1.3641303096397092E-2</v>
      </c>
      <c r="X136" s="22">
        <f t="shared" ref="X136" ca="1" si="304">BSdelta(1,P136,Strike,W136*AnnualVarConvtr,Dividend,RiskFreeRate,G136/250)</f>
        <v>0</v>
      </c>
      <c r="Y136" s="22">
        <f t="shared" ref="Y136:Y199" ca="1" si="305">(X136-X135)*P136</f>
        <v>0</v>
      </c>
      <c r="Z136" s="22">
        <f t="shared" ref="Z136:Z199" ca="1" si="306">(Q136-Q135)+Z135-Y136</f>
        <v>-7.4987778741842179</v>
      </c>
      <c r="AA136">
        <f t="shared" si="293"/>
        <v>0.73884103340948371</v>
      </c>
      <c r="AB136">
        <f t="shared" ref="AB136" ca="1" si="307">BSdelta(1,P136,Strike,AA136/AnnualVarConvtr,Dividend,RiskFreeRate,G136/250)</f>
        <v>0</v>
      </c>
      <c r="AC136">
        <f t="shared" ca="1" si="302"/>
        <v>0</v>
      </c>
      <c r="AD136">
        <f t="shared" ca="1" si="303"/>
        <v>-2.5925431236295915</v>
      </c>
    </row>
    <row r="137" spans="7:30" x14ac:dyDescent="0.25">
      <c r="G137" s="19">
        <v>118</v>
      </c>
      <c r="H137" s="19">
        <f t="shared" ca="1" si="209"/>
        <v>1.564202338321552E-3</v>
      </c>
      <c r="I137" s="19">
        <f t="shared" ca="1" si="209"/>
        <v>0.39296390431124495</v>
      </c>
      <c r="J137" s="19">
        <f t="shared" ca="1" si="288"/>
        <v>-2.8118317108673905</v>
      </c>
      <c r="K137" s="19">
        <f t="shared" ca="1" si="289"/>
        <v>2.2392768867555515</v>
      </c>
      <c r="L137" s="19">
        <f t="array" aca="1" ref="L137:M137" ca="1">MMULT(J137:K137,TRANSPOSE($B$10:$C$11))</f>
        <v>-2.8118317108673905</v>
      </c>
      <c r="M137" s="19">
        <f ca="1"/>
        <v>3.5767680709664376</v>
      </c>
      <c r="N137" s="20">
        <f ca="1">GetVariance(N136,Variance_Avg,Lambda,Eta,M137,"Daily")</f>
        <v>7.0580237123155184E-2</v>
      </c>
      <c r="O137" s="20">
        <f ca="1">GetStockReturns(O136,RiskFreeRate,N136,L137,"Daily")</f>
        <v>-0.12077140247985747</v>
      </c>
      <c r="P137" s="19">
        <f t="shared" ca="1" si="295"/>
        <v>1.8580464370380132E-6</v>
      </c>
      <c r="Q137" s="19">
        <f ca="1">HCTrans(P137,Strike,RiskFreeRate,Dividend,Variance_T0*AnnualVarConvtr,(Simulation!G137)/250,0.5,Variance_Avg*AnnualVarConvtr,Lambda,SQRT(Simulation!N137),Rho,1,"Call")</f>
        <v>-1.5079117956470975E-5</v>
      </c>
      <c r="R137" s="19" t="e">
        <f t="shared" ca="1" si="290"/>
        <v>#VALUE!</v>
      </c>
      <c r="S137" s="19" t="e">
        <f t="shared" ca="1" si="291"/>
        <v>#VALUE!</v>
      </c>
      <c r="T137" s="19" t="e">
        <f t="shared" ca="1" si="296"/>
        <v>#VALUE!</v>
      </c>
      <c r="U137" s="19" t="e">
        <f t="shared" ca="1" si="297"/>
        <v>#VALUE!</v>
      </c>
      <c r="V137" s="21">
        <f t="shared" ca="1" si="298"/>
        <v>1.5620051750428791E-3</v>
      </c>
      <c r="W137">
        <f t="shared" ca="1" si="299"/>
        <v>3.9522211160850793E-2</v>
      </c>
      <c r="X137" s="22">
        <f t="shared" ref="X137" ca="1" si="308">BSdelta(1,P137,Strike,W137*AnnualVarConvtr,Dividend,RiskFreeRate,G137/250)</f>
        <v>0</v>
      </c>
      <c r="Y137" s="22">
        <f t="shared" ca="1" si="305"/>
        <v>0</v>
      </c>
      <c r="Z137" s="22">
        <f t="shared" ca="1" si="306"/>
        <v>-7.4987778741413971</v>
      </c>
      <c r="AA137">
        <f t="shared" si="293"/>
        <v>0.73884103340948371</v>
      </c>
      <c r="AB137">
        <f t="shared" ref="AB137" ca="1" si="309">BSdelta(1,P137,Strike,AA137/AnnualVarConvtr,Dividend,RiskFreeRate,G137/250)</f>
        <v>0</v>
      </c>
      <c r="AC137">
        <f t="shared" ca="1" si="302"/>
        <v>0</v>
      </c>
      <c r="AD137">
        <f t="shared" ca="1" si="303"/>
        <v>-2.5925431235867706</v>
      </c>
    </row>
    <row r="138" spans="7:30" x14ac:dyDescent="0.25">
      <c r="G138" s="19">
        <v>117</v>
      </c>
      <c r="H138" s="19">
        <f t="shared" ca="1" si="209"/>
        <v>0.59341812784369963</v>
      </c>
      <c r="I138" s="19">
        <f t="shared" ca="1" si="209"/>
        <v>0.54914564721194026</v>
      </c>
      <c r="J138" s="19">
        <f t="shared" ca="1" si="288"/>
        <v>-0.97330118991334991</v>
      </c>
      <c r="K138" s="19">
        <f t="shared" ca="1" si="289"/>
        <v>-0.31047840290616774</v>
      </c>
      <c r="L138" s="19">
        <f t="array" aca="1" ref="L138:M138" ca="1">MMULT(J138:K138,TRANSPOSE($B$10:$C$11))</f>
        <v>-0.97330118991334991</v>
      </c>
      <c r="M138" s="19">
        <f ca="1"/>
        <v>0.48078457656664808</v>
      </c>
      <c r="N138" s="20">
        <f ca="1">GetVariance(N137,Variance_Avg,Lambda,Eta,M138,"Daily")</f>
        <v>7.3410145456612286E-2</v>
      </c>
      <c r="O138" s="20">
        <f ca="1">GetStockReturns(O137,RiskFreeRate,N137,L138,"Daily")</f>
        <v>-0.13712520716134843</v>
      </c>
      <c r="P138" s="19">
        <f t="shared" ca="1" si="295"/>
        <v>1.6199583287857082E-6</v>
      </c>
      <c r="Q138" s="19">
        <f ca="1">HCTrans(P138,Strike,RiskFreeRate,Dividend,Variance_T0*AnnualVarConvtr,(Simulation!G138)/250,0.5,Variance_Avg*AnnualVarConvtr,Lambda,SQRT(Simulation!N138),Rho,1,"Call")</f>
        <v>-1.5079048735305341E-5</v>
      </c>
      <c r="R138" s="19" t="e">
        <f t="shared" ca="1" si="290"/>
        <v>#VALUE!</v>
      </c>
      <c r="S138" s="19" t="e">
        <f t="shared" ca="1" si="291"/>
        <v>#VALUE!</v>
      </c>
      <c r="T138" s="19" t="e">
        <f t="shared" ca="1" si="296"/>
        <v>#VALUE!</v>
      </c>
      <c r="U138" s="19" t="e">
        <f t="shared" ca="1" si="297"/>
        <v>#VALUE!</v>
      </c>
      <c r="V138" s="21">
        <f t="shared" ca="1" si="298"/>
        <v>2.6744692756035563E-4</v>
      </c>
      <c r="W138">
        <f t="shared" ca="1" si="299"/>
        <v>1.635380468149096E-2</v>
      </c>
      <c r="X138" s="22">
        <f t="shared" ref="X138" ca="1" si="310">BSdelta(1,P138,Strike,W138*AnnualVarConvtr,Dividend,RiskFreeRate,G138/250)</f>
        <v>0</v>
      </c>
      <c r="Y138" s="22">
        <f t="shared" ca="1" si="305"/>
        <v>0</v>
      </c>
      <c r="Z138" s="22">
        <f t="shared" ca="1" si="306"/>
        <v>-7.498777874072176</v>
      </c>
      <c r="AA138">
        <f t="shared" si="293"/>
        <v>0.73884103340948371</v>
      </c>
      <c r="AB138">
        <f t="shared" ref="AB138" ca="1" si="311">BSdelta(1,P138,Strike,AA138/AnnualVarConvtr,Dividend,RiskFreeRate,G138/250)</f>
        <v>0</v>
      </c>
      <c r="AC138">
        <f t="shared" ca="1" si="302"/>
        <v>0</v>
      </c>
      <c r="AD138">
        <f t="shared" ca="1" si="303"/>
        <v>-2.5925431235175496</v>
      </c>
    </row>
    <row r="139" spans="7:30" x14ac:dyDescent="0.25">
      <c r="G139" s="19">
        <v>116</v>
      </c>
      <c r="H139" s="19">
        <f t="shared" ca="1" si="209"/>
        <v>0.21137870990767349</v>
      </c>
      <c r="I139" s="19">
        <f t="shared" ca="1" si="209"/>
        <v>3.1632748518609088E-2</v>
      </c>
      <c r="J139" s="19">
        <f t="shared" ca="1" si="288"/>
        <v>1.7283031041920924</v>
      </c>
      <c r="K139" s="19">
        <f t="shared" ca="1" si="289"/>
        <v>0.34810375071137745</v>
      </c>
      <c r="L139" s="19">
        <f t="array" aca="1" ref="L139:M139" ca="1">MMULT(J139:K139,TRANSPOSE($B$10:$C$11))</f>
        <v>1.7283031041920924</v>
      </c>
      <c r="M139" s="19">
        <f ca="1"/>
        <v>-0.99549649121138828</v>
      </c>
      <c r="N139" s="20">
        <f ca="1">GetVariance(N138,Variance_Avg,Lambda,Eta,M139,"Daily")</f>
        <v>6.6593609255615083E-2</v>
      </c>
      <c r="O139" s="20">
        <f ca="1">GetStockReturns(O138,RiskFreeRate,N138,L139,"Daily")</f>
        <v>-0.10750910169795129</v>
      </c>
      <c r="P139" s="19">
        <f t="shared" ca="1" si="295"/>
        <v>1.4548333009175481E-6</v>
      </c>
      <c r="Q139" s="19">
        <f ca="1">HCTrans(P139,Strike,RiskFreeRate,Dividend,Variance_T0*AnnualVarConvtr,(Simulation!G139)/250,0.5,Variance_Avg*AnnualVarConvtr,Lambda,SQRT(Simulation!N139),Rho,1,"Call")</f>
        <v>-1.5078981307170368E-5</v>
      </c>
      <c r="R139" s="19" t="e">
        <f t="shared" ca="1" si="290"/>
        <v>#VALUE!</v>
      </c>
      <c r="S139" s="19" t="e">
        <f t="shared" ca="1" si="291"/>
        <v>#VALUE!</v>
      </c>
      <c r="T139" s="19" t="e">
        <f t="shared" ca="1" si="296"/>
        <v>#VALUE!</v>
      </c>
      <c r="U139" s="19" t="e">
        <f t="shared" ca="1" si="297"/>
        <v>#VALUE!</v>
      </c>
      <c r="V139" s="21">
        <f t="shared" ca="1" si="298"/>
        <v>8.7711370281906217E-4</v>
      </c>
      <c r="W139">
        <f t="shared" ca="1" si="299"/>
        <v>2.9616105463397144E-2</v>
      </c>
      <c r="X139" s="22">
        <f t="shared" ref="X139" ca="1" si="312">BSdelta(1,P139,Strike,W139*AnnualVarConvtr,Dividend,RiskFreeRate,G139/250)</f>
        <v>0</v>
      </c>
      <c r="Y139" s="22">
        <f t="shared" ca="1" si="305"/>
        <v>0</v>
      </c>
      <c r="Z139" s="22">
        <f t="shared" ca="1" si="306"/>
        <v>-7.4987778740047482</v>
      </c>
      <c r="AA139">
        <f t="shared" si="293"/>
        <v>0.73884103340948371</v>
      </c>
      <c r="AB139">
        <f t="shared" ref="AB139" ca="1" si="313">BSdelta(1,P139,Strike,AA139/AnnualVarConvtr,Dividend,RiskFreeRate,G139/250)</f>
        <v>0</v>
      </c>
      <c r="AC139">
        <f t="shared" ca="1" si="302"/>
        <v>0</v>
      </c>
      <c r="AD139">
        <f t="shared" ca="1" si="303"/>
        <v>-2.5925431234501213</v>
      </c>
    </row>
    <row r="140" spans="7:30" x14ac:dyDescent="0.25">
      <c r="G140" s="19">
        <v>115</v>
      </c>
      <c r="H140" s="19">
        <f t="shared" ca="1" si="209"/>
        <v>5.5685669443235164E-2</v>
      </c>
      <c r="I140" s="19">
        <f t="shared" ca="1" si="209"/>
        <v>0.85842857282358498</v>
      </c>
      <c r="J140" s="19">
        <f t="shared" ca="1" si="288"/>
        <v>1.513591118734311</v>
      </c>
      <c r="K140" s="19">
        <f t="shared" ca="1" si="289"/>
        <v>-1.8668440796631067</v>
      </c>
      <c r="L140" s="19">
        <f t="array" aca="1" ref="L140:M140" ca="1">MMULT(J140:K140,TRANSPOSE($B$10:$C$11))</f>
        <v>1.513591118734311</v>
      </c>
      <c r="M140" s="19">
        <f ca="1"/>
        <v>-2.3867743680849975</v>
      </c>
      <c r="N140" s="20">
        <f ca="1">GetVariance(N139,Variance_Avg,Lambda,Eta,M140,"Daily")</f>
        <v>5.2031551744218175E-2</v>
      </c>
      <c r="O140" s="20">
        <f ca="1">GetStockReturns(O139,RiskFreeRate,N139,L140,"Daily")</f>
        <v>-8.2805809055202143E-2</v>
      </c>
      <c r="P140" s="19">
        <f t="shared" ca="1" si="295"/>
        <v>1.339217536182753E-6</v>
      </c>
      <c r="Q140" s="19">
        <f ca="1">HCTrans(P140,Strike,RiskFreeRate,Dividend,Variance_T0*AnnualVarConvtr,(Simulation!G140)/250,0.5,Variance_Avg*AnnualVarConvtr,Lambda,SQRT(Simulation!N140),Rho,1,"Call")</f>
        <v>-1.5078922469319073E-5</v>
      </c>
      <c r="R140" s="19" t="e">
        <f t="shared" ca="1" si="290"/>
        <v>#VALUE!</v>
      </c>
      <c r="S140" s="19" t="e">
        <f t="shared" ca="1" si="291"/>
        <v>#VALUE!</v>
      </c>
      <c r="T140" s="19" t="e">
        <f t="shared" ca="1" si="296"/>
        <v>#VALUE!</v>
      </c>
      <c r="U140" s="19" t="e">
        <f t="shared" ca="1" si="297"/>
        <v>#VALUE!</v>
      </c>
      <c r="V140" s="21">
        <f t="shared" ca="1" si="298"/>
        <v>6.1025266739330418E-4</v>
      </c>
      <c r="W140">
        <f t="shared" ca="1" si="299"/>
        <v>2.4703292642749147E-2</v>
      </c>
      <c r="X140" s="22">
        <f t="shared" ref="X140" ca="1" si="314">BSdelta(1,P140,Strike,W140*AnnualVarConvtr,Dividend,RiskFreeRate,G140/250)</f>
        <v>0</v>
      </c>
      <c r="Y140" s="22">
        <f t="shared" ca="1" si="305"/>
        <v>0</v>
      </c>
      <c r="Z140" s="22">
        <f t="shared" ca="1" si="306"/>
        <v>-7.4987778739459099</v>
      </c>
      <c r="AA140">
        <f t="shared" si="293"/>
        <v>0.73884103340948371</v>
      </c>
      <c r="AB140">
        <f t="shared" ref="AB140" ca="1" si="315">BSdelta(1,P140,Strike,AA140/AnnualVarConvtr,Dividend,RiskFreeRate,G140/250)</f>
        <v>0</v>
      </c>
      <c r="AC140">
        <f t="shared" ca="1" si="302"/>
        <v>0</v>
      </c>
      <c r="AD140">
        <f t="shared" ca="1" si="303"/>
        <v>-2.5925431233912835</v>
      </c>
    </row>
    <row r="141" spans="7:30" x14ac:dyDescent="0.25">
      <c r="G141" s="19">
        <v>114</v>
      </c>
      <c r="H141" s="19">
        <f t="shared" ca="1" si="209"/>
        <v>0.89302413165898453</v>
      </c>
      <c r="I141" s="19">
        <f t="shared" ca="1" si="209"/>
        <v>0.6056041298643895</v>
      </c>
      <c r="J141" s="19">
        <f t="shared" ca="1" si="288"/>
        <v>-0.37476140176741168</v>
      </c>
      <c r="K141" s="19">
        <f t="shared" ca="1" si="289"/>
        <v>-0.29297993518006471</v>
      </c>
      <c r="L141" s="19">
        <f t="array" aca="1" ref="L141:M141" ca="1">MMULT(J141:K141,TRANSPOSE($B$10:$C$11))</f>
        <v>-0.37476140176741168</v>
      </c>
      <c r="M141" s="19">
        <f ca="1"/>
        <v>6.4137523563989718E-2</v>
      </c>
      <c r="N141" s="20">
        <f ca="1">GetVariance(N140,Variance_Avg,Lambda,Eta,M141,"Daily")</f>
        <v>5.2152424631865577E-2</v>
      </c>
      <c r="O141" s="20">
        <f ca="1">GetStockReturns(O140,RiskFreeRate,N140,L141,"Daily")</f>
        <v>-8.8212334352998203E-2</v>
      </c>
      <c r="P141" s="19">
        <f t="shared" ca="1" si="295"/>
        <v>1.2261426452099007E-6</v>
      </c>
      <c r="Q141" s="19">
        <f ca="1">HCTrans(P141,Strike,RiskFreeRate,Dividend,Variance_T0*AnnualVarConvtr,(Simulation!G141)/250,0.5,Variance_Avg*AnnualVarConvtr,Lambda,SQRT(Simulation!N141),Rho,1,"Call")</f>
        <v>-1.507885333533645E-5</v>
      </c>
      <c r="R141" s="19" t="e">
        <f t="shared" ca="1" si="290"/>
        <v>#VALUE!</v>
      </c>
      <c r="S141" s="19" t="e">
        <f t="shared" ca="1" si="291"/>
        <v>#VALUE!</v>
      </c>
      <c r="T141" s="19" t="e">
        <f t="shared" ca="1" si="296"/>
        <v>#VALUE!</v>
      </c>
      <c r="U141" s="19" t="e">
        <f t="shared" ca="1" si="297"/>
        <v>#VALUE!</v>
      </c>
      <c r="V141" s="21">
        <f t="shared" ca="1" si="298"/>
        <v>2.9230515795708787E-5</v>
      </c>
      <c r="W141">
        <f t="shared" ca="1" si="299"/>
        <v>5.4065252977960609E-3</v>
      </c>
      <c r="X141" s="22">
        <f t="shared" ref="X141" ca="1" si="316">BSdelta(1,P141,Strike,W141*AnnualVarConvtr,Dividend,RiskFreeRate,G141/250)</f>
        <v>0</v>
      </c>
      <c r="Y141" s="22">
        <f t="shared" ca="1" si="305"/>
        <v>0</v>
      </c>
      <c r="Z141" s="22">
        <f t="shared" ca="1" si="306"/>
        <v>-7.4987778738767759</v>
      </c>
      <c r="AA141">
        <f t="shared" si="293"/>
        <v>0.73884103340948371</v>
      </c>
      <c r="AB141">
        <f t="shared" ref="AB141" ca="1" si="317">BSdelta(1,P141,Strike,AA141/AnnualVarConvtr,Dividend,RiskFreeRate,G141/250)</f>
        <v>0</v>
      </c>
      <c r="AC141">
        <f t="shared" ca="1" si="302"/>
        <v>0</v>
      </c>
      <c r="AD141">
        <f t="shared" ca="1" si="303"/>
        <v>-2.5925431233221494</v>
      </c>
    </row>
    <row r="142" spans="7:30" x14ac:dyDescent="0.25">
      <c r="G142" s="19">
        <v>113</v>
      </c>
      <c r="H142" s="19">
        <f t="shared" ca="1" si="209"/>
        <v>0.7712905236286296</v>
      </c>
      <c r="I142" s="19">
        <f t="shared" ca="1" si="209"/>
        <v>8.0340872002567787E-3</v>
      </c>
      <c r="J142" s="19">
        <f t="shared" ca="1" si="288"/>
        <v>0.71976243695406295</v>
      </c>
      <c r="K142" s="19">
        <f t="shared" ca="1" si="289"/>
        <v>3.6364255126414925E-2</v>
      </c>
      <c r="L142" s="19">
        <f t="array" aca="1" ref="L142:M142" ca="1">MMULT(J142:K142,TRANSPOSE($B$10:$C$11))</f>
        <v>0.71976243695406295</v>
      </c>
      <c r="M142" s="19">
        <f ca="1"/>
        <v>-0.49034255111531416</v>
      </c>
      <c r="N142" s="20">
        <f ca="1">GetVariance(N141,Variance_Avg,Lambda,Eta,M142,"Daily")</f>
        <v>4.9203685245874006E-2</v>
      </c>
      <c r="O142" s="20">
        <f ca="1">GetStockReturns(O141,RiskFreeRate,N141,L142,"Daily")</f>
        <v>-7.7816570021598239E-2</v>
      </c>
      <c r="P142" s="19">
        <f t="shared" ca="1" si="295"/>
        <v>1.1343463827373814E-6</v>
      </c>
      <c r="Q142" s="19">
        <f ca="1">HCTrans(P142,Strike,RiskFreeRate,Dividend,Variance_T0*AnnualVarConvtr,(Simulation!G142)/250,0.5,Variance_Avg*AnnualVarConvtr,Lambda,SQRT(Simulation!N142),Rho,1,"Call")</f>
        <v>-1.5078787555293914E-5</v>
      </c>
      <c r="R142" s="19" t="e">
        <f t="shared" ca="1" si="290"/>
        <v>#VALUE!</v>
      </c>
      <c r="S142" s="19" t="e">
        <f t="shared" ca="1" si="291"/>
        <v>#VALUE!</v>
      </c>
      <c r="T142" s="19" t="e">
        <f t="shared" ca="1" si="296"/>
        <v>#VALUE!</v>
      </c>
      <c r="U142" s="19" t="e">
        <f t="shared" ca="1" si="297"/>
        <v>#VALUE!</v>
      </c>
      <c r="V142" s="21">
        <f t="shared" ca="1" si="298"/>
        <v>1.0807191603400775E-4</v>
      </c>
      <c r="W142">
        <f t="shared" ca="1" si="299"/>
        <v>1.0395764331399965E-2</v>
      </c>
      <c r="X142" s="22">
        <f t="shared" ref="X142" ca="1" si="318">BSdelta(1,P142,Strike,W142*AnnualVarConvtr,Dividend,RiskFreeRate,G142/250)</f>
        <v>0</v>
      </c>
      <c r="Y142" s="22">
        <f t="shared" ca="1" si="305"/>
        <v>0</v>
      </c>
      <c r="Z142" s="22">
        <f t="shared" ca="1" si="306"/>
        <v>-7.4987778738109956</v>
      </c>
      <c r="AA142">
        <f t="shared" si="293"/>
        <v>0.73884103340948371</v>
      </c>
      <c r="AB142">
        <f t="shared" ref="AB142" ca="1" si="319">BSdelta(1,P142,Strike,AA142/AnnualVarConvtr,Dividend,RiskFreeRate,G142/250)</f>
        <v>0</v>
      </c>
      <c r="AC142">
        <f t="shared" ca="1" si="302"/>
        <v>0</v>
      </c>
      <c r="AD142">
        <f t="shared" ca="1" si="303"/>
        <v>-2.5925431232563696</v>
      </c>
    </row>
    <row r="143" spans="7:30" x14ac:dyDescent="0.25">
      <c r="G143" s="19">
        <v>112</v>
      </c>
      <c r="H143" s="19">
        <f t="shared" ca="1" si="209"/>
        <v>0.57655808107501438</v>
      </c>
      <c r="I143" s="19">
        <f t="shared" ca="1" si="209"/>
        <v>0.15170356101863991</v>
      </c>
      <c r="J143" s="19">
        <f t="shared" ca="1" si="288"/>
        <v>0.60773191968022588</v>
      </c>
      <c r="K143" s="19">
        <f t="shared" ca="1" si="289"/>
        <v>0.85558185289730448</v>
      </c>
      <c r="L143" s="19">
        <f t="array" aca="1" ref="L143:M143" ca="1">MMULT(J143:K143,TRANSPOSE($B$10:$C$11))</f>
        <v>0.60773191968022588</v>
      </c>
      <c r="M143" s="19">
        <f ca="1"/>
        <v>0.16140293571245989</v>
      </c>
      <c r="N143" s="20">
        <f ca="1">GetVariance(N142,Variance_Avg,Lambda,Eta,M143,"Daily")</f>
        <v>4.9861995398669715E-2</v>
      </c>
      <c r="O143" s="20">
        <f ca="1">GetStockReturns(O142,RiskFreeRate,N142,L143,"Daily")</f>
        <v>-6.9290657767156413E-2</v>
      </c>
      <c r="P143" s="19">
        <f t="shared" ca="1" si="295"/>
        <v>1.0584080642217966E-6</v>
      </c>
      <c r="Q143" s="19">
        <f ca="1">HCTrans(P143,Strike,RiskFreeRate,Dividend,Variance_T0*AnnualVarConvtr,(Simulation!G143)/250,0.5,Variance_Avg*AnnualVarConvtr,Lambda,SQRT(Simulation!N143),Rho,1,"Call")</f>
        <v>-1.5078725562496664E-5</v>
      </c>
      <c r="R143" s="19" t="e">
        <f t="shared" ca="1" si="290"/>
        <v>#VALUE!</v>
      </c>
      <c r="S143" s="19" t="e">
        <f t="shared" ca="1" si="291"/>
        <v>#VALUE!</v>
      </c>
      <c r="T143" s="19" t="e">
        <f t="shared" ca="1" si="296"/>
        <v>#VALUE!</v>
      </c>
      <c r="U143" s="19" t="e">
        <f t="shared" ca="1" si="297"/>
        <v>#VALUE!</v>
      </c>
      <c r="V143" s="21">
        <f t="shared" ca="1" si="298"/>
        <v>7.2691179770441289E-5</v>
      </c>
      <c r="W143">
        <f t="shared" ca="1" si="299"/>
        <v>8.5259122544418253E-3</v>
      </c>
      <c r="X143" s="22">
        <f t="shared" ref="X143" ca="1" si="320">BSdelta(1,P143,Strike,W143*AnnualVarConvtr,Dividend,RiskFreeRate,G143/250)</f>
        <v>0</v>
      </c>
      <c r="Y143" s="22">
        <f t="shared" ca="1" si="305"/>
        <v>0</v>
      </c>
      <c r="Z143" s="22">
        <f t="shared" ca="1" si="306"/>
        <v>-7.4987778737490025</v>
      </c>
      <c r="AA143">
        <f t="shared" si="293"/>
        <v>0.73884103340948371</v>
      </c>
      <c r="AB143">
        <f t="shared" ref="AB143" ca="1" si="321">BSdelta(1,P143,Strike,AA143/AnnualVarConvtr,Dividend,RiskFreeRate,G143/250)</f>
        <v>0</v>
      </c>
      <c r="AC143">
        <f t="shared" ca="1" si="302"/>
        <v>0</v>
      </c>
      <c r="AD143">
        <f t="shared" ca="1" si="303"/>
        <v>-2.592543123194377</v>
      </c>
    </row>
    <row r="144" spans="7:30" x14ac:dyDescent="0.25">
      <c r="G144" s="19">
        <v>111</v>
      </c>
      <c r="H144" s="19">
        <f t="shared" ca="1" si="209"/>
        <v>0.64452171135901071</v>
      </c>
      <c r="I144" s="19">
        <f t="shared" ca="1" si="209"/>
        <v>0.70504788119512873</v>
      </c>
      <c r="J144" s="19">
        <f t="shared" ca="1" si="288"/>
        <v>-0.26122195257774034</v>
      </c>
      <c r="K144" s="19">
        <f t="shared" ca="1" si="289"/>
        <v>-0.90014256179812913</v>
      </c>
      <c r="L144" s="19">
        <f t="array" aca="1" ref="L144:M144" ca="1">MMULT(J144:K144,TRANSPOSE($B$10:$C$11))</f>
        <v>-0.26122195257774034</v>
      </c>
      <c r="M144" s="19">
        <f ca="1"/>
        <v>-0.44076230245143133</v>
      </c>
      <c r="N144" s="20">
        <f ca="1">GetVariance(N143,Variance_Avg,Lambda,Eta,M144,"Daily")</f>
        <v>4.7250898504126664E-2</v>
      </c>
      <c r="O144" s="20">
        <f ca="1">GetStockReturns(O143,RiskFreeRate,N143,L144,"Daily")</f>
        <v>-7.2979792309604885E-2</v>
      </c>
      <c r="P144" s="19">
        <f t="shared" ca="1" si="295"/>
        <v>9.8391689749372344E-7</v>
      </c>
      <c r="Q144" s="19">
        <f ca="1">HCTrans(P144,Strike,RiskFreeRate,Dividend,Variance_T0*AnnualVarConvtr,(Simulation!G144)/250,0.5,Variance_Avg*AnnualVarConvtr,Lambda,SQRT(Simulation!N144),Rho,1,"Call")</f>
        <v>-1.5078656751507062E-5</v>
      </c>
      <c r="R144" s="19" t="e">
        <f t="shared" ca="1" si="290"/>
        <v>#VALUE!</v>
      </c>
      <c r="S144" s="19" t="e">
        <f t="shared" ca="1" si="291"/>
        <v>#VALUE!</v>
      </c>
      <c r="T144" s="19" t="e">
        <f t="shared" ca="1" si="296"/>
        <v>#VALUE!</v>
      </c>
      <c r="U144" s="19" t="e">
        <f t="shared" ca="1" si="297"/>
        <v>#VALUE!</v>
      </c>
      <c r="V144" s="21">
        <f t="shared" ca="1" si="298"/>
        <v>1.3609713672286494E-5</v>
      </c>
      <c r="W144">
        <f t="shared" ca="1" si="299"/>
        <v>3.6891345424484717E-3</v>
      </c>
      <c r="X144" s="22">
        <f t="shared" ref="X144" ca="1" si="322">BSdelta(1,P144,Strike,W144*AnnualVarConvtr,Dividend,RiskFreeRate,G144/250)</f>
        <v>0</v>
      </c>
      <c r="Y144" s="22">
        <f t="shared" ca="1" si="305"/>
        <v>0</v>
      </c>
      <c r="Z144" s="22">
        <f t="shared" ca="1" si="306"/>
        <v>-7.4987778736801918</v>
      </c>
      <c r="AA144">
        <f t="shared" si="293"/>
        <v>0.73884103340948371</v>
      </c>
      <c r="AB144">
        <f t="shared" ref="AB144" ca="1" si="323">BSdelta(1,P144,Strike,AA144/AnnualVarConvtr,Dividend,RiskFreeRate,G144/250)</f>
        <v>0</v>
      </c>
      <c r="AC144">
        <f t="shared" ca="1" si="302"/>
        <v>0</v>
      </c>
      <c r="AD144">
        <f t="shared" ca="1" si="303"/>
        <v>-2.5925431231255658</v>
      </c>
    </row>
    <row r="145" spans="7:30" x14ac:dyDescent="0.25">
      <c r="G145" s="19">
        <v>110</v>
      </c>
      <c r="H145" s="19">
        <f t="shared" ca="1" si="209"/>
        <v>0.4488260150806882</v>
      </c>
      <c r="I145" s="19">
        <f t="shared" ca="1" si="209"/>
        <v>0.27843903063250119</v>
      </c>
      <c r="J145" s="19">
        <f t="shared" ca="1" si="288"/>
        <v>-0.22498048437227838</v>
      </c>
      <c r="K145" s="19">
        <f t="shared" ca="1" si="289"/>
        <v>1.2456418838601671</v>
      </c>
      <c r="L145" s="19">
        <f t="array" aca="1" ref="L145:M145" ca="1">MMULT(J145:K145,TRANSPOSE($B$10:$C$11))</f>
        <v>-0.22498048437227838</v>
      </c>
      <c r="M145" s="19">
        <f ca="1"/>
        <v>1.0301422156622784</v>
      </c>
      <c r="N145" s="20">
        <f ca="1">GetVariance(N144,Variance_Avg,Lambda,Eta,M145,"Daily")</f>
        <v>5.2687976335296809E-2</v>
      </c>
      <c r="O145" s="20">
        <f ca="1">GetStockReturns(O144,RiskFreeRate,N144,L145,"Daily")</f>
        <v>-7.6072792015936752E-2</v>
      </c>
      <c r="P145" s="19">
        <f t="shared" ca="1" si="295"/>
        <v>9.1184374914424811E-7</v>
      </c>
      <c r="Q145" s="19">
        <f ca="1">HCTrans(P145,Strike,RiskFreeRate,Dividend,Variance_T0*AnnualVarConvtr,(Simulation!G145)/250,0.5,Variance_Avg*AnnualVarConvtr,Lambda,SQRT(Simulation!N145),Rho,1,"Call")</f>
        <v>-1.5078581556592641E-5</v>
      </c>
      <c r="R145" s="19" t="e">
        <f t="shared" ca="1" si="290"/>
        <v>#VALUE!</v>
      </c>
      <c r="S145" s="19" t="e">
        <f t="shared" ca="1" si="291"/>
        <v>#VALUE!</v>
      </c>
      <c r="T145" s="19" t="e">
        <f t="shared" ca="1" si="296"/>
        <v>#VALUE!</v>
      </c>
      <c r="U145" s="19" t="e">
        <f t="shared" ca="1" si="297"/>
        <v>#VALUE!</v>
      </c>
      <c r="V145" s="21">
        <f t="shared" ca="1" si="298"/>
        <v>9.5666471833690156E-6</v>
      </c>
      <c r="W145">
        <f t="shared" ca="1" si="299"/>
        <v>3.092999706331867E-3</v>
      </c>
      <c r="X145" s="22">
        <f t="shared" ref="X145" ca="1" si="324">BSdelta(1,P145,Strike,W145*AnnualVarConvtr,Dividend,RiskFreeRate,G145/250)</f>
        <v>0</v>
      </c>
      <c r="Y145" s="22">
        <f t="shared" ca="1" si="305"/>
        <v>0</v>
      </c>
      <c r="Z145" s="22">
        <f t="shared" ca="1" si="306"/>
        <v>-7.4987778736049968</v>
      </c>
      <c r="AA145">
        <f t="shared" si="293"/>
        <v>0.73884103340948371</v>
      </c>
      <c r="AB145">
        <f t="shared" ref="AB145" ca="1" si="325">BSdelta(1,P145,Strike,AA145/AnnualVarConvtr,Dividend,RiskFreeRate,G145/250)</f>
        <v>0</v>
      </c>
      <c r="AC145">
        <f t="shared" ca="1" si="302"/>
        <v>0</v>
      </c>
      <c r="AD145">
        <f t="shared" ca="1" si="303"/>
        <v>-2.5925431230503708</v>
      </c>
    </row>
    <row r="146" spans="7:30" x14ac:dyDescent="0.25">
      <c r="G146" s="19">
        <v>109</v>
      </c>
      <c r="H146" s="19">
        <f t="shared" ca="1" si="209"/>
        <v>0.74855538220391882</v>
      </c>
      <c r="I146" s="19">
        <f t="shared" ca="1" si="209"/>
        <v>0.95973014473064522</v>
      </c>
      <c r="J146" s="19">
        <f t="shared" ca="1" si="288"/>
        <v>0.73683292102625075</v>
      </c>
      <c r="K146" s="19">
        <f t="shared" ca="1" si="289"/>
        <v>-0.19051881894033107</v>
      </c>
      <c r="L146" s="19">
        <f t="array" aca="1" ref="L146:M146" ca="1">MMULT(J146:K146,TRANSPOSE($B$10:$C$11))</f>
        <v>0.73683292102625075</v>
      </c>
      <c r="M146" s="19">
        <f ca="1"/>
        <v>-0.66084425666485247</v>
      </c>
      <c r="N146" s="20">
        <f ca="1">GetVariance(N145,Variance_Avg,Lambda,Eta,M146,"Daily")</f>
        <v>4.8792194532280092E-2</v>
      </c>
      <c r="O146" s="20">
        <f ca="1">GetStockReturns(O145,RiskFreeRate,N145,L146,"Daily")</f>
        <v>-6.5375969835732434E-2</v>
      </c>
      <c r="P146" s="19">
        <f t="shared" ca="1" si="295"/>
        <v>8.5413791853903569E-7</v>
      </c>
      <c r="Q146" s="19">
        <f ca="1">HCTrans(P146,Strike,RiskFreeRate,Dividend,Variance_T0*AnnualVarConvtr,(Simulation!G146)/250,0.5,Variance_Avg*AnnualVarConvtr,Lambda,SQRT(Simulation!N146),Rho,1,"Call")</f>
        <v>-1.5078514569039857E-5</v>
      </c>
      <c r="R146" s="19" t="e">
        <f t="shared" ca="1" si="290"/>
        <v>#VALUE!</v>
      </c>
      <c r="S146" s="19" t="e">
        <f t="shared" ca="1" si="291"/>
        <v>#VALUE!</v>
      </c>
      <c r="T146" s="19" t="e">
        <f t="shared" ca="1" si="296"/>
        <v>#VALUE!</v>
      </c>
      <c r="U146" s="19" t="e">
        <f t="shared" ca="1" si="297"/>
        <v>#VALUE!</v>
      </c>
      <c r="V146" s="21">
        <f t="shared" ca="1" si="298"/>
        <v>1.1442200475491107E-4</v>
      </c>
      <c r="W146">
        <f t="shared" ca="1" si="299"/>
        <v>1.0696822180204318E-2</v>
      </c>
      <c r="X146" s="22">
        <f t="shared" ref="X146" ca="1" si="326">BSdelta(1,P146,Strike,W146*AnnualVarConvtr,Dividend,RiskFreeRate,G146/250)</f>
        <v>0</v>
      </c>
      <c r="Y146" s="22">
        <f t="shared" ca="1" si="305"/>
        <v>0</v>
      </c>
      <c r="Z146" s="22">
        <f t="shared" ca="1" si="306"/>
        <v>-7.4987778735380095</v>
      </c>
      <c r="AA146">
        <f t="shared" si="293"/>
        <v>0.73884103340948371</v>
      </c>
      <c r="AB146">
        <f t="shared" ref="AB146" ca="1" si="327">BSdelta(1,P146,Strike,AA146/AnnualVarConvtr,Dividend,RiskFreeRate,G146/250)</f>
        <v>0</v>
      </c>
      <c r="AC146">
        <f t="shared" ca="1" si="302"/>
        <v>0</v>
      </c>
      <c r="AD146">
        <f t="shared" ca="1" si="303"/>
        <v>-2.5925431229833831</v>
      </c>
    </row>
    <row r="147" spans="7:30" x14ac:dyDescent="0.25">
      <c r="G147" s="19">
        <v>108</v>
      </c>
      <c r="H147" s="19">
        <f t="shared" ca="1" si="209"/>
        <v>0.43616692694484738</v>
      </c>
      <c r="I147" s="19">
        <f t="shared" ca="1" si="209"/>
        <v>0.1403761197922635</v>
      </c>
      <c r="J147" s="19">
        <f t="shared" ca="1" si="288"/>
        <v>0.81878191940971501</v>
      </c>
      <c r="K147" s="19">
        <f t="shared" ca="1" si="289"/>
        <v>0.9945132811218792</v>
      </c>
      <c r="L147" s="19">
        <f t="array" aca="1" ref="L147:M147" ca="1">MMULT(J147:K147,TRANSPOSE($B$10:$C$11))</f>
        <v>0.81878191940971501</v>
      </c>
      <c r="M147" s="19">
        <f ca="1"/>
        <v>0.10710238181675558</v>
      </c>
      <c r="N147" s="20">
        <f ca="1">GetVariance(N146,Variance_Avg,Lambda,Eta,M147,"Daily")</f>
        <v>4.915270905778104E-2</v>
      </c>
      <c r="O147" s="20">
        <f ca="1">GetStockReturns(O146,RiskFreeRate,N146,L147,"Daily")</f>
        <v>-5.393735555527282E-2</v>
      </c>
      <c r="P147" s="19">
        <f t="shared" ca="1" si="295"/>
        <v>8.0928838323796938E-7</v>
      </c>
      <c r="Q147" s="19">
        <f ca="1">HCTrans(P147,Strike,RiskFreeRate,Dividend,Variance_T0*AnnualVarConvtr,(Simulation!G147)/250,0.5,Variance_Avg*AnnualVarConvtr,Lambda,SQRT(Simulation!N147),Rho,1,"Call")</f>
        <v>-1.5078457967443814E-5</v>
      </c>
      <c r="R147" s="19" t="e">
        <f t="shared" ca="1" si="290"/>
        <v>#VALUE!</v>
      </c>
      <c r="S147" s="19" t="e">
        <f t="shared" ca="1" si="291"/>
        <v>#VALUE!</v>
      </c>
      <c r="T147" s="19" t="e">
        <f t="shared" ca="1" si="296"/>
        <v>#VALUE!</v>
      </c>
      <c r="U147" s="19" t="e">
        <f t="shared" ca="1" si="297"/>
        <v>#VALUE!</v>
      </c>
      <c r="V147" s="21">
        <f t="shared" ca="1" si="298"/>
        <v>1.3084189665713461E-4</v>
      </c>
      <c r="W147">
        <f t="shared" ca="1" si="299"/>
        <v>1.1438614280459614E-2</v>
      </c>
      <c r="X147" s="22">
        <f t="shared" ref="X147" ca="1" si="328">BSdelta(1,P147,Strike,W147*AnnualVarConvtr,Dividend,RiskFreeRate,G147/250)</f>
        <v>0</v>
      </c>
      <c r="Y147" s="22">
        <f t="shared" ca="1" si="305"/>
        <v>0</v>
      </c>
      <c r="Z147" s="22">
        <f t="shared" ca="1" si="306"/>
        <v>-7.4987778734814077</v>
      </c>
      <c r="AA147">
        <f t="shared" si="293"/>
        <v>0.73884103340948371</v>
      </c>
      <c r="AB147">
        <f t="shared" ref="AB147" ca="1" si="329">BSdelta(1,P147,Strike,AA147/AnnualVarConvtr,Dividend,RiskFreeRate,G147/250)</f>
        <v>0</v>
      </c>
      <c r="AC147">
        <f t="shared" ca="1" si="302"/>
        <v>0</v>
      </c>
      <c r="AD147">
        <f t="shared" ca="1" si="303"/>
        <v>-2.5925431229267817</v>
      </c>
    </row>
    <row r="148" spans="7:30" x14ac:dyDescent="0.25">
      <c r="G148" s="19">
        <v>107</v>
      </c>
      <c r="H148" s="19">
        <f t="shared" ca="1" si="209"/>
        <v>0.88351794676044426</v>
      </c>
      <c r="I148" s="19">
        <f t="shared" ca="1" si="209"/>
        <v>0.96470466959334067</v>
      </c>
      <c r="J148" s="19">
        <f t="shared" ca="1" si="288"/>
        <v>0.48549388884276728</v>
      </c>
      <c r="K148" s="19">
        <f t="shared" ca="1" si="289"/>
        <v>-0.10946703725099013</v>
      </c>
      <c r="L148" s="19">
        <f t="array" aca="1" ref="L148:M148" ca="1">MMULT(J148:K148,TRANSPOSE($B$10:$C$11))</f>
        <v>0.48549388884276728</v>
      </c>
      <c r="M148" s="19">
        <f ca="1"/>
        <v>-0.42421916346903876</v>
      </c>
      <c r="N148" s="20">
        <f ca="1">GetVariance(N147,Variance_Avg,Lambda,Eta,M148,"Daily")</f>
        <v>4.6650380223984114E-2</v>
      </c>
      <c r="O148" s="20">
        <f ca="1">GetStockReturns(O147,RiskFreeRate,N147,L148,"Daily")</f>
        <v>-4.7129858020023292E-2</v>
      </c>
      <c r="P148" s="19">
        <f t="shared" ca="1" si="295"/>
        <v>7.7203158646071318E-7</v>
      </c>
      <c r="Q148" s="19">
        <f ca="1">HCTrans(P148,Strike,RiskFreeRate,Dividend,Variance_T0*AnnualVarConvtr,(Simulation!G148)/250,0.5,Variance_Avg*AnnualVarConvtr,Lambda,SQRT(Simulation!N148),Rho,1,"Call")</f>
        <v>-1.5078407565770331E-5</v>
      </c>
      <c r="R148" s="19" t="e">
        <f t="shared" ca="1" si="290"/>
        <v>#VALUE!</v>
      </c>
      <c r="S148" s="19" t="e">
        <f t="shared" ca="1" si="291"/>
        <v>#VALUE!</v>
      </c>
      <c r="T148" s="19" t="e">
        <f t="shared" ca="1" si="296"/>
        <v>#VALUE!</v>
      </c>
      <c r="U148" s="19" t="e">
        <f t="shared" ca="1" si="297"/>
        <v>#VALUE!</v>
      </c>
      <c r="V148" s="21">
        <f t="shared" ca="1" si="298"/>
        <v>4.6342022692428399E-5</v>
      </c>
      <c r="W148">
        <f t="shared" ca="1" si="299"/>
        <v>6.8074975352495279E-3</v>
      </c>
      <c r="X148" s="22">
        <f t="shared" ref="X148" ca="1" si="330">BSdelta(1,P148,Strike,W148*AnnualVarConvtr,Dividend,RiskFreeRate,G148/250)</f>
        <v>0</v>
      </c>
      <c r="Y148" s="22">
        <f t="shared" ca="1" si="305"/>
        <v>0</v>
      </c>
      <c r="Z148" s="22">
        <f t="shared" ca="1" si="306"/>
        <v>-7.4987778734310062</v>
      </c>
      <c r="AA148">
        <f t="shared" si="293"/>
        <v>0.73884103340948371</v>
      </c>
      <c r="AB148">
        <f t="shared" ref="AB148" ca="1" si="331">BSdelta(1,P148,Strike,AA148/AnnualVarConvtr,Dividend,RiskFreeRate,G148/250)</f>
        <v>0</v>
      </c>
      <c r="AC148">
        <f t="shared" ca="1" si="302"/>
        <v>0</v>
      </c>
      <c r="AD148">
        <f t="shared" ca="1" si="303"/>
        <v>-2.5925431228763802</v>
      </c>
    </row>
    <row r="149" spans="7:30" x14ac:dyDescent="0.25">
      <c r="G149" s="19">
        <v>106</v>
      </c>
      <c r="H149" s="19">
        <f t="shared" ca="1" si="209"/>
        <v>0.97163551193446474</v>
      </c>
      <c r="I149" s="19">
        <f t="shared" ca="1" si="209"/>
        <v>0.27163581832033878</v>
      </c>
      <c r="J149" s="19">
        <f t="shared" ca="1" si="288"/>
        <v>-3.2511264790845332E-2</v>
      </c>
      <c r="K149" s="19">
        <f t="shared" ca="1" si="289"/>
        <v>0.23768063194029471</v>
      </c>
      <c r="L149" s="19">
        <f t="array" aca="1" ref="L149:M149" ca="1">MMULT(J149:K149,TRANSPOSE($B$10:$C$11))</f>
        <v>-3.2511264790845332E-2</v>
      </c>
      <c r="M149" s="19">
        <f ca="1"/>
        <v>0.1890972619250082</v>
      </c>
      <c r="N149" s="20">
        <f ca="1">GetVariance(N148,Variance_Avg,Lambda,Eta,M149,"Daily")</f>
        <v>4.744727479950496E-2</v>
      </c>
      <c r="O149" s="20">
        <f ca="1">GetStockReturns(O148,RiskFreeRate,N148,L149,"Daily")</f>
        <v>-4.7573968942977239E-2</v>
      </c>
      <c r="P149" s="19">
        <f t="shared" ca="1" si="295"/>
        <v>7.3616295122879906E-7</v>
      </c>
      <c r="Q149" s="19">
        <f ca="1">HCTrans(P149,Strike,RiskFreeRate,Dividend,Variance_T0*AnnualVarConvtr,(Simulation!G149)/250,0.5,Variance_Avg*AnnualVarConvtr,Lambda,SQRT(Simulation!N149),Rho,1,"Call")</f>
        <v>-1.5078355668955703E-5</v>
      </c>
      <c r="R149" s="19" t="e">
        <f t="shared" ca="1" si="290"/>
        <v>#VALUE!</v>
      </c>
      <c r="S149" s="19" t="e">
        <f t="shared" ca="1" si="291"/>
        <v>#VALUE!</v>
      </c>
      <c r="T149" s="19" t="e">
        <f t="shared" ca="1" si="296"/>
        <v>#VALUE!</v>
      </c>
      <c r="U149" s="19" t="e">
        <f t="shared" ca="1" si="297"/>
        <v>#VALUE!</v>
      </c>
      <c r="V149" s="21">
        <f t="shared" ca="1" si="298"/>
        <v>1.9723451188700661E-7</v>
      </c>
      <c r="W149">
        <f t="shared" ca="1" si="299"/>
        <v>4.4411092295394694E-4</v>
      </c>
      <c r="X149" s="22">
        <f t="shared" ref="X149" ca="1" si="332">BSdelta(1,P149,Strike,W149*AnnualVarConvtr,Dividend,RiskFreeRate,G149/250)</f>
        <v>0</v>
      </c>
      <c r="Y149" s="22">
        <f t="shared" ca="1" si="305"/>
        <v>0</v>
      </c>
      <c r="Z149" s="22">
        <f t="shared" ca="1" si="306"/>
        <v>-7.4987778733791091</v>
      </c>
      <c r="AA149">
        <f t="shared" si="293"/>
        <v>0.73884103340948371</v>
      </c>
      <c r="AB149">
        <f t="shared" ref="AB149" ca="1" si="333">BSdelta(1,P149,Strike,AA149/AnnualVarConvtr,Dividend,RiskFreeRate,G149/250)</f>
        <v>0</v>
      </c>
      <c r="AC149">
        <f t="shared" ca="1" si="302"/>
        <v>0</v>
      </c>
      <c r="AD149">
        <f t="shared" ca="1" si="303"/>
        <v>-2.5925431228244835</v>
      </c>
    </row>
    <row r="150" spans="7:30" x14ac:dyDescent="0.25">
      <c r="G150" s="19">
        <v>105</v>
      </c>
      <c r="H150" s="19">
        <f t="shared" ca="1" si="209"/>
        <v>0.89283757227754712</v>
      </c>
      <c r="I150" s="19">
        <f t="shared" ca="1" si="209"/>
        <v>0.45624687207514569</v>
      </c>
      <c r="J150" s="19">
        <f t="shared" ca="1" si="288"/>
        <v>-0.4582527192461921</v>
      </c>
      <c r="K150" s="19">
        <f t="shared" ca="1" si="289"/>
        <v>0.12925035588431924</v>
      </c>
      <c r="L150" s="19">
        <f t="array" aca="1" ref="L150:M150" ca="1">MMULT(J150:K150,TRANSPOSE($B$10:$C$11))</f>
        <v>-0.4582527192461921</v>
      </c>
      <c r="M150" s="19">
        <f ca="1"/>
        <v>0.41850145315550957</v>
      </c>
      <c r="N150" s="20">
        <f ca="1">GetVariance(N149,Variance_Avg,Lambda,Eta,M150,"Daily")</f>
        <v>4.9494686374634146E-2</v>
      </c>
      <c r="O150" s="20">
        <f ca="1">GetStockReturns(O149,RiskFreeRate,N149,L150,"Daily")</f>
        <v>-5.3887040078442354E-2</v>
      </c>
      <c r="P150" s="19">
        <f t="shared" ca="1" si="295"/>
        <v>6.9754320558692937E-7</v>
      </c>
      <c r="Q150" s="19">
        <f ca="1">HCTrans(P150,Strike,RiskFreeRate,Dividend,Variance_T0*AnnualVarConvtr,(Simulation!G150)/250,0.5,Variance_Avg*AnnualVarConvtr,Lambda,SQRT(Simulation!N150),Rho,1,"Call")</f>
        <v>-1.5078295500058444E-5</v>
      </c>
      <c r="R150" s="19" t="e">
        <f t="shared" ca="1" si="290"/>
        <v>#VALUE!</v>
      </c>
      <c r="S150" s="19" t="e">
        <f t="shared" ca="1" si="291"/>
        <v>#VALUE!</v>
      </c>
      <c r="T150" s="19" t="e">
        <f t="shared" ca="1" si="296"/>
        <v>#VALUE!</v>
      </c>
      <c r="U150" s="19" t="e">
        <f t="shared" ca="1" si="297"/>
        <v>#VALUE!</v>
      </c>
      <c r="V150" s="21">
        <f t="shared" ca="1" si="298"/>
        <v>3.9854867161442792E-5</v>
      </c>
      <c r="W150">
        <f t="shared" ca="1" si="299"/>
        <v>6.3130711354651148E-3</v>
      </c>
      <c r="X150" s="22">
        <f t="shared" ref="X150" ca="1" si="334">BSdelta(1,P150,Strike,W150*AnnualVarConvtr,Dividend,RiskFreeRate,G150/250)</f>
        <v>0</v>
      </c>
      <c r="Y150" s="22">
        <f t="shared" ca="1" si="305"/>
        <v>0</v>
      </c>
      <c r="Z150" s="22">
        <f t="shared" ca="1" si="306"/>
        <v>-7.4987778733189403</v>
      </c>
      <c r="AA150">
        <f t="shared" si="293"/>
        <v>0.73884103340948371</v>
      </c>
      <c r="AB150">
        <f t="shared" ref="AB150" ca="1" si="335">BSdelta(1,P150,Strike,AA150/AnnualVarConvtr,Dividend,RiskFreeRate,G150/250)</f>
        <v>0</v>
      </c>
      <c r="AC150">
        <f t="shared" ca="1" si="302"/>
        <v>0</v>
      </c>
      <c r="AD150">
        <f t="shared" ca="1" si="303"/>
        <v>-2.5925431227643148</v>
      </c>
    </row>
    <row r="151" spans="7:30" x14ac:dyDescent="0.25">
      <c r="G151" s="19">
        <v>104</v>
      </c>
      <c r="H151" s="19">
        <f t="shared" ca="1" si="209"/>
        <v>0.89178788355887573</v>
      </c>
      <c r="I151" s="19">
        <f t="shared" ca="1" si="209"/>
        <v>0.85600284338259547</v>
      </c>
      <c r="J151" s="19">
        <f t="shared" ca="1" si="288"/>
        <v>0.29571174332037597</v>
      </c>
      <c r="K151" s="19">
        <f t="shared" ca="1" si="289"/>
        <v>-0.37630906396935454</v>
      </c>
      <c r="L151" s="19">
        <f t="array" aca="1" ref="L151:M151" ca="1">MMULT(J151:K151,TRANSPOSE($B$10:$C$11))</f>
        <v>0.29571174332037597</v>
      </c>
      <c r="M151" s="19">
        <f ca="1"/>
        <v>-0.47438580946717618</v>
      </c>
      <c r="N151" s="20">
        <f ca="1">GetVariance(N150,Variance_Avg,Lambda,Eta,M151,"Daily")</f>
        <v>4.6715646527046691E-2</v>
      </c>
      <c r="O151" s="20">
        <f ca="1">GetStockReturns(O150,RiskFreeRate,N150,L151,"Daily")</f>
        <v>-4.9726230355790893E-2</v>
      </c>
      <c r="P151" s="19">
        <f t="shared" ca="1" si="295"/>
        <v>6.6370529950851808E-7</v>
      </c>
      <c r="Q151" s="19">
        <f ca="1">HCTrans(P151,Strike,RiskFreeRate,Dividend,Variance_T0*AnnualVarConvtr,(Simulation!G151)/250,0.5,Variance_Avg*AnnualVarConvtr,Lambda,SQRT(Simulation!N151),Rho,1,"Call")</f>
        <v>-1.5078239059481233E-5</v>
      </c>
      <c r="R151" s="19" t="e">
        <f t="shared" ca="1" si="290"/>
        <v>#VALUE!</v>
      </c>
      <c r="S151" s="19" t="e">
        <f t="shared" ca="1" si="291"/>
        <v>#VALUE!</v>
      </c>
      <c r="T151" s="19" t="e">
        <f t="shared" ca="1" si="296"/>
        <v>#VALUE!</v>
      </c>
      <c r="U151" s="19" t="e">
        <f t="shared" ca="1" si="297"/>
        <v>#VALUE!</v>
      </c>
      <c r="V151" s="21">
        <f t="shared" ca="1" si="298"/>
        <v>1.7312337548110929E-5</v>
      </c>
      <c r="W151">
        <f t="shared" ca="1" si="299"/>
        <v>4.1608097226514609E-3</v>
      </c>
      <c r="X151" s="22">
        <f t="shared" ref="X151" ca="1" si="336">BSdelta(1,P151,Strike,W151*AnnualVarConvtr,Dividend,RiskFreeRate,G151/250)</f>
        <v>0</v>
      </c>
      <c r="Y151" s="22">
        <f t="shared" ca="1" si="305"/>
        <v>0</v>
      </c>
      <c r="Z151" s="22">
        <f t="shared" ca="1" si="306"/>
        <v>-7.4987778732625001</v>
      </c>
      <c r="AA151">
        <f t="shared" si="293"/>
        <v>0.73884103340948371</v>
      </c>
      <c r="AB151">
        <f t="shared" ref="AB151" ca="1" si="337">BSdelta(1,P151,Strike,AA151/AnnualVarConvtr,Dividend,RiskFreeRate,G151/250)</f>
        <v>0</v>
      </c>
      <c r="AC151">
        <f t="shared" ca="1" si="302"/>
        <v>0</v>
      </c>
      <c r="AD151">
        <f t="shared" ca="1" si="303"/>
        <v>-2.5925431227078741</v>
      </c>
    </row>
    <row r="152" spans="7:30" x14ac:dyDescent="0.25">
      <c r="G152" s="19">
        <v>103</v>
      </c>
      <c r="H152" s="19">
        <f t="shared" ca="1" si="209"/>
        <v>0.29676118173900778</v>
      </c>
      <c r="I152" s="19">
        <f t="shared" ca="1" si="209"/>
        <v>0.23453802041209959</v>
      </c>
      <c r="J152" s="19">
        <f t="shared" ca="1" si="288"/>
        <v>0.15119377297542011</v>
      </c>
      <c r="K152" s="19">
        <f t="shared" ca="1" si="289"/>
        <v>1.5513850502298663</v>
      </c>
      <c r="L152" s="19">
        <f t="array" aca="1" ref="L152:M152" ca="1">MMULT(J152:K152,TRANSPOSE($B$10:$C$11))</f>
        <v>0.15119377297542011</v>
      </c>
      <c r="M152" s="19">
        <f ca="1"/>
        <v>0.97389584639665161</v>
      </c>
      <c r="N152" s="20">
        <f ca="1">GetVariance(N151,Variance_Avg,Lambda,Eta,M152,"Daily")</f>
        <v>5.1809338417586927E-2</v>
      </c>
      <c r="O152" s="20">
        <f ca="1">GetStockReturns(O151,RiskFreeRate,N151,L152,"Daily")</f>
        <v>-4.7659446396158711E-2</v>
      </c>
      <c r="P152" s="19">
        <f t="shared" ca="1" si="295"/>
        <v>6.3281541650284515E-7</v>
      </c>
      <c r="Q152" s="19">
        <f ca="1">HCTrans(P152,Strike,RiskFreeRate,Dividend,Variance_T0*AnnualVarConvtr,(Simulation!G152)/250,0.5,Variance_Avg*AnnualVarConvtr,Lambda,SQRT(Simulation!N152),Rho,1,"Call")</f>
        <v>-1.5078184220627023E-5</v>
      </c>
      <c r="R152" s="19" t="e">
        <f t="shared" ca="1" si="290"/>
        <v>#VALUE!</v>
      </c>
      <c r="S152" s="19" t="e">
        <f t="shared" ca="1" si="291"/>
        <v>#VALUE!</v>
      </c>
      <c r="T152" s="19" t="e">
        <f t="shared" ca="1" si="296"/>
        <v>#VALUE!</v>
      </c>
      <c r="U152" s="19" t="e">
        <f t="shared" ca="1" si="297"/>
        <v>#VALUE!</v>
      </c>
      <c r="V152" s="21">
        <f t="shared" ca="1" si="298"/>
        <v>4.2715959357928805E-6</v>
      </c>
      <c r="W152">
        <f t="shared" ca="1" si="299"/>
        <v>2.0667839596321819E-3</v>
      </c>
      <c r="X152" s="22">
        <f t="shared" ref="X152" ca="1" si="338">BSdelta(1,P152,Strike,W152*AnnualVarConvtr,Dividend,RiskFreeRate,G152/250)</f>
        <v>0</v>
      </c>
      <c r="Y152" s="22">
        <f t="shared" ca="1" si="305"/>
        <v>0</v>
      </c>
      <c r="Z152" s="22">
        <f t="shared" ca="1" si="306"/>
        <v>-7.4987778732076613</v>
      </c>
      <c r="AA152">
        <f t="shared" si="293"/>
        <v>0.73884103340948371</v>
      </c>
      <c r="AB152">
        <f t="shared" ref="AB152" ca="1" si="339">BSdelta(1,P152,Strike,AA152/AnnualVarConvtr,Dividend,RiskFreeRate,G152/250)</f>
        <v>0</v>
      </c>
      <c r="AC152">
        <f t="shared" ca="1" si="302"/>
        <v>0</v>
      </c>
      <c r="AD152">
        <f t="shared" ca="1" si="303"/>
        <v>-2.5925431226530353</v>
      </c>
    </row>
    <row r="153" spans="7:30" x14ac:dyDescent="0.25">
      <c r="G153" s="19">
        <v>102</v>
      </c>
      <c r="H153" s="19">
        <f t="shared" ca="1" si="209"/>
        <v>0.2638868726904362</v>
      </c>
      <c r="I153" s="19">
        <f t="shared" ca="1" si="209"/>
        <v>0.12985858148409535</v>
      </c>
      <c r="J153" s="19">
        <f t="shared" ca="1" si="288"/>
        <v>1.118457000960599</v>
      </c>
      <c r="K153" s="19">
        <f t="shared" ca="1" si="289"/>
        <v>1.1889169430291524</v>
      </c>
      <c r="L153" s="19">
        <f t="array" aca="1" ref="L153:M153" ca="1">MMULT(J153:K153,TRANSPOSE($B$10:$C$11))</f>
        <v>1.118457000960599</v>
      </c>
      <c r="M153" s="19">
        <f ca="1"/>
        <v>2.7998670940701298E-2</v>
      </c>
      <c r="N153" s="20">
        <f ca="1">GetVariance(N152,Variance_Avg,Lambda,Eta,M153,"Daily")</f>
        <v>5.1728422761861119E-2</v>
      </c>
      <c r="O153" s="20">
        <f ca="1">GetStockReturns(O152,RiskFreeRate,N152,L153,"Daily")</f>
        <v>-3.1558429295366619E-2</v>
      </c>
      <c r="P153" s="19">
        <f t="shared" ca="1" si="295"/>
        <v>6.1315658834168396E-7</v>
      </c>
      <c r="Q153" s="19">
        <f ca="1">HCTrans(P153,Strike,RiskFreeRate,Dividend,Variance_T0*AnnualVarConvtr,(Simulation!G153)/250,0.5,Variance_Avg*AnnualVarConvtr,Lambda,SQRT(Simulation!N153),Rho,1,"Call")</f>
        <v>-1.5078148025948775E-5</v>
      </c>
      <c r="R153" s="19" t="e">
        <f t="shared" ca="1" si="290"/>
        <v>#VALUE!</v>
      </c>
      <c r="S153" s="19" t="e">
        <f t="shared" ca="1" si="291"/>
        <v>#VALUE!</v>
      </c>
      <c r="T153" s="19" t="e">
        <f t="shared" ca="1" si="296"/>
        <v>#VALUE!</v>
      </c>
      <c r="U153" s="19" t="e">
        <f t="shared" ca="1" si="297"/>
        <v>#VALUE!</v>
      </c>
      <c r="V153" s="21">
        <f t="shared" ca="1" si="298"/>
        <v>2.5924275167999941E-4</v>
      </c>
      <c r="W153">
        <f t="shared" ca="1" si="299"/>
        <v>1.6101017100792092E-2</v>
      </c>
      <c r="X153" s="22">
        <f t="shared" ref="X153" ca="1" si="340">BSdelta(1,P153,Strike,W153*AnnualVarConvtr,Dividend,RiskFreeRate,G153/250)</f>
        <v>0</v>
      </c>
      <c r="Y153" s="22">
        <f t="shared" ca="1" si="305"/>
        <v>0</v>
      </c>
      <c r="Z153" s="22">
        <f t="shared" ca="1" si="306"/>
        <v>-7.4987778731714663</v>
      </c>
      <c r="AA153">
        <f t="shared" si="293"/>
        <v>0.73884103340948371</v>
      </c>
      <c r="AB153">
        <f t="shared" ref="AB153" ca="1" si="341">BSdelta(1,P153,Strike,AA153/AnnualVarConvtr,Dividend,RiskFreeRate,G153/250)</f>
        <v>0</v>
      </c>
      <c r="AC153">
        <f t="shared" ca="1" si="302"/>
        <v>0</v>
      </c>
      <c r="AD153">
        <f t="shared" ca="1" si="303"/>
        <v>-2.5925431226168407</v>
      </c>
    </row>
    <row r="154" spans="7:30" x14ac:dyDescent="0.25">
      <c r="G154" s="19">
        <v>101</v>
      </c>
      <c r="H154" s="19">
        <f t="shared" ca="1" si="209"/>
        <v>0.3433065904605056</v>
      </c>
      <c r="I154" s="19">
        <f t="shared" ca="1" si="209"/>
        <v>0.98455394107656458</v>
      </c>
      <c r="J154" s="19">
        <f t="shared" ca="1" si="288"/>
        <v>1.4553989372315792</v>
      </c>
      <c r="K154" s="19">
        <f t="shared" ca="1" si="289"/>
        <v>-0.14169225861347423</v>
      </c>
      <c r="L154" s="19">
        <f t="array" aca="1" ref="L154:M154" ca="1">MMULT(J154:K154,TRANSPOSE($B$10:$C$11))</f>
        <v>1.4553989372315792</v>
      </c>
      <c r="M154" s="19">
        <f ca="1"/>
        <v>-1.1416360290775684</v>
      </c>
      <c r="N154" s="20">
        <f ca="1">GetVariance(N153,Variance_Avg,Lambda,Eta,M154,"Daily")</f>
        <v>4.5320702706966413E-2</v>
      </c>
      <c r="O154" s="20">
        <f ca="1">GetStockReturns(O153,RiskFreeRate,N153,L154,"Daily")</f>
        <v>-1.0623250830789136E-2</v>
      </c>
      <c r="P154" s="19">
        <f t="shared" ca="1" si="295"/>
        <v>6.0667734833467854E-7</v>
      </c>
      <c r="Q154" s="19">
        <f ca="1">HCTrans(P154,Strike,RiskFreeRate,Dividend,Variance_T0*AnnualVarConvtr,(Simulation!G154)/250,0.5,Variance_Avg*AnnualVarConvtr,Lambda,SQRT(Simulation!N154),Rho,1,"Call")</f>
        <v>-1.5078136855627004E-5</v>
      </c>
      <c r="R154" s="19" t="e">
        <f t="shared" ca="1" si="290"/>
        <v>#VALUE!</v>
      </c>
      <c r="S154" s="19" t="e">
        <f t="shared" ca="1" si="291"/>
        <v>#VALUE!</v>
      </c>
      <c r="T154" s="19" t="e">
        <f t="shared" ca="1" si="296"/>
        <v>#VALUE!</v>
      </c>
      <c r="U154" s="19" t="e">
        <f t="shared" ca="1" si="297"/>
        <v>#VALUE!</v>
      </c>
      <c r="V154" s="21">
        <f t="shared" ca="1" si="298"/>
        <v>4.3828169734370882E-4</v>
      </c>
      <c r="W154">
        <f t="shared" ca="1" si="299"/>
        <v>2.0935178464577483E-2</v>
      </c>
      <c r="X154" s="22">
        <f t="shared" ref="X154" ca="1" si="342">BSdelta(1,P154,Strike,W154*AnnualVarConvtr,Dividend,RiskFreeRate,G154/250)</f>
        <v>0</v>
      </c>
      <c r="Y154" s="22">
        <f t="shared" ca="1" si="305"/>
        <v>0</v>
      </c>
      <c r="Z154" s="22">
        <f t="shared" ca="1" si="306"/>
        <v>-7.4987778731602956</v>
      </c>
      <c r="AA154">
        <f t="shared" si="293"/>
        <v>0.73884103340948371</v>
      </c>
      <c r="AB154">
        <f t="shared" ref="AB154" ca="1" si="343">BSdelta(1,P154,Strike,AA154/AnnualVarConvtr,Dividend,RiskFreeRate,G154/250)</f>
        <v>0</v>
      </c>
      <c r="AC154">
        <f t="shared" ca="1" si="302"/>
        <v>0</v>
      </c>
      <c r="AD154">
        <f t="shared" ca="1" si="303"/>
        <v>-2.5925431226056705</v>
      </c>
    </row>
    <row r="155" spans="7:30" x14ac:dyDescent="0.25">
      <c r="G155" s="19">
        <v>100</v>
      </c>
      <c r="H155" s="19">
        <f t="shared" ca="1" si="209"/>
        <v>0.24447098398943878</v>
      </c>
      <c r="I155" s="19">
        <f t="shared" ca="1" si="209"/>
        <v>0.50969736984105818</v>
      </c>
      <c r="J155" s="19">
        <f t="shared" ca="1" si="288"/>
        <v>-1.6753718756802509</v>
      </c>
      <c r="K155" s="19">
        <f t="shared" ca="1" si="289"/>
        <v>-0.10220754462633561</v>
      </c>
      <c r="L155" s="19">
        <f t="array" aca="1" ref="L155:M155" ca="1">MMULT(J155:K155,TRANSPOSE($B$10:$C$11))</f>
        <v>-1.6753718756802509</v>
      </c>
      <c r="M155" s="19">
        <f ca="1"/>
        <v>1.129105285156319</v>
      </c>
      <c r="N155" s="20">
        <f ca="1">GetVariance(N154,Variance_Avg,Lambda,Eta,M155,"Daily")</f>
        <v>5.1203407053886957E-2</v>
      </c>
      <c r="O155" s="20">
        <f ca="1">GetStockReturns(O154,RiskFreeRate,N154,L155,"Daily")</f>
        <v>-3.3180676444954371E-2</v>
      </c>
      <c r="P155" s="19">
        <f t="shared" ca="1" si="295"/>
        <v>5.8687768319001849E-7</v>
      </c>
      <c r="Q155" s="19">
        <f ca="1">HCTrans(P155,Strike,RiskFreeRate,Dividend,Variance_T0*AnnualVarConvtr,(Simulation!G155)/250,0.5,Variance_Avg*AnnualVarConvtr,Lambda,SQRT(Simulation!N155),Rho,1,"Call")</f>
        <v>-1.5078098270463463E-5</v>
      </c>
      <c r="R155" s="19" t="e">
        <f t="shared" ca="1" si="290"/>
        <v>#VALUE!</v>
      </c>
      <c r="S155" s="19" t="e">
        <f t="shared" ca="1" si="291"/>
        <v>#VALUE!</v>
      </c>
      <c r="T155" s="19" t="e">
        <f t="shared" ca="1" si="296"/>
        <v>#VALUE!</v>
      </c>
      <c r="U155" s="19" t="e">
        <f t="shared" ca="1" si="297"/>
        <v>#VALUE!</v>
      </c>
      <c r="V155" s="21">
        <f t="shared" ca="1" si="298"/>
        <v>5.0883745033859784E-4</v>
      </c>
      <c r="W155">
        <f t="shared" ca="1" si="299"/>
        <v>2.2557425614165235E-2</v>
      </c>
      <c r="X155" s="22">
        <f t="shared" ref="X155" ca="1" si="344">BSdelta(1,P155,Strike,W155*AnnualVarConvtr,Dividend,RiskFreeRate,G155/250)</f>
        <v>0</v>
      </c>
      <c r="Y155" s="22">
        <f t="shared" ca="1" si="305"/>
        <v>0</v>
      </c>
      <c r="Z155" s="22">
        <f t="shared" ca="1" si="306"/>
        <v>-7.4987778731217105</v>
      </c>
      <c r="AA155">
        <f t="shared" si="293"/>
        <v>0.73884103340948371</v>
      </c>
      <c r="AB155">
        <f t="shared" ref="AB155" ca="1" si="345">BSdelta(1,P155,Strike,AA155/AnnualVarConvtr,Dividend,RiskFreeRate,G155/250)</f>
        <v>0</v>
      </c>
      <c r="AC155">
        <f t="shared" ca="1" si="302"/>
        <v>0</v>
      </c>
      <c r="AD155">
        <f t="shared" ca="1" si="303"/>
        <v>-2.5925431225670854</v>
      </c>
    </row>
    <row r="156" spans="7:30" x14ac:dyDescent="0.25">
      <c r="G156" s="19">
        <v>99</v>
      </c>
      <c r="H156" s="19">
        <f t="shared" ca="1" si="209"/>
        <v>0.31679808945586807</v>
      </c>
      <c r="I156" s="19">
        <f t="shared" ca="1" si="209"/>
        <v>9.1627836121727091E-2</v>
      </c>
      <c r="J156" s="19">
        <f t="shared" ca="1" si="288"/>
        <v>1.2718266288660205</v>
      </c>
      <c r="K156" s="19">
        <f t="shared" ca="1" si="289"/>
        <v>0.82549277752345041</v>
      </c>
      <c r="L156" s="19">
        <f t="array" aca="1" ref="L156:M156" ca="1">MMULT(J156:K156,TRANSPOSE($B$10:$C$11))</f>
        <v>1.2718266288660205</v>
      </c>
      <c r="M156" s="19">
        <f ca="1"/>
        <v>-0.33541067399022817</v>
      </c>
      <c r="N156" s="20">
        <f ca="1">GetVariance(N155,Variance_Avg,Lambda,Eta,M156,"Daily")</f>
        <v>4.9125204245161792E-2</v>
      </c>
      <c r="O156" s="20">
        <f ca="1">GetStockReturns(O155,RiskFreeRate,N155,L156,"Daily")</f>
        <v>-1.4979169768925257E-2</v>
      </c>
      <c r="P156" s="19">
        <f t="shared" ca="1" si="295"/>
        <v>5.7815225571672492E-7</v>
      </c>
      <c r="Q156" s="19">
        <f ca="1">HCTrans(P156,Strike,RiskFreeRate,Dividend,Variance_T0*AnnualVarConvtr,(Simulation!G156)/250,0.5,Variance_Avg*AnnualVarConvtr,Lambda,SQRT(Simulation!N156),Rho,1,"Call")</f>
        <v>-1.507808163676875E-5</v>
      </c>
      <c r="R156" s="19" t="e">
        <f t="shared" ca="1" si="290"/>
        <v>#VALUE!</v>
      </c>
      <c r="S156" s="19" t="e">
        <f t="shared" ca="1" si="291"/>
        <v>#VALUE!</v>
      </c>
      <c r="T156" s="19" t="e">
        <f t="shared" ca="1" si="296"/>
        <v>#VALUE!</v>
      </c>
      <c r="U156" s="19" t="e">
        <f t="shared" ca="1" si="297"/>
        <v>#VALUE!</v>
      </c>
      <c r="V156" s="21">
        <f t="shared" ca="1" si="298"/>
        <v>3.3129484527753242E-4</v>
      </c>
      <c r="W156">
        <f t="shared" ca="1" si="299"/>
        <v>1.8201506676029114E-2</v>
      </c>
      <c r="X156" s="22">
        <f t="shared" ref="X156" ca="1" si="346">BSdelta(1,P156,Strike,W156*AnnualVarConvtr,Dividend,RiskFreeRate,G156/250)</f>
        <v>0</v>
      </c>
      <c r="Y156" s="22">
        <f t="shared" ca="1" si="305"/>
        <v>0</v>
      </c>
      <c r="Z156" s="22">
        <f t="shared" ca="1" si="306"/>
        <v>-7.4987778731050767</v>
      </c>
      <c r="AA156">
        <f t="shared" si="293"/>
        <v>0.73884103340948371</v>
      </c>
      <c r="AB156">
        <f t="shared" ref="AB156" ca="1" si="347">BSdelta(1,P156,Strike,AA156/AnnualVarConvtr,Dividend,RiskFreeRate,G156/250)</f>
        <v>0</v>
      </c>
      <c r="AC156">
        <f t="shared" ca="1" si="302"/>
        <v>0</v>
      </c>
      <c r="AD156">
        <f t="shared" ca="1" si="303"/>
        <v>-2.5925431225504516</v>
      </c>
    </row>
    <row r="157" spans="7:30" x14ac:dyDescent="0.25">
      <c r="G157" s="19">
        <v>98</v>
      </c>
      <c r="H157" s="19">
        <f t="shared" ca="1" si="209"/>
        <v>0.68891302486575945</v>
      </c>
      <c r="I157" s="19">
        <f t="shared" ca="1" si="209"/>
        <v>0.50536284862924841</v>
      </c>
      <c r="J157" s="19">
        <f t="shared" ca="1" si="288"/>
        <v>-0.86280624973837805</v>
      </c>
      <c r="K157" s="19">
        <f t="shared" ca="1" si="289"/>
        <v>-2.9083930603125415E-2</v>
      </c>
      <c r="L157" s="19">
        <f t="array" aca="1" ref="L157:M157" ca="1">MMULT(J157:K157,TRANSPOSE($B$10:$C$11))</f>
        <v>-0.86280624973837805</v>
      </c>
      <c r="M157" s="19">
        <f ca="1"/>
        <v>0.59791210338346679</v>
      </c>
      <c r="N157" s="20">
        <f ca="1">GetVariance(N156,Variance_Avg,Lambda,Eta,M157,"Daily")</f>
        <v>5.2205359927624567E-2</v>
      </c>
      <c r="O157" s="20">
        <f ca="1">GetStockReturns(O156,RiskFreeRate,N156,L157,"Daily")</f>
        <v>-2.7073879848962132E-2</v>
      </c>
      <c r="P157" s="19">
        <f t="shared" ca="1" si="295"/>
        <v>5.6270942299160983E-7</v>
      </c>
      <c r="Q157" s="19">
        <f ca="1">HCTrans(P157,Strike,RiskFreeRate,Dividend,Variance_T0*AnnualVarConvtr,(Simulation!G157)/250,0.5,Variance_Avg*AnnualVarConvtr,Lambda,SQRT(Simulation!N157),Rho,1,"Call")</f>
        <v>-1.5078050069558739E-5</v>
      </c>
      <c r="R157" s="19" t="e">
        <f t="shared" ca="1" si="290"/>
        <v>#VALUE!</v>
      </c>
      <c r="S157" s="19" t="e">
        <f t="shared" ca="1" si="291"/>
        <v>#VALUE!</v>
      </c>
      <c r="T157" s="19" t="e">
        <f t="shared" ca="1" si="296"/>
        <v>#VALUE!</v>
      </c>
      <c r="U157" s="19" t="e">
        <f t="shared" ca="1" si="297"/>
        <v>#VALUE!</v>
      </c>
      <c r="V157" s="21">
        <f t="shared" ca="1" si="298"/>
        <v>1.4628201192014558E-4</v>
      </c>
      <c r="W157">
        <f t="shared" ca="1" si="299"/>
        <v>1.2094710080036875E-2</v>
      </c>
      <c r="X157" s="22">
        <f t="shared" ref="X157" ca="1" si="348">BSdelta(1,P157,Strike,W157*AnnualVarConvtr,Dividend,RiskFreeRate,G157/250)</f>
        <v>0</v>
      </c>
      <c r="Y157" s="22">
        <f t="shared" ca="1" si="305"/>
        <v>0</v>
      </c>
      <c r="Z157" s="22">
        <f t="shared" ca="1" si="306"/>
        <v>-7.4987778730735091</v>
      </c>
      <c r="AA157">
        <f t="shared" si="293"/>
        <v>0.73884103340948371</v>
      </c>
      <c r="AB157">
        <f t="shared" ref="AB157" ca="1" si="349">BSdelta(1,P157,Strike,AA157/AnnualVarConvtr,Dividend,RiskFreeRate,G157/250)</f>
        <v>0</v>
      </c>
      <c r="AC157">
        <f t="shared" ca="1" si="302"/>
        <v>0</v>
      </c>
      <c r="AD157">
        <f t="shared" ca="1" si="303"/>
        <v>-2.5925431225188844</v>
      </c>
    </row>
    <row r="158" spans="7:30" x14ac:dyDescent="0.25">
      <c r="G158" s="19">
        <v>97</v>
      </c>
      <c r="H158" s="19">
        <f t="shared" ca="1" si="209"/>
        <v>5.0036126387515534E-2</v>
      </c>
      <c r="I158" s="19">
        <f t="shared" ca="1" si="209"/>
        <v>0.37711688547731059</v>
      </c>
      <c r="J158" s="19">
        <f t="shared" ca="1" si="288"/>
        <v>-1.753474428442672</v>
      </c>
      <c r="K158" s="19">
        <f t="shared" ca="1" si="289"/>
        <v>1.7074388546006647</v>
      </c>
      <c r="L158" s="19">
        <f t="array" aca="1" ref="L158:M158" ca="1">MMULT(J158:K158,TRANSPOSE($B$10:$C$11))</f>
        <v>-1.753474428442672</v>
      </c>
      <c r="M158" s="19">
        <f ca="1"/>
        <v>2.4474517321958116</v>
      </c>
      <c r="N158" s="20">
        <f ca="1">GetVariance(N157,Variance_Avg,Lambda,Eta,M158,"Daily")</f>
        <v>6.6578222708181103E-2</v>
      </c>
      <c r="O158" s="20">
        <f ca="1">GetStockReturns(O157,RiskFreeRate,N157,L158,"Daily")</f>
        <v>-5.2412734459162162E-2</v>
      </c>
      <c r="P158" s="19">
        <f t="shared" ca="1" si="295"/>
        <v>5.339758631637717E-7</v>
      </c>
      <c r="Q158" s="19">
        <f ca="1">HCTrans(P158,Strike,RiskFreeRate,Dividend,Variance_T0*AnnualVarConvtr,(Simulation!G158)/250,0.5,Variance_Avg*AnnualVarConvtr,Lambda,SQRT(Simulation!N158),Rho,1,"Call")</f>
        <v>-1.5077986822652471E-5</v>
      </c>
      <c r="R158" s="19" t="e">
        <f t="shared" ca="1" si="290"/>
        <v>#VALUE!</v>
      </c>
      <c r="S158" s="19" t="e">
        <f t="shared" ca="1" si="291"/>
        <v>#VALUE!</v>
      </c>
      <c r="T158" s="19" t="e">
        <f t="shared" ca="1" si="296"/>
        <v>#VALUE!</v>
      </c>
      <c r="U158" s="19" t="e">
        <f t="shared" ca="1" si="297"/>
        <v>#VALUE!</v>
      </c>
      <c r="V158" s="21">
        <f t="shared" ca="1" si="298"/>
        <v>6.4205755295685535E-4</v>
      </c>
      <c r="W158">
        <f t="shared" ca="1" si="299"/>
        <v>2.533885461020003E-2</v>
      </c>
      <c r="X158" s="22">
        <f t="shared" ref="X158" ca="1" si="350">BSdelta(1,P158,Strike,W158*AnnualVarConvtr,Dividend,RiskFreeRate,G158/250)</f>
        <v>0</v>
      </c>
      <c r="Y158" s="22">
        <f t="shared" ca="1" si="305"/>
        <v>0</v>
      </c>
      <c r="Z158" s="22">
        <f t="shared" ca="1" si="306"/>
        <v>-7.4987778730102619</v>
      </c>
      <c r="AA158">
        <f t="shared" si="293"/>
        <v>0.73884103340948371</v>
      </c>
      <c r="AB158">
        <f t="shared" ref="AB158" ca="1" si="351">BSdelta(1,P158,Strike,AA158/AnnualVarConvtr,Dividend,RiskFreeRate,G158/250)</f>
        <v>0</v>
      </c>
      <c r="AC158">
        <f t="shared" ca="1" si="302"/>
        <v>0</v>
      </c>
      <c r="AD158">
        <f t="shared" ca="1" si="303"/>
        <v>-2.5925431224556377</v>
      </c>
    </row>
    <row r="159" spans="7:30" x14ac:dyDescent="0.25">
      <c r="G159" s="19">
        <v>96</v>
      </c>
      <c r="H159" s="19">
        <f t="shared" ref="H159:I222" ca="1" si="352">RAND()</f>
        <v>0.25997061796223053</v>
      </c>
      <c r="I159" s="19">
        <f t="shared" ca="1" si="352"/>
        <v>0.45547529413860732</v>
      </c>
      <c r="J159" s="19">
        <f t="shared" ca="1" si="288"/>
        <v>-1.5776390998317906</v>
      </c>
      <c r="K159" s="19">
        <f t="shared" ca="1" si="289"/>
        <v>0.45324187258244286</v>
      </c>
      <c r="L159" s="19">
        <f t="array" aca="1" ref="L159:M159" ca="1">MMULT(J159:K159,TRANSPOSE($B$10:$C$11))</f>
        <v>-1.5776390998317906</v>
      </c>
      <c r="M159" s="19">
        <f ca="1"/>
        <v>1.4465540945963942</v>
      </c>
      <c r="N159" s="20">
        <f ca="1">GetVariance(N158,Variance_Avg,Lambda,Eta,M159,"Daily")</f>
        <v>7.572938121492305E-2</v>
      </c>
      <c r="O159" s="20">
        <f ca="1">GetStockReturns(O158,RiskFreeRate,N158,L159,"Daily")</f>
        <v>-7.8158378217140376E-2</v>
      </c>
      <c r="P159" s="19">
        <f t="shared" ca="1" si="295"/>
        <v>4.9383045987769987E-7</v>
      </c>
      <c r="Q159" s="19">
        <f ca="1">HCTrans(P159,Strike,RiskFreeRate,Dividend,Variance_T0*AnnualVarConvtr,(Simulation!G159)/250,0.5,Variance_Avg*AnnualVarConvtr,Lambda,SQRT(Simulation!N159),Rho,1,"Call")</f>
        <v>-1.507789028558358E-5</v>
      </c>
      <c r="R159" s="19" t="e">
        <f t="shared" ca="1" si="290"/>
        <v>#VALUE!</v>
      </c>
      <c r="S159" s="19" t="e">
        <f t="shared" ca="1" si="291"/>
        <v>#VALUE!</v>
      </c>
      <c r="T159" s="19" t="e">
        <f t="shared" ca="1" si="296"/>
        <v>#VALUE!</v>
      </c>
      <c r="U159" s="19" t="e">
        <f t="shared" ca="1" si="297"/>
        <v>#VALUE!</v>
      </c>
      <c r="V159" s="21">
        <f t="shared" ca="1" si="298"/>
        <v>6.6283817251272254E-4</v>
      </c>
      <c r="W159">
        <f t="shared" ca="1" si="299"/>
        <v>2.5745643757978214E-2</v>
      </c>
      <c r="X159" s="22">
        <f t="shared" ref="X159" ca="1" si="353">BSdelta(1,P159,Strike,W159*AnnualVarConvtr,Dividend,RiskFreeRate,G159/250)</f>
        <v>0</v>
      </c>
      <c r="Y159" s="22">
        <f t="shared" ca="1" si="305"/>
        <v>0</v>
      </c>
      <c r="Z159" s="22">
        <f t="shared" ca="1" si="306"/>
        <v>-7.4987778729137249</v>
      </c>
      <c r="AA159">
        <f t="shared" si="293"/>
        <v>0.73884103340948371</v>
      </c>
      <c r="AB159">
        <f t="shared" ref="AB159" ca="1" si="354">BSdelta(1,P159,Strike,AA159/AnnualVarConvtr,Dividend,RiskFreeRate,G159/250)</f>
        <v>0</v>
      </c>
      <c r="AC159">
        <f t="shared" ca="1" si="302"/>
        <v>0</v>
      </c>
      <c r="AD159">
        <f t="shared" ca="1" si="303"/>
        <v>-2.5925431223591007</v>
      </c>
    </row>
    <row r="160" spans="7:30" x14ac:dyDescent="0.25">
      <c r="G160" s="19">
        <v>95</v>
      </c>
      <c r="H160" s="19">
        <f t="shared" ca="1" si="352"/>
        <v>0.10336702897403183</v>
      </c>
      <c r="I160" s="19">
        <f t="shared" ca="1" si="352"/>
        <v>0.58542256394434389</v>
      </c>
      <c r="J160" s="19">
        <f t="shared" ca="1" si="288"/>
        <v>-1.8309064851853449</v>
      </c>
      <c r="K160" s="19">
        <f t="shared" ca="1" si="289"/>
        <v>-1.0893667497527808</v>
      </c>
      <c r="L160" s="19">
        <f t="array" aca="1" ref="L160:M160" ca="1">MMULT(J160:K160,TRANSPOSE($B$10:$C$11))</f>
        <v>-1.8309064851853449</v>
      </c>
      <c r="M160" s="19">
        <f ca="1"/>
        <v>0.55191631427602839</v>
      </c>
      <c r="N160" s="20">
        <f ca="1">GetVariance(N159,Variance_Avg,Lambda,Eta,M160,"Daily")</f>
        <v>7.9135247253863533E-2</v>
      </c>
      <c r="O160" s="20">
        <f ca="1">GetStockReturns(O159,RiskFreeRate,N159,L160,"Daily")</f>
        <v>-0.11002443771976378</v>
      </c>
      <c r="P160" s="19">
        <f t="shared" ca="1" si="295"/>
        <v>4.4237937213240472E-7</v>
      </c>
      <c r="Q160" s="19">
        <f ca="1">HCTrans(P160,Strike,RiskFreeRate,Dividend,Variance_T0*AnnualVarConvtr,(Simulation!G160)/250,0.5,Variance_Avg*AnnualVarConvtr,Lambda,SQRT(Simulation!N160),Rho,1,"Call")</f>
        <v>-1.5077751337950561E-5</v>
      </c>
      <c r="R160" s="19" t="e">
        <f t="shared" ca="1" si="290"/>
        <v>#VALUE!</v>
      </c>
      <c r="S160" s="19" t="e">
        <f t="shared" ca="1" si="291"/>
        <v>#VALUE!</v>
      </c>
      <c r="T160" s="19" t="e">
        <f t="shared" ca="1" si="296"/>
        <v>#VALUE!</v>
      </c>
      <c r="U160" s="19" t="e">
        <f t="shared" ca="1" si="297"/>
        <v>#VALUE!</v>
      </c>
      <c r="V160" s="21">
        <f t="shared" ca="1" si="298"/>
        <v>1.0154457482247352E-3</v>
      </c>
      <c r="W160">
        <f t="shared" ca="1" si="299"/>
        <v>3.1866059502623403E-2</v>
      </c>
      <c r="X160" s="22">
        <f t="shared" ref="X160" ca="1" si="355">BSdelta(1,P160,Strike,W160*AnnualVarConvtr,Dividend,RiskFreeRate,G160/250)</f>
        <v>0</v>
      </c>
      <c r="Y160" s="22">
        <f t="shared" ca="1" si="305"/>
        <v>0</v>
      </c>
      <c r="Z160" s="22">
        <f t="shared" ca="1" si="306"/>
        <v>-7.4987778727747774</v>
      </c>
      <c r="AA160">
        <f t="shared" si="293"/>
        <v>0.73884103340948371</v>
      </c>
      <c r="AB160">
        <f t="shared" ref="AB160" ca="1" si="356">BSdelta(1,P160,Strike,AA160/AnnualVarConvtr,Dividend,RiskFreeRate,G160/250)</f>
        <v>0</v>
      </c>
      <c r="AC160">
        <f t="shared" ca="1" si="302"/>
        <v>0</v>
      </c>
      <c r="AD160">
        <f t="shared" ca="1" si="303"/>
        <v>-2.5925431222201532</v>
      </c>
    </row>
    <row r="161" spans="7:30" x14ac:dyDescent="0.25">
      <c r="G161" s="19">
        <v>94</v>
      </c>
      <c r="H161" s="19">
        <f t="shared" ca="1" si="352"/>
        <v>8.5728217662027761E-2</v>
      </c>
      <c r="I161" s="19">
        <f t="shared" ca="1" si="352"/>
        <v>0.90818966823968295</v>
      </c>
      <c r="J161" s="19">
        <f t="shared" ca="1" si="288"/>
        <v>1.8578747073454285</v>
      </c>
      <c r="K161" s="19">
        <f t="shared" ca="1" si="289"/>
        <v>-1.2089036624496965</v>
      </c>
      <c r="L161" s="19">
        <f t="array" aca="1" ref="L161:M161" ca="1">MMULT(J161:K161,TRANSPOSE($B$10:$C$11))</f>
        <v>1.8578747073454285</v>
      </c>
      <c r="M161" s="19">
        <f ca="1"/>
        <v>-2.1744828174079158</v>
      </c>
      <c r="N161" s="20">
        <f ca="1">GetVariance(N160,Variance_Avg,Lambda,Eta,M161,"Daily")</f>
        <v>6.4464661082703906E-2</v>
      </c>
      <c r="O161" s="20">
        <f ca="1">GetStockReturns(O160,RiskFreeRate,N160,L161,"Daily")</f>
        <v>-7.6969876245686214E-2</v>
      </c>
      <c r="P161" s="19">
        <f t="shared" ca="1" si="295"/>
        <v>4.0960691081430708E-7</v>
      </c>
      <c r="Q161" s="19">
        <f ca="1">HCTrans(P161,Strike,RiskFreeRate,Dividend,Variance_T0*AnnualVarConvtr,(Simulation!G161)/250,0.5,Variance_Avg*AnnualVarConvtr,Lambda,SQRT(Simulation!N161),Rho,1,"Call")</f>
        <v>-1.5077653172624101E-5</v>
      </c>
      <c r="R161" s="19" t="e">
        <f t="shared" ca="1" si="290"/>
        <v>#VALUE!</v>
      </c>
      <c r="S161" s="19" t="e">
        <f t="shared" ca="1" si="291"/>
        <v>#VALUE!</v>
      </c>
      <c r="T161" s="19" t="e">
        <f t="shared" ca="1" si="296"/>
        <v>#VALUE!</v>
      </c>
      <c r="U161" s="19" t="e">
        <f t="shared" ca="1" si="297"/>
        <v>#VALUE!</v>
      </c>
      <c r="V161" s="21">
        <f t="shared" ca="1" si="298"/>
        <v>1.0926040342435729E-3</v>
      </c>
      <c r="W161">
        <f t="shared" ca="1" si="299"/>
        <v>3.3054561474077565E-2</v>
      </c>
      <c r="X161" s="22">
        <f t="shared" ref="X161" ca="1" si="357">BSdelta(1,P161,Strike,W161*AnnualVarConvtr,Dividend,RiskFreeRate,G161/250)</f>
        <v>0</v>
      </c>
      <c r="Y161" s="22">
        <f t="shared" ca="1" si="305"/>
        <v>0</v>
      </c>
      <c r="Z161" s="22">
        <f t="shared" ca="1" si="306"/>
        <v>-7.4987778726766123</v>
      </c>
      <c r="AA161">
        <f t="shared" si="293"/>
        <v>0.73884103340948371</v>
      </c>
      <c r="AB161">
        <f t="shared" ref="AB161" ca="1" si="358">BSdelta(1,P161,Strike,AA161/AnnualVarConvtr,Dividend,RiskFreeRate,G161/250)</f>
        <v>0</v>
      </c>
      <c r="AC161">
        <f t="shared" ca="1" si="302"/>
        <v>0</v>
      </c>
      <c r="AD161">
        <f t="shared" ca="1" si="303"/>
        <v>-2.5925431221219877</v>
      </c>
    </row>
    <row r="162" spans="7:30" x14ac:dyDescent="0.25">
      <c r="G162" s="19">
        <v>93</v>
      </c>
      <c r="H162" s="19">
        <f t="shared" ca="1" si="352"/>
        <v>0.85924513806735325</v>
      </c>
      <c r="I162" s="19">
        <f t="shared" ca="1" si="352"/>
        <v>0.37505085232011737</v>
      </c>
      <c r="J162" s="19">
        <f t="shared" ca="1" si="288"/>
        <v>-0.38961258061535087</v>
      </c>
      <c r="K162" s="19">
        <f t="shared" ca="1" si="289"/>
        <v>0.389363686355014</v>
      </c>
      <c r="L162" s="19">
        <f t="array" aca="1" ref="L162:M162" ca="1">MMULT(J162:K162,TRANSPOSE($B$10:$C$11))</f>
        <v>-0.38961258061535087</v>
      </c>
      <c r="M162" s="19">
        <f ca="1"/>
        <v>0.55077249544754059</v>
      </c>
      <c r="N162" s="20">
        <f ca="1">GetVariance(N161,Variance_Avg,Lambda,Eta,M162,"Daily")</f>
        <v>6.7634801352141227E-2</v>
      </c>
      <c r="O162" s="20">
        <f ca="1">GetStockReturns(O161,RiskFreeRate,N161,L162,"Daily")</f>
        <v>-8.3226266334594623E-2</v>
      </c>
      <c r="P162" s="19">
        <f t="shared" ca="1" si="295"/>
        <v>3.768969015481853E-7</v>
      </c>
      <c r="Q162" s="19">
        <f ca="1">HCTrans(P162,Strike,RiskFreeRate,Dividend,Variance_T0*AnnualVarConvtr,(Simulation!G162)/250,0.5,Variance_Avg*AnnualVarConvtr,Lambda,SQRT(Simulation!N162),Rho,1,"Call")</f>
        <v>-1.5077545949424201E-5</v>
      </c>
      <c r="R162" s="19" t="e">
        <f t="shared" ca="1" si="290"/>
        <v>#VALUE!</v>
      </c>
      <c r="S162" s="19" t="e">
        <f t="shared" ca="1" si="291"/>
        <v>#VALUE!</v>
      </c>
      <c r="T162" s="19" t="e">
        <f t="shared" ca="1" si="296"/>
        <v>#VALUE!</v>
      </c>
      <c r="U162" s="19" t="e">
        <f t="shared" ca="1" si="297"/>
        <v>#VALUE!</v>
      </c>
      <c r="V162" s="21">
        <f t="shared" ca="1" si="298"/>
        <v>3.9142416944591367E-5</v>
      </c>
      <c r="W162">
        <f t="shared" ca="1" si="299"/>
        <v>6.256390088908409E-3</v>
      </c>
      <c r="X162" s="22">
        <f t="shared" ref="X162" ca="1" si="359">BSdelta(1,P162,Strike,W162*AnnualVarConvtr,Dividend,RiskFreeRate,G162/250)</f>
        <v>0</v>
      </c>
      <c r="Y162" s="22">
        <f t="shared" ca="1" si="305"/>
        <v>0</v>
      </c>
      <c r="Z162" s="22">
        <f t="shared" ca="1" si="306"/>
        <v>-7.4987778725693888</v>
      </c>
      <c r="AA162">
        <f t="shared" si="293"/>
        <v>0.73884103340948371</v>
      </c>
      <c r="AB162">
        <f t="shared" ref="AB162" ca="1" si="360">BSdelta(1,P162,Strike,AA162/AnnualVarConvtr,Dividend,RiskFreeRate,G162/250)</f>
        <v>0</v>
      </c>
      <c r="AC162">
        <f t="shared" ca="1" si="302"/>
        <v>0</v>
      </c>
      <c r="AD162">
        <f t="shared" ca="1" si="303"/>
        <v>-2.5925431220147646</v>
      </c>
    </row>
    <row r="163" spans="7:30" x14ac:dyDescent="0.25">
      <c r="G163" s="19">
        <v>92</v>
      </c>
      <c r="H163" s="19">
        <f t="shared" ca="1" si="352"/>
        <v>0.38702826976050697</v>
      </c>
      <c r="I163" s="19">
        <f t="shared" ca="1" si="352"/>
        <v>0.8092055141077219</v>
      </c>
      <c r="J163" s="19">
        <f t="shared" ca="1" si="288"/>
        <v>0.50082489725466606</v>
      </c>
      <c r="K163" s="19">
        <f t="shared" ca="1" si="289"/>
        <v>-1.2836235828999321</v>
      </c>
      <c r="L163" s="19">
        <f t="array" aca="1" ref="L163:M163" ca="1">MMULT(J163:K163,TRANSPOSE($B$10:$C$11))</f>
        <v>0.50082489725466606</v>
      </c>
      <c r="M163" s="19">
        <f ca="1"/>
        <v>-1.2542802804496955</v>
      </c>
      <c r="N163" s="20">
        <f ca="1">GetVariance(N162,Variance_Avg,Lambda,Eta,M163,"Daily")</f>
        <v>5.9551635661029778E-2</v>
      </c>
      <c r="O163" s="20">
        <f ca="1">GetStockReturns(O162,RiskFreeRate,N162,L163,"Daily")</f>
        <v>-7.4988660341962582E-2</v>
      </c>
      <c r="P163" s="19">
        <f t="shared" ca="1" si="295"/>
        <v>3.4966761051739138E-7</v>
      </c>
      <c r="Q163" s="19">
        <f ca="1">HCTrans(P163,Strike,RiskFreeRate,Dividend,Variance_T0*AnnualVarConvtr,(Simulation!G163)/250,0.5,Variance_Avg*AnnualVarConvtr,Lambda,SQRT(Simulation!N163),Rho,1,"Call")</f>
        <v>-1.5077448669917078E-5</v>
      </c>
      <c r="R163" s="19" t="e">
        <f t="shared" ca="1" si="290"/>
        <v>#VALUE!</v>
      </c>
      <c r="S163" s="19" t="e">
        <f t="shared" ca="1" si="291"/>
        <v>#VALUE!</v>
      </c>
      <c r="T163" s="19" t="e">
        <f t="shared" ca="1" si="296"/>
        <v>#VALUE!</v>
      </c>
      <c r="U163" s="19" t="e">
        <f t="shared" ca="1" si="297"/>
        <v>#VALUE!</v>
      </c>
      <c r="V163" s="21">
        <f t="shared" ca="1" si="298"/>
        <v>6.7858152489847314E-5</v>
      </c>
      <c r="W163">
        <f t="shared" ca="1" si="299"/>
        <v>8.2376059926320411E-3</v>
      </c>
      <c r="X163" s="22">
        <f t="shared" ref="X163" ca="1" si="361">BSdelta(1,P163,Strike,W163*AnnualVarConvtr,Dividend,RiskFreeRate,G163/250)</f>
        <v>0</v>
      </c>
      <c r="Y163" s="22">
        <f t="shared" ca="1" si="305"/>
        <v>0</v>
      </c>
      <c r="Z163" s="22">
        <f t="shared" ca="1" si="306"/>
        <v>-7.4987778724721093</v>
      </c>
      <c r="AA163">
        <f t="shared" si="293"/>
        <v>0.73884103340948371</v>
      </c>
      <c r="AB163">
        <f t="shared" ref="AB163" ca="1" si="362">BSdelta(1,P163,Strike,AA163/AnnualVarConvtr,Dividend,RiskFreeRate,G163/250)</f>
        <v>0</v>
      </c>
      <c r="AC163">
        <f t="shared" ca="1" si="302"/>
        <v>0</v>
      </c>
      <c r="AD163">
        <f t="shared" ca="1" si="303"/>
        <v>-2.592543121917485</v>
      </c>
    </row>
    <row r="164" spans="7:30" x14ac:dyDescent="0.25">
      <c r="G164" s="19">
        <v>91</v>
      </c>
      <c r="H164" s="19">
        <f t="shared" ca="1" si="352"/>
        <v>0.50681090550754171</v>
      </c>
      <c r="I164" s="19">
        <f t="shared" ca="1" si="352"/>
        <v>0.16310006201767946</v>
      </c>
      <c r="J164" s="19">
        <f t="shared" ca="1" si="288"/>
        <v>0.60540908664465765</v>
      </c>
      <c r="K164" s="19">
        <f t="shared" ca="1" si="289"/>
        <v>0.99635057214355571</v>
      </c>
      <c r="L164" s="19">
        <f t="array" aca="1" ref="L164:M164" ca="1">MMULT(J164:K164,TRANSPOSE($B$10:$C$11))</f>
        <v>0.60540908664465765</v>
      </c>
      <c r="M164" s="19">
        <f ca="1"/>
        <v>0.26126568699267017</v>
      </c>
      <c r="N164" s="20">
        <f ca="1">GetVariance(N163,Variance_Avg,Lambda,Eta,M164,"Daily")</f>
        <v>6.0846897619500094E-2</v>
      </c>
      <c r="O164" s="20">
        <f ca="1">GetStockReturns(O163,RiskFreeRate,N163,L164,"Daily")</f>
        <v>-6.5644812063811939E-2</v>
      </c>
      <c r="P164" s="19">
        <f t="shared" ca="1" si="295"/>
        <v>3.2745092841498856E-7</v>
      </c>
      <c r="Q164" s="19">
        <f ca="1">HCTrans(P164,Strike,RiskFreeRate,Dividend,Variance_T0*AnnualVarConvtr,(Simulation!G164)/250,0.5,Variance_Avg*AnnualVarConvtr,Lambda,SQRT(Simulation!N164),Rho,1,"Call")</f>
        <v>-1.507736326569942E-5</v>
      </c>
      <c r="R164" s="19" t="e">
        <f t="shared" ca="1" si="290"/>
        <v>#VALUE!</v>
      </c>
      <c r="S164" s="19" t="e">
        <f t="shared" ca="1" si="291"/>
        <v>#VALUE!</v>
      </c>
      <c r="T164" s="19" t="e">
        <f t="shared" ca="1" si="296"/>
        <v>#VALUE!</v>
      </c>
      <c r="U164" s="19" t="e">
        <f t="shared" ca="1" si="297"/>
        <v>#VALUE!</v>
      </c>
      <c r="V164" s="21">
        <f t="shared" ca="1" si="298"/>
        <v>8.7307500645098738E-5</v>
      </c>
      <c r="W164">
        <f t="shared" ca="1" si="299"/>
        <v>9.3438482781506432E-3</v>
      </c>
      <c r="X164" s="22">
        <f t="shared" ref="X164" ca="1" si="363">BSdelta(1,P164,Strike,W164*AnnualVarConvtr,Dividend,RiskFreeRate,G164/250)</f>
        <v>0</v>
      </c>
      <c r="Y164" s="22">
        <f t="shared" ca="1" si="305"/>
        <v>0</v>
      </c>
      <c r="Z164" s="22">
        <f t="shared" ca="1" si="306"/>
        <v>-7.4987778723867047</v>
      </c>
      <c r="AA164">
        <f t="shared" si="293"/>
        <v>0.73884103340948371</v>
      </c>
      <c r="AB164">
        <f t="shared" ref="AB164" ca="1" si="364">BSdelta(1,P164,Strike,AA164/AnnualVarConvtr,Dividend,RiskFreeRate,G164/250)</f>
        <v>0</v>
      </c>
      <c r="AC164">
        <f t="shared" ca="1" si="302"/>
        <v>0</v>
      </c>
      <c r="AD164">
        <f t="shared" ca="1" si="303"/>
        <v>-2.5925431218320809</v>
      </c>
    </row>
    <row r="165" spans="7:30" x14ac:dyDescent="0.25">
      <c r="G165" s="19">
        <v>90</v>
      </c>
      <c r="H165" s="19">
        <f t="shared" ca="1" si="352"/>
        <v>0.65332613528718464</v>
      </c>
      <c r="I165" s="19">
        <f t="shared" ca="1" si="352"/>
        <v>0.54615096314737976</v>
      </c>
      <c r="J165" s="19">
        <f t="shared" ca="1" si="288"/>
        <v>-0.88416905406421431</v>
      </c>
      <c r="K165" s="19">
        <f t="shared" ca="1" si="289"/>
        <v>-0.26382333036161471</v>
      </c>
      <c r="L165" s="19">
        <f t="array" aca="1" ref="L165:M165" ca="1">MMULT(J165:K165,TRANSPOSE($B$10:$C$11))</f>
        <v>-0.88416905406421431</v>
      </c>
      <c r="M165" s="19">
        <f ca="1"/>
        <v>0.44946737758321331</v>
      </c>
      <c r="N165" s="20">
        <f ca="1">GetVariance(N164,Variance_Avg,Lambda,Eta,M165,"Daily")</f>
        <v>6.331063999137046E-2</v>
      </c>
      <c r="O165" s="20">
        <f ca="1">GetStockReturns(O164,RiskFreeRate,N164,L165,"Daily")</f>
        <v>-7.9438631164760146E-2</v>
      </c>
      <c r="P165" s="19">
        <f t="shared" ca="1" si="295"/>
        <v>3.0244504023272756E-7</v>
      </c>
      <c r="Q165" s="19">
        <f ca="1">HCTrans(P165,Strike,RiskFreeRate,Dividend,Variance_T0*AnnualVarConvtr,(Simulation!G165)/250,0.5,Variance_Avg*AnnualVarConvtr,Lambda,SQRT(Simulation!N165),Rho,1,"Call")</f>
        <v>-1.5077259115343714E-5</v>
      </c>
      <c r="R165" s="19" t="e">
        <f t="shared" ca="1" si="290"/>
        <v>#VALUE!</v>
      </c>
      <c r="S165" s="19" t="e">
        <f t="shared" ca="1" si="291"/>
        <v>#VALUE!</v>
      </c>
      <c r="T165" s="19" t="e">
        <f t="shared" ca="1" si="296"/>
        <v>#VALUE!</v>
      </c>
      <c r="U165" s="19" t="e">
        <f t="shared" ca="1" si="297"/>
        <v>#VALUE!</v>
      </c>
      <c r="V165" s="21">
        <f t="shared" ca="1" si="298"/>
        <v>1.9026944538968359E-4</v>
      </c>
      <c r="W165">
        <f t="shared" ca="1" si="299"/>
        <v>1.3793819100948207E-2</v>
      </c>
      <c r="X165" s="22">
        <f t="shared" ref="X165" ca="1" si="365">BSdelta(1,P165,Strike,W165*AnnualVarConvtr,Dividend,RiskFreeRate,G165/250)</f>
        <v>0</v>
      </c>
      <c r="Y165" s="22">
        <f t="shared" ca="1" si="305"/>
        <v>0</v>
      </c>
      <c r="Z165" s="22">
        <f t="shared" ca="1" si="306"/>
        <v>-7.4987778722825542</v>
      </c>
      <c r="AA165">
        <f t="shared" si="293"/>
        <v>0.73884103340948371</v>
      </c>
      <c r="AB165">
        <f t="shared" ref="AB165" ca="1" si="366">BSdelta(1,P165,Strike,AA165/AnnualVarConvtr,Dividend,RiskFreeRate,G165/250)</f>
        <v>0</v>
      </c>
      <c r="AC165">
        <f t="shared" ca="1" si="302"/>
        <v>0</v>
      </c>
      <c r="AD165">
        <f t="shared" ca="1" si="303"/>
        <v>-2.5925431217279304</v>
      </c>
    </row>
    <row r="166" spans="7:30" x14ac:dyDescent="0.25">
      <c r="G166" s="19">
        <v>89</v>
      </c>
      <c r="H166" s="19">
        <f t="shared" ca="1" si="352"/>
        <v>0.8596568335815522</v>
      </c>
      <c r="I166" s="19">
        <f t="shared" ca="1" si="352"/>
        <v>0.12403594836456644</v>
      </c>
      <c r="J166" s="19">
        <f t="shared" ca="1" si="288"/>
        <v>0.39122110612340938</v>
      </c>
      <c r="K166" s="19">
        <f t="shared" ca="1" si="289"/>
        <v>0.3865100856366866</v>
      </c>
      <c r="L166" s="19">
        <f t="array" aca="1" ref="L166:M166" ca="1">MMULT(J166:K166,TRANSPOSE($B$10:$C$11))</f>
        <v>0.39122110612340938</v>
      </c>
      <c r="M166" s="19">
        <f ca="1"/>
        <v>-1.0685476125716298E-2</v>
      </c>
      <c r="N166" s="20">
        <f ca="1">GetVariance(N165,Variance_Avg,Lambda,Eta,M166,"Daily")</f>
        <v>6.294645978165031E-2</v>
      </c>
      <c r="O166" s="20">
        <f ca="1">GetStockReturns(O165,RiskFreeRate,N165,L166,"Daily")</f>
        <v>-7.3212896260951246E-2</v>
      </c>
      <c r="P166" s="19">
        <f t="shared" ca="1" si="295"/>
        <v>2.8109331035207181E-7</v>
      </c>
      <c r="Q166" s="19">
        <f ca="1">HCTrans(P166,Strike,RiskFreeRate,Dividend,Variance_T0*AnnualVarConvtr,(Simulation!G166)/250,0.5,Variance_Avg*AnnualVarConvtr,Lambda,SQRT(Simulation!N166),Rho,1,"Call")</f>
        <v>-1.5077162891184421E-5</v>
      </c>
      <c r="R166" s="19" t="e">
        <f t="shared" ca="1" si="290"/>
        <v>#VALUE!</v>
      </c>
      <c r="S166" s="19" t="e">
        <f t="shared" ca="1" si="291"/>
        <v>#VALUE!</v>
      </c>
      <c r="T166" s="19" t="e">
        <f t="shared" ca="1" si="296"/>
        <v>#VALUE!</v>
      </c>
      <c r="U166" s="19" t="e">
        <f t="shared" ca="1" si="297"/>
        <v>#VALUE!</v>
      </c>
      <c r="V166" s="21">
        <f t="shared" ca="1" si="298"/>
        <v>3.8759775092504407E-5</v>
      </c>
      <c r="W166">
        <f t="shared" ca="1" si="299"/>
        <v>6.2257349038088994E-3</v>
      </c>
      <c r="X166" s="22">
        <f t="shared" ref="X166" ca="1" si="367">BSdelta(1,P166,Strike,W166*AnnualVarConvtr,Dividend,RiskFreeRate,G166/250)</f>
        <v>0</v>
      </c>
      <c r="Y166" s="22">
        <f t="shared" ca="1" si="305"/>
        <v>0</v>
      </c>
      <c r="Z166" s="22">
        <f t="shared" ca="1" si="306"/>
        <v>-7.4987778721863299</v>
      </c>
      <c r="AA166">
        <f t="shared" si="293"/>
        <v>0.73884103340948371</v>
      </c>
      <c r="AB166">
        <f t="shared" ref="AB166" ca="1" si="368">BSdelta(1,P166,Strike,AA166/AnnualVarConvtr,Dividend,RiskFreeRate,G166/250)</f>
        <v>0</v>
      </c>
      <c r="AC166">
        <f t="shared" ca="1" si="302"/>
        <v>0</v>
      </c>
      <c r="AD166">
        <f t="shared" ca="1" si="303"/>
        <v>-2.5925431216317061</v>
      </c>
    </row>
    <row r="167" spans="7:30" x14ac:dyDescent="0.25">
      <c r="G167" s="19">
        <v>88</v>
      </c>
      <c r="H167" s="19">
        <f t="shared" ca="1" si="352"/>
        <v>0.31316394938096825</v>
      </c>
      <c r="I167" s="19">
        <f t="shared" ca="1" si="352"/>
        <v>0.14998567127315787</v>
      </c>
      <c r="J167" s="19">
        <f t="shared" ca="1" si="288"/>
        <v>0.89579559051673596</v>
      </c>
      <c r="K167" s="19">
        <f t="shared" ca="1" si="289"/>
        <v>1.2327234528826625</v>
      </c>
      <c r="L167" s="19">
        <f t="array" aca="1" ref="L167:M167" ca="1">MMULT(J167:K167,TRANSPOSE($B$10:$C$11))</f>
        <v>0.89579559051673596</v>
      </c>
      <c r="M167" s="19">
        <f ca="1"/>
        <v>0.21809442731406437</v>
      </c>
      <c r="N167" s="20">
        <f ca="1">GetVariance(N166,Variance_Avg,Lambda,Eta,M167,"Daily")</f>
        <v>6.3998970637603167E-2</v>
      </c>
      <c r="O167" s="20">
        <f ca="1">GetStockReturns(O166,RiskFreeRate,N166,L167,"Daily")</f>
        <v>-5.8998625926526382E-2</v>
      </c>
      <c r="P167" s="19">
        <f t="shared" ca="1" si="295"/>
        <v>2.6498893054768566E-7</v>
      </c>
      <c r="Q167" s="19">
        <f ca="1">HCTrans(P167,Strike,RiskFreeRate,Dividend,Variance_T0*AnnualVarConvtr,(Simulation!G167)/250,0.5,Variance_Avg*AnnualVarConvtr,Lambda,SQRT(Simulation!N167),Rho,1,"Call")</f>
        <v>-1.5077085483588158E-5</v>
      </c>
      <c r="R167" s="19" t="e">
        <f t="shared" ca="1" si="290"/>
        <v>#VALUE!</v>
      </c>
      <c r="S167" s="19" t="e">
        <f t="shared" ca="1" si="291"/>
        <v>#VALUE!</v>
      </c>
      <c r="T167" s="19" t="e">
        <f t="shared" ca="1" si="296"/>
        <v>#VALUE!</v>
      </c>
      <c r="U167" s="19" t="e">
        <f t="shared" ca="1" si="297"/>
        <v>#VALUE!</v>
      </c>
      <c r="V167" s="21">
        <f t="shared" ca="1" si="298"/>
        <v>2.0204548114011073E-4</v>
      </c>
      <c r="W167">
        <f t="shared" ca="1" si="299"/>
        <v>1.4214270334424864E-2</v>
      </c>
      <c r="X167" s="22">
        <f t="shared" ref="X167" ca="1" si="369">BSdelta(1,P167,Strike,W167*AnnualVarConvtr,Dividend,RiskFreeRate,G167/250)</f>
        <v>0</v>
      </c>
      <c r="Y167" s="22">
        <f t="shared" ca="1" si="305"/>
        <v>0</v>
      </c>
      <c r="Z167" s="22">
        <f t="shared" ca="1" si="306"/>
        <v>-7.4987778721089224</v>
      </c>
      <c r="AA167">
        <f t="shared" si="293"/>
        <v>0.73884103340948371</v>
      </c>
      <c r="AB167">
        <f t="shared" ref="AB167" ca="1" si="370">BSdelta(1,P167,Strike,AA167/AnnualVarConvtr,Dividend,RiskFreeRate,G167/250)</f>
        <v>0</v>
      </c>
      <c r="AC167">
        <f t="shared" ca="1" si="302"/>
        <v>0</v>
      </c>
      <c r="AD167">
        <f t="shared" ca="1" si="303"/>
        <v>-2.5925431215542987</v>
      </c>
    </row>
    <row r="168" spans="7:30" x14ac:dyDescent="0.25">
      <c r="G168" s="19">
        <v>87</v>
      </c>
      <c r="H168" s="19">
        <f t="shared" ca="1" si="352"/>
        <v>0.70248019820944185</v>
      </c>
      <c r="I168" s="19">
        <f t="shared" ca="1" si="352"/>
        <v>0.17103916014049814</v>
      </c>
      <c r="J168" s="19">
        <f t="shared" ca="1" si="288"/>
        <v>0.40004987332956499</v>
      </c>
      <c r="K168" s="19">
        <f t="shared" ca="1" si="289"/>
        <v>0.73907795962027123</v>
      </c>
      <c r="L168" s="19">
        <f t="array" aca="1" ref="L168:M168" ca="1">MMULT(J168:K168,TRANSPOSE($B$10:$C$11))</f>
        <v>0.40004987332956499</v>
      </c>
      <c r="M168" s="19">
        <f ca="1"/>
        <v>0.22893550988214789</v>
      </c>
      <c r="N168" s="20">
        <f ca="1">GetVariance(N167,Variance_Avg,Lambda,Eta,M168,"Daily")</f>
        <v>6.5125049854075953E-2</v>
      </c>
      <c r="O168" s="20">
        <f ca="1">GetStockReturns(O167,RiskFreeRate,N167,L168,"Daily")</f>
        <v>-5.2597879427997381E-2</v>
      </c>
      <c r="P168" s="19">
        <f t="shared" ca="1" si="295"/>
        <v>2.5141128258524819E-7</v>
      </c>
      <c r="Q168" s="19">
        <f ca="1">HCTrans(P168,Strike,RiskFreeRate,Dividend,Variance_T0*AnnualVarConvtr,(Simulation!G168)/250,0.5,Variance_Avg*AnnualVarConvtr,Lambda,SQRT(Simulation!N168),Rho,1,"Call")</f>
        <v>-1.5077016554574666E-5</v>
      </c>
      <c r="R168" s="19" t="e">
        <f t="shared" ca="1" si="290"/>
        <v>#VALUE!</v>
      </c>
      <c r="S168" s="19" t="e">
        <f t="shared" ca="1" si="291"/>
        <v>#VALUE!</v>
      </c>
      <c r="T168" s="19" t="e">
        <f t="shared" ca="1" si="296"/>
        <v>#VALUE!</v>
      </c>
      <c r="U168" s="19" t="e">
        <f t="shared" ca="1" si="297"/>
        <v>#VALUE!</v>
      </c>
      <c r="V168" s="21">
        <f t="shared" ca="1" si="298"/>
        <v>4.0969555738431274E-5</v>
      </c>
      <c r="W168">
        <f t="shared" ca="1" si="299"/>
        <v>6.4007464985290016E-3</v>
      </c>
      <c r="X168" s="22">
        <f t="shared" ref="X168" ca="1" si="371">BSdelta(1,P168,Strike,W168*AnnualVarConvtr,Dividend,RiskFreeRate,G168/250)</f>
        <v>0</v>
      </c>
      <c r="Y168" s="22">
        <f t="shared" ca="1" si="305"/>
        <v>0</v>
      </c>
      <c r="Z168" s="22">
        <f t="shared" ca="1" si="306"/>
        <v>-7.4987778720399936</v>
      </c>
      <c r="AA168">
        <f t="shared" si="293"/>
        <v>0.73884103340948371</v>
      </c>
      <c r="AB168">
        <f t="shared" ref="AB168" ca="1" si="372">BSdelta(1,P168,Strike,AA168/AnnualVarConvtr,Dividend,RiskFreeRate,G168/250)</f>
        <v>0</v>
      </c>
      <c r="AC168">
        <f t="shared" ca="1" si="302"/>
        <v>0</v>
      </c>
      <c r="AD168">
        <f t="shared" ca="1" si="303"/>
        <v>-2.5925431214853698</v>
      </c>
    </row>
    <row r="169" spans="7:30" x14ac:dyDescent="0.25">
      <c r="G169" s="19">
        <v>86</v>
      </c>
      <c r="H169" s="19">
        <f t="shared" ca="1" si="352"/>
        <v>0.31809239304586012</v>
      </c>
      <c r="I169" s="19">
        <f t="shared" ca="1" si="352"/>
        <v>0.59472129998873158</v>
      </c>
      <c r="J169" s="19">
        <f t="shared" ca="1" si="288"/>
        <v>-1.2533137724723096</v>
      </c>
      <c r="K169" s="19">
        <f t="shared" ca="1" si="289"/>
        <v>-0.84854662582322027</v>
      </c>
      <c r="L169" s="19">
        <f t="array" aca="1" ref="L169:M169" ca="1">MMULT(J169:K169,TRANSPOSE($B$10:$C$11))</f>
        <v>-1.2533137724723096</v>
      </c>
      <c r="M169" s="19">
        <f ca="1"/>
        <v>0.30606414540457372</v>
      </c>
      <c r="N169" s="20">
        <f ca="1">GetVariance(N168,Variance_Avg,Lambda,Eta,M169,"Daily")</f>
        <v>6.6746432439033956E-2</v>
      </c>
      <c r="O169" s="20">
        <f ca="1">GetStockReturns(O168,RiskFreeRate,N168,L169,"Daily")</f>
        <v>-7.2826386988819325E-2</v>
      </c>
      <c r="P169" s="19">
        <f t="shared" ca="1" si="295"/>
        <v>2.3375271595936295E-7</v>
      </c>
      <c r="Q169" s="19">
        <f ca="1">HCTrans(P169,Strike,RiskFreeRate,Dividend,Variance_T0*AnnualVarConvtr,(Simulation!G169)/250,0.5,Variance_Avg*AnnualVarConvtr,Lambda,SQRT(Simulation!N169),Rho,1,"Call")</f>
        <v>-1.5076920486359233E-5</v>
      </c>
      <c r="R169" s="19" t="e">
        <f t="shared" ca="1" si="290"/>
        <v>#VALUE!</v>
      </c>
      <c r="S169" s="19" t="e">
        <f t="shared" ca="1" si="291"/>
        <v>#VALUE!</v>
      </c>
      <c r="T169" s="19" t="e">
        <f t="shared" ca="1" si="296"/>
        <v>#VALUE!</v>
      </c>
      <c r="U169" s="19" t="e">
        <f t="shared" ca="1" si="297"/>
        <v>#VALUE!</v>
      </c>
      <c r="V169" s="21">
        <f t="shared" ca="1" si="298"/>
        <v>4.0919251813823057E-4</v>
      </c>
      <c r="W169">
        <f t="shared" ca="1" si="299"/>
        <v>2.0228507560821944E-2</v>
      </c>
      <c r="X169" s="22">
        <f t="shared" ref="X169" ca="1" si="373">BSdelta(1,P169,Strike,W169*AnnualVarConvtr,Dividend,RiskFreeRate,G169/250)</f>
        <v>0</v>
      </c>
      <c r="Y169" s="22">
        <f t="shared" ca="1" si="305"/>
        <v>0</v>
      </c>
      <c r="Z169" s="22">
        <f t="shared" ca="1" si="306"/>
        <v>-7.4987778719439255</v>
      </c>
      <c r="AA169">
        <f t="shared" si="293"/>
        <v>0.73884103340948371</v>
      </c>
      <c r="AB169">
        <f t="shared" ref="AB169" ca="1" si="374">BSdelta(1,P169,Strike,AA169/AnnualVarConvtr,Dividend,RiskFreeRate,G169/250)</f>
        <v>0</v>
      </c>
      <c r="AC169">
        <f t="shared" ca="1" si="302"/>
        <v>0</v>
      </c>
      <c r="AD169">
        <f t="shared" ca="1" si="303"/>
        <v>-2.5925431213893018</v>
      </c>
    </row>
    <row r="170" spans="7:30" x14ac:dyDescent="0.25">
      <c r="G170" s="19">
        <v>85</v>
      </c>
      <c r="H170" s="19">
        <f t="shared" ca="1" si="352"/>
        <v>0.20589612408159264</v>
      </c>
      <c r="I170" s="19">
        <f t="shared" ca="1" si="352"/>
        <v>3.1301001042760568E-3</v>
      </c>
      <c r="J170" s="19">
        <f t="shared" ca="1" si="288"/>
        <v>1.7775107821545792</v>
      </c>
      <c r="K170" s="19">
        <f t="shared" ca="1" si="289"/>
        <v>3.4962810630107671E-2</v>
      </c>
      <c r="L170" s="19">
        <f t="array" aca="1" ref="L170:M170" ca="1">MMULT(J170:K170,TRANSPOSE($B$10:$C$11))</f>
        <v>1.7775107821545792</v>
      </c>
      <c r="M170" s="19">
        <f ca="1"/>
        <v>-1.2491968700413332</v>
      </c>
      <c r="N170" s="20">
        <f ca="1">GetVariance(N169,Variance_Avg,Lambda,Eta,M170,"Daily")</f>
        <v>5.8750968750126642E-2</v>
      </c>
      <c r="O170" s="20">
        <f ca="1">GetStockReturns(O169,RiskFreeRate,N169,L170,"Daily")</f>
        <v>-4.3782397669706007E-2</v>
      </c>
      <c r="P170" s="19">
        <f t="shared" ca="1" si="295"/>
        <v>2.2373926749664136E-7</v>
      </c>
      <c r="Q170" s="19">
        <f ca="1">HCTrans(P170,Strike,RiskFreeRate,Dividend,Variance_T0*AnnualVarConvtr,(Simulation!G170)/250,0.5,Variance_Avg*AnnualVarConvtr,Lambda,SQRT(Simulation!N170),Rho,1,"Call")</f>
        <v>-1.5076863274284286E-5</v>
      </c>
      <c r="R170" s="19" t="e">
        <f t="shared" ca="1" si="290"/>
        <v>#VALUE!</v>
      </c>
      <c r="S170" s="19" t="e">
        <f t="shared" ca="1" si="291"/>
        <v>#VALUE!</v>
      </c>
      <c r="T170" s="19" t="e">
        <f t="shared" ca="1" si="296"/>
        <v>#VALUE!</v>
      </c>
      <c r="U170" s="19" t="e">
        <f t="shared" ca="1" si="297"/>
        <v>#VALUE!</v>
      </c>
      <c r="V170" s="21">
        <f t="shared" ca="1" si="298"/>
        <v>8.4355331556876852E-4</v>
      </c>
      <c r="W170">
        <f t="shared" ca="1" si="299"/>
        <v>2.9043989319113318E-2</v>
      </c>
      <c r="X170" s="22">
        <f t="shared" ref="X170" ca="1" si="375">BSdelta(1,P170,Strike,W170*AnnualVarConvtr,Dividend,RiskFreeRate,G170/250)</f>
        <v>0</v>
      </c>
      <c r="Y170" s="22">
        <f t="shared" ca="1" si="305"/>
        <v>0</v>
      </c>
      <c r="Z170" s="22">
        <f t="shared" ca="1" si="306"/>
        <v>-7.4987778718867135</v>
      </c>
      <c r="AA170">
        <f t="shared" si="293"/>
        <v>0.73884103340948371</v>
      </c>
      <c r="AB170">
        <f t="shared" ref="AB170" ca="1" si="376">BSdelta(1,P170,Strike,AA170/AnnualVarConvtr,Dividend,RiskFreeRate,G170/250)</f>
        <v>0</v>
      </c>
      <c r="AC170">
        <f t="shared" ca="1" si="302"/>
        <v>0</v>
      </c>
      <c r="AD170">
        <f t="shared" ca="1" si="303"/>
        <v>-2.5925431213320898</v>
      </c>
    </row>
    <row r="171" spans="7:30" x14ac:dyDescent="0.25">
      <c r="G171" s="19">
        <v>84</v>
      </c>
      <c r="H171" s="19">
        <f t="shared" ca="1" si="352"/>
        <v>0.77470502389416918</v>
      </c>
      <c r="I171" s="19">
        <f t="shared" ca="1" si="352"/>
        <v>0.3030223083725101</v>
      </c>
      <c r="J171" s="19">
        <f t="shared" ca="1" si="288"/>
        <v>-0.23366429473768024</v>
      </c>
      <c r="K171" s="19">
        <f t="shared" ca="1" si="289"/>
        <v>0.67523838026771621</v>
      </c>
      <c r="L171" s="19">
        <f t="array" aca="1" ref="L171:M171" ca="1">MMULT(J171:K171,TRANSPOSE($B$10:$C$11))</f>
        <v>-0.23366429473768024</v>
      </c>
      <c r="M171" s="19">
        <f ca="1"/>
        <v>0.63845804482960333</v>
      </c>
      <c r="N171" s="20">
        <f ca="1">GetVariance(N170,Variance_Avg,Lambda,Eta,M171,"Daily")</f>
        <v>6.2332737647984804E-2</v>
      </c>
      <c r="O171" s="20">
        <f ca="1">GetStockReturns(O170,RiskFreeRate,N170,L171,"Daily")</f>
        <v>-4.7364433011581962E-2</v>
      </c>
      <c r="P171" s="19">
        <f t="shared" ca="1" si="295"/>
        <v>2.1338903528390747E-7</v>
      </c>
      <c r="Q171" s="19">
        <f ca="1">HCTrans(P171,Strike,RiskFreeRate,Dividend,Variance_T0*AnnualVarConvtr,(Simulation!G171)/250,0.5,Variance_Avg*AnnualVarConvtr,Lambda,SQRT(Simulation!N171),Rho,1,"Call")</f>
        <v>-1.5076801345067103E-5</v>
      </c>
      <c r="R171" s="19" t="e">
        <f t="shared" ca="1" si="290"/>
        <v>#VALUE!</v>
      </c>
      <c r="S171" s="19" t="e">
        <f t="shared" ca="1" si="291"/>
        <v>#VALUE!</v>
      </c>
      <c r="T171" s="19" t="e">
        <f t="shared" ca="1" si="296"/>
        <v>#VALUE!</v>
      </c>
      <c r="U171" s="19" t="e">
        <f t="shared" ca="1" si="297"/>
        <v>#VALUE!</v>
      </c>
      <c r="V171" s="21">
        <f t="shared" ca="1" si="298"/>
        <v>1.2830977190448392E-5</v>
      </c>
      <c r="W171">
        <f t="shared" ca="1" si="299"/>
        <v>3.5820353418759554E-3</v>
      </c>
      <c r="X171" s="22">
        <f t="shared" ref="X171" ca="1" si="377">BSdelta(1,P171,Strike,W171*AnnualVarConvtr,Dividend,RiskFreeRate,G171/250)</f>
        <v>0</v>
      </c>
      <c r="Y171" s="22">
        <f t="shared" ca="1" si="305"/>
        <v>0</v>
      </c>
      <c r="Z171" s="22">
        <f t="shared" ca="1" si="306"/>
        <v>-7.4987778718247844</v>
      </c>
      <c r="AA171">
        <f t="shared" si="293"/>
        <v>0.73884103340948371</v>
      </c>
      <c r="AB171">
        <f t="shared" ref="AB171" ca="1" si="378">BSdelta(1,P171,Strike,AA171/AnnualVarConvtr,Dividend,RiskFreeRate,G171/250)</f>
        <v>0</v>
      </c>
      <c r="AC171">
        <f t="shared" ca="1" si="302"/>
        <v>0</v>
      </c>
      <c r="AD171">
        <f t="shared" ca="1" si="303"/>
        <v>-2.5925431212701606</v>
      </c>
    </row>
    <row r="172" spans="7:30" x14ac:dyDescent="0.25">
      <c r="G172" s="19">
        <v>83</v>
      </c>
      <c r="H172" s="19">
        <f t="shared" ca="1" si="352"/>
        <v>0.50550353077249632</v>
      </c>
      <c r="I172" s="19">
        <f t="shared" ca="1" si="352"/>
        <v>0.3583679094483756</v>
      </c>
      <c r="J172" s="19">
        <f t="shared" ca="1" si="288"/>
        <v>-0.73529096055296406</v>
      </c>
      <c r="K172" s="19">
        <f t="shared" ca="1" si="289"/>
        <v>0.90760548422473264</v>
      </c>
      <c r="L172" s="19">
        <f t="array" aca="1" ref="L172:M172" ca="1">MMULT(J172:K172,TRANSPOSE($B$10:$C$11))</f>
        <v>-0.73529096055296406</v>
      </c>
      <c r="M172" s="19">
        <f ca="1"/>
        <v>1.159969843058029</v>
      </c>
      <c r="N172" s="20">
        <f ca="1">GetVariance(N171,Variance_Avg,Lambda,Eta,M172,"Daily")</f>
        <v>6.934308010681442E-2</v>
      </c>
      <c r="O172" s="20">
        <f ca="1">GetStockReturns(O171,RiskFreeRate,N171,L172,"Daily")</f>
        <v>-5.89748367829478E-2</v>
      </c>
      <c r="P172" s="19">
        <f t="shared" ca="1" si="295"/>
        <v>2.0116835000520988E-7</v>
      </c>
      <c r="Q172" s="19">
        <f ca="1">HCTrans(P172,Strike,RiskFreeRate,Dividend,Variance_T0*AnnualVarConvtr,(Simulation!G172)/250,0.5,Variance_Avg*AnnualVarConvtr,Lambda,SQRT(Simulation!N172),Rho,1,"Call")</f>
        <v>-1.5076723959710581E-5</v>
      </c>
      <c r="R172" s="19" t="e">
        <f t="shared" ca="1" si="290"/>
        <v>#VALUE!</v>
      </c>
      <c r="S172" s="19" t="e">
        <f t="shared" ca="1" si="291"/>
        <v>#VALUE!</v>
      </c>
      <c r="T172" s="19" t="e">
        <f t="shared" ca="1" si="296"/>
        <v>#VALUE!</v>
      </c>
      <c r="U172" s="19" t="e">
        <f t="shared" ca="1" si="297"/>
        <v>#VALUE!</v>
      </c>
      <c r="V172" s="21">
        <f t="shared" ca="1" si="298"/>
        <v>1.3480147573414607E-4</v>
      </c>
      <c r="W172">
        <f t="shared" ca="1" si="299"/>
        <v>1.1610403771365838E-2</v>
      </c>
      <c r="X172" s="22">
        <f t="shared" ref="X172" ca="1" si="379">BSdelta(1,P172,Strike,W172*AnnualVarConvtr,Dividend,RiskFreeRate,G172/250)</f>
        <v>0</v>
      </c>
      <c r="Y172" s="22">
        <f t="shared" ca="1" si="305"/>
        <v>0</v>
      </c>
      <c r="Z172" s="22">
        <f t="shared" ca="1" si="306"/>
        <v>-7.4987778717473992</v>
      </c>
      <c r="AA172">
        <f t="shared" si="293"/>
        <v>0.73884103340948371</v>
      </c>
      <c r="AB172">
        <f t="shared" ref="AB172" ca="1" si="380">BSdelta(1,P172,Strike,AA172/AnnualVarConvtr,Dividend,RiskFreeRate,G172/250)</f>
        <v>0</v>
      </c>
      <c r="AC172">
        <f t="shared" ca="1" si="302"/>
        <v>0</v>
      </c>
      <c r="AD172">
        <f t="shared" ca="1" si="303"/>
        <v>-2.5925431211927754</v>
      </c>
    </row>
    <row r="173" spans="7:30" x14ac:dyDescent="0.25">
      <c r="G173" s="19">
        <v>82</v>
      </c>
      <c r="H173" s="19">
        <f t="shared" ca="1" si="352"/>
        <v>0.65145261977216662</v>
      </c>
      <c r="I173" s="19">
        <f t="shared" ca="1" si="352"/>
        <v>0.9378518286896822</v>
      </c>
      <c r="J173" s="19">
        <f t="shared" ca="1" si="288"/>
        <v>0.85610656461012602</v>
      </c>
      <c r="K173" s="19">
        <f t="shared" ca="1" si="289"/>
        <v>-0.35239575737857742</v>
      </c>
      <c r="L173" s="19">
        <f t="array" aca="1" ref="L173:M173" ca="1">MMULT(J173:K173,TRANSPOSE($B$10:$C$11))</f>
        <v>0.85610656461012602</v>
      </c>
      <c r="M173" s="19">
        <f ca="1"/>
        <v>-0.85922708493237232</v>
      </c>
      <c r="N173" s="20">
        <f ca="1">GetVariance(N172,Variance_Avg,Lambda,Eta,M173,"Daily")</f>
        <v>6.3575814727462307E-2</v>
      </c>
      <c r="O173" s="20">
        <f ca="1">GetStockReturns(O172,RiskFreeRate,N172,L173,"Daily")</f>
        <v>-4.4716811283190612E-2</v>
      </c>
      <c r="P173" s="19">
        <f t="shared" ca="1" si="295"/>
        <v>1.9237090558645882E-7</v>
      </c>
      <c r="Q173" s="19">
        <f ca="1">HCTrans(P173,Strike,RiskFreeRate,Dividend,Variance_T0*AnnualVarConvtr,(Simulation!G173)/250,0.5,Variance_Avg*AnnualVarConvtr,Lambda,SQRT(Simulation!N173),Rho,1,"Call")</f>
        <v>-1.5076665652548131E-5</v>
      </c>
      <c r="R173" s="19" t="e">
        <f t="shared" ca="1" si="290"/>
        <v>#VALUE!</v>
      </c>
      <c r="S173" s="19" t="e">
        <f t="shared" ca="1" si="291"/>
        <v>#VALUE!</v>
      </c>
      <c r="T173" s="19" t="e">
        <f t="shared" ca="1" si="296"/>
        <v>#VALUE!</v>
      </c>
      <c r="U173" s="19" t="e">
        <f t="shared" ca="1" si="297"/>
        <v>#VALUE!</v>
      </c>
      <c r="V173" s="21">
        <f t="shared" ca="1" si="298"/>
        <v>2.0329129115172621E-4</v>
      </c>
      <c r="W173">
        <f t="shared" ca="1" si="299"/>
        <v>1.4258025499757188E-2</v>
      </c>
      <c r="X173" s="22">
        <f t="shared" ref="X173" ca="1" si="381">BSdelta(1,P173,Strike,W173*AnnualVarConvtr,Dividend,RiskFreeRate,G173/250)</f>
        <v>0</v>
      </c>
      <c r="Y173" s="22">
        <f t="shared" ca="1" si="305"/>
        <v>0</v>
      </c>
      <c r="Z173" s="22">
        <f t="shared" ca="1" si="306"/>
        <v>-7.498777871689092</v>
      </c>
      <c r="AA173">
        <f t="shared" si="293"/>
        <v>0.73884103340948371</v>
      </c>
      <c r="AB173">
        <f t="shared" ref="AB173" ca="1" si="382">BSdelta(1,P173,Strike,AA173/AnnualVarConvtr,Dividend,RiskFreeRate,G173/250)</f>
        <v>0</v>
      </c>
      <c r="AC173">
        <f t="shared" ca="1" si="302"/>
        <v>0</v>
      </c>
      <c r="AD173">
        <f t="shared" ca="1" si="303"/>
        <v>-2.5925431211344683</v>
      </c>
    </row>
    <row r="174" spans="7:30" x14ac:dyDescent="0.25">
      <c r="G174" s="19">
        <v>81</v>
      </c>
      <c r="H174" s="19">
        <f t="shared" ca="1" si="352"/>
        <v>0.64401663749876503</v>
      </c>
      <c r="I174" s="19">
        <f t="shared" ca="1" si="352"/>
        <v>0.46901857296816074</v>
      </c>
      <c r="J174" s="19">
        <f t="shared" ca="1" si="288"/>
        <v>-0.92039779400965649</v>
      </c>
      <c r="K174" s="19">
        <f t="shared" ca="1" si="289"/>
        <v>0.18146442613999603</v>
      </c>
      <c r="L174" s="19">
        <f t="array" aca="1" ref="L174:M174" ca="1">MMULT(J174:K174,TRANSPOSE($B$10:$C$11))</f>
        <v>-0.92039779400965649</v>
      </c>
      <c r="M174" s="19">
        <f ca="1"/>
        <v>0.78605226062005451</v>
      </c>
      <c r="N174" s="20">
        <f ca="1">GetVariance(N173,Variance_Avg,Lambda,Eta,M174,"Daily")</f>
        <v>6.8228865451987392E-2</v>
      </c>
      <c r="O174" s="20">
        <f ca="1">GetStockReturns(O173,RiskFreeRate,N173,L174,"Daily")</f>
        <v>-5.9394292455320893E-2</v>
      </c>
      <c r="P174" s="19">
        <f t="shared" ca="1" si="295"/>
        <v>1.8127786429785334E-7</v>
      </c>
      <c r="Q174" s="19">
        <f ca="1">HCTrans(P174,Strike,RiskFreeRate,Dividend,Variance_T0*AnnualVarConvtr,(Simulation!G174)/250,0.5,Variance_Avg*AnnualVarConvtr,Lambda,SQRT(Simulation!N174),Rho,1,"Call")</f>
        <v>-1.5076587929218979E-5</v>
      </c>
      <c r="R174" s="19" t="e">
        <f t="shared" ca="1" si="290"/>
        <v>#VALUE!</v>
      </c>
      <c r="S174" s="19" t="e">
        <f t="shared" ca="1" si="291"/>
        <v>#VALUE!</v>
      </c>
      <c r="T174" s="19" t="e">
        <f t="shared" ca="1" si="296"/>
        <v>#VALUE!</v>
      </c>
      <c r="U174" s="19" t="e">
        <f t="shared" ca="1" si="297"/>
        <v>#VALUE!</v>
      </c>
      <c r="V174" s="21">
        <f t="shared" ca="1" si="298"/>
        <v>2.1542845355823891E-4</v>
      </c>
      <c r="W174">
        <f t="shared" ca="1" si="299"/>
        <v>1.4677481172130281E-2</v>
      </c>
      <c r="X174" s="22">
        <f t="shared" ref="X174" ca="1" si="383">BSdelta(1,P174,Strike,W174*AnnualVarConvtr,Dividend,RiskFreeRate,G174/250)</f>
        <v>0</v>
      </c>
      <c r="Y174" s="22">
        <f t="shared" ca="1" si="305"/>
        <v>0</v>
      </c>
      <c r="Z174" s="22">
        <f t="shared" ca="1" si="306"/>
        <v>-7.4987778716113684</v>
      </c>
      <c r="AA174">
        <f t="shared" si="293"/>
        <v>0.73884103340948371</v>
      </c>
      <c r="AB174">
        <f t="shared" ref="AB174" ca="1" si="384">BSdelta(1,P174,Strike,AA174/AnnualVarConvtr,Dividend,RiskFreeRate,G174/250)</f>
        <v>0</v>
      </c>
      <c r="AC174">
        <f t="shared" ca="1" si="302"/>
        <v>0</v>
      </c>
      <c r="AD174">
        <f t="shared" ca="1" si="303"/>
        <v>-2.5925431210567451</v>
      </c>
    </row>
    <row r="175" spans="7:30" x14ac:dyDescent="0.25">
      <c r="G175" s="19">
        <v>80</v>
      </c>
      <c r="H175" s="19">
        <f t="shared" ca="1" si="352"/>
        <v>0.48999186708736187</v>
      </c>
      <c r="I175" s="19">
        <f t="shared" ca="1" si="352"/>
        <v>7.2250799644686281E-2</v>
      </c>
      <c r="J175" s="19">
        <f t="shared" ca="1" si="288"/>
        <v>1.0734788529789239</v>
      </c>
      <c r="K175" s="19">
        <f t="shared" ca="1" si="289"/>
        <v>0.52380924371307225</v>
      </c>
      <c r="L175" s="19">
        <f t="array" aca="1" ref="L175:M175" ca="1">MMULT(J175:K175,TRANSPOSE($B$10:$C$11))</f>
        <v>1.0734788529789239</v>
      </c>
      <c r="M175" s="19">
        <f ca="1"/>
        <v>-0.40374503142216911</v>
      </c>
      <c r="N175" s="20">
        <f ca="1">GetVariance(N174,Variance_Avg,Lambda,Eta,M175,"Daily")</f>
        <v>6.5343092258216662E-2</v>
      </c>
      <c r="O175" s="20">
        <f ca="1">GetStockReturns(O174,RiskFreeRate,N174,L175,"Daily")</f>
        <v>-4.1660257345313784E-2</v>
      </c>
      <c r="P175" s="19">
        <f t="shared" ca="1" si="295"/>
        <v>1.7388093069695248E-7</v>
      </c>
      <c r="Q175" s="19">
        <f ca="1">HCTrans(P175,Strike,RiskFreeRate,Dividend,Variance_T0*AnnualVarConvtr,(Simulation!G175)/250,0.5,Variance_Avg*AnnualVarConvtr,Lambda,SQRT(Simulation!N175),Rho,1,"Call")</f>
        <v>-1.5076533912933087E-5</v>
      </c>
      <c r="R175" s="19" t="e">
        <f t="shared" ca="1" si="290"/>
        <v>#VALUE!</v>
      </c>
      <c r="S175" s="19" t="e">
        <f t="shared" ca="1" si="291"/>
        <v>#VALUE!</v>
      </c>
      <c r="T175" s="19" t="e">
        <f t="shared" ca="1" si="296"/>
        <v>#VALUE!</v>
      </c>
      <c r="U175" s="19" t="e">
        <f t="shared" ca="1" si="297"/>
        <v>#VALUE!</v>
      </c>
      <c r="V175" s="21">
        <f t="shared" ca="1" si="298"/>
        <v>3.1449600128296488E-4</v>
      </c>
      <c r="W175">
        <f t="shared" ca="1" si="299"/>
        <v>1.773403511000711E-2</v>
      </c>
      <c r="X175" s="22">
        <f t="shared" ref="X175" ca="1" si="385">BSdelta(1,P175,Strike,W175*AnnualVarConvtr,Dividend,RiskFreeRate,G175/250)</f>
        <v>0</v>
      </c>
      <c r="Y175" s="22">
        <f t="shared" ca="1" si="305"/>
        <v>0</v>
      </c>
      <c r="Z175" s="22">
        <f t="shared" ca="1" si="306"/>
        <v>-7.4987778715573521</v>
      </c>
      <c r="AA175">
        <f t="shared" si="293"/>
        <v>0.73884103340948371</v>
      </c>
      <c r="AB175">
        <f t="shared" ref="AB175" ca="1" si="386">BSdelta(1,P175,Strike,AA175/AnnualVarConvtr,Dividend,RiskFreeRate,G175/250)</f>
        <v>0</v>
      </c>
      <c r="AC175">
        <f t="shared" ca="1" si="302"/>
        <v>0</v>
      </c>
      <c r="AD175">
        <f t="shared" ca="1" si="303"/>
        <v>-2.5925431210027288</v>
      </c>
    </row>
    <row r="176" spans="7:30" x14ac:dyDescent="0.25">
      <c r="G176" s="19">
        <v>79</v>
      </c>
      <c r="H176" s="19">
        <f t="shared" ca="1" si="352"/>
        <v>0.24187554414949863</v>
      </c>
      <c r="I176" s="19">
        <f t="shared" ca="1" si="352"/>
        <v>0.46324866579604729</v>
      </c>
      <c r="J176" s="19">
        <f t="shared" ca="1" si="288"/>
        <v>-1.6401134496704446</v>
      </c>
      <c r="K176" s="19">
        <f t="shared" ca="1" si="289"/>
        <v>0.38560576134697155</v>
      </c>
      <c r="L176" s="19">
        <f t="array" aca="1" ref="L176:M176" ca="1">MMULT(J176:K176,TRANSPOSE($B$10:$C$11))</f>
        <v>-1.6401134496704446</v>
      </c>
      <c r="M176" s="19">
        <f ca="1"/>
        <v>1.4441348881496925</v>
      </c>
      <c r="N176" s="20">
        <f ca="1">GetVariance(N175,Variance_Avg,Lambda,Eta,M176,"Daily")</f>
        <v>7.4399292350473462E-2</v>
      </c>
      <c r="O176" s="20">
        <f ca="1">GetStockReturns(O175,RiskFreeRate,N175,L176,"Daily")</f>
        <v>-6.8175995835365766E-2</v>
      </c>
      <c r="P176" s="19">
        <f t="shared" ca="1" si="295"/>
        <v>1.6242149263709086E-7</v>
      </c>
      <c r="Q176" s="19">
        <f ca="1">HCTrans(P176,Strike,RiskFreeRate,Dividend,Variance_T0*AnnualVarConvtr,(Simulation!G176)/250,0.5,Variance_Avg*AnnualVarConvtr,Lambda,SQRT(Simulation!N176),Rho,1,"Call")</f>
        <v>-1.5076444920403601E-5</v>
      </c>
      <c r="R176" s="19" t="e">
        <f t="shared" ca="1" si="290"/>
        <v>#VALUE!</v>
      </c>
      <c r="S176" s="19" t="e">
        <f t="shared" ca="1" si="291"/>
        <v>#VALUE!</v>
      </c>
      <c r="T176" s="19" t="e">
        <f t="shared" ca="1" si="296"/>
        <v>#VALUE!</v>
      </c>
      <c r="U176" s="19" t="e">
        <f t="shared" ca="1" si="297"/>
        <v>#VALUE!</v>
      </c>
      <c r="V176" s="21">
        <f t="shared" ca="1" si="298"/>
        <v>7.0308438767282416E-4</v>
      </c>
      <c r="W176">
        <f t="shared" ca="1" si="299"/>
        <v>2.6515738490051982E-2</v>
      </c>
      <c r="X176" s="22">
        <f t="shared" ref="X176" ca="1" si="387">BSdelta(1,P176,Strike,W176*AnnualVarConvtr,Dividend,RiskFreeRate,G176/250)</f>
        <v>0</v>
      </c>
      <c r="Y176" s="22">
        <f t="shared" ca="1" si="305"/>
        <v>0</v>
      </c>
      <c r="Z176" s="22">
        <f t="shared" ca="1" si="306"/>
        <v>-7.4987778714683593</v>
      </c>
      <c r="AA176">
        <f t="shared" si="293"/>
        <v>0.73884103340948371</v>
      </c>
      <c r="AB176">
        <f t="shared" ref="AB176" ca="1" si="388">BSdelta(1,P176,Strike,AA176/AnnualVarConvtr,Dividend,RiskFreeRate,G176/250)</f>
        <v>0</v>
      </c>
      <c r="AC176">
        <f t="shared" ca="1" si="302"/>
        <v>0</v>
      </c>
      <c r="AD176">
        <f t="shared" ca="1" si="303"/>
        <v>-2.5925431209137364</v>
      </c>
    </row>
    <row r="177" spans="7:30" x14ac:dyDescent="0.25">
      <c r="G177" s="19">
        <v>78</v>
      </c>
      <c r="H177" s="19">
        <f t="shared" ca="1" si="352"/>
        <v>0.1775334103067695</v>
      </c>
      <c r="I177" s="19">
        <f t="shared" ca="1" si="352"/>
        <v>0.27414954432449612</v>
      </c>
      <c r="J177" s="19">
        <f t="shared" ca="1" si="288"/>
        <v>-0.28104949869514578</v>
      </c>
      <c r="K177" s="19">
        <f t="shared" ca="1" si="289"/>
        <v>1.8379891459638018</v>
      </c>
      <c r="L177" s="19">
        <f t="array" aca="1" ref="L177:M177" ca="1">MMULT(J177:K177,TRANSPOSE($B$10:$C$11))</f>
        <v>-0.28104949869514578</v>
      </c>
      <c r="M177" s="19">
        <f ca="1"/>
        <v>1.483529468056916</v>
      </c>
      <c r="N177" s="20">
        <f ca="1">GetVariance(N176,Variance_Avg,Lambda,Eta,M177,"Daily")</f>
        <v>8.429521550628466E-2</v>
      </c>
      <c r="O177" s="20">
        <f ca="1">GetStockReturns(O176,RiskFreeRate,N176,L177,"Daily")</f>
        <v>-7.302438210913885E-2</v>
      </c>
      <c r="P177" s="19">
        <f t="shared" ca="1" si="295"/>
        <v>1.5098347302907104E-7</v>
      </c>
      <c r="Q177" s="19">
        <f ca="1">HCTrans(P177,Strike,RiskFreeRate,Dividend,Variance_T0*AnnualVarConvtr,(Simulation!G177)/250,0.5,Variance_Avg*AnnualVarConvtr,Lambda,SQRT(Simulation!N177),Rho,1,"Call")</f>
        <v>-1.5076349881553989E-5</v>
      </c>
      <c r="R177" s="19" t="e">
        <f t="shared" ca="1" si="290"/>
        <v>#VALUE!</v>
      </c>
      <c r="S177" s="19" t="e">
        <f t="shared" ca="1" si="291"/>
        <v>#VALUE!</v>
      </c>
      <c r="T177" s="19" t="e">
        <f t="shared" ca="1" si="296"/>
        <v>#VALUE!</v>
      </c>
      <c r="U177" s="19" t="e">
        <f t="shared" ca="1" si="297"/>
        <v>#VALUE!</v>
      </c>
      <c r="V177" s="21">
        <f t="shared" ca="1" si="298"/>
        <v>2.3506849459711249E-5</v>
      </c>
      <c r="W177">
        <f t="shared" ca="1" si="299"/>
        <v>4.8483862737730837E-3</v>
      </c>
      <c r="X177" s="22">
        <f t="shared" ref="X177" ca="1" si="389">BSdelta(1,P177,Strike,W177*AnnualVarConvtr,Dividend,RiskFreeRate,G177/250)</f>
        <v>0</v>
      </c>
      <c r="Y177" s="22">
        <f t="shared" ca="1" si="305"/>
        <v>0</v>
      </c>
      <c r="Z177" s="22">
        <f t="shared" ca="1" si="306"/>
        <v>-7.4987778713733206</v>
      </c>
      <c r="AA177">
        <f t="shared" si="293"/>
        <v>0.73884103340948371</v>
      </c>
      <c r="AB177">
        <f t="shared" ref="AB177" ca="1" si="390">BSdelta(1,P177,Strike,AA177/AnnualVarConvtr,Dividend,RiskFreeRate,G177/250)</f>
        <v>0</v>
      </c>
      <c r="AC177">
        <f t="shared" ca="1" si="302"/>
        <v>0</v>
      </c>
      <c r="AD177">
        <f t="shared" ca="1" si="303"/>
        <v>-2.5925431208186978</v>
      </c>
    </row>
    <row r="178" spans="7:30" x14ac:dyDescent="0.25">
      <c r="G178" s="19">
        <v>77</v>
      </c>
      <c r="H178" s="19">
        <f t="shared" ca="1" si="352"/>
        <v>8.5283065488829246E-3</v>
      </c>
      <c r="I178" s="19">
        <f t="shared" ca="1" si="352"/>
        <v>0.60932414186410655</v>
      </c>
      <c r="J178" s="19">
        <f t="shared" ca="1" si="288"/>
        <v>-2.3868037377277815</v>
      </c>
      <c r="K178" s="19">
        <f t="shared" ca="1" si="289"/>
        <v>-1.9575231415365038</v>
      </c>
      <c r="L178" s="19">
        <f t="array" aca="1" ref="L178:M178" ca="1">MMULT(J178:K178,TRANSPOSE($B$10:$C$11))</f>
        <v>-2.3868037377277815</v>
      </c>
      <c r="M178" s="19">
        <f ca="1"/>
        <v>0.3446020035526618</v>
      </c>
      <c r="N178" s="20">
        <f ca="1">GetVariance(N177,Variance_Avg,Lambda,Eta,M178,"Daily")</f>
        <v>8.6356818805309724E-2</v>
      </c>
      <c r="O178" s="20">
        <f ca="1">GetStockReturns(O177,RiskFreeRate,N177,L178,"Daily")</f>
        <v>-0.11685203037329574</v>
      </c>
      <c r="P178" s="19">
        <f t="shared" ca="1" si="295"/>
        <v>1.3433253768397056E-7</v>
      </c>
      <c r="Q178" s="19">
        <f ca="1">HCTrans(P178,Strike,RiskFreeRate,Dividend,Variance_T0*AnnualVarConvtr,(Simulation!G178)/250,0.5,Variance_Avg*AnnualVarConvtr,Lambda,SQRT(Simulation!N178),Rho,1,"Call")</f>
        <v>-1.5076197929375902E-5</v>
      </c>
      <c r="R178" s="19" t="e">
        <f t="shared" ca="1" si="290"/>
        <v>#VALUE!</v>
      </c>
      <c r="S178" s="19" t="e">
        <f t="shared" ca="1" si="291"/>
        <v>#VALUE!</v>
      </c>
      <c r="T178" s="19" t="e">
        <f t="shared" ca="1" si="296"/>
        <v>#VALUE!</v>
      </c>
      <c r="U178" s="19" t="e">
        <f t="shared" ca="1" si="297"/>
        <v>#VALUE!</v>
      </c>
      <c r="V178" s="21">
        <f t="shared" ca="1" si="298"/>
        <v>1.9208627523666542E-3</v>
      </c>
      <c r="W178">
        <f t="shared" ca="1" si="299"/>
        <v>4.3827648264156888E-2</v>
      </c>
      <c r="X178" s="22">
        <f t="shared" ref="X178" ca="1" si="391">BSdelta(1,P178,Strike,W178*AnnualVarConvtr,Dividend,RiskFreeRate,G178/250)</f>
        <v>0</v>
      </c>
      <c r="Y178" s="22">
        <f t="shared" ca="1" si="305"/>
        <v>0</v>
      </c>
      <c r="Z178" s="22">
        <f t="shared" ca="1" si="306"/>
        <v>-7.4987778712213684</v>
      </c>
      <c r="AA178">
        <f t="shared" si="293"/>
        <v>0.73884103340948371</v>
      </c>
      <c r="AB178">
        <f t="shared" ref="AB178" ca="1" si="392">BSdelta(1,P178,Strike,AA178/AnnualVarConvtr,Dividend,RiskFreeRate,G178/250)</f>
        <v>0</v>
      </c>
      <c r="AC178">
        <f t="shared" ca="1" si="302"/>
        <v>0</v>
      </c>
      <c r="AD178">
        <f t="shared" ca="1" si="303"/>
        <v>-2.5925431206667455</v>
      </c>
    </row>
    <row r="179" spans="7:30" x14ac:dyDescent="0.25">
      <c r="G179" s="19">
        <v>76</v>
      </c>
      <c r="H179" s="19">
        <f t="shared" ca="1" si="352"/>
        <v>0.48143941221993158</v>
      </c>
      <c r="I179" s="19">
        <f t="shared" ca="1" si="352"/>
        <v>9.8557544378409467E-2</v>
      </c>
      <c r="J179" s="19">
        <f t="shared" ca="1" si="288"/>
        <v>0.98459241235600903</v>
      </c>
      <c r="K179" s="19">
        <f t="shared" ca="1" si="289"/>
        <v>0.70180307458119073</v>
      </c>
      <c r="L179" s="19">
        <f t="array" aca="1" ref="L179:M179" ca="1">MMULT(J179:K179,TRANSPOSE($B$10:$C$11))</f>
        <v>0.98459241235600903</v>
      </c>
      <c r="M179" s="19">
        <f ca="1"/>
        <v>-0.21589169796463198</v>
      </c>
      <c r="N179" s="20">
        <f ca="1">GetVariance(N178,Variance_Avg,Lambda,Eta,M179,"Daily")</f>
        <v>8.4387737699923138E-2</v>
      </c>
      <c r="O179" s="20">
        <f ca="1">GetStockReturns(O178,RiskFreeRate,N178,L179,"Daily")</f>
        <v>-9.8552716848884933E-2</v>
      </c>
      <c r="P179" s="19">
        <f t="shared" ca="1" si="295"/>
        <v>1.217251498916819E-7</v>
      </c>
      <c r="Q179" s="19">
        <f ca="1">HCTrans(P179,Strike,RiskFreeRate,Dividend,Variance_T0*AnnualVarConvtr,(Simulation!G179)/250,0.5,Variance_Avg*AnnualVarConvtr,Lambda,SQRT(Simulation!N179),Rho,1,"Call")</f>
        <v>-1.5076071071403611E-5</v>
      </c>
      <c r="R179" s="19" t="e">
        <f t="shared" ca="1" si="290"/>
        <v>#VALUE!</v>
      </c>
      <c r="S179" s="19" t="e">
        <f t="shared" ca="1" si="291"/>
        <v>#VALUE!</v>
      </c>
      <c r="T179" s="19" t="e">
        <f t="shared" ca="1" si="296"/>
        <v>#VALUE!</v>
      </c>
      <c r="U179" s="19" t="e">
        <f t="shared" ca="1" si="297"/>
        <v>#VALUE!</v>
      </c>
      <c r="V179" s="21">
        <f t="shared" ca="1" si="298"/>
        <v>3.3486487546468418E-4</v>
      </c>
      <c r="W179">
        <f t="shared" ca="1" si="299"/>
        <v>1.8299313524410804E-2</v>
      </c>
      <c r="X179" s="22">
        <f t="shared" ref="X179" ca="1" si="393">BSdelta(1,P179,Strike,W179*AnnualVarConvtr,Dividend,RiskFreeRate,G179/250)</f>
        <v>0</v>
      </c>
      <c r="Y179" s="22">
        <f t="shared" ca="1" si="305"/>
        <v>0</v>
      </c>
      <c r="Z179" s="22">
        <f t="shared" ca="1" si="306"/>
        <v>-7.4987778710945108</v>
      </c>
      <c r="AA179">
        <f t="shared" si="293"/>
        <v>0.73884103340948371</v>
      </c>
      <c r="AB179">
        <f t="shared" ref="AB179" ca="1" si="394">BSdelta(1,P179,Strike,AA179/AnnualVarConvtr,Dividend,RiskFreeRate,G179/250)</f>
        <v>0</v>
      </c>
      <c r="AC179">
        <f t="shared" ca="1" si="302"/>
        <v>0</v>
      </c>
      <c r="AD179">
        <f t="shared" ca="1" si="303"/>
        <v>-2.5925431205398874</v>
      </c>
    </row>
    <row r="180" spans="7:30" x14ac:dyDescent="0.25">
      <c r="G180" s="19">
        <v>75</v>
      </c>
      <c r="H180" s="19">
        <f t="shared" ca="1" si="352"/>
        <v>0.61875930465681073</v>
      </c>
      <c r="I180" s="19">
        <f t="shared" ca="1" si="352"/>
        <v>0.95245803723366462</v>
      </c>
      <c r="J180" s="19">
        <f t="shared" ca="1" si="288"/>
        <v>0.93644405146610032</v>
      </c>
      <c r="K180" s="19">
        <f t="shared" ca="1" si="289"/>
        <v>-0.28835809896721393</v>
      </c>
      <c r="L180" s="19">
        <f t="array" aca="1" ref="L180:M180" ca="1">MMULT(J180:K180,TRANSPOSE($B$10:$C$11))</f>
        <v>0.93644405146610032</v>
      </c>
      <c r="M180" s="19">
        <f ca="1"/>
        <v>-0.87211705039746312</v>
      </c>
      <c r="N180" s="20">
        <f ca="1">GetVariance(N179,Variance_Avg,Lambda,Eta,M180,"Daily")</f>
        <v>7.7879931740882188E-2</v>
      </c>
      <c r="O180" s="20">
        <f ca="1">GetStockReturns(O179,RiskFreeRate,N179,L180,"Daily")</f>
        <v>-8.1347842585451774E-2</v>
      </c>
      <c r="P180" s="19">
        <f t="shared" ca="1" si="295"/>
        <v>1.1221512533144459E-7</v>
      </c>
      <c r="Q180" s="19">
        <f ca="1">HCTrans(P180,Strike,RiskFreeRate,Dividend,Variance_T0*AnnualVarConvtr,(Simulation!G180)/250,0.5,Variance_Avg*AnnualVarConvtr,Lambda,SQRT(Simulation!N180),Rho,1,"Call")</f>
        <v>-1.5075967416860789E-5</v>
      </c>
      <c r="R180" s="19" t="e">
        <f t="shared" ca="1" si="290"/>
        <v>#VALUE!</v>
      </c>
      <c r="S180" s="19" t="e">
        <f t="shared" ca="1" si="291"/>
        <v>#VALUE!</v>
      </c>
      <c r="T180" s="19" t="e">
        <f t="shared" ca="1" si="296"/>
        <v>#VALUE!</v>
      </c>
      <c r="U180" s="19" t="e">
        <f t="shared" ca="1" si="297"/>
        <v>#VALUE!</v>
      </c>
      <c r="V180" s="21">
        <f t="shared" ca="1" si="298"/>
        <v>2.9600769842054469E-4</v>
      </c>
      <c r="W180">
        <f t="shared" ca="1" si="299"/>
        <v>1.7204874263433159E-2</v>
      </c>
      <c r="X180" s="22">
        <f t="shared" ref="X180" ca="1" si="395">BSdelta(1,P180,Strike,W180*AnnualVarConvtr,Dividend,RiskFreeRate,G180/250)</f>
        <v>0</v>
      </c>
      <c r="Y180" s="22">
        <f t="shared" ca="1" si="305"/>
        <v>0</v>
      </c>
      <c r="Z180" s="22">
        <f t="shared" ca="1" si="306"/>
        <v>-7.4987778709908559</v>
      </c>
      <c r="AA180">
        <f t="shared" si="293"/>
        <v>0.73884103340948371</v>
      </c>
      <c r="AB180">
        <f t="shared" ref="AB180" ca="1" si="396">BSdelta(1,P180,Strike,AA180/AnnualVarConvtr,Dividend,RiskFreeRate,G180/250)</f>
        <v>0</v>
      </c>
      <c r="AC180">
        <f t="shared" ca="1" si="302"/>
        <v>0</v>
      </c>
      <c r="AD180">
        <f t="shared" ca="1" si="303"/>
        <v>-2.592543120436233</v>
      </c>
    </row>
    <row r="181" spans="7:30" x14ac:dyDescent="0.25">
      <c r="G181" s="19">
        <v>74</v>
      </c>
      <c r="H181" s="19">
        <f t="shared" ca="1" si="352"/>
        <v>0.35046163751409887</v>
      </c>
      <c r="I181" s="19">
        <f t="shared" ca="1" si="352"/>
        <v>1.1400505041992415E-2</v>
      </c>
      <c r="J181" s="19">
        <f t="shared" ca="1" si="288"/>
        <v>1.4443914132019677</v>
      </c>
      <c r="K181" s="19">
        <f t="shared" ca="1" si="289"/>
        <v>0.10364122708885222</v>
      </c>
      <c r="L181" s="19">
        <f t="array" aca="1" ref="L181:M181" ca="1">MMULT(J181:K181,TRANSPOSE($B$10:$C$11))</f>
        <v>1.4443914132019677</v>
      </c>
      <c r="M181" s="19">
        <f ca="1"/>
        <v>-0.96260766541170129</v>
      </c>
      <c r="N181" s="20">
        <f ca="1">GetVariance(N180,Variance_Avg,Lambda,Eta,M181,"Daily")</f>
        <v>7.1056702820703352E-2</v>
      </c>
      <c r="O181" s="20">
        <f ca="1">GetStockReturns(O180,RiskFreeRate,N180,L181,"Daily")</f>
        <v>-5.5854447608697129E-2</v>
      </c>
      <c r="P181" s="19">
        <f t="shared" ca="1" si="295"/>
        <v>1.0611923742445706E-7</v>
      </c>
      <c r="Q181" s="19">
        <f ca="1">HCTrans(P181,Strike,RiskFreeRate,Dividend,Variance_T0*AnnualVarConvtr,(Simulation!G181)/250,0.5,Variance_Avg*AnnualVarConvtr,Lambda,SQRT(Simulation!N181),Rho,1,"Call")</f>
        <v>-1.5075897110547641E-5</v>
      </c>
      <c r="R181" s="19" t="e">
        <f t="shared" ca="1" si="290"/>
        <v>#VALUE!</v>
      </c>
      <c r="S181" s="19" t="e">
        <f t="shared" ca="1" si="291"/>
        <v>#VALUE!</v>
      </c>
      <c r="T181" s="19" t="e">
        <f t="shared" ca="1" si="296"/>
        <v>#VALUE!</v>
      </c>
      <c r="U181" s="19" t="e">
        <f t="shared" ca="1" si="297"/>
        <v>#VALUE!</v>
      </c>
      <c r="V181" s="21">
        <f t="shared" ca="1" si="298"/>
        <v>6.4991318744081895E-4</v>
      </c>
      <c r="W181">
        <f t="shared" ca="1" si="299"/>
        <v>2.5493394976754645E-2</v>
      </c>
      <c r="X181" s="22">
        <f t="shared" ref="X181" ca="1" si="397">BSdelta(1,P181,Strike,W181*AnnualVarConvtr,Dividend,RiskFreeRate,G181/250)</f>
        <v>0</v>
      </c>
      <c r="Y181" s="22">
        <f t="shared" ca="1" si="305"/>
        <v>0</v>
      </c>
      <c r="Z181" s="22">
        <f t="shared" ca="1" si="306"/>
        <v>-7.4987778709205495</v>
      </c>
      <c r="AA181">
        <f t="shared" si="293"/>
        <v>0.73884103340948371</v>
      </c>
      <c r="AB181">
        <f t="shared" ref="AB181" ca="1" si="398">BSdelta(1,P181,Strike,AA181/AnnualVarConvtr,Dividend,RiskFreeRate,G181/250)</f>
        <v>0</v>
      </c>
      <c r="AC181">
        <f t="shared" ca="1" si="302"/>
        <v>0</v>
      </c>
      <c r="AD181">
        <f t="shared" ca="1" si="303"/>
        <v>-2.5925431203659266</v>
      </c>
    </row>
    <row r="182" spans="7:30" x14ac:dyDescent="0.25">
      <c r="G182" s="19">
        <v>73</v>
      </c>
      <c r="H182" s="19">
        <f t="shared" ca="1" si="352"/>
        <v>0.75632690774742983</v>
      </c>
      <c r="I182" s="19">
        <f t="shared" ca="1" si="352"/>
        <v>0.71471555520778884</v>
      </c>
      <c r="J182" s="19">
        <f t="shared" ca="1" si="288"/>
        <v>-0.16433718150852891</v>
      </c>
      <c r="K182" s="19">
        <f t="shared" ca="1" si="289"/>
        <v>-0.72907917814152556</v>
      </c>
      <c r="L182" s="19">
        <f t="array" aca="1" ref="L182:M182" ca="1">MMULT(J182:K182,TRANSPOSE($B$10:$C$11))</f>
        <v>-0.16433718150852891</v>
      </c>
      <c r="M182" s="19">
        <f ca="1"/>
        <v>-0.39084863268324793</v>
      </c>
      <c r="N182" s="20">
        <f ca="1">GetVariance(N181,Variance_Avg,Lambda,Eta,M182,"Daily")</f>
        <v>6.8185647749415684E-2</v>
      </c>
      <c r="O182" s="20">
        <f ca="1">GetStockReturns(O181,RiskFreeRate,N181,L182,"Daily")</f>
        <v>-5.862501268582411E-2</v>
      </c>
      <c r="P182" s="19">
        <f t="shared" ca="1" si="295"/>
        <v>1.000768439694588E-7</v>
      </c>
      <c r="Q182" s="19">
        <f ca="1">HCTrans(P182,Strike,RiskFreeRate,Dividend,Variance_T0*AnnualVarConvtr,(Simulation!G182)/250,0.5,Variance_Avg*AnnualVarConvtr,Lambda,SQRT(Simulation!N182),Rho,1,"Call")</f>
        <v>-1.5075823702304993E-5</v>
      </c>
      <c r="R182" s="19" t="e">
        <f t="shared" ca="1" si="290"/>
        <v>#VALUE!</v>
      </c>
      <c r="S182" s="19" t="e">
        <f t="shared" ca="1" si="291"/>
        <v>#VALUE!</v>
      </c>
      <c r="T182" s="19" t="e">
        <f t="shared" ca="1" si="296"/>
        <v>#VALUE!</v>
      </c>
      <c r="U182" s="19" t="e">
        <f t="shared" ca="1" si="297"/>
        <v>#VALUE!</v>
      </c>
      <c r="V182" s="21">
        <f t="shared" ca="1" si="298"/>
        <v>7.6760308465956337E-6</v>
      </c>
      <c r="W182">
        <f t="shared" ca="1" si="299"/>
        <v>2.770565077126981E-3</v>
      </c>
      <c r="X182" s="22">
        <f t="shared" ref="X182" ca="1" si="399">BSdelta(1,P182,Strike,W182*AnnualVarConvtr,Dividend,RiskFreeRate,G182/250)</f>
        <v>0</v>
      </c>
      <c r="Y182" s="22">
        <f t="shared" ca="1" si="305"/>
        <v>0</v>
      </c>
      <c r="Z182" s="22">
        <f t="shared" ca="1" si="306"/>
        <v>-7.4987778708471415</v>
      </c>
      <c r="AA182">
        <f t="shared" si="293"/>
        <v>0.73884103340948371</v>
      </c>
      <c r="AB182">
        <f t="shared" ref="AB182" ca="1" si="400">BSdelta(1,P182,Strike,AA182/AnnualVarConvtr,Dividend,RiskFreeRate,G182/250)</f>
        <v>0</v>
      </c>
      <c r="AC182">
        <f t="shared" ca="1" si="302"/>
        <v>0</v>
      </c>
      <c r="AD182">
        <f t="shared" ca="1" si="303"/>
        <v>-2.5925431202925182</v>
      </c>
    </row>
    <row r="183" spans="7:30" x14ac:dyDescent="0.25">
      <c r="G183" s="19">
        <v>72</v>
      </c>
      <c r="H183" s="19">
        <f t="shared" ca="1" si="352"/>
        <v>0.71195470208245482</v>
      </c>
      <c r="I183" s="19">
        <f t="shared" ca="1" si="352"/>
        <v>0.73692199664182167</v>
      </c>
      <c r="J183" s="19">
        <f t="shared" ca="1" si="288"/>
        <v>-6.7658355449378302E-2</v>
      </c>
      <c r="K183" s="19">
        <f t="shared" ca="1" si="289"/>
        <v>-0.82152560974530109</v>
      </c>
      <c r="L183" s="19">
        <f t="array" aca="1" ref="L183:M183" ca="1">MMULT(J183:K183,TRANSPOSE($B$10:$C$11))</f>
        <v>-6.7658355449378302E-2</v>
      </c>
      <c r="M183" s="19">
        <f ca="1"/>
        <v>-0.52460844888159086</v>
      </c>
      <c r="N183" s="20">
        <f ca="1">GetVariance(N182,Variance_Avg,Lambda,Eta,M183,"Daily")</f>
        <v>6.45439198398675E-2</v>
      </c>
      <c r="O183" s="20">
        <f ca="1">GetStockReturns(O182,RiskFreeRate,N182,L183,"Daily")</f>
        <v>-5.974238503059083E-2</v>
      </c>
      <c r="P183" s="19">
        <f t="shared" ca="1" si="295"/>
        <v>9.4273105318652799E-8</v>
      </c>
      <c r="Q183" s="19">
        <f ca="1">HCTrans(P183,Strike,RiskFreeRate,Dividend,Variance_T0*AnnualVarConvtr,(Simulation!G183)/250,0.5,Variance_Avg*AnnualVarConvtr,Lambda,SQRT(Simulation!N183),Rho,1,"Call")</f>
        <v>-1.5075749346422128E-5</v>
      </c>
      <c r="R183" s="19" t="e">
        <f t="shared" ca="1" si="290"/>
        <v>#VALUE!</v>
      </c>
      <c r="S183" s="19" t="e">
        <f t="shared" ca="1" si="291"/>
        <v>#VALUE!</v>
      </c>
      <c r="T183" s="19" t="e">
        <f t="shared" ca="1" si="296"/>
        <v>#VALUE!</v>
      </c>
      <c r="U183" s="19" t="e">
        <f t="shared" ca="1" si="297"/>
        <v>#VALUE!</v>
      </c>
      <c r="V183" s="21">
        <f t="shared" ca="1" si="298"/>
        <v>1.248520956849479E-6</v>
      </c>
      <c r="W183">
        <f t="shared" ca="1" si="299"/>
        <v>1.1173723447667205E-3</v>
      </c>
      <c r="X183" s="22">
        <f t="shared" ref="X183" ca="1" si="401">BSdelta(1,P183,Strike,W183*AnnualVarConvtr,Dividend,RiskFreeRate,G183/250)</f>
        <v>0</v>
      </c>
      <c r="Y183" s="22">
        <f t="shared" ca="1" si="305"/>
        <v>0</v>
      </c>
      <c r="Z183" s="22">
        <f t="shared" ca="1" si="306"/>
        <v>-7.4987778707727859</v>
      </c>
      <c r="AA183">
        <f t="shared" si="293"/>
        <v>0.73884103340948371</v>
      </c>
      <c r="AB183">
        <f t="shared" ref="AB183" ca="1" si="402">BSdelta(1,P183,Strike,AA183/AnnualVarConvtr,Dividend,RiskFreeRate,G183/250)</f>
        <v>0</v>
      </c>
      <c r="AC183">
        <f t="shared" ca="1" si="302"/>
        <v>0</v>
      </c>
      <c r="AD183">
        <f t="shared" ca="1" si="303"/>
        <v>-2.5925431202181621</v>
      </c>
    </row>
    <row r="184" spans="7:30" x14ac:dyDescent="0.25">
      <c r="G184" s="19">
        <v>71</v>
      </c>
      <c r="H184" s="19">
        <f t="shared" ca="1" si="352"/>
        <v>0.8325093849329388</v>
      </c>
      <c r="I184" s="19">
        <f t="shared" ca="1" si="352"/>
        <v>0.72727200527225333</v>
      </c>
      <c r="J184" s="19">
        <f t="shared" ca="1" si="288"/>
        <v>-8.6173333109276801E-2</v>
      </c>
      <c r="K184" s="19">
        <f t="shared" ca="1" si="289"/>
        <v>-0.59932939578962696</v>
      </c>
      <c r="L184" s="19">
        <f t="array" aca="1" ref="L184:M184" ca="1">MMULT(J184:K184,TRANSPOSE($B$10:$C$11))</f>
        <v>-8.6173333109276801E-2</v>
      </c>
      <c r="M184" s="19">
        <f ca="1"/>
        <v>-0.35634125678884382</v>
      </c>
      <c r="N184" s="20">
        <f ca="1">GetVariance(N183,Variance_Avg,Lambda,Eta,M184,"Daily")</f>
        <v>6.2038367927798023E-2</v>
      </c>
      <c r="O184" s="20">
        <f ca="1">GetStockReturns(O183,RiskFreeRate,N183,L184,"Daily")</f>
        <v>-6.1127004887773749E-2</v>
      </c>
      <c r="P184" s="19">
        <f t="shared" ca="1" si="295"/>
        <v>8.868306447171934E-8</v>
      </c>
      <c r="Q184" s="19">
        <f ca="1">HCTrans(P184,Strike,RiskFreeRate,Dividend,Variance_T0*AnnualVarConvtr,(Simulation!G184)/250,0.5,Variance_Avg*AnnualVarConvtr,Lambda,SQRT(Simulation!N184),Rho,1,"Call")</f>
        <v>-1.5075673763904668E-5</v>
      </c>
      <c r="R184" s="19" t="e">
        <f t="shared" ca="1" si="290"/>
        <v>#VALUE!</v>
      </c>
      <c r="S184" s="19" t="e">
        <f t="shared" ca="1" si="291"/>
        <v>#VALUE!</v>
      </c>
      <c r="T184" s="19" t="e">
        <f t="shared" ca="1" si="296"/>
        <v>#VALUE!</v>
      </c>
      <c r="U184" s="19" t="e">
        <f t="shared" ca="1" si="297"/>
        <v>#VALUE!</v>
      </c>
      <c r="V184" s="21">
        <f t="shared" ca="1" si="298"/>
        <v>1.9171721489052455E-6</v>
      </c>
      <c r="W184">
        <f t="shared" ca="1" si="299"/>
        <v>1.3846198571829185E-3</v>
      </c>
      <c r="X184" s="22">
        <f t="shared" ref="X184" ca="1" si="403">BSdelta(1,P184,Strike,W184*AnnualVarConvtr,Dividend,RiskFreeRate,G184/250)</f>
        <v>0</v>
      </c>
      <c r="Y184" s="22">
        <f t="shared" ca="1" si="305"/>
        <v>0</v>
      </c>
      <c r="Z184" s="22">
        <f t="shared" ca="1" si="306"/>
        <v>-7.4987778706972037</v>
      </c>
      <c r="AA184">
        <f t="shared" si="293"/>
        <v>0.73884103340948371</v>
      </c>
      <c r="AB184">
        <f t="shared" ref="AB184" ca="1" si="404">BSdelta(1,P184,Strike,AA184/AnnualVarConvtr,Dividend,RiskFreeRate,G184/250)</f>
        <v>0</v>
      </c>
      <c r="AC184">
        <f t="shared" ca="1" si="302"/>
        <v>0</v>
      </c>
      <c r="AD184">
        <f t="shared" ca="1" si="303"/>
        <v>-2.5925431201425795</v>
      </c>
    </row>
    <row r="185" spans="7:30" x14ac:dyDescent="0.25">
      <c r="G185" s="19">
        <v>70</v>
      </c>
      <c r="H185" s="19">
        <f t="shared" ca="1" si="352"/>
        <v>0.60567313066169193</v>
      </c>
      <c r="I185" s="19">
        <f t="shared" ca="1" si="352"/>
        <v>0.63360765011029496</v>
      </c>
      <c r="J185" s="19">
        <f t="shared" ca="1" si="288"/>
        <v>-0.66879296399493338</v>
      </c>
      <c r="K185" s="19">
        <f t="shared" ca="1" si="289"/>
        <v>-0.74534933076716037</v>
      </c>
      <c r="L185" s="19">
        <f t="array" aca="1" ref="L185:M185" ca="1">MMULT(J185:K185,TRANSPOSE($B$10:$C$11))</f>
        <v>-0.66879296399493338</v>
      </c>
      <c r="M185" s="19">
        <f ca="1"/>
        <v>-4.0755912977464503E-2</v>
      </c>
      <c r="N185" s="20">
        <f ca="1">GetVariance(N184,Variance_Avg,Lambda,Eta,M185,"Daily")</f>
        <v>6.1498178553800673E-2</v>
      </c>
      <c r="O185" s="20">
        <f ca="1">GetStockReturns(O184,RiskFreeRate,N184,L185,"Daily")</f>
        <v>-7.1662425361593271E-2</v>
      </c>
      <c r="P185" s="19">
        <f t="shared" ca="1" si="295"/>
        <v>8.2550193574856373E-8</v>
      </c>
      <c r="Q185" s="19">
        <f ca="1">HCTrans(P185,Strike,RiskFreeRate,Dividend,Variance_T0*AnnualVarConvtr,(Simulation!G185)/250,0.5,Variance_Avg*AnnualVarConvtr,Lambda,SQRT(Simulation!N185),Rho,1,"Call")</f>
        <v>-1.5075585654634949E-5</v>
      </c>
      <c r="R185" s="19" t="e">
        <f t="shared" ca="1" si="290"/>
        <v>#VALUE!</v>
      </c>
      <c r="S185" s="19" t="e">
        <f t="shared" ca="1" si="291"/>
        <v>#VALUE!</v>
      </c>
      <c r="T185" s="19" t="e">
        <f t="shared" ca="1" si="296"/>
        <v>#VALUE!</v>
      </c>
      <c r="U185" s="19" t="e">
        <f t="shared" ca="1" si="297"/>
        <v>#VALUE!</v>
      </c>
      <c r="V185" s="21">
        <f t="shared" ca="1" si="298"/>
        <v>1.1099508456017556E-4</v>
      </c>
      <c r="W185">
        <f t="shared" ca="1" si="299"/>
        <v>1.0535420473819522E-2</v>
      </c>
      <c r="X185" s="22">
        <f t="shared" ref="X185" ca="1" si="405">BSdelta(1,P185,Strike,W185*AnnualVarConvtr,Dividend,RiskFreeRate,G185/250)</f>
        <v>0</v>
      </c>
      <c r="Y185" s="22">
        <f t="shared" ca="1" si="305"/>
        <v>0</v>
      </c>
      <c r="Z185" s="22">
        <f t="shared" ca="1" si="306"/>
        <v>-7.4987778706090946</v>
      </c>
      <c r="AA185">
        <f t="shared" si="293"/>
        <v>0.73884103340948371</v>
      </c>
      <c r="AB185">
        <f t="shared" ref="AB185" ca="1" si="406">BSdelta(1,P185,Strike,AA185/AnnualVarConvtr,Dividend,RiskFreeRate,G185/250)</f>
        <v>0</v>
      </c>
      <c r="AC185">
        <f t="shared" ca="1" si="302"/>
        <v>0</v>
      </c>
      <c r="AD185">
        <f t="shared" ca="1" si="303"/>
        <v>-2.5925431200544704</v>
      </c>
    </row>
    <row r="186" spans="7:30" x14ac:dyDescent="0.25">
      <c r="G186" s="19">
        <v>69</v>
      </c>
      <c r="H186" s="19">
        <f t="shared" ca="1" si="352"/>
        <v>7.6477824232563774E-2</v>
      </c>
      <c r="I186" s="19">
        <f t="shared" ca="1" si="352"/>
        <v>0.28427511217324242</v>
      </c>
      <c r="J186" s="19">
        <f t="shared" ca="1" si="288"/>
        <v>-0.4845536293244001</v>
      </c>
      <c r="K186" s="19">
        <f t="shared" ca="1" si="289"/>
        <v>2.2151109902846606</v>
      </c>
      <c r="L186" s="19">
        <f t="array" aca="1" ref="L186:M186" ca="1">MMULT(J186:K186,TRANSPOSE($B$10:$C$11))</f>
        <v>-0.4845536293244001</v>
      </c>
      <c r="M186" s="19">
        <f ca="1"/>
        <v>1.8924155081122052</v>
      </c>
      <c r="N186" s="20">
        <f ca="1">GetVariance(N185,Variance_Avg,Lambda,Eta,M186,"Daily")</f>
        <v>7.3255115503191415E-2</v>
      </c>
      <c r="O186" s="20">
        <f ca="1">GetStockReturns(O185,RiskFreeRate,N185,L186,"Daily")</f>
        <v>-7.9262239530276044E-2</v>
      </c>
      <c r="P186" s="19">
        <f t="shared" ca="1" si="295"/>
        <v>7.6259673710422985E-8</v>
      </c>
      <c r="Q186" s="19">
        <f ca="1">HCTrans(P186,Strike,RiskFreeRate,Dividend,Variance_T0*AnnualVarConvtr,(Simulation!G186)/250,0.5,Variance_Avg*AnnualVarConvtr,Lambda,SQRT(Simulation!N186),Rho,1,"Call")</f>
        <v>-1.5075489034942987E-5</v>
      </c>
      <c r="R186" s="19" t="e">
        <f t="shared" ca="1" si="290"/>
        <v>#VALUE!</v>
      </c>
      <c r="S186" s="19" t="e">
        <f t="shared" ca="1" si="291"/>
        <v>#VALUE!</v>
      </c>
      <c r="T186" s="19" t="e">
        <f t="shared" ca="1" si="296"/>
        <v>#VALUE!</v>
      </c>
      <c r="U186" s="19" t="e">
        <f t="shared" ca="1" si="297"/>
        <v>#VALUE!</v>
      </c>
      <c r="V186" s="21">
        <f t="shared" ca="1" si="298"/>
        <v>5.7757175398511419E-5</v>
      </c>
      <c r="W186">
        <f t="shared" ca="1" si="299"/>
        <v>7.5998141686827725E-3</v>
      </c>
      <c r="X186" s="22">
        <f t="shared" ref="X186" ca="1" si="407">BSdelta(1,P186,Strike,W186*AnnualVarConvtr,Dividend,RiskFreeRate,G186/250)</f>
        <v>0</v>
      </c>
      <c r="Y186" s="22">
        <f t="shared" ca="1" si="305"/>
        <v>0</v>
      </c>
      <c r="Z186" s="22">
        <f t="shared" ca="1" si="306"/>
        <v>-7.498777870512475</v>
      </c>
      <c r="AA186">
        <f t="shared" si="293"/>
        <v>0.73884103340948371</v>
      </c>
      <c r="AB186">
        <f t="shared" ref="AB186" ca="1" si="408">BSdelta(1,P186,Strike,AA186/AnnualVarConvtr,Dividend,RiskFreeRate,G186/250)</f>
        <v>0</v>
      </c>
      <c r="AC186">
        <f t="shared" ca="1" si="302"/>
        <v>0</v>
      </c>
      <c r="AD186">
        <f t="shared" ca="1" si="303"/>
        <v>-2.5925431199578508</v>
      </c>
    </row>
    <row r="187" spans="7:30" x14ac:dyDescent="0.25">
      <c r="G187" s="19">
        <v>68</v>
      </c>
      <c r="H187" s="19">
        <f t="shared" ca="1" si="352"/>
        <v>0.38575211838823997</v>
      </c>
      <c r="I187" s="19">
        <f t="shared" ca="1" si="352"/>
        <v>0.23601143002145153</v>
      </c>
      <c r="J187" s="19">
        <f t="shared" ca="1" si="288"/>
        <v>0.12115884244496877</v>
      </c>
      <c r="K187" s="19">
        <f t="shared" ca="1" si="289"/>
        <v>1.3749331355331185</v>
      </c>
      <c r="L187" s="19">
        <f t="array" aca="1" ref="L187:M187" ca="1">MMULT(J187:K187,TRANSPOSE($B$10:$C$11))</f>
        <v>0.12115884244496877</v>
      </c>
      <c r="M187" s="19">
        <f ca="1"/>
        <v>0.87232529618757337</v>
      </c>
      <c r="N187" s="20">
        <f ca="1">GetVariance(N186,Variance_Avg,Lambda,Eta,M187,"Daily")</f>
        <v>7.8807768763974467E-2</v>
      </c>
      <c r="O187" s="20">
        <f ca="1">GetStockReturns(O186,RiskFreeRate,N186,L187,"Daily")</f>
        <v>-7.7188261794989207E-2</v>
      </c>
      <c r="P187" s="19">
        <f t="shared" ca="1" si="295"/>
        <v>7.0594766579243457E-8</v>
      </c>
      <c r="Q187" s="19">
        <f ca="1">HCTrans(P187,Strike,RiskFreeRate,Dividend,Variance_T0*AnnualVarConvtr,(Simulation!G187)/250,0.5,Variance_Avg*AnnualVarConvtr,Lambda,SQRT(Simulation!N187),Rho,1,"Call")</f>
        <v>-1.5075395918272646E-5</v>
      </c>
      <c r="R187" s="19" t="e">
        <f t="shared" ca="1" si="290"/>
        <v>#VALUE!</v>
      </c>
      <c r="S187" s="19" t="e">
        <f t="shared" ca="1" si="291"/>
        <v>#VALUE!</v>
      </c>
      <c r="T187" s="19" t="e">
        <f t="shared" ca="1" si="296"/>
        <v>#VALUE!</v>
      </c>
      <c r="U187" s="19" t="e">
        <f t="shared" ca="1" si="297"/>
        <v>#VALUE!</v>
      </c>
      <c r="V187" s="21">
        <f t="shared" ca="1" si="298"/>
        <v>4.3013836464655134E-6</v>
      </c>
      <c r="W187">
        <f t="shared" ca="1" si="299"/>
        <v>2.073977735286836E-3</v>
      </c>
      <c r="X187" s="22">
        <f t="shared" ref="X187" ca="1" si="409">BSdelta(1,P187,Strike,W187*AnnualVarConvtr,Dividend,RiskFreeRate,G187/250)</f>
        <v>0</v>
      </c>
      <c r="Y187" s="22">
        <f t="shared" ca="1" si="305"/>
        <v>0</v>
      </c>
      <c r="Z187" s="22">
        <f t="shared" ca="1" si="306"/>
        <v>-7.4987778704193584</v>
      </c>
      <c r="AA187">
        <f t="shared" si="293"/>
        <v>0.73884103340948371</v>
      </c>
      <c r="AB187">
        <f t="shared" ref="AB187" ca="1" si="410">BSdelta(1,P187,Strike,AA187/AnnualVarConvtr,Dividend,RiskFreeRate,G187/250)</f>
        <v>0</v>
      </c>
      <c r="AC187">
        <f t="shared" ca="1" si="302"/>
        <v>0</v>
      </c>
      <c r="AD187">
        <f t="shared" ca="1" si="303"/>
        <v>-2.5925431198647342</v>
      </c>
    </row>
    <row r="188" spans="7:30" x14ac:dyDescent="0.25">
      <c r="G188" s="19">
        <v>67</v>
      </c>
      <c r="H188" s="19">
        <f t="shared" ca="1" si="352"/>
        <v>0.7315251848061558</v>
      </c>
      <c r="I188" s="19">
        <f t="shared" ca="1" si="352"/>
        <v>0.51524605854098759</v>
      </c>
      <c r="J188" s="19">
        <f t="shared" ca="1" si="288"/>
        <v>-0.78710052474582193</v>
      </c>
      <c r="K188" s="19">
        <f t="shared" ca="1" si="289"/>
        <v>-7.5630841554063466E-2</v>
      </c>
      <c r="L188" s="19">
        <f t="array" aca="1" ref="L188:M188" ca="1">MMULT(J188:K188,TRANSPOSE($B$10:$C$11))</f>
        <v>-0.78710052474582193</v>
      </c>
      <c r="M188" s="19">
        <f ca="1"/>
        <v>0.51119842720531361</v>
      </c>
      <c r="N188" s="20">
        <f ca="1">GetVariance(N187,Variance_Avg,Lambda,Eta,M188,"Daily")</f>
        <v>8.1985466574590687E-2</v>
      </c>
      <c r="O188" s="20">
        <f ca="1">GetStockReturns(O187,RiskFreeRate,N187,L188,"Daily")</f>
        <v>-9.1163033229544888E-2</v>
      </c>
      <c r="P188" s="19">
        <f t="shared" ca="1" si="295"/>
        <v>6.4443764852042163E-8</v>
      </c>
      <c r="Q188" s="19">
        <f ca="1">HCTrans(P188,Strike,RiskFreeRate,Dividend,Variance_T0*AnnualVarConvtr,(Simulation!G188)/250,0.5,Variance_Avg*AnnualVarConvtr,Lambda,SQRT(Simulation!N188),Rho,1,"Call")</f>
        <v>-1.5075286996036274E-5</v>
      </c>
      <c r="R188" s="19" t="e">
        <f t="shared" ca="1" si="290"/>
        <v>#VALUE!</v>
      </c>
      <c r="S188" s="19" t="e">
        <f t="shared" ca="1" si="291"/>
        <v>#VALUE!</v>
      </c>
      <c r="T188" s="19" t="e">
        <f t="shared" ca="1" si="296"/>
        <v>#VALUE!</v>
      </c>
      <c r="U188" s="19" t="e">
        <f t="shared" ca="1" si="297"/>
        <v>#VALUE!</v>
      </c>
      <c r="V188" s="21">
        <f t="shared" ca="1" si="298"/>
        <v>1.9529423664807342E-4</v>
      </c>
      <c r="W188">
        <f t="shared" ca="1" si="299"/>
        <v>1.397477143455568E-2</v>
      </c>
      <c r="X188" s="22">
        <f t="shared" ref="X188" ca="1" si="411">BSdelta(1,P188,Strike,W188*AnnualVarConvtr,Dividend,RiskFreeRate,G188/250)</f>
        <v>0</v>
      </c>
      <c r="Y188" s="22">
        <f t="shared" ca="1" si="305"/>
        <v>0</v>
      </c>
      <c r="Z188" s="22">
        <f t="shared" ca="1" si="306"/>
        <v>-7.4987778703104357</v>
      </c>
      <c r="AA188">
        <f t="shared" si="293"/>
        <v>0.73884103340948371</v>
      </c>
      <c r="AB188">
        <f t="shared" ref="AB188" ca="1" si="412">BSdelta(1,P188,Strike,AA188/AnnualVarConvtr,Dividend,RiskFreeRate,G188/250)</f>
        <v>0</v>
      </c>
      <c r="AC188">
        <f t="shared" ca="1" si="302"/>
        <v>0</v>
      </c>
      <c r="AD188">
        <f t="shared" ca="1" si="303"/>
        <v>-2.592543119755812</v>
      </c>
    </row>
    <row r="189" spans="7:30" x14ac:dyDescent="0.25">
      <c r="G189" s="19">
        <v>66</v>
      </c>
      <c r="H189" s="19">
        <f t="shared" ca="1" si="352"/>
        <v>0.51820611456908761</v>
      </c>
      <c r="I189" s="19">
        <f t="shared" ca="1" si="352"/>
        <v>0.77448895807081275</v>
      </c>
      <c r="J189" s="19">
        <f t="shared" ca="1" si="288"/>
        <v>0.17573533709677885</v>
      </c>
      <c r="K189" s="19">
        <f t="shared" ca="1" si="289"/>
        <v>-1.133084954396534</v>
      </c>
      <c r="L189" s="19">
        <f t="array" aca="1" ref="L189:M189" ca="1">MMULT(J189:K189,TRANSPOSE($B$10:$C$11))</f>
        <v>0.17573533709677885</v>
      </c>
      <c r="M189" s="19">
        <f ca="1"/>
        <v>-0.91633980660502434</v>
      </c>
      <c r="N189" s="20">
        <f ca="1">GetVariance(N188,Variance_Avg,Lambda,Eta,M189,"Daily")</f>
        <v>7.5280858025811637E-2</v>
      </c>
      <c r="O189" s="20">
        <f ca="1">GetStockReturns(O188,RiskFreeRate,N188,L189,"Daily")</f>
        <v>-8.7980612968598548E-2</v>
      </c>
      <c r="P189" s="19">
        <f t="shared" ca="1" si="295"/>
        <v>5.9016222738530636E-8</v>
      </c>
      <c r="Q189" s="19">
        <f ca="1">HCTrans(P189,Strike,RiskFreeRate,Dividend,Variance_T0*AnnualVarConvtr,(Simulation!G189)/250,0.5,Variance_Avg*AnnualVarConvtr,Lambda,SQRT(Simulation!N189),Rho,1,"Call")</f>
        <v>-1.5075183240271854E-5</v>
      </c>
      <c r="R189" s="19" t="e">
        <f t="shared" ca="1" si="290"/>
        <v>#VALUE!</v>
      </c>
      <c r="S189" s="19" t="e">
        <f t="shared" ca="1" si="291"/>
        <v>#VALUE!</v>
      </c>
      <c r="T189" s="19" t="e">
        <f t="shared" ca="1" si="296"/>
        <v>#VALUE!</v>
      </c>
      <c r="U189" s="19" t="e">
        <f t="shared" ca="1" si="297"/>
        <v>#VALUE!</v>
      </c>
      <c r="V189" s="21">
        <f t="shared" ca="1" si="298"/>
        <v>1.0127798717281767E-5</v>
      </c>
      <c r="W189">
        <f t="shared" ca="1" si="299"/>
        <v>3.1824202609463392E-3</v>
      </c>
      <c r="X189" s="22">
        <f t="shared" ref="X189" ca="1" si="413">BSdelta(1,P189,Strike,W189*AnnualVarConvtr,Dividend,RiskFreeRate,G189/250)</f>
        <v>0</v>
      </c>
      <c r="Y189" s="22">
        <f t="shared" ca="1" si="305"/>
        <v>0</v>
      </c>
      <c r="Z189" s="22">
        <f t="shared" ca="1" si="306"/>
        <v>-7.4987778702066796</v>
      </c>
      <c r="AA189">
        <f t="shared" si="293"/>
        <v>0.73884103340948371</v>
      </c>
      <c r="AB189">
        <f t="shared" ref="AB189" ca="1" si="414">BSdelta(1,P189,Strike,AA189/AnnualVarConvtr,Dividend,RiskFreeRate,G189/250)</f>
        <v>0</v>
      </c>
      <c r="AC189">
        <f t="shared" ca="1" si="302"/>
        <v>0</v>
      </c>
      <c r="AD189">
        <f t="shared" ca="1" si="303"/>
        <v>-2.5925431196520563</v>
      </c>
    </row>
    <row r="190" spans="7:30" x14ac:dyDescent="0.25">
      <c r="G190" s="19">
        <v>65</v>
      </c>
      <c r="H190" s="19">
        <f t="shared" ca="1" si="352"/>
        <v>0.38307546336945208</v>
      </c>
      <c r="I190" s="19">
        <f t="shared" ca="1" si="352"/>
        <v>0.1883592809171305</v>
      </c>
      <c r="J190" s="19">
        <f t="shared" ca="1" si="288"/>
        <v>0.52321242691875669</v>
      </c>
      <c r="K190" s="19">
        <f t="shared" ca="1" si="289"/>
        <v>1.282690652552265</v>
      </c>
      <c r="L190" s="19">
        <f t="array" aca="1" ref="L190:M190" ca="1">MMULT(J190:K190,TRANSPOSE($B$10:$C$11))</f>
        <v>0.52321242691875669</v>
      </c>
      <c r="M190" s="19">
        <f ca="1"/>
        <v>0.51990673751178895</v>
      </c>
      <c r="N190" s="20">
        <f ca="1">GetVariance(N189,Variance_Avg,Lambda,Eta,M190,"Daily")</f>
        <v>7.8457548239723604E-2</v>
      </c>
      <c r="O190" s="20">
        <f ca="1">GetStockReturns(O189,RiskFreeRate,N189,L190,"Daily")</f>
        <v>-7.8901355617905108E-2</v>
      </c>
      <c r="P190" s="19">
        <f t="shared" ca="1" si="295"/>
        <v>5.4538725673898961E-8</v>
      </c>
      <c r="Q190" s="19">
        <f ca="1">HCTrans(P190,Strike,RiskFreeRate,Dividend,Variance_T0*AnnualVarConvtr,(Simulation!G190)/250,0.5,Variance_Avg*AnnualVarConvtr,Lambda,SQRT(Simulation!N190),Rho,1,"Call")</f>
        <v>-1.5075091486356077E-5</v>
      </c>
      <c r="R190" s="19" t="e">
        <f t="shared" ca="1" si="290"/>
        <v>#VALUE!</v>
      </c>
      <c r="S190" s="19" t="e">
        <f t="shared" ca="1" si="291"/>
        <v>#VALUE!</v>
      </c>
      <c r="T190" s="19" t="e">
        <f t="shared" ca="1" si="296"/>
        <v>#VALUE!</v>
      </c>
      <c r="U190" s="19" t="e">
        <f t="shared" ca="1" si="297"/>
        <v>#VALUE!</v>
      </c>
      <c r="V190" s="21">
        <f t="shared" ca="1" si="298"/>
        <v>8.2432914040120854E-5</v>
      </c>
      <c r="W190">
        <f t="shared" ca="1" si="299"/>
        <v>9.0792573506934399E-3</v>
      </c>
      <c r="X190" s="22">
        <f t="shared" ref="X190" ca="1" si="415">BSdelta(1,P190,Strike,W190*AnnualVarConvtr,Dividend,RiskFreeRate,G190/250)</f>
        <v>0</v>
      </c>
      <c r="Y190" s="22">
        <f t="shared" ca="1" si="305"/>
        <v>0</v>
      </c>
      <c r="Z190" s="22">
        <f t="shared" ca="1" si="306"/>
        <v>-7.4987778701149255</v>
      </c>
      <c r="AA190">
        <f t="shared" si="293"/>
        <v>0.73884103340948371</v>
      </c>
      <c r="AB190">
        <f t="shared" ref="AB190" ca="1" si="416">BSdelta(1,P190,Strike,AA190/AnnualVarConvtr,Dividend,RiskFreeRate,G190/250)</f>
        <v>0</v>
      </c>
      <c r="AC190">
        <f t="shared" ca="1" si="302"/>
        <v>0</v>
      </c>
      <c r="AD190">
        <f t="shared" ca="1" si="303"/>
        <v>-2.5925431195603026</v>
      </c>
    </row>
    <row r="191" spans="7:30" x14ac:dyDescent="0.25">
      <c r="G191" s="19">
        <v>64</v>
      </c>
      <c r="H191" s="19">
        <f t="shared" ca="1" si="352"/>
        <v>0.90713315404854455</v>
      </c>
      <c r="I191" s="19">
        <f t="shared" ca="1" si="352"/>
        <v>0.8768448598399543</v>
      </c>
      <c r="J191" s="19">
        <f t="shared" ca="1" si="288"/>
        <v>0.31579329303367581</v>
      </c>
      <c r="K191" s="19">
        <f t="shared" ca="1" si="289"/>
        <v>-0.30855576666084744</v>
      </c>
      <c r="L191" s="19">
        <f t="array" aca="1" ref="L191:M191" ca="1">MMULT(J191:K191,TRANSPOSE($B$10:$C$11))</f>
        <v>0.31579329303367581</v>
      </c>
      <c r="M191" s="19">
        <f ca="1"/>
        <v>-0.44151041423882387</v>
      </c>
      <c r="N191" s="20">
        <f ca="1">GetVariance(N190,Variance_Avg,Lambda,Eta,M191,"Daily")</f>
        <v>7.5075897240996836E-2</v>
      </c>
      <c r="O191" s="20">
        <f ca="1">GetStockReturns(O190,RiskFreeRate,N190,L191,"Daily")</f>
        <v>-7.3306997499523421E-2</v>
      </c>
      <c r="P191" s="19">
        <f t="shared" ca="1" si="295"/>
        <v>5.0683682502561843E-8</v>
      </c>
      <c r="Q191" s="19">
        <f ca="1">HCTrans(P191,Strike,RiskFreeRate,Dividend,Variance_T0*AnnualVarConvtr,(Simulation!G191)/250,0.5,Variance_Avg*AnnualVarConvtr,Lambda,SQRT(Simulation!N191),Rho,1,"Call")</f>
        <v>-1.5075007296286721E-5</v>
      </c>
      <c r="R191" s="19" t="e">
        <f t="shared" ca="1" si="290"/>
        <v>#VALUE!</v>
      </c>
      <c r="S191" s="19" t="e">
        <f t="shared" ca="1" si="291"/>
        <v>#VALUE!</v>
      </c>
      <c r="T191" s="19" t="e">
        <f t="shared" ca="1" si="296"/>
        <v>#VALUE!</v>
      </c>
      <c r="U191" s="19" t="e">
        <f t="shared" ca="1" si="297"/>
        <v>#VALUE!</v>
      </c>
      <c r="V191" s="21">
        <f t="shared" ca="1" si="298"/>
        <v>3.1296842756703087E-5</v>
      </c>
      <c r="W191">
        <f t="shared" ca="1" si="299"/>
        <v>5.5943581183816871E-3</v>
      </c>
      <c r="X191" s="22">
        <f t="shared" ref="X191" ca="1" si="417">BSdelta(1,P191,Strike,W191*AnnualVarConvtr,Dividend,RiskFreeRate,G191/250)</f>
        <v>0</v>
      </c>
      <c r="Y191" s="22">
        <f t="shared" ca="1" si="305"/>
        <v>0</v>
      </c>
      <c r="Z191" s="22">
        <f t="shared" ca="1" si="306"/>
        <v>-7.498777870030735</v>
      </c>
      <c r="AA191">
        <f t="shared" si="293"/>
        <v>0.73884103340948371</v>
      </c>
      <c r="AB191">
        <f t="shared" ref="AB191" ca="1" si="418">BSdelta(1,P191,Strike,AA191/AnnualVarConvtr,Dividend,RiskFreeRate,G191/250)</f>
        <v>0</v>
      </c>
      <c r="AC191">
        <f t="shared" ca="1" si="302"/>
        <v>0</v>
      </c>
      <c r="AD191">
        <f t="shared" ca="1" si="303"/>
        <v>-2.5925431194761126</v>
      </c>
    </row>
    <row r="192" spans="7:30" x14ac:dyDescent="0.25">
      <c r="G192" s="19">
        <v>63</v>
      </c>
      <c r="H192" s="19">
        <f t="shared" ca="1" si="352"/>
        <v>0.30947266705574161</v>
      </c>
      <c r="I192" s="19">
        <f t="shared" ca="1" si="352"/>
        <v>0.8963962416707304</v>
      </c>
      <c r="J192" s="19">
        <f t="shared" ca="1" si="288"/>
        <v>1.2183829054597375</v>
      </c>
      <c r="K192" s="19">
        <f t="shared" ca="1" si="289"/>
        <v>-0.92807009630490178</v>
      </c>
      <c r="L192" s="19">
        <f t="array" aca="1" ref="L192:M192" ca="1">MMULT(J192:K192,TRANSPOSE($B$10:$C$11))</f>
        <v>1.2183829054597375</v>
      </c>
      <c r="M192" s="19">
        <f ca="1"/>
        <v>-1.5203810708000773</v>
      </c>
      <c r="N192" s="20">
        <f ca="1">GetVariance(N191,Variance_Avg,Lambda,Eta,M192,"Daily")</f>
        <v>6.4847941231486086E-2</v>
      </c>
      <c r="O192" s="20">
        <f ca="1">GetStockReturns(O191,RiskFreeRate,N191,L192,"Daily")</f>
        <v>-5.2193311510842555E-2</v>
      </c>
      <c r="P192" s="19">
        <f t="shared" ca="1" si="295"/>
        <v>4.810618249985584E-8</v>
      </c>
      <c r="Q192" s="19">
        <f ca="1">HCTrans(P192,Strike,RiskFreeRate,Dividend,Variance_T0*AnnualVarConvtr,(Simulation!G192)/250,0.5,Variance_Avg*AnnualVarConvtr,Lambda,SQRT(Simulation!N192),Rho,1,"Call")</f>
        <v>-1.5074948234332788E-5</v>
      </c>
      <c r="R192" s="19" t="e">
        <f t="shared" ca="1" si="290"/>
        <v>#VALUE!</v>
      </c>
      <c r="S192" s="19" t="e">
        <f t="shared" ca="1" si="291"/>
        <v>#VALUE!</v>
      </c>
      <c r="T192" s="19" t="e">
        <f t="shared" ca="1" si="296"/>
        <v>#VALUE!</v>
      </c>
      <c r="U192" s="19" t="e">
        <f t="shared" ca="1" si="297"/>
        <v>#VALUE!</v>
      </c>
      <c r="V192" s="21">
        <f t="shared" ca="1" si="298"/>
        <v>4.4578773602861876E-4</v>
      </c>
      <c r="W192">
        <f t="shared" ca="1" si="299"/>
        <v>2.1113685988680866E-2</v>
      </c>
      <c r="X192" s="22">
        <f t="shared" ref="X192" ca="1" si="419">BSdelta(1,P192,Strike,W192*AnnualVarConvtr,Dividend,RiskFreeRate,G192/250)</f>
        <v>0</v>
      </c>
      <c r="Y192" s="22">
        <f t="shared" ca="1" si="305"/>
        <v>0</v>
      </c>
      <c r="Z192" s="22">
        <f t="shared" ca="1" si="306"/>
        <v>-7.4987778699716729</v>
      </c>
      <c r="AA192">
        <f t="shared" si="293"/>
        <v>0.73884103340948371</v>
      </c>
      <c r="AB192">
        <f t="shared" ref="AB192" ca="1" si="420">BSdelta(1,P192,Strike,AA192/AnnualVarConvtr,Dividend,RiskFreeRate,G192/250)</f>
        <v>0</v>
      </c>
      <c r="AC192">
        <f t="shared" ca="1" si="302"/>
        <v>0</v>
      </c>
      <c r="AD192">
        <f t="shared" ca="1" si="303"/>
        <v>-2.5925431194170505</v>
      </c>
    </row>
    <row r="193" spans="7:30" x14ac:dyDescent="0.25">
      <c r="G193" s="19">
        <v>62</v>
      </c>
      <c r="H193" s="19">
        <f t="shared" ca="1" si="352"/>
        <v>0.46856421546511418</v>
      </c>
      <c r="I193" s="19">
        <f t="shared" ca="1" si="352"/>
        <v>0.80688348112473185</v>
      </c>
      <c r="J193" s="19">
        <f t="shared" ca="1" si="288"/>
        <v>0.43077771344599042</v>
      </c>
      <c r="K193" s="19">
        <f t="shared" ca="1" si="289"/>
        <v>-1.1535141103613085</v>
      </c>
      <c r="L193" s="19">
        <f t="array" aca="1" ref="L193:M193" ca="1">MMULT(J193:K193,TRANSPOSE($B$10:$C$11))</f>
        <v>0.43077771344599042</v>
      </c>
      <c r="M193" s="19">
        <f ca="1"/>
        <v>-1.1133287847471713</v>
      </c>
      <c r="N193" s="20">
        <f ca="1">GetVariance(N192,Variance_Avg,Lambda,Eta,M193,"Daily")</f>
        <v>5.7776030520126732E-2</v>
      </c>
      <c r="O193" s="20">
        <f ca="1">GetStockReturns(O192,RiskFreeRate,N192,L193,"Daily")</f>
        <v>-4.525535906481442E-2</v>
      </c>
      <c r="P193" s="19">
        <f t="shared" ca="1" si="295"/>
        <v>4.597764702233113E-8</v>
      </c>
      <c r="Q193" s="19">
        <f ca="1">HCTrans(P193,Strike,RiskFreeRate,Dividend,Variance_T0*AnnualVarConvtr,(Simulation!G193)/250,0.5,Variance_Avg*AnnualVarConvtr,Lambda,SQRT(Simulation!N193),Rho,1,"Call")</f>
        <v>-1.5074897566209986E-5</v>
      </c>
      <c r="R193" s="19" t="e">
        <f t="shared" ca="1" si="290"/>
        <v>#VALUE!</v>
      </c>
      <c r="S193" s="19" t="e">
        <f t="shared" ca="1" si="291"/>
        <v>#VALUE!</v>
      </c>
      <c r="T193" s="19" t="e">
        <f t="shared" ca="1" si="296"/>
        <v>#VALUE!</v>
      </c>
      <c r="U193" s="19" t="e">
        <f t="shared" ca="1" si="297"/>
        <v>#VALUE!</v>
      </c>
      <c r="V193" s="21">
        <f t="shared" ca="1" si="298"/>
        <v>4.8135184143347786E-5</v>
      </c>
      <c r="W193">
        <f t="shared" ca="1" si="299"/>
        <v>6.9379524460281353E-3</v>
      </c>
      <c r="X193" s="22">
        <f t="shared" ref="X193" ca="1" si="421">BSdelta(1,P193,Strike,W193*AnnualVarConvtr,Dividend,RiskFreeRate,G193/250)</f>
        <v>0</v>
      </c>
      <c r="Y193" s="22">
        <f t="shared" ca="1" si="305"/>
        <v>0</v>
      </c>
      <c r="Z193" s="22">
        <f t="shared" ca="1" si="306"/>
        <v>-7.498777869921005</v>
      </c>
      <c r="AA193">
        <f t="shared" si="293"/>
        <v>0.73884103340948371</v>
      </c>
      <c r="AB193">
        <f t="shared" ref="AB193" ca="1" si="422">BSdelta(1,P193,Strike,AA193/AnnualVarConvtr,Dividend,RiskFreeRate,G193/250)</f>
        <v>0</v>
      </c>
      <c r="AC193">
        <f t="shared" ca="1" si="302"/>
        <v>0</v>
      </c>
      <c r="AD193">
        <f t="shared" ca="1" si="303"/>
        <v>-2.5925431193663826</v>
      </c>
    </row>
    <row r="194" spans="7:30" x14ac:dyDescent="0.25">
      <c r="G194" s="19">
        <v>61</v>
      </c>
      <c r="H194" s="19">
        <f t="shared" ca="1" si="352"/>
        <v>0.22751767818186241</v>
      </c>
      <c r="I194" s="19">
        <f t="shared" ca="1" si="352"/>
        <v>0.75033873338109935</v>
      </c>
      <c r="J194" s="19">
        <f t="shared" ca="1" si="288"/>
        <v>3.662357628804729E-3</v>
      </c>
      <c r="K194" s="19">
        <f t="shared" ca="1" si="289"/>
        <v>-1.7207676373552057</v>
      </c>
      <c r="L194" s="19">
        <f t="array" aca="1" ref="L194:M194" ca="1">MMULT(J194:K194,TRANSPOSE($B$10:$C$11))</f>
        <v>3.662357628804729E-3</v>
      </c>
      <c r="M194" s="19">
        <f ca="1"/>
        <v>-1.2030093702504783</v>
      </c>
      <c r="N194" s="20">
        <f ca="1">GetVariance(N193,Variance_Avg,Lambda,Eta,M194,"Daily")</f>
        <v>5.0634268604655891E-2</v>
      </c>
      <c r="O194" s="20">
        <f ca="1">GetStockReturns(O193,RiskFreeRate,N193,L194,"Daily")</f>
        <v>-4.5199683504458597E-2</v>
      </c>
      <c r="P194" s="19">
        <f t="shared" ca="1" si="295"/>
        <v>4.3945738658664736E-8</v>
      </c>
      <c r="Q194" s="19">
        <f ca="1">HCTrans(P194,Strike,RiskFreeRate,Dividend,Variance_T0*AnnualVarConvtr,(Simulation!G194)/250,0.5,Variance_Avg*AnnualVarConvtr,Lambda,SQRT(Simulation!N194),Rho,1,"Call")</f>
        <v>-1.5074847331662359E-5</v>
      </c>
      <c r="R194" s="19" t="e">
        <f t="shared" ca="1" si="290"/>
        <v>#VALUE!</v>
      </c>
      <c r="S194" s="19" t="e">
        <f t="shared" ca="1" si="291"/>
        <v>#VALUE!</v>
      </c>
      <c r="T194" s="19" t="e">
        <f t="shared" ca="1" si="296"/>
        <v>#VALUE!</v>
      </c>
      <c r="U194" s="19" t="e">
        <f t="shared" ca="1" si="297"/>
        <v>#VALUE!</v>
      </c>
      <c r="V194" s="21">
        <f t="shared" ca="1" si="298"/>
        <v>3.0997680209348148E-9</v>
      </c>
      <c r="W194">
        <f t="shared" ca="1" si="299"/>
        <v>5.5675560355822329E-5</v>
      </c>
      <c r="X194" s="22">
        <f t="shared" ref="X194" ca="1" si="423">BSdelta(1,P194,Strike,W194*AnnualVarConvtr,Dividend,RiskFreeRate,G194/250)</f>
        <v>0</v>
      </c>
      <c r="Y194" s="22">
        <f t="shared" ca="1" si="305"/>
        <v>0</v>
      </c>
      <c r="Z194" s="22">
        <f t="shared" ca="1" si="306"/>
        <v>-7.4987778698707706</v>
      </c>
      <c r="AA194">
        <f t="shared" si="293"/>
        <v>0.73884103340948371</v>
      </c>
      <c r="AB194">
        <f t="shared" ref="AB194" ca="1" si="424">BSdelta(1,P194,Strike,AA194/AnnualVarConvtr,Dividend,RiskFreeRate,G194/250)</f>
        <v>0</v>
      </c>
      <c r="AC194">
        <f t="shared" ca="1" si="302"/>
        <v>0</v>
      </c>
      <c r="AD194">
        <f t="shared" ca="1" si="303"/>
        <v>-2.5925431193161481</v>
      </c>
    </row>
    <row r="195" spans="7:30" x14ac:dyDescent="0.25">
      <c r="G195" s="19">
        <v>60</v>
      </c>
      <c r="H195" s="19">
        <f t="shared" ca="1" si="352"/>
        <v>0.76980858818691567</v>
      </c>
      <c r="I195" s="19">
        <f t="shared" ca="1" si="352"/>
        <v>0.73017469512053801</v>
      </c>
      <c r="J195" s="19">
        <f t="shared" ca="1" si="288"/>
        <v>-8.9871295138068449E-2</v>
      </c>
      <c r="K195" s="19">
        <f t="shared" ca="1" si="289"/>
        <v>-0.71773944710119231</v>
      </c>
      <c r="L195" s="19">
        <f t="array" aca="1" ref="L195:M195" ca="1">MMULT(J195:K195,TRANSPOSE($B$10:$C$11))</f>
        <v>-8.9871295138068449E-2</v>
      </c>
      <c r="M195" s="19">
        <f ca="1"/>
        <v>-0.43629299027471302</v>
      </c>
      <c r="N195" s="20">
        <f ca="1">GetVariance(N194,Variance_Avg,Lambda,Eta,M195,"Daily")</f>
        <v>4.8024531091176027E-2</v>
      </c>
      <c r="O195" s="20">
        <f ca="1">GetStockReturns(O194,RiskFreeRate,N194,L195,"Daily")</f>
        <v>-4.6478691521122217E-2</v>
      </c>
      <c r="P195" s="19">
        <f t="shared" ca="1" si="295"/>
        <v>4.1949938591487821E-8</v>
      </c>
      <c r="Q195" s="19">
        <f ca="1">HCTrans(P195,Strike,RiskFreeRate,Dividend,Variance_T0*AnnualVarConvtr,(Simulation!G195)/250,0.5,Variance_Avg*AnnualVarConvtr,Lambda,SQRT(Simulation!N195),Rho,1,"Call")</f>
        <v>-1.5074796048037016E-5</v>
      </c>
      <c r="R195" s="19" t="e">
        <f t="shared" ca="1" si="290"/>
        <v>#VALUE!</v>
      </c>
      <c r="S195" s="19" t="e">
        <f t="shared" ca="1" si="291"/>
        <v>#VALUE!</v>
      </c>
      <c r="T195" s="19" t="e">
        <f t="shared" ca="1" si="296"/>
        <v>#VALUE!</v>
      </c>
      <c r="U195" s="19" t="e">
        <f t="shared" ca="1" si="297"/>
        <v>#VALUE!</v>
      </c>
      <c r="V195" s="21">
        <f t="shared" ca="1" si="298"/>
        <v>1.6358615066898069E-6</v>
      </c>
      <c r="W195">
        <f t="shared" ca="1" si="299"/>
        <v>1.27900801666362E-3</v>
      </c>
      <c r="X195" s="22">
        <f t="shared" ref="X195" ca="1" si="425">BSdelta(1,P195,Strike,W195*AnnualVarConvtr,Dividend,RiskFreeRate,G195/250)</f>
        <v>0</v>
      </c>
      <c r="Y195" s="22">
        <f t="shared" ca="1" si="305"/>
        <v>0</v>
      </c>
      <c r="Z195" s="22">
        <f t="shared" ca="1" si="306"/>
        <v>-7.4987778698194871</v>
      </c>
      <c r="AA195">
        <f t="shared" si="293"/>
        <v>0.73884103340948371</v>
      </c>
      <c r="AB195">
        <f t="shared" ref="AB195" ca="1" si="426">BSdelta(1,P195,Strike,AA195/AnnualVarConvtr,Dividend,RiskFreeRate,G195/250)</f>
        <v>0</v>
      </c>
      <c r="AC195">
        <f t="shared" ca="1" si="302"/>
        <v>0</v>
      </c>
      <c r="AD195">
        <f t="shared" ca="1" si="303"/>
        <v>-2.5925431192648647</v>
      </c>
    </row>
    <row r="196" spans="7:30" x14ac:dyDescent="0.25">
      <c r="G196" s="19">
        <v>59</v>
      </c>
      <c r="H196" s="19">
        <f t="shared" ca="1" si="352"/>
        <v>0.44876199875333955</v>
      </c>
      <c r="I196" s="19">
        <f t="shared" ca="1" si="352"/>
        <v>0.85892194092714014</v>
      </c>
      <c r="J196" s="19">
        <f t="shared" ca="1" si="288"/>
        <v>0.80029519520796288</v>
      </c>
      <c r="K196" s="19">
        <f t="shared" ca="1" si="289"/>
        <v>-0.98084290447719436</v>
      </c>
      <c r="L196" s="19">
        <f t="array" aca="1" ref="L196:M196" ca="1">MMULT(J196:K196,TRANSPOSE($B$10:$C$11))</f>
        <v>0.80029519520796288</v>
      </c>
      <c r="M196" s="19">
        <f ca="1"/>
        <v>-1.2576348561592752</v>
      </c>
      <c r="N196" s="20">
        <f ca="1">GetVariance(N195,Variance_Avg,Lambda,Eta,M196,"Daily")</f>
        <v>4.1287131190491953E-2</v>
      </c>
      <c r="O196" s="20">
        <f ca="1">GetStockReturns(O195,RiskFreeRate,N195,L196,"Daily")</f>
        <v>-3.5386642718213193E-2</v>
      </c>
      <c r="P196" s="19">
        <f t="shared" ca="1" si="295"/>
        <v>4.0491429172398948E-8</v>
      </c>
      <c r="Q196" s="19">
        <f ca="1">HCTrans(P196,Strike,RiskFreeRate,Dividend,Variance_T0*AnnualVarConvtr,(Simulation!G196)/250,0.5,Variance_Avg*AnnualVarConvtr,Lambda,SQRT(Simulation!N196),Rho,1,"Call")</f>
        <v>-1.5074757500773602E-5</v>
      </c>
      <c r="R196" s="19" t="e">
        <f t="shared" ca="1" si="290"/>
        <v>#VALUE!</v>
      </c>
      <c r="S196" s="19" t="e">
        <f t="shared" ca="1" si="291"/>
        <v>#VALUE!</v>
      </c>
      <c r="T196" s="19" t="e">
        <f t="shared" ca="1" si="296"/>
        <v>#VALUE!</v>
      </c>
      <c r="U196" s="19" t="e">
        <f t="shared" ca="1" si="297"/>
        <v>#VALUE!</v>
      </c>
      <c r="V196" s="21">
        <f t="shared" ca="1" si="298"/>
        <v>1.2303354664611551E-4</v>
      </c>
      <c r="W196">
        <f t="shared" ca="1" si="299"/>
        <v>1.1092048802909024E-2</v>
      </c>
      <c r="X196" s="22">
        <f t="shared" ref="X196" ca="1" si="427">BSdelta(1,P196,Strike,W196*AnnualVarConvtr,Dividend,RiskFreeRate,G196/250)</f>
        <v>0</v>
      </c>
      <c r="Y196" s="22">
        <f t="shared" ca="1" si="305"/>
        <v>0</v>
      </c>
      <c r="Z196" s="22">
        <f t="shared" ca="1" si="306"/>
        <v>-7.4987778697809402</v>
      </c>
      <c r="AA196">
        <f t="shared" si="293"/>
        <v>0.73884103340948371</v>
      </c>
      <c r="AB196">
        <f t="shared" ref="AB196" ca="1" si="428">BSdelta(1,P196,Strike,AA196/AnnualVarConvtr,Dividend,RiskFreeRate,G196/250)</f>
        <v>0</v>
      </c>
      <c r="AC196">
        <f t="shared" ca="1" si="302"/>
        <v>0</v>
      </c>
      <c r="AD196">
        <f t="shared" ca="1" si="303"/>
        <v>-2.5925431192263173</v>
      </c>
    </row>
    <row r="197" spans="7:30" x14ac:dyDescent="0.25">
      <c r="G197" s="19">
        <v>58</v>
      </c>
      <c r="H197" s="19">
        <f t="shared" ca="1" si="352"/>
        <v>0.30854088104184363</v>
      </c>
      <c r="I197" s="19">
        <f t="shared" ca="1" si="352"/>
        <v>0.81343131546325587</v>
      </c>
      <c r="J197" s="19">
        <f t="shared" ca="1" si="288"/>
        <v>0.59514808142641462</v>
      </c>
      <c r="K197" s="19">
        <f t="shared" ca="1" si="289"/>
        <v>-1.4133649984845476</v>
      </c>
      <c r="L197" s="19">
        <f t="array" aca="1" ref="L197:M197" ca="1">MMULT(J197:K197,TRANSPOSE($B$10:$C$11))</f>
        <v>0.59514808142641462</v>
      </c>
      <c r="M197" s="19">
        <f ca="1"/>
        <v>-1.4123687786323686</v>
      </c>
      <c r="N197" s="20">
        <f ca="1">GetVariance(N196,Variance_Avg,Lambda,Eta,M197,"Daily")</f>
        <v>3.4368551784540131E-2</v>
      </c>
      <c r="O197" s="20">
        <f ca="1">GetStockReturns(O196,RiskFreeRate,N196,L197,"Daily")</f>
        <v>-2.7738387226867486E-2</v>
      </c>
      <c r="P197" s="19">
        <f t="shared" ca="1" si="295"/>
        <v>3.9383696612867419E-8</v>
      </c>
      <c r="Q197" s="19">
        <f ca="1">HCTrans(P197,Strike,RiskFreeRate,Dividend,Variance_T0*AnnualVarConvtr,(Simulation!G197)/250,0.5,Variance_Avg*AnnualVarConvtr,Lambda,SQRT(Simulation!N197),Rho,1,"Call")</f>
        <v>-1.5074727658755833E-5</v>
      </c>
      <c r="R197" s="19" t="e">
        <f t="shared" ca="1" si="290"/>
        <v>#VALUE!</v>
      </c>
      <c r="S197" s="19" t="e">
        <f t="shared" ca="1" si="291"/>
        <v>#VALUE!</v>
      </c>
      <c r="T197" s="19" t="e">
        <f t="shared" ca="1" si="296"/>
        <v>#VALUE!</v>
      </c>
      <c r="U197" s="19" t="e">
        <f t="shared" ca="1" si="297"/>
        <v>#VALUE!</v>
      </c>
      <c r="V197" s="21">
        <f t="shared" ca="1" si="298"/>
        <v>5.8495812060899761E-5</v>
      </c>
      <c r="W197">
        <f t="shared" ca="1" si="299"/>
        <v>7.6482554913457068E-3</v>
      </c>
      <c r="X197" s="22">
        <f t="shared" ref="X197" ca="1" si="429">BSdelta(1,P197,Strike,W197*AnnualVarConvtr,Dividend,RiskFreeRate,G197/250)</f>
        <v>0</v>
      </c>
      <c r="Y197" s="22">
        <f t="shared" ca="1" si="305"/>
        <v>0</v>
      </c>
      <c r="Z197" s="22">
        <f t="shared" ca="1" si="306"/>
        <v>-7.4987778697510983</v>
      </c>
      <c r="AA197">
        <f t="shared" si="293"/>
        <v>0.73884103340948371</v>
      </c>
      <c r="AB197">
        <f t="shared" ref="AB197" ca="1" si="430">BSdelta(1,P197,Strike,AA197/AnnualVarConvtr,Dividend,RiskFreeRate,G197/250)</f>
        <v>0</v>
      </c>
      <c r="AC197">
        <f t="shared" ca="1" si="302"/>
        <v>0</v>
      </c>
      <c r="AD197">
        <f t="shared" ca="1" si="303"/>
        <v>-2.5925431191964754</v>
      </c>
    </row>
    <row r="198" spans="7:30" x14ac:dyDescent="0.25">
      <c r="G198" s="19">
        <v>57</v>
      </c>
      <c r="H198" s="19">
        <f t="shared" ca="1" si="352"/>
        <v>0.47088194539537942</v>
      </c>
      <c r="I198" s="19">
        <f t="shared" ca="1" si="352"/>
        <v>0.67113217565204963</v>
      </c>
      <c r="J198" s="19">
        <f t="shared" ref="J198:J254" ca="1" si="431">SQRT(-2*LN(H198))*COS(2*PI()*I198)</f>
        <v>-0.58359659608510595</v>
      </c>
      <c r="K198" s="19">
        <f t="shared" ref="K198:K254" ca="1" si="432">SQRT(-2*LN(H198))*SIN(2*PI()*I198)</f>
        <v>-1.0796808506412778</v>
      </c>
      <c r="L198" s="19">
        <f t="array" aca="1" ref="L198:M198" ca="1">MMULT(J198:K198,TRANSPOSE($B$10:$C$11))</f>
        <v>-0.58359659608510595</v>
      </c>
      <c r="M198" s="19">
        <f ca="1"/>
        <v>-0.33502446307611611</v>
      </c>
      <c r="N198" s="20">
        <f ca="1">GetVariance(N197,Variance_Avg,Lambda,Eta,M198,"Daily")</f>
        <v>3.2717639068270875E-2</v>
      </c>
      <c r="O198" s="20">
        <f ca="1">GetStockReturns(O197,RiskFreeRate,N197,L198,"Daily")</f>
        <v>-3.4581022029761654E-2</v>
      </c>
      <c r="P198" s="19">
        <f t="shared" ca="1" si="295"/>
        <v>3.804504745959598E-8</v>
      </c>
      <c r="Q198" s="19">
        <f ca="1">HCTrans(P198,Strike,RiskFreeRate,Dividend,Variance_T0*AnnualVarConvtr,(Simulation!G198)/250,0.5,Variance_Avg*AnnualVarConvtr,Lambda,SQRT(Simulation!N198),Rho,1,"Call")</f>
        <v>-1.5074690419441272E-5</v>
      </c>
      <c r="R198" s="19" t="e">
        <f t="shared" ref="R198:R254" ca="1" si="433">BSvol(1,P198,Strike,Q198,Dividend,RiskFreeRate,G198/250)</f>
        <v>#VALUE!</v>
      </c>
      <c r="S198" s="19" t="e">
        <f t="shared" ref="S198:S254" ca="1" si="434">BSdelta(1,P198,Strike,R198/AnnualVarConvtr,Dividend,RiskFreeRate,G198/250)</f>
        <v>#VALUE!</v>
      </c>
      <c r="T198" s="19" t="e">
        <f t="shared" ca="1" si="296"/>
        <v>#VALUE!</v>
      </c>
      <c r="U198" s="19" t="e">
        <f t="shared" ca="1" si="297"/>
        <v>#VALUE!</v>
      </c>
      <c r="V198" s="21">
        <f t="shared" ca="1" si="298"/>
        <v>4.6821651045778511E-5</v>
      </c>
      <c r="W198">
        <f t="shared" ca="1" si="299"/>
        <v>6.842634802894168E-3</v>
      </c>
      <c r="X198" s="22">
        <f t="shared" ref="X198" ca="1" si="435">BSdelta(1,P198,Strike,W198*AnnualVarConvtr,Dividend,RiskFreeRate,G198/250)</f>
        <v>0</v>
      </c>
      <c r="Y198" s="22">
        <f t="shared" ca="1" si="305"/>
        <v>0</v>
      </c>
      <c r="Z198" s="22">
        <f t="shared" ca="1" si="306"/>
        <v>-7.4987778697138587</v>
      </c>
      <c r="AA198">
        <f t="shared" ref="AA198:AA240" si="436">$R$5</f>
        <v>0.73884103340948371</v>
      </c>
      <c r="AB198">
        <f t="shared" ref="AB198" ca="1" si="437">BSdelta(1,P198,Strike,AA198/AnnualVarConvtr,Dividend,RiskFreeRate,G198/250)</f>
        <v>0</v>
      </c>
      <c r="AC198">
        <f t="shared" ca="1" si="302"/>
        <v>0</v>
      </c>
      <c r="AD198">
        <f t="shared" ca="1" si="303"/>
        <v>-2.5925431191592363</v>
      </c>
    </row>
    <row r="199" spans="7:30" x14ac:dyDescent="0.25">
      <c r="G199" s="19">
        <v>56</v>
      </c>
      <c r="H199" s="19">
        <f t="shared" ca="1" si="352"/>
        <v>1.6455798823758583E-2</v>
      </c>
      <c r="I199" s="19">
        <f t="shared" ca="1" si="352"/>
        <v>0.34801351800867386</v>
      </c>
      <c r="J199" s="19">
        <f t="shared" ca="1" si="431"/>
        <v>-1.6555421052911599</v>
      </c>
      <c r="K199" s="19">
        <f t="shared" ca="1" si="432"/>
        <v>2.3395159843907929</v>
      </c>
      <c r="L199" s="19">
        <f t="array" aca="1" ref="L199:M199" ca="1">MMULT(J199:K199,TRANSPOSE($B$10:$C$11))</f>
        <v>-1.6555421052911599</v>
      </c>
      <c r="M199" s="19">
        <f ca="1"/>
        <v>2.8182120691286805</v>
      </c>
      <c r="N199" s="20">
        <f ca="1">GetVariance(N198,Variance_Avg,Lambda,Eta,M199,"Daily")</f>
        <v>4.6274804584038279E-2</v>
      </c>
      <c r="O199" s="20">
        <f ca="1">GetStockReturns(O198,RiskFreeRate,N198,L199,"Daily")</f>
        <v>-5.352020347620836E-2</v>
      </c>
      <c r="P199" s="19">
        <f t="shared" ref="P199:P254" ca="1" si="438">P198*EXP(O199)</f>
        <v>3.6062397919564266E-8</v>
      </c>
      <c r="Q199" s="19">
        <f ca="1">HCTrans(P199,Strike,RiskFreeRate,Dividend,Variance_T0*AnnualVarConvtr,(Simulation!G199)/250,0.5,Variance_Avg*AnnualVarConvtr,Lambda,SQRT(Simulation!N199),Rho,1,"Call")</f>
        <v>-1.5074632713021948E-5</v>
      </c>
      <c r="R199" s="19" t="e">
        <f t="shared" ca="1" si="433"/>
        <v>#VALUE!</v>
      </c>
      <c r="S199" s="19" t="e">
        <f t="shared" ca="1" si="434"/>
        <v>#VALUE!</v>
      </c>
      <c r="T199" s="19" t="e">
        <f t="shared" ref="T199:T254" ca="1" si="439">(S199-S198)*P199</f>
        <v>#VALUE!</v>
      </c>
      <c r="U199" s="19" t="e">
        <f t="shared" ref="U199:U254" ca="1" si="440">(Q199-Q198)+U198-T199</f>
        <v>#VALUE!</v>
      </c>
      <c r="V199" s="21">
        <f t="shared" ref="V199:V254" ca="1" si="441">(O199-O198)^2</f>
        <v>3.5869259386143114E-4</v>
      </c>
      <c r="W199">
        <f t="shared" ref="W199:W254" ca="1" si="442">SQRT(V199)</f>
        <v>1.8939181446446705E-2</v>
      </c>
      <c r="X199" s="22">
        <f t="shared" ref="X199" ca="1" si="443">BSdelta(1,P199,Strike,W199*AnnualVarConvtr,Dividend,RiskFreeRate,G199/250)</f>
        <v>0</v>
      </c>
      <c r="Y199" s="22">
        <f t="shared" ca="1" si="305"/>
        <v>0</v>
      </c>
      <c r="Z199" s="22">
        <f t="shared" ca="1" si="306"/>
        <v>-7.498777869656152</v>
      </c>
      <c r="AA199">
        <f t="shared" si="436"/>
        <v>0.73884103340948371</v>
      </c>
      <c r="AB199">
        <f t="shared" ref="AB199" ca="1" si="444">BSdelta(1,P199,Strike,AA199/AnnualVarConvtr,Dividend,RiskFreeRate,G199/250)</f>
        <v>0</v>
      </c>
      <c r="AC199">
        <f t="shared" ref="AC199:AC254" ca="1" si="445">(AB199-AB198)*P199</f>
        <v>0</v>
      </c>
      <c r="AD199">
        <f t="shared" ref="AD199:AD254" ca="1" si="446">(Q199-Q198)+AD198-AC199</f>
        <v>-2.59254311910153</v>
      </c>
    </row>
    <row r="200" spans="7:30" x14ac:dyDescent="0.25">
      <c r="G200" s="19">
        <v>55</v>
      </c>
      <c r="H200" s="19">
        <f t="shared" ca="1" si="352"/>
        <v>0.45406839382066477</v>
      </c>
      <c r="I200" s="19">
        <f t="shared" ca="1" si="352"/>
        <v>0.37541844662556456</v>
      </c>
      <c r="J200" s="19">
        <f t="shared" ca="1" si="431"/>
        <v>-0.89087537663468463</v>
      </c>
      <c r="K200" s="19">
        <f t="shared" ca="1" si="432"/>
        <v>0.88620311075718938</v>
      </c>
      <c r="L200" s="19">
        <f t="array" aca="1" ref="L200:M200" ca="1">MMULT(J200:K200,TRANSPOSE($B$10:$C$11))</f>
        <v>-0.89087537663468463</v>
      </c>
      <c r="M200" s="19">
        <f ca="1"/>
        <v>1.2565160577256504</v>
      </c>
      <c r="N200" s="20">
        <f ca="1">GetVariance(N199,Variance_Avg,Lambda,Eta,M200,"Daily")</f>
        <v>5.2931910420845836E-2</v>
      </c>
      <c r="O200" s="20">
        <f ca="1">GetStockReturns(O199,RiskFreeRate,N199,L200,"Daily")</f>
        <v>-6.5640667527042396E-2</v>
      </c>
      <c r="P200" s="19">
        <f t="shared" ca="1" si="438"/>
        <v>3.3771256662032958E-8</v>
      </c>
      <c r="Q200" s="19">
        <f ca="1">HCTrans(P200,Strike,RiskFreeRate,Dividend,Variance_T0*AnnualVarConvtr,(Simulation!G200)/250,0.5,Variance_Avg*AnnualVarConvtr,Lambda,SQRT(Simulation!N200),Rho,1,"Call")</f>
        <v>-1.507456242610356E-5</v>
      </c>
      <c r="R200" s="19" t="e">
        <f t="shared" ca="1" si="433"/>
        <v>#VALUE!</v>
      </c>
      <c r="S200" s="19" t="e">
        <f t="shared" ca="1" si="434"/>
        <v>#VALUE!</v>
      </c>
      <c r="T200" s="19" t="e">
        <f t="shared" ca="1" si="439"/>
        <v>#VALUE!</v>
      </c>
      <c r="U200" s="19" t="e">
        <f t="shared" ca="1" si="440"/>
        <v>#VALUE!</v>
      </c>
      <c r="V200" s="21">
        <f t="shared" ca="1" si="441"/>
        <v>1.4690564880756021E-4</v>
      </c>
      <c r="W200">
        <f t="shared" ca="1" si="442"/>
        <v>1.2120464050834036E-2</v>
      </c>
      <c r="X200" s="22">
        <f t="shared" ref="X200" ca="1" si="447">BSdelta(1,P200,Strike,W200*AnnualVarConvtr,Dividend,RiskFreeRate,G200/250)</f>
        <v>0</v>
      </c>
      <c r="Y200" s="22">
        <f t="shared" ref="Y200:Y254" ca="1" si="448">(X200-X199)*P200</f>
        <v>0</v>
      </c>
      <c r="Z200" s="22">
        <f t="shared" ref="Z200:Z254" ca="1" si="449">(Q200-Q199)+Z199-Y200</f>
        <v>-7.4987778695858651</v>
      </c>
      <c r="AA200">
        <f t="shared" si="436"/>
        <v>0.73884103340948371</v>
      </c>
      <c r="AB200">
        <f t="shared" ref="AB200" ca="1" si="450">BSdelta(1,P200,Strike,AA200/AnnualVarConvtr,Dividend,RiskFreeRate,G200/250)</f>
        <v>0</v>
      </c>
      <c r="AC200">
        <f t="shared" ca="1" si="445"/>
        <v>0</v>
      </c>
      <c r="AD200">
        <f t="shared" ca="1" si="446"/>
        <v>-2.5925431190312431</v>
      </c>
    </row>
    <row r="201" spans="7:30" x14ac:dyDescent="0.25">
      <c r="G201" s="19">
        <v>54</v>
      </c>
      <c r="H201" s="19">
        <f t="shared" ca="1" si="352"/>
        <v>0.71912939239000628</v>
      </c>
      <c r="I201" s="19">
        <f t="shared" ca="1" si="352"/>
        <v>0.42722195891592063</v>
      </c>
      <c r="J201" s="19">
        <f t="shared" ca="1" si="431"/>
        <v>-0.7286195847857192</v>
      </c>
      <c r="K201" s="19">
        <f t="shared" ca="1" si="432"/>
        <v>0.35852678055098519</v>
      </c>
      <c r="L201" s="19">
        <f t="array" aca="1" ref="L201:M201" ca="1">MMULT(J201:K201,TRANSPOSE($B$10:$C$11))</f>
        <v>-0.7286195847857192</v>
      </c>
      <c r="M201" s="19">
        <f ca="1"/>
        <v>0.77215958650994443</v>
      </c>
      <c r="N201" s="20">
        <f ca="1">GetVariance(N200,Variance_Avg,Lambda,Eta,M201,"Daily")</f>
        <v>5.7134317022444349E-2</v>
      </c>
      <c r="O201" s="20">
        <f ca="1">GetStockReturns(O200,RiskFreeRate,N200,L201,"Daily")</f>
        <v>-7.6242711976363925E-2</v>
      </c>
      <c r="P201" s="19">
        <f t="shared" ca="1" si="438"/>
        <v>3.1292152088399709E-8</v>
      </c>
      <c r="Q201" s="19">
        <f ca="1">HCTrans(P201,Strike,RiskFreeRate,Dividend,Variance_T0*AnnualVarConvtr,(Simulation!G201)/250,0.5,Variance_Avg*AnnualVarConvtr,Lambda,SQRT(Simulation!N201),Rho,1,"Call")</f>
        <v>-1.5074481658968264E-5</v>
      </c>
      <c r="R201" s="19" t="e">
        <f t="shared" ca="1" si="433"/>
        <v>#VALUE!</v>
      </c>
      <c r="S201" s="19" t="e">
        <f t="shared" ca="1" si="434"/>
        <v>#VALUE!</v>
      </c>
      <c r="T201" s="19" t="e">
        <f t="shared" ca="1" si="439"/>
        <v>#VALUE!</v>
      </c>
      <c r="U201" s="19" t="e">
        <f t="shared" ca="1" si="440"/>
        <v>#VALUE!</v>
      </c>
      <c r="V201" s="21">
        <f t="shared" ca="1" si="441"/>
        <v>1.1240334650538945E-4</v>
      </c>
      <c r="W201">
        <f t="shared" ca="1" si="442"/>
        <v>1.0602044449321529E-2</v>
      </c>
      <c r="X201" s="22">
        <f t="shared" ref="X201" ca="1" si="451">BSdelta(1,P201,Strike,W201*AnnualVarConvtr,Dividend,RiskFreeRate,G201/250)</f>
        <v>0</v>
      </c>
      <c r="Y201" s="22">
        <f t="shared" ca="1" si="448"/>
        <v>0</v>
      </c>
      <c r="Z201" s="22">
        <f t="shared" ca="1" si="449"/>
        <v>-7.4987778695050977</v>
      </c>
      <c r="AA201">
        <f t="shared" si="436"/>
        <v>0.73884103340948371</v>
      </c>
      <c r="AB201">
        <f t="shared" ref="AB201" ca="1" si="452">BSdelta(1,P201,Strike,AA201/AnnualVarConvtr,Dividend,RiskFreeRate,G201/250)</f>
        <v>0</v>
      </c>
      <c r="AC201">
        <f t="shared" ca="1" si="445"/>
        <v>0</v>
      </c>
      <c r="AD201">
        <f t="shared" ca="1" si="446"/>
        <v>-2.5925431189504762</v>
      </c>
    </row>
    <row r="202" spans="7:30" x14ac:dyDescent="0.25">
      <c r="G202" s="19">
        <v>53</v>
      </c>
      <c r="H202" s="19">
        <f t="shared" ca="1" si="352"/>
        <v>0.91390400236345981</v>
      </c>
      <c r="I202" s="19">
        <f t="shared" ca="1" si="352"/>
        <v>0.57839342181134945</v>
      </c>
      <c r="J202" s="19">
        <f t="shared" ca="1" si="431"/>
        <v>-0.37389143536262875</v>
      </c>
      <c r="K202" s="19">
        <f t="shared" ca="1" si="432"/>
        <v>-0.20066061179115396</v>
      </c>
      <c r="L202" s="19">
        <f t="array" aca="1" ref="L202:M202" ca="1">MMULT(J202:K202,TRANSPOSE($B$10:$C$11))</f>
        <v>-0.37389143536262875</v>
      </c>
      <c r="M202" s="19">
        <f ca="1"/>
        <v>0.12791496091203183</v>
      </c>
      <c r="N202" s="20">
        <f ca="1">GetVariance(N201,Variance_Avg,Lambda,Eta,M202,"Daily")</f>
        <v>5.7620961266324246E-2</v>
      </c>
      <c r="O202" s="20">
        <f ca="1">GetStockReturns(O201,RiskFreeRate,N201,L202,"Daily")</f>
        <v>-8.1894996729261135E-2</v>
      </c>
      <c r="P202" s="19">
        <f t="shared" ca="1" si="438"/>
        <v>2.8831609500663689E-8</v>
      </c>
      <c r="Q202" s="19">
        <f ca="1">HCTrans(P202,Strike,RiskFreeRate,Dividend,Variance_T0*AnnualVarConvtr,(Simulation!G202)/250,0.5,Variance_Avg*AnnualVarConvtr,Lambda,SQRT(Simulation!N202),Rho,1,"Call")</f>
        <v>-1.5074396079791976E-5</v>
      </c>
      <c r="R202" s="19" t="e">
        <f t="shared" ca="1" si="433"/>
        <v>#VALUE!</v>
      </c>
      <c r="S202" s="19" t="e">
        <f t="shared" ca="1" si="434"/>
        <v>#VALUE!</v>
      </c>
      <c r="T202" s="19" t="e">
        <f t="shared" ca="1" si="439"/>
        <v>#VALUE!</v>
      </c>
      <c r="U202" s="19" t="e">
        <f t="shared" ca="1" si="440"/>
        <v>#VALUE!</v>
      </c>
      <c r="V202" s="21">
        <f t="shared" ca="1" si="441"/>
        <v>3.194832292783428E-5</v>
      </c>
      <c r="W202">
        <f t="shared" ca="1" si="442"/>
        <v>5.6522847528972103E-3</v>
      </c>
      <c r="X202" s="22">
        <f t="shared" ref="X202" ca="1" si="453">BSdelta(1,P202,Strike,W202*AnnualVarConvtr,Dividend,RiskFreeRate,G202/250)</f>
        <v>0</v>
      </c>
      <c r="Y202" s="22">
        <f t="shared" ca="1" si="448"/>
        <v>0</v>
      </c>
      <c r="Z202" s="22">
        <f t="shared" ca="1" si="449"/>
        <v>-7.4987778694195182</v>
      </c>
      <c r="AA202">
        <f t="shared" si="436"/>
        <v>0.73884103340948371</v>
      </c>
      <c r="AB202">
        <f t="shared" ref="AB202" ca="1" si="454">BSdelta(1,P202,Strike,AA202/AnnualVarConvtr,Dividend,RiskFreeRate,G202/250)</f>
        <v>0</v>
      </c>
      <c r="AC202">
        <f t="shared" ca="1" si="445"/>
        <v>0</v>
      </c>
      <c r="AD202">
        <f t="shared" ca="1" si="446"/>
        <v>-2.5925431188648971</v>
      </c>
    </row>
    <row r="203" spans="7:30" x14ac:dyDescent="0.25">
      <c r="G203" s="19">
        <v>52</v>
      </c>
      <c r="H203" s="19">
        <f t="shared" ca="1" si="352"/>
        <v>3.9113985854330235E-2</v>
      </c>
      <c r="I203" s="19">
        <f t="shared" ca="1" si="352"/>
        <v>0.92574914048169488</v>
      </c>
      <c r="J203" s="19">
        <f t="shared" ca="1" si="431"/>
        <v>2.2739942648753102</v>
      </c>
      <c r="K203" s="19">
        <f t="shared" ca="1" si="432"/>
        <v>-1.1452075996265372</v>
      </c>
      <c r="L203" s="19">
        <f t="array" aca="1" ref="L203:M203" ca="1">MMULT(J203:K203,TRANSPOSE($B$10:$C$11))</f>
        <v>2.2739942648753102</v>
      </c>
      <c r="M203" s="19">
        <f ca="1"/>
        <v>-2.4281989291836505</v>
      </c>
      <c r="N203" s="20">
        <f ca="1">GetVariance(N202,Variance_Avg,Lambda,Eta,M203,"Daily")</f>
        <v>4.3946869835577357E-2</v>
      </c>
      <c r="O203" s="20">
        <f ca="1">GetStockReturns(O202,RiskFreeRate,N202,L203,"Daily")</f>
        <v>-4.7371910716821182E-2</v>
      </c>
      <c r="P203" s="19">
        <f t="shared" ca="1" si="438"/>
        <v>2.7497646705393172E-8</v>
      </c>
      <c r="Q203" s="19">
        <f ca="1">HCTrans(P203,Strike,RiskFreeRate,Dividend,Variance_T0*AnnualVarConvtr,(Simulation!G203)/250,0.5,Variance_Avg*AnnualVarConvtr,Lambda,SQRT(Simulation!N203),Rho,1,"Call")</f>
        <v>-1.507434754007192E-5</v>
      </c>
      <c r="R203" s="19" t="e">
        <f t="shared" ca="1" si="433"/>
        <v>#VALUE!</v>
      </c>
      <c r="S203" s="19" t="e">
        <f t="shared" ca="1" si="434"/>
        <v>#VALUE!</v>
      </c>
      <c r="T203" s="19" t="e">
        <f t="shared" ca="1" si="439"/>
        <v>#VALUE!</v>
      </c>
      <c r="U203" s="19" t="e">
        <f t="shared" ca="1" si="440"/>
        <v>#VALUE!</v>
      </c>
      <c r="V203" s="21">
        <f t="shared" ca="1" si="441"/>
        <v>1.1918434678223273E-3</v>
      </c>
      <c r="W203">
        <f t="shared" ca="1" si="442"/>
        <v>3.4523086012439953E-2</v>
      </c>
      <c r="X203" s="22">
        <f t="shared" ref="X203" ca="1" si="455">BSdelta(1,P203,Strike,W203*AnnualVarConvtr,Dividend,RiskFreeRate,G203/250)</f>
        <v>0</v>
      </c>
      <c r="Y203" s="22">
        <f t="shared" ca="1" si="448"/>
        <v>0</v>
      </c>
      <c r="Z203" s="22">
        <f t="shared" ca="1" si="449"/>
        <v>-7.4987778693709783</v>
      </c>
      <c r="AA203">
        <f t="shared" si="436"/>
        <v>0.73884103340948371</v>
      </c>
      <c r="AB203">
        <f t="shared" ref="AB203" ca="1" si="456">BSdelta(1,P203,Strike,AA203/AnnualVarConvtr,Dividend,RiskFreeRate,G203/250)</f>
        <v>0</v>
      </c>
      <c r="AC203">
        <f t="shared" ca="1" si="445"/>
        <v>0</v>
      </c>
      <c r="AD203">
        <f t="shared" ca="1" si="446"/>
        <v>-2.5925431188163572</v>
      </c>
    </row>
    <row r="204" spans="7:30" x14ac:dyDescent="0.25">
      <c r="G204" s="19">
        <v>51</v>
      </c>
      <c r="H204" s="19">
        <f t="shared" ca="1" si="352"/>
        <v>0.46497504445775761</v>
      </c>
      <c r="I204" s="19">
        <f t="shared" ca="1" si="352"/>
        <v>0.26759647788809582</v>
      </c>
      <c r="J204" s="19">
        <f t="shared" ca="1" si="431"/>
        <v>-0.13654791300201505</v>
      </c>
      <c r="K204" s="19">
        <f t="shared" ca="1" si="432"/>
        <v>1.2299990864997639</v>
      </c>
      <c r="L204" s="19">
        <f t="array" aca="1" ref="L204:M204" ca="1">MMULT(J204:K204,TRANSPOSE($B$10:$C$11))</f>
        <v>-0.13654791300201505</v>
      </c>
      <c r="M204" s="19">
        <f ca="1"/>
        <v>0.95586806476446706</v>
      </c>
      <c r="N204" s="20">
        <f ca="1">GetVariance(N203,Variance_Avg,Lambda,Eta,M204,"Daily")</f>
        <v>4.8802050231887037E-2</v>
      </c>
      <c r="O204" s="20">
        <f ca="1">GetStockReturns(O203,RiskFreeRate,N203,L204,"Daily")</f>
        <v>-4.9182329455572209E-2</v>
      </c>
      <c r="P204" s="19">
        <f t="shared" ca="1" si="438"/>
        <v>2.6177966854390084E-8</v>
      </c>
      <c r="Q204" s="19">
        <f ca="1">HCTrans(P204,Strike,RiskFreeRate,Dividend,Variance_T0*AnnualVarConvtr,(Simulation!G204)/250,0.5,Variance_Avg*AnnualVarConvtr,Lambda,SQRT(Simulation!N204),Rho,1,"Call")</f>
        <v>-1.5074297600038837E-5</v>
      </c>
      <c r="R204" s="19" t="e">
        <f t="shared" ca="1" si="433"/>
        <v>#VALUE!</v>
      </c>
      <c r="S204" s="19" t="e">
        <f t="shared" ca="1" si="434"/>
        <v>#VALUE!</v>
      </c>
      <c r="T204" s="19" t="e">
        <f t="shared" ca="1" si="439"/>
        <v>#VALUE!</v>
      </c>
      <c r="U204" s="19" t="e">
        <f t="shared" ca="1" si="440"/>
        <v>#VALUE!</v>
      </c>
      <c r="V204" s="21">
        <f t="shared" ca="1" si="441"/>
        <v>3.2776160096208583E-6</v>
      </c>
      <c r="W204">
        <f t="shared" ca="1" si="442"/>
        <v>1.8104187387510268E-3</v>
      </c>
      <c r="X204" s="22">
        <f t="shared" ref="X204" ca="1" si="457">BSdelta(1,P204,Strike,W204*AnnualVarConvtr,Dividend,RiskFreeRate,G204/250)</f>
        <v>0</v>
      </c>
      <c r="Y204" s="22">
        <f t="shared" ca="1" si="448"/>
        <v>0</v>
      </c>
      <c r="Z204" s="22">
        <f t="shared" ca="1" si="449"/>
        <v>-7.4987778693210387</v>
      </c>
      <c r="AA204">
        <f t="shared" si="436"/>
        <v>0.73884103340948371</v>
      </c>
      <c r="AB204">
        <f t="shared" ref="AB204" ca="1" si="458">BSdelta(1,P204,Strike,AA204/AnnualVarConvtr,Dividend,RiskFreeRate,G204/250)</f>
        <v>0</v>
      </c>
      <c r="AC204">
        <f t="shared" ca="1" si="445"/>
        <v>0</v>
      </c>
      <c r="AD204">
        <f t="shared" ca="1" si="446"/>
        <v>-2.5925431187664172</v>
      </c>
    </row>
    <row r="205" spans="7:30" x14ac:dyDescent="0.25">
      <c r="G205" s="19">
        <v>50</v>
      </c>
      <c r="H205" s="19">
        <f t="shared" ca="1" si="352"/>
        <v>0.20825819827338787</v>
      </c>
      <c r="I205" s="19">
        <f t="shared" ca="1" si="352"/>
        <v>0.97943955541050676</v>
      </c>
      <c r="J205" s="19">
        <f t="shared" ca="1" si="431"/>
        <v>1.7566659637652693</v>
      </c>
      <c r="K205" s="19">
        <f t="shared" ca="1" si="432"/>
        <v>-0.22820594700899627</v>
      </c>
      <c r="L205" s="19">
        <f t="array" aca="1" ref="L205:M205" ca="1">MMULT(J205:K205,TRANSPOSE($B$10:$C$11))</f>
        <v>1.7566659637652693</v>
      </c>
      <c r="M205" s="19">
        <f ca="1"/>
        <v>-1.4178446858376241</v>
      </c>
      <c r="N205" s="20">
        <f ca="1">GetVariance(N204,Variance_Avg,Lambda,Eta,M205,"Daily")</f>
        <v>4.1202643319468699E-2</v>
      </c>
      <c r="O205" s="20">
        <f ca="1">GetStockReturns(O204,RiskFreeRate,N204,L205,"Daily")</f>
        <v>-2.463873218030525E-2</v>
      </c>
      <c r="P205" s="19">
        <f t="shared" ca="1" si="438"/>
        <v>2.5540855972661648E-8</v>
      </c>
      <c r="Q205" s="19">
        <f ca="1">HCTrans(P205,Strike,RiskFreeRate,Dividend,Variance_T0*AnnualVarConvtr,(Simulation!G205)/250,0.5,Variance_Avg*AnnualVarConvtr,Lambda,SQRT(Simulation!N205),Rho,1,"Call")</f>
        <v>-1.5074273195060736E-5</v>
      </c>
      <c r="R205" s="19" t="e">
        <f t="shared" ca="1" si="433"/>
        <v>#VALUE!</v>
      </c>
      <c r="S205" s="19" t="e">
        <f t="shared" ca="1" si="434"/>
        <v>#VALUE!</v>
      </c>
      <c r="T205" s="19" t="e">
        <f t="shared" ca="1" si="439"/>
        <v>#VALUE!</v>
      </c>
      <c r="U205" s="19" t="e">
        <f t="shared" ca="1" si="440"/>
        <v>#VALUE!</v>
      </c>
      <c r="V205" s="21">
        <f t="shared" ca="1" si="441"/>
        <v>6.0238816721049169E-4</v>
      </c>
      <c r="W205">
        <f t="shared" ca="1" si="442"/>
        <v>2.4543597275266959E-2</v>
      </c>
      <c r="X205" s="22">
        <f t="shared" ref="X205" ca="1" si="459">BSdelta(1,P205,Strike,W205*AnnualVarConvtr,Dividend,RiskFreeRate,G205/250)</f>
        <v>0</v>
      </c>
      <c r="Y205" s="22">
        <f t="shared" ca="1" si="448"/>
        <v>0</v>
      </c>
      <c r="Z205" s="22">
        <f t="shared" ca="1" si="449"/>
        <v>-7.4987778692966334</v>
      </c>
      <c r="AA205">
        <f t="shared" si="436"/>
        <v>0.73884103340948371</v>
      </c>
      <c r="AB205">
        <f t="shared" ref="AB205" ca="1" si="460">BSdelta(1,P205,Strike,AA205/AnnualVarConvtr,Dividend,RiskFreeRate,G205/250)</f>
        <v>0</v>
      </c>
      <c r="AC205">
        <f t="shared" ca="1" si="445"/>
        <v>0</v>
      </c>
      <c r="AD205">
        <f t="shared" ca="1" si="446"/>
        <v>-2.5925431187420123</v>
      </c>
    </row>
    <row r="206" spans="7:30" x14ac:dyDescent="0.25">
      <c r="G206" s="19">
        <v>49</v>
      </c>
      <c r="H206" s="19">
        <f t="shared" ca="1" si="352"/>
        <v>0.36625825885725105</v>
      </c>
      <c r="I206" s="19">
        <f t="shared" ca="1" si="352"/>
        <v>0.33010334035176792</v>
      </c>
      <c r="J206" s="19">
        <f t="shared" ca="1" si="431"/>
        <v>-0.68361173884493864</v>
      </c>
      <c r="K206" s="19">
        <f t="shared" ca="1" si="432"/>
        <v>1.2415748582996613</v>
      </c>
      <c r="L206" s="19">
        <f t="array" aca="1" ref="L206:M206" ca="1">MMULT(J206:K206,TRANSPOSE($B$10:$C$11))</f>
        <v>-0.68361173884493864</v>
      </c>
      <c r="M206" s="19">
        <f ca="1"/>
        <v>1.355914404960793</v>
      </c>
      <c r="N206" s="20">
        <f ca="1">GetVariance(N205,Variance_Avg,Lambda,Eta,M206,"Daily")</f>
        <v>4.8046626525217295E-2</v>
      </c>
      <c r="O206" s="20">
        <f ca="1">GetStockReturns(O205,RiskFreeRate,N205,L206,"Daily")</f>
        <v>-3.3414841951757229E-2</v>
      </c>
      <c r="P206" s="19">
        <f t="shared" ca="1" si="438"/>
        <v>2.4701513648543484E-8</v>
      </c>
      <c r="Q206" s="19">
        <f ca="1">HCTrans(P206,Strike,RiskFreeRate,Dividend,Variance_T0*AnnualVarConvtr,(Simulation!G206)/250,0.5,Variance_Avg*AnnualVarConvtr,Lambda,SQRT(Simulation!N206),Rho,1,"Call")</f>
        <v>-1.507423998175858E-5</v>
      </c>
      <c r="R206" s="19" t="e">
        <f t="shared" ca="1" si="433"/>
        <v>#VALUE!</v>
      </c>
      <c r="S206" s="19" t="e">
        <f t="shared" ca="1" si="434"/>
        <v>#VALUE!</v>
      </c>
      <c r="T206" s="19" t="e">
        <f t="shared" ca="1" si="439"/>
        <v>#VALUE!</v>
      </c>
      <c r="U206" s="19" t="e">
        <f t="shared" ca="1" si="440"/>
        <v>#VALUE!</v>
      </c>
      <c r="V206" s="21">
        <f t="shared" ca="1" si="441"/>
        <v>7.7020102720574916E-5</v>
      </c>
      <c r="W206">
        <f t="shared" ca="1" si="442"/>
        <v>8.7761097714519794E-3</v>
      </c>
      <c r="X206" s="22">
        <f t="shared" ref="X206" ca="1" si="461">BSdelta(1,P206,Strike,W206*AnnualVarConvtr,Dividend,RiskFreeRate,G206/250)</f>
        <v>0</v>
      </c>
      <c r="Y206" s="22">
        <f t="shared" ca="1" si="448"/>
        <v>0</v>
      </c>
      <c r="Z206" s="22">
        <f t="shared" ca="1" si="449"/>
        <v>-7.4987778692634199</v>
      </c>
      <c r="AA206">
        <f t="shared" si="436"/>
        <v>0.73884103340948371</v>
      </c>
      <c r="AB206">
        <f t="shared" ref="AB206" ca="1" si="462">BSdelta(1,P206,Strike,AA206/AnnualVarConvtr,Dividend,RiskFreeRate,G206/250)</f>
        <v>0</v>
      </c>
      <c r="AC206">
        <f t="shared" ca="1" si="445"/>
        <v>0</v>
      </c>
      <c r="AD206">
        <f t="shared" ca="1" si="446"/>
        <v>-2.5925431187087988</v>
      </c>
    </row>
    <row r="207" spans="7:30" x14ac:dyDescent="0.25">
      <c r="G207" s="19">
        <v>48</v>
      </c>
      <c r="H207" s="19">
        <f t="shared" ca="1" si="352"/>
        <v>4.9778878147649253E-2</v>
      </c>
      <c r="I207" s="19">
        <f t="shared" ca="1" si="352"/>
        <v>0.28172420209533233</v>
      </c>
      <c r="J207" s="19">
        <f t="shared" ca="1" si="431"/>
        <v>-0.48504093002784376</v>
      </c>
      <c r="K207" s="19">
        <f t="shared" ca="1" si="432"/>
        <v>2.4010548376085956</v>
      </c>
      <c r="L207" s="19">
        <f t="array" aca="1" ref="L207:M207" ca="1">MMULT(J207:K207,TRANSPOSE($B$10:$C$11))</f>
        <v>-0.48504093002784376</v>
      </c>
      <c r="M207" s="19">
        <f ca="1"/>
        <v>2.0224766866729356</v>
      </c>
      <c r="N207" s="20">
        <f ca="1">GetVariance(N206,Variance_Avg,Lambda,Eta,M207,"Daily")</f>
        <v>5.9314389035985522E-2</v>
      </c>
      <c r="O207" s="20">
        <f ca="1">GetStockReturns(O206,RiskFreeRate,N206,L207,"Daily")</f>
        <v>-4.0139029741566142E-2</v>
      </c>
      <c r="P207" s="19">
        <f t="shared" ca="1" si="438"/>
        <v>2.3729654087573238E-8</v>
      </c>
      <c r="Q207" s="19">
        <f ca="1">HCTrans(P207,Strike,RiskFreeRate,Dividend,Variance_T0*AnnualVarConvtr,(Simulation!G207)/250,0.5,Variance_Avg*AnnualVarConvtr,Lambda,SQRT(Simulation!N207),Rho,1,"Call")</f>
        <v>-1.5074200183161741E-5</v>
      </c>
      <c r="R207" s="19" t="e">
        <f t="shared" ca="1" si="433"/>
        <v>#VALUE!</v>
      </c>
      <c r="S207" s="19" t="e">
        <f t="shared" ca="1" si="434"/>
        <v>#VALUE!</v>
      </c>
      <c r="T207" s="19" t="e">
        <f t="shared" ca="1" si="439"/>
        <v>#VALUE!</v>
      </c>
      <c r="U207" s="19" t="e">
        <f t="shared" ca="1" si="440"/>
        <v>#VALUE!</v>
      </c>
      <c r="V207" s="21">
        <f t="shared" ca="1" si="441"/>
        <v>4.5214701432615263E-5</v>
      </c>
      <c r="W207">
        <f t="shared" ca="1" si="442"/>
        <v>6.7241877898089122E-3</v>
      </c>
      <c r="X207" s="22">
        <f t="shared" ref="X207" ca="1" si="463">BSdelta(1,P207,Strike,W207*AnnualVarConvtr,Dividend,RiskFreeRate,G207/250)</f>
        <v>0</v>
      </c>
      <c r="Y207" s="22">
        <f t="shared" ca="1" si="448"/>
        <v>0</v>
      </c>
      <c r="Z207" s="22">
        <f t="shared" ca="1" si="449"/>
        <v>-7.4987778692236216</v>
      </c>
      <c r="AA207">
        <f t="shared" si="436"/>
        <v>0.73884103340948371</v>
      </c>
      <c r="AB207">
        <f t="shared" ref="AB207" ca="1" si="464">BSdelta(1,P207,Strike,AA207/AnnualVarConvtr,Dividend,RiskFreeRate,G207/250)</f>
        <v>0</v>
      </c>
      <c r="AC207">
        <f t="shared" ca="1" si="445"/>
        <v>0</v>
      </c>
      <c r="AD207">
        <f t="shared" ca="1" si="446"/>
        <v>-2.5925431186690004</v>
      </c>
    </row>
    <row r="208" spans="7:30" x14ac:dyDescent="0.25">
      <c r="G208" s="19">
        <v>47</v>
      </c>
      <c r="H208" s="19">
        <f t="shared" ca="1" si="352"/>
        <v>3.5528603386359325E-2</v>
      </c>
      <c r="I208" s="19">
        <f t="shared" ca="1" si="352"/>
        <v>0.92900783181394031</v>
      </c>
      <c r="J208" s="19">
        <f t="shared" ca="1" si="431"/>
        <v>2.3307811550934323</v>
      </c>
      <c r="K208" s="19">
        <f t="shared" ca="1" si="432"/>
        <v>-1.1145822367718965</v>
      </c>
      <c r="L208" s="19">
        <f t="array" aca="1" ref="L208:M208" ca="1">MMULT(J208:K208,TRANSPOSE($B$10:$C$11))</f>
        <v>2.3307811550934323</v>
      </c>
      <c r="M208" s="19">
        <f ca="1"/>
        <v>-2.4475228782300262</v>
      </c>
      <c r="N208" s="20">
        <f ca="1">GetVariance(N207,Variance_Avg,Lambda,Eta,M208,"Daily")</f>
        <v>4.5321586359803795E-2</v>
      </c>
      <c r="O208" s="20">
        <f ca="1">GetStockReturns(O207,RiskFreeRate,N207,L208,"Daily")</f>
        <v>-4.2376181789979747E-3</v>
      </c>
      <c r="P208" s="19">
        <f t="shared" ca="1" si="438"/>
        <v>2.3629309634929222E-8</v>
      </c>
      <c r="Q208" s="19">
        <f ca="1">HCTrans(P208,Strike,RiskFreeRate,Dividend,Variance_T0*AnnualVarConvtr,(Simulation!G208)/250,0.5,Variance_Avg*AnnualVarConvtr,Lambda,SQRT(Simulation!N208),Rho,1,"Call")</f>
        <v>-1.507419678118384E-5</v>
      </c>
      <c r="R208" s="19" t="e">
        <f t="shared" ca="1" si="433"/>
        <v>#VALUE!</v>
      </c>
      <c r="S208" s="19" t="e">
        <f t="shared" ca="1" si="434"/>
        <v>#VALUE!</v>
      </c>
      <c r="T208" s="19" t="e">
        <f t="shared" ca="1" si="439"/>
        <v>#VALUE!</v>
      </c>
      <c r="U208" s="19" t="e">
        <f t="shared" ca="1" si="440"/>
        <v>#VALUE!</v>
      </c>
      <c r="V208" s="21">
        <f t="shared" ca="1" si="441"/>
        <v>1.2889113521849032E-3</v>
      </c>
      <c r="W208">
        <f t="shared" ca="1" si="442"/>
        <v>3.5901411562568167E-2</v>
      </c>
      <c r="X208" s="22">
        <f t="shared" ref="X208" ca="1" si="465">BSdelta(1,P208,Strike,W208*AnnualVarConvtr,Dividend,RiskFreeRate,G208/250)</f>
        <v>0</v>
      </c>
      <c r="Y208" s="22">
        <f t="shared" ca="1" si="448"/>
        <v>0</v>
      </c>
      <c r="Z208" s="22">
        <f t="shared" ca="1" si="449"/>
        <v>-7.4987778692202198</v>
      </c>
      <c r="AA208">
        <f t="shared" si="436"/>
        <v>0.73884103340948371</v>
      </c>
      <c r="AB208">
        <f t="shared" ref="AB208" ca="1" si="466">BSdelta(1,P208,Strike,AA208/AnnualVarConvtr,Dividend,RiskFreeRate,G208/250)</f>
        <v>0</v>
      </c>
      <c r="AC208">
        <f t="shared" ca="1" si="445"/>
        <v>0</v>
      </c>
      <c r="AD208">
        <f t="shared" ca="1" si="446"/>
        <v>-2.5925431186655983</v>
      </c>
    </row>
    <row r="209" spans="7:30" x14ac:dyDescent="0.25">
      <c r="G209" s="19">
        <v>46</v>
      </c>
      <c r="H209" s="19">
        <f t="shared" ca="1" si="352"/>
        <v>0.46576174636457313</v>
      </c>
      <c r="I209" s="19">
        <f t="shared" ca="1" si="352"/>
        <v>0.45904840914782019</v>
      </c>
      <c r="J209" s="19">
        <f t="shared" ca="1" si="431"/>
        <v>-1.1954918938432859</v>
      </c>
      <c r="K209" s="19">
        <f t="shared" ca="1" si="432"/>
        <v>0.31458104003521348</v>
      </c>
      <c r="L209" s="19">
        <f t="array" aca="1" ref="L209:M209" ca="1">MMULT(J209:K209,TRANSPOSE($B$10:$C$11))</f>
        <v>-1.1954918938432859</v>
      </c>
      <c r="M209" s="19">
        <f ca="1"/>
        <v>1.0760176146466436</v>
      </c>
      <c r="N209" s="20">
        <f ca="1">GetVariance(N208,Variance_Avg,Lambda,Eta,M209,"Daily")</f>
        <v>5.0909624669022081E-2</v>
      </c>
      <c r="O209" s="20">
        <f ca="1">GetStockReturns(O208,RiskFreeRate,N208,L209,"Daily")</f>
        <v>-2.0334034000623932E-2</v>
      </c>
      <c r="P209" s="19">
        <f t="shared" ca="1" si="438"/>
        <v>2.3153682546229165E-8</v>
      </c>
      <c r="Q209" s="19">
        <f ca="1">HCTrans(P209,Strike,RiskFreeRate,Dividend,Variance_T0*AnnualVarConvtr,(Simulation!G209)/250,0.5,Variance_Avg*AnnualVarConvtr,Lambda,SQRT(Simulation!N209),Rho,1,"Call")</f>
        <v>-1.5074177190494031E-5</v>
      </c>
      <c r="R209" s="19" t="e">
        <f t="shared" ca="1" si="433"/>
        <v>#VALUE!</v>
      </c>
      <c r="S209" s="19" t="e">
        <f t="shared" ca="1" si="434"/>
        <v>#VALUE!</v>
      </c>
      <c r="T209" s="19" t="e">
        <f t="shared" ca="1" si="439"/>
        <v>#VALUE!</v>
      </c>
      <c r="U209" s="19" t="e">
        <f t="shared" ca="1" si="440"/>
        <v>#VALUE!</v>
      </c>
      <c r="V209" s="21">
        <f t="shared" ca="1" si="441"/>
        <v>2.5909460230269044E-4</v>
      </c>
      <c r="W209">
        <f t="shared" ca="1" si="442"/>
        <v>1.6096415821625958E-2</v>
      </c>
      <c r="X209" s="22">
        <f t="shared" ref="X209" ca="1" si="467">BSdelta(1,P209,Strike,W209*AnnualVarConvtr,Dividend,RiskFreeRate,G209/250)</f>
        <v>0</v>
      </c>
      <c r="Y209" s="22">
        <f t="shared" ca="1" si="448"/>
        <v>0</v>
      </c>
      <c r="Z209" s="22">
        <f t="shared" ca="1" si="449"/>
        <v>-7.4987778692006293</v>
      </c>
      <c r="AA209">
        <f t="shared" si="436"/>
        <v>0.73884103340948371</v>
      </c>
      <c r="AB209">
        <f t="shared" ref="AB209" ca="1" si="468">BSdelta(1,P209,Strike,AA209/AnnualVarConvtr,Dividend,RiskFreeRate,G209/250)</f>
        <v>0</v>
      </c>
      <c r="AC209">
        <f t="shared" ca="1" si="445"/>
        <v>0</v>
      </c>
      <c r="AD209">
        <f t="shared" ca="1" si="446"/>
        <v>-2.5925431186460077</v>
      </c>
    </row>
    <row r="210" spans="7:30" x14ac:dyDescent="0.25">
      <c r="G210" s="19">
        <v>45</v>
      </c>
      <c r="H210" s="19">
        <f t="shared" ca="1" si="352"/>
        <v>0.16711240810700789</v>
      </c>
      <c r="I210" s="19">
        <f t="shared" ca="1" si="352"/>
        <v>0.26914588446475241</v>
      </c>
      <c r="J210" s="19">
        <f t="shared" ca="1" si="431"/>
        <v>-0.22700647365416315</v>
      </c>
      <c r="K210" s="19">
        <f t="shared" ca="1" si="432"/>
        <v>1.8779364318419318</v>
      </c>
      <c r="L210" s="19">
        <f t="array" aca="1" ref="L210:M210" ca="1">MMULT(J210:K210,TRANSPOSE($B$10:$C$11))</f>
        <v>-0.22700647365416315</v>
      </c>
      <c r="M210" s="19">
        <f ca="1"/>
        <v>1.472674351577584</v>
      </c>
      <c r="N210" s="20">
        <f ca="1">GetVariance(N209,Variance_Avg,Lambda,Eta,M210,"Daily")</f>
        <v>5.9150736262195761E-2</v>
      </c>
      <c r="O210" s="20">
        <f ca="1">GetStockReturns(O209,RiskFreeRate,N209,L210,"Daily")</f>
        <v>-2.3573460911097723E-2</v>
      </c>
      <c r="P210" s="19">
        <f t="shared" ca="1" si="438"/>
        <v>2.2614253204236254E-8</v>
      </c>
      <c r="Q210" s="19">
        <f ca="1">HCTrans(P210,Strike,RiskFreeRate,Dividend,Variance_T0*AnnualVarConvtr,(Simulation!G210)/250,0.5,Variance_Avg*AnnualVarConvtr,Lambda,SQRT(Simulation!N210),Rho,1,"Call")</f>
        <v>-1.5074154430990602E-5</v>
      </c>
      <c r="R210" s="19" t="e">
        <f t="shared" ca="1" si="433"/>
        <v>#VALUE!</v>
      </c>
      <c r="S210" s="19" t="e">
        <f t="shared" ca="1" si="434"/>
        <v>#VALUE!</v>
      </c>
      <c r="T210" s="19" t="e">
        <f t="shared" ca="1" si="439"/>
        <v>#VALUE!</v>
      </c>
      <c r="U210" s="19" t="e">
        <f t="shared" ca="1" si="440"/>
        <v>#VALUE!</v>
      </c>
      <c r="V210" s="21">
        <f t="shared" ca="1" si="441"/>
        <v>1.0493886708301766E-5</v>
      </c>
      <c r="W210">
        <f t="shared" ca="1" si="442"/>
        <v>3.2394269104737902E-3</v>
      </c>
      <c r="X210" s="22">
        <f t="shared" ref="X210" ca="1" si="469">BSdelta(1,P210,Strike,W210*AnnualVarConvtr,Dividend,RiskFreeRate,G210/250)</f>
        <v>0</v>
      </c>
      <c r="Y210" s="22">
        <f t="shared" ca="1" si="448"/>
        <v>0</v>
      </c>
      <c r="Z210" s="22">
        <f t="shared" ca="1" si="449"/>
        <v>-7.4987778691778697</v>
      </c>
      <c r="AA210">
        <f t="shared" si="436"/>
        <v>0.73884103340948371</v>
      </c>
      <c r="AB210">
        <f t="shared" ref="AB210" ca="1" si="470">BSdelta(1,P210,Strike,AA210/AnnualVarConvtr,Dividend,RiskFreeRate,G210/250)</f>
        <v>0</v>
      </c>
      <c r="AC210">
        <f t="shared" ca="1" si="445"/>
        <v>0</v>
      </c>
      <c r="AD210">
        <f t="shared" ca="1" si="446"/>
        <v>-2.5925431186232482</v>
      </c>
    </row>
    <row r="211" spans="7:30" x14ac:dyDescent="0.25">
      <c r="G211" s="19">
        <v>44</v>
      </c>
      <c r="H211" s="19">
        <f t="shared" ca="1" si="352"/>
        <v>0.89249376917211265</v>
      </c>
      <c r="I211" s="19">
        <f t="shared" ca="1" si="352"/>
        <v>0.5657629620027731</v>
      </c>
      <c r="J211" s="19">
        <f t="shared" ca="1" si="431"/>
        <v>-0.43680057862253086</v>
      </c>
      <c r="K211" s="19">
        <f t="shared" ca="1" si="432"/>
        <v>-0.19151174339964272</v>
      </c>
      <c r="L211" s="19">
        <f t="array" aca="1" ref="L211:M211" ca="1">MMULT(J211:K211,TRANSPOSE($B$10:$C$11))</f>
        <v>-0.43680057862253086</v>
      </c>
      <c r="M211" s="19">
        <f ca="1"/>
        <v>0.17937149454801093</v>
      </c>
      <c r="N211" s="20">
        <f ca="1">GetVariance(N210,Variance_Avg,Lambda,Eta,M211,"Daily")</f>
        <v>5.9949047066603464E-2</v>
      </c>
      <c r="O211" s="20">
        <f ca="1">GetStockReturns(O210,RiskFreeRate,N210,L211,"Daily")</f>
        <v>-3.0292285114898468E-2</v>
      </c>
      <c r="P211" s="19">
        <f t="shared" ca="1" si="438"/>
        <v>2.1939487493720224E-8</v>
      </c>
      <c r="Q211" s="19">
        <f ca="1">HCTrans(P211,Strike,RiskFreeRate,Dividend,Variance_T0*AnnualVarConvtr,(Simulation!G211)/250,0.5,Variance_Avg*AnnualVarConvtr,Lambda,SQRT(Simulation!N211),Rho,1,"Call")</f>
        <v>-1.5074125068816303E-5</v>
      </c>
      <c r="R211" s="19" t="e">
        <f t="shared" ca="1" si="433"/>
        <v>#VALUE!</v>
      </c>
      <c r="S211" s="19" t="e">
        <f t="shared" ca="1" si="434"/>
        <v>#VALUE!</v>
      </c>
      <c r="T211" s="19" t="e">
        <f t="shared" ca="1" si="439"/>
        <v>#VALUE!</v>
      </c>
      <c r="U211" s="19" t="e">
        <f t="shared" ca="1" si="440"/>
        <v>#VALUE!</v>
      </c>
      <c r="V211" s="21">
        <f t="shared" ca="1" si="441"/>
        <v>4.514259868157872E-5</v>
      </c>
      <c r="W211">
        <f t="shared" ca="1" si="442"/>
        <v>6.7188242038007454E-3</v>
      </c>
      <c r="X211" s="22">
        <f t="shared" ref="X211" ca="1" si="471">BSdelta(1,P211,Strike,W211*AnnualVarConvtr,Dividend,RiskFreeRate,G211/250)</f>
        <v>0</v>
      </c>
      <c r="Y211" s="22">
        <f t="shared" ca="1" si="448"/>
        <v>0</v>
      </c>
      <c r="Z211" s="22">
        <f t="shared" ca="1" si="449"/>
        <v>-7.4987778691485074</v>
      </c>
      <c r="AA211">
        <f t="shared" si="436"/>
        <v>0.73884103340948371</v>
      </c>
      <c r="AB211">
        <f t="shared" ref="AB211" ca="1" si="472">BSdelta(1,P211,Strike,AA211/AnnualVarConvtr,Dividend,RiskFreeRate,G211/250)</f>
        <v>0</v>
      </c>
      <c r="AC211">
        <f t="shared" ca="1" si="445"/>
        <v>0</v>
      </c>
      <c r="AD211">
        <f t="shared" ca="1" si="446"/>
        <v>-2.5925431185938859</v>
      </c>
    </row>
    <row r="212" spans="7:30" x14ac:dyDescent="0.25">
      <c r="G212" s="19">
        <v>43</v>
      </c>
      <c r="H212" s="19">
        <f t="shared" ca="1" si="352"/>
        <v>0.7067269595879061</v>
      </c>
      <c r="I212" s="19">
        <f t="shared" ca="1" si="352"/>
        <v>0.58953671177951306</v>
      </c>
      <c r="J212" s="19">
        <f t="shared" ca="1" si="431"/>
        <v>-0.70479039039625346</v>
      </c>
      <c r="K212" s="19">
        <f t="shared" ca="1" si="432"/>
        <v>-0.44440102667462528</v>
      </c>
      <c r="L212" s="19">
        <f t="array" aca="1" ref="L212:M212" ca="1">MMULT(J212:K212,TRANSPOSE($B$10:$C$11))</f>
        <v>-0.70479039039625346</v>
      </c>
      <c r="M212" s="19">
        <f ca="1"/>
        <v>0.19497389513379237</v>
      </c>
      <c r="N212" s="20">
        <f ca="1">GetVariance(N211,Variance_Avg,Lambda,Eta,M212,"Daily")</f>
        <v>6.0844869689695005E-2</v>
      </c>
      <c r="O212" s="20">
        <f ca="1">GetStockReturns(O211,RiskFreeRate,N211,L212,"Daily")</f>
        <v>-4.1206213800546038E-2</v>
      </c>
      <c r="P212" s="19">
        <f t="shared" ca="1" si="438"/>
        <v>2.105381715726768E-8</v>
      </c>
      <c r="Q212" s="19">
        <f ca="1">HCTrans(P212,Strike,RiskFreeRate,Dividend,Variance_T0*AnnualVarConvtr,(Simulation!G212)/250,0.5,Variance_Avg*AnnualVarConvtr,Lambda,SQRT(Simulation!N212),Rho,1,"Call")</f>
        <v>-1.5074085087573887E-5</v>
      </c>
      <c r="R212" s="19" t="e">
        <f t="shared" ca="1" si="433"/>
        <v>#VALUE!</v>
      </c>
      <c r="S212" s="19" t="e">
        <f t="shared" ca="1" si="434"/>
        <v>#VALUE!</v>
      </c>
      <c r="T212" s="19" t="e">
        <f t="shared" ca="1" si="439"/>
        <v>#VALUE!</v>
      </c>
      <c r="U212" s="19" t="e">
        <f t="shared" ca="1" si="440"/>
        <v>#VALUE!</v>
      </c>
      <c r="V212" s="21">
        <f t="shared" ca="1" si="441"/>
        <v>1.1911383935540089E-4</v>
      </c>
      <c r="W212">
        <f t="shared" ca="1" si="442"/>
        <v>1.091392868564757E-2</v>
      </c>
      <c r="X212" s="22">
        <f t="shared" ref="X212" ca="1" si="473">BSdelta(1,P212,Strike,W212*AnnualVarConvtr,Dividend,RiskFreeRate,G212/250)</f>
        <v>0</v>
      </c>
      <c r="Y212" s="22">
        <f t="shared" ca="1" si="448"/>
        <v>0</v>
      </c>
      <c r="Z212" s="22">
        <f t="shared" ca="1" si="449"/>
        <v>-7.4987778691085261</v>
      </c>
      <c r="AA212">
        <f t="shared" si="436"/>
        <v>0.73884103340948371</v>
      </c>
      <c r="AB212">
        <f t="shared" ref="AB212" ca="1" si="474">BSdelta(1,P212,Strike,AA212/AnnualVarConvtr,Dividend,RiskFreeRate,G212/250)</f>
        <v>0</v>
      </c>
      <c r="AC212">
        <f t="shared" ca="1" si="445"/>
        <v>0</v>
      </c>
      <c r="AD212">
        <f t="shared" ca="1" si="446"/>
        <v>-2.5925431185539045</v>
      </c>
    </row>
    <row r="213" spans="7:30" x14ac:dyDescent="0.25">
      <c r="G213" s="19">
        <v>42</v>
      </c>
      <c r="H213" s="19">
        <f t="shared" ca="1" si="352"/>
        <v>0.92828530270574738</v>
      </c>
      <c r="I213" s="19">
        <f t="shared" ca="1" si="352"/>
        <v>0.12126809301467123</v>
      </c>
      <c r="J213" s="19">
        <f t="shared" ca="1" si="431"/>
        <v>0.27911419760351802</v>
      </c>
      <c r="K213" s="19">
        <f t="shared" ca="1" si="432"/>
        <v>0.26632231424709057</v>
      </c>
      <c r="L213" s="19">
        <f t="array" aca="1" ref="L213:M213" ca="1">MMULT(J213:K213,TRANSPOSE($B$10:$C$11))</f>
        <v>0.27911419760351802</v>
      </c>
      <c r="M213" s="19">
        <f ca="1"/>
        <v>-1.4202314029157365E-2</v>
      </c>
      <c r="N213" s="20">
        <f ca="1">GetVariance(N212,Variance_Avg,Lambda,Eta,M213,"Daily")</f>
        <v>6.0473799638036771E-2</v>
      </c>
      <c r="O213" s="20">
        <f ca="1">GetStockReturns(O212,RiskFreeRate,N212,L213,"Daily")</f>
        <v>-3.6851858065067696E-2</v>
      </c>
      <c r="P213" s="19">
        <f t="shared" ca="1" si="438"/>
        <v>2.0292067035881595E-8</v>
      </c>
      <c r="Q213" s="19">
        <f ca="1">HCTrans(P213,Strike,RiskFreeRate,Dividend,Variance_T0*AnnualVarConvtr,(Simulation!G213)/250,0.5,Variance_Avg*AnnualVarConvtr,Lambda,SQRT(Simulation!N213),Rho,1,"Call")</f>
        <v>-1.5074049695518801E-5</v>
      </c>
      <c r="R213" s="19" t="e">
        <f t="shared" ca="1" si="433"/>
        <v>#VALUE!</v>
      </c>
      <c r="S213" s="19" t="e">
        <f t="shared" ca="1" si="434"/>
        <v>#VALUE!</v>
      </c>
      <c r="T213" s="19" t="e">
        <f t="shared" ca="1" si="439"/>
        <v>#VALUE!</v>
      </c>
      <c r="U213" s="19" t="e">
        <f t="shared" ca="1" si="440"/>
        <v>#VALUE!</v>
      </c>
      <c r="V213" s="21">
        <f t="shared" ca="1" si="441"/>
        <v>1.8960413871093133E-5</v>
      </c>
      <c r="W213">
        <f t="shared" ca="1" si="442"/>
        <v>4.3543557354783421E-3</v>
      </c>
      <c r="X213" s="22">
        <f t="shared" ref="X213" ca="1" si="475">BSdelta(1,P213,Strike,W213*AnnualVarConvtr,Dividend,RiskFreeRate,G213/250)</f>
        <v>0</v>
      </c>
      <c r="Y213" s="22">
        <f t="shared" ca="1" si="448"/>
        <v>0</v>
      </c>
      <c r="Z213" s="22">
        <f t="shared" ca="1" si="449"/>
        <v>-7.4987778690731339</v>
      </c>
      <c r="AA213">
        <f t="shared" si="436"/>
        <v>0.73884103340948371</v>
      </c>
      <c r="AB213">
        <f t="shared" ref="AB213" ca="1" si="476">BSdelta(1,P213,Strike,AA213/AnnualVarConvtr,Dividend,RiskFreeRate,G213/250)</f>
        <v>0</v>
      </c>
      <c r="AC213">
        <f t="shared" ca="1" si="445"/>
        <v>0</v>
      </c>
      <c r="AD213">
        <f t="shared" ca="1" si="446"/>
        <v>-2.5925431185185124</v>
      </c>
    </row>
    <row r="214" spans="7:30" x14ac:dyDescent="0.25">
      <c r="G214" s="19">
        <v>41</v>
      </c>
      <c r="H214" s="19">
        <f t="shared" ca="1" si="352"/>
        <v>0.35653417882298366</v>
      </c>
      <c r="I214" s="19">
        <f t="shared" ca="1" si="352"/>
        <v>7.4262940151505252E-2</v>
      </c>
      <c r="J214" s="19">
        <f t="shared" ca="1" si="431"/>
        <v>1.2826631520086063</v>
      </c>
      <c r="K214" s="19">
        <f t="shared" ca="1" si="432"/>
        <v>0.64608480818969494</v>
      </c>
      <c r="L214" s="19">
        <f t="array" aca="1" ref="L214:M214" ca="1">MMULT(J214:K214,TRANSPOSE($B$10:$C$11))</f>
        <v>1.2826631520086063</v>
      </c>
      <c r="M214" s="19">
        <f ca="1"/>
        <v>-0.46832772631210107</v>
      </c>
      <c r="N214" s="20">
        <f ca="1">GetVariance(N213,Variance_Avg,Lambda,Eta,M214,"Daily")</f>
        <v>5.7399570122000282E-2</v>
      </c>
      <c r="O214" s="20">
        <f ca="1">GetStockReturns(O213,RiskFreeRate,N213,L214,"Daily")</f>
        <v>-1.690262323385306E-2</v>
      </c>
      <c r="P214" s="19">
        <f t="shared" ca="1" si="438"/>
        <v>1.9951960317297698E-8</v>
      </c>
      <c r="Q214" s="19">
        <f ca="1">HCTrans(P214,Strike,RiskFreeRate,Dividend,Variance_T0*AnnualVarConvtr,(Simulation!G214)/250,0.5,Variance_Avg*AnnualVarConvtr,Lambda,SQRT(Simulation!N214),Rho,1,"Call")</f>
        <v>-1.5074034013031078E-5</v>
      </c>
      <c r="R214" s="19" t="e">
        <f t="shared" ca="1" si="433"/>
        <v>#VALUE!</v>
      </c>
      <c r="S214" s="19" t="e">
        <f t="shared" ca="1" si="434"/>
        <v>#VALUE!</v>
      </c>
      <c r="T214" s="19" t="e">
        <f t="shared" ca="1" si="439"/>
        <v>#VALUE!</v>
      </c>
      <c r="U214" s="19" t="e">
        <f t="shared" ca="1" si="440"/>
        <v>#VALUE!</v>
      </c>
      <c r="V214" s="21">
        <f t="shared" ca="1" si="441"/>
        <v>3.9797197035094722E-4</v>
      </c>
      <c r="W214">
        <f t="shared" ca="1" si="442"/>
        <v>1.9949234831214635E-2</v>
      </c>
      <c r="X214" s="22">
        <f t="shared" ref="X214" ca="1" si="477">BSdelta(1,P214,Strike,W214*AnnualVarConvtr,Dividend,RiskFreeRate,G214/250)</f>
        <v>0</v>
      </c>
      <c r="Y214" s="22">
        <f t="shared" ca="1" si="448"/>
        <v>0</v>
      </c>
      <c r="Z214" s="22">
        <f t="shared" ca="1" si="449"/>
        <v>-7.4987778690574514</v>
      </c>
      <c r="AA214">
        <f t="shared" si="436"/>
        <v>0.73884103340948371</v>
      </c>
      <c r="AB214">
        <f t="shared" ref="AB214" ca="1" si="478">BSdelta(1,P214,Strike,AA214/AnnualVarConvtr,Dividend,RiskFreeRate,G214/250)</f>
        <v>0</v>
      </c>
      <c r="AC214">
        <f t="shared" ca="1" si="445"/>
        <v>0</v>
      </c>
      <c r="AD214">
        <f t="shared" ca="1" si="446"/>
        <v>-2.5925431185028298</v>
      </c>
    </row>
    <row r="215" spans="7:30" x14ac:dyDescent="0.25">
      <c r="G215" s="19">
        <v>40</v>
      </c>
      <c r="H215" s="19">
        <f t="shared" ca="1" si="352"/>
        <v>0.41575245885380507</v>
      </c>
      <c r="I215" s="19">
        <f t="shared" ca="1" si="352"/>
        <v>0.61986016727267945</v>
      </c>
      <c r="J215" s="19">
        <f t="shared" ca="1" si="431"/>
        <v>-0.96659888209238254</v>
      </c>
      <c r="K215" s="19">
        <f t="shared" ca="1" si="432"/>
        <v>-0.90609993624871432</v>
      </c>
      <c r="L215" s="19">
        <f t="array" aca="1" ref="L215:M215" ca="1">MMULT(J215:K215,TRANSPOSE($B$10:$C$11))</f>
        <v>-0.96659888209238254</v>
      </c>
      <c r="M215" s="19">
        <f ca="1"/>
        <v>6.0484480030820853E-2</v>
      </c>
      <c r="N215" s="20">
        <f ca="1">GetVariance(N214,Variance_Avg,Lambda,Eta,M215,"Daily")</f>
        <v>5.748850821742587E-2</v>
      </c>
      <c r="O215" s="20">
        <f ca="1">GetStockReturns(O214,RiskFreeRate,N214,L215,"Daily")</f>
        <v>-3.1549013567845632E-2</v>
      </c>
      <c r="P215" s="19">
        <f t="shared" ca="1" si="438"/>
        <v>1.9332321541710174E-8</v>
      </c>
      <c r="Q215" s="19">
        <f ca="1">HCTrans(P215,Strike,RiskFreeRate,Dividend,Variance_T0*AnnualVarConvtr,(Simulation!G215)/250,0.5,Variance_Avg*AnnualVarConvtr,Lambda,SQRT(Simulation!N215),Rho,1,"Call")</f>
        <v>-1.5074004139161493E-5</v>
      </c>
      <c r="R215" s="19" t="e">
        <f t="shared" ca="1" si="433"/>
        <v>#VALUE!</v>
      </c>
      <c r="S215" s="19" t="e">
        <f t="shared" ca="1" si="434"/>
        <v>#VALUE!</v>
      </c>
      <c r="T215" s="19" t="e">
        <f t="shared" ca="1" si="439"/>
        <v>#VALUE!</v>
      </c>
      <c r="U215" s="19" t="e">
        <f t="shared" ca="1" si="440"/>
        <v>#VALUE!</v>
      </c>
      <c r="V215" s="21">
        <f t="shared" ca="1" si="441"/>
        <v>2.1451674981567105E-4</v>
      </c>
      <c r="W215">
        <f t="shared" ca="1" si="442"/>
        <v>1.4646390333992572E-2</v>
      </c>
      <c r="X215" s="22">
        <f t="shared" ref="X215" ca="1" si="479">BSdelta(1,P215,Strike,W215*AnnualVarConvtr,Dividend,RiskFreeRate,G215/250)</f>
        <v>0</v>
      </c>
      <c r="Y215" s="22">
        <f t="shared" ca="1" si="448"/>
        <v>0</v>
      </c>
      <c r="Z215" s="22">
        <f t="shared" ca="1" si="449"/>
        <v>-7.4987778690275775</v>
      </c>
      <c r="AA215">
        <f t="shared" si="436"/>
        <v>0.73884103340948371</v>
      </c>
      <c r="AB215">
        <f t="shared" ref="AB215" ca="1" si="480">BSdelta(1,P215,Strike,AA215/AnnualVarConvtr,Dividend,RiskFreeRate,G215/250)</f>
        <v>0</v>
      </c>
      <c r="AC215">
        <f t="shared" ca="1" si="445"/>
        <v>0</v>
      </c>
      <c r="AD215">
        <f t="shared" ca="1" si="446"/>
        <v>-2.5925431184729559</v>
      </c>
    </row>
    <row r="216" spans="7:30" x14ac:dyDescent="0.25">
      <c r="G216" s="19">
        <v>39</v>
      </c>
      <c r="H216" s="19">
        <f t="shared" ca="1" si="352"/>
        <v>0.57180082802216969</v>
      </c>
      <c r="I216" s="19">
        <f t="shared" ca="1" si="352"/>
        <v>0.90467138334307517</v>
      </c>
      <c r="J216" s="19">
        <f t="shared" ca="1" si="431"/>
        <v>0.87326125363763007</v>
      </c>
      <c r="K216" s="19">
        <f t="shared" ca="1" si="432"/>
        <v>-0.59610727632710181</v>
      </c>
      <c r="L216" s="19">
        <f t="array" aca="1" ref="L216:M216" ca="1">MMULT(J216:K216,TRANSPOSE($B$10:$C$11))</f>
        <v>0.87326125363763007</v>
      </c>
      <c r="M216" s="19">
        <f ca="1"/>
        <v>-1.0415284292491993</v>
      </c>
      <c r="N216" s="20">
        <f ca="1">GetVariance(N215,Variance_Avg,Lambda,Eta,M216,"Daily")</f>
        <v>5.1260829332775655E-2</v>
      </c>
      <c r="O216" s="20">
        <f ca="1">GetStockReturns(O215,RiskFreeRate,N215,L216,"Daily")</f>
        <v>-1.8306674421000799E-2</v>
      </c>
      <c r="P216" s="19">
        <f t="shared" ca="1" si="438"/>
        <v>1.8981630809955531E-8</v>
      </c>
      <c r="Q216" s="19">
        <f ca="1">HCTrans(P216,Strike,RiskFreeRate,Dividend,Variance_T0*AnnualVarConvtr,(Simulation!G216)/250,0.5,Variance_Avg*AnnualVarConvtr,Lambda,SQRT(Simulation!N216),Rho,1,"Call")</f>
        <v>-1.5073987242340127E-5</v>
      </c>
      <c r="R216" s="19" t="e">
        <f t="shared" ca="1" si="433"/>
        <v>#VALUE!</v>
      </c>
      <c r="S216" s="19" t="e">
        <f t="shared" ca="1" si="434"/>
        <v>#VALUE!</v>
      </c>
      <c r="T216" s="19" t="e">
        <f t="shared" ca="1" si="439"/>
        <v>#VALUE!</v>
      </c>
      <c r="U216" s="19" t="e">
        <f t="shared" ca="1" si="440"/>
        <v>#VALUE!</v>
      </c>
      <c r="V216" s="21">
        <f t="shared" ca="1" si="441"/>
        <v>1.7535954608005917E-4</v>
      </c>
      <c r="W216">
        <f t="shared" ca="1" si="442"/>
        <v>1.3242339146844834E-2</v>
      </c>
      <c r="X216" s="22">
        <f t="shared" ref="X216" ca="1" si="481">BSdelta(1,P216,Strike,W216*AnnualVarConvtr,Dividend,RiskFreeRate,G216/250)</f>
        <v>0</v>
      </c>
      <c r="Y216" s="22">
        <f t="shared" ca="1" si="448"/>
        <v>0</v>
      </c>
      <c r="Z216" s="22">
        <f t="shared" ca="1" si="449"/>
        <v>-7.4987778690106808</v>
      </c>
      <c r="AA216">
        <f t="shared" si="436"/>
        <v>0.73884103340948371</v>
      </c>
      <c r="AB216">
        <f t="shared" ref="AB216" ca="1" si="482">BSdelta(1,P216,Strike,AA216/AnnualVarConvtr,Dividend,RiskFreeRate,G216/250)</f>
        <v>0</v>
      </c>
      <c r="AC216">
        <f t="shared" ca="1" si="445"/>
        <v>0</v>
      </c>
      <c r="AD216">
        <f t="shared" ca="1" si="446"/>
        <v>-2.5925431184560592</v>
      </c>
    </row>
    <row r="217" spans="7:30" x14ac:dyDescent="0.25">
      <c r="G217" s="19">
        <v>38</v>
      </c>
      <c r="H217" s="19">
        <f t="shared" ca="1" si="352"/>
        <v>0.52011492670599613</v>
      </c>
      <c r="I217" s="19">
        <f t="shared" ca="1" si="352"/>
        <v>0.6097573305661097</v>
      </c>
      <c r="J217" s="19">
        <f t="shared" ca="1" si="431"/>
        <v>-0.8821310824442925</v>
      </c>
      <c r="K217" s="19">
        <f t="shared" ca="1" si="432"/>
        <v>-0.72749962972238025</v>
      </c>
      <c r="L217" s="19">
        <f t="array" aca="1" ref="L217:M217" ca="1">MMULT(J217:K217,TRANSPOSE($B$10:$C$11))</f>
        <v>-0.8821310824442925</v>
      </c>
      <c r="M217" s="19">
        <f ca="1"/>
        <v>0.1245525699245642</v>
      </c>
      <c r="N217" s="20">
        <f ca="1">GetVariance(N216,Variance_Avg,Lambda,Eta,M217,"Daily")</f>
        <v>5.1720235198482921E-2</v>
      </c>
      <c r="O217" s="20">
        <f ca="1">GetStockReturns(O216,RiskFreeRate,N216,L217,"Daily")</f>
        <v>-3.0938203749011971E-2</v>
      </c>
      <c r="P217" s="19">
        <f t="shared" ca="1" si="438"/>
        <v>1.8403364631200518E-8</v>
      </c>
      <c r="Q217" s="19">
        <f ca="1">HCTrans(P217,Strike,RiskFreeRate,Dividend,Variance_T0*AnnualVarConvtr,(Simulation!G217)/250,0.5,Variance_Avg*AnnualVarConvtr,Lambda,SQRT(Simulation!N217),Rho,1,"Call")</f>
        <v>-1.5073958248091226E-5</v>
      </c>
      <c r="R217" s="19" t="e">
        <f t="shared" ca="1" si="433"/>
        <v>#VALUE!</v>
      </c>
      <c r="S217" s="19" t="e">
        <f t="shared" ca="1" si="434"/>
        <v>#VALUE!</v>
      </c>
      <c r="T217" s="19" t="e">
        <f t="shared" ca="1" si="439"/>
        <v>#VALUE!</v>
      </c>
      <c r="U217" s="19" t="e">
        <f t="shared" ca="1" si="440"/>
        <v>#VALUE!</v>
      </c>
      <c r="V217" s="21">
        <f t="shared" ca="1" si="441"/>
        <v>1.595555331644064E-4</v>
      </c>
      <c r="W217">
        <f t="shared" ca="1" si="442"/>
        <v>1.2631529328011173E-2</v>
      </c>
      <c r="X217" s="22">
        <f t="shared" ref="X217" ca="1" si="483">BSdelta(1,P217,Strike,W217*AnnualVarConvtr,Dividend,RiskFreeRate,G217/250)</f>
        <v>0</v>
      </c>
      <c r="Y217" s="22">
        <f t="shared" ca="1" si="448"/>
        <v>0</v>
      </c>
      <c r="Z217" s="22">
        <f t="shared" ca="1" si="449"/>
        <v>-7.4987778689816862</v>
      </c>
      <c r="AA217">
        <f t="shared" si="436"/>
        <v>0.73884103340948371</v>
      </c>
      <c r="AB217">
        <f t="shared" ref="AB217" ca="1" si="484">BSdelta(1,P217,Strike,AA217/AnnualVarConvtr,Dividend,RiskFreeRate,G217/250)</f>
        <v>0</v>
      </c>
      <c r="AC217">
        <f t="shared" ca="1" si="445"/>
        <v>0</v>
      </c>
      <c r="AD217">
        <f t="shared" ca="1" si="446"/>
        <v>-2.5925431184270651</v>
      </c>
    </row>
    <row r="218" spans="7:30" x14ac:dyDescent="0.25">
      <c r="G218" s="19">
        <v>37</v>
      </c>
      <c r="H218" s="19">
        <f t="shared" ca="1" si="352"/>
        <v>0.95311361569760622</v>
      </c>
      <c r="I218" s="19">
        <f t="shared" ca="1" si="352"/>
        <v>0.33063861274652417</v>
      </c>
      <c r="J218" s="19">
        <f t="shared" ca="1" si="431"/>
        <v>-0.15038730904213601</v>
      </c>
      <c r="K218" s="19">
        <f t="shared" ca="1" si="432"/>
        <v>0.27097229409422496</v>
      </c>
      <c r="L218" s="19">
        <f t="array" aca="1" ref="L218:M218" ca="1">MMULT(J218:K218,TRANSPOSE($B$10:$C$11))</f>
        <v>-0.15038730904213601</v>
      </c>
      <c r="M218" s="19">
        <f ca="1"/>
        <v>0.29677928139879184</v>
      </c>
      <c r="N218" s="20">
        <f ca="1">GetVariance(N217,Variance_Avg,Lambda,Eta,M218,"Daily")</f>
        <v>5.3151614264396532E-2</v>
      </c>
      <c r="O218" s="20">
        <f ca="1">GetStockReturns(O217,RiskFreeRate,N217,L218,"Daily")</f>
        <v>-3.310127801020251E-2</v>
      </c>
      <c r="P218" s="19">
        <f t="shared" ca="1" si="438"/>
        <v>1.7804161645484885E-8</v>
      </c>
      <c r="Q218" s="19">
        <f ca="1">HCTrans(P218,Strike,RiskFreeRate,Dividend,Variance_T0*AnnualVarConvtr,(Simulation!G218)/250,0.5,Variance_Avg*AnnualVarConvtr,Lambda,SQRT(Simulation!N218),Rho,1,"Call")</f>
        <v>-1.5073927366434083E-5</v>
      </c>
      <c r="R218" s="19" t="e">
        <f t="shared" ca="1" si="433"/>
        <v>#VALUE!</v>
      </c>
      <c r="S218" s="19" t="e">
        <f t="shared" ca="1" si="434"/>
        <v>#VALUE!</v>
      </c>
      <c r="T218" s="19" t="e">
        <f t="shared" ca="1" si="439"/>
        <v>#VALUE!</v>
      </c>
      <c r="U218" s="19" t="e">
        <f t="shared" ca="1" si="440"/>
        <v>#VALUE!</v>
      </c>
      <c r="V218" s="21">
        <f t="shared" ca="1" si="441"/>
        <v>4.678890259424996E-6</v>
      </c>
      <c r="W218">
        <f t="shared" ca="1" si="442"/>
        <v>2.1630742611905389E-3</v>
      </c>
      <c r="X218" s="22">
        <f t="shared" ref="X218" ca="1" si="485">BSdelta(1,P218,Strike,W218*AnnualVarConvtr,Dividend,RiskFreeRate,G218/250)</f>
        <v>0</v>
      </c>
      <c r="Y218" s="22">
        <f t="shared" ca="1" si="448"/>
        <v>0</v>
      </c>
      <c r="Z218" s="22">
        <f t="shared" ca="1" si="449"/>
        <v>-7.4987778689508042</v>
      </c>
      <c r="AA218">
        <f t="shared" si="436"/>
        <v>0.73884103340948371</v>
      </c>
      <c r="AB218">
        <f t="shared" ref="AB218" ca="1" si="486">BSdelta(1,P218,Strike,AA218/AnnualVarConvtr,Dividend,RiskFreeRate,G218/250)</f>
        <v>0</v>
      </c>
      <c r="AC218">
        <f t="shared" ca="1" si="445"/>
        <v>0</v>
      </c>
      <c r="AD218">
        <f t="shared" ca="1" si="446"/>
        <v>-2.5925431183961836</v>
      </c>
    </row>
    <row r="219" spans="7:30" x14ac:dyDescent="0.25">
      <c r="G219" s="19">
        <v>36</v>
      </c>
      <c r="H219" s="19">
        <f t="shared" ca="1" si="352"/>
        <v>0.81726008575625686</v>
      </c>
      <c r="I219" s="19">
        <f t="shared" ca="1" si="352"/>
        <v>0.98908577496396399</v>
      </c>
      <c r="J219" s="19">
        <f t="shared" ca="1" si="431"/>
        <v>0.633798687065946</v>
      </c>
      <c r="K219" s="19">
        <f t="shared" ca="1" si="432"/>
        <v>-4.3531701095943481E-2</v>
      </c>
      <c r="L219" s="19">
        <f t="array" aca="1" ref="L219:M219" ca="1">MMULT(J219:K219,TRANSPOSE($B$10:$C$11))</f>
        <v>0.633798687065946</v>
      </c>
      <c r="M219" s="19">
        <f ca="1"/>
        <v>-0.48448391203122071</v>
      </c>
      <c r="N219" s="20">
        <f ca="1">GetVariance(N218,Variance_Avg,Lambda,Eta,M219,"Daily")</f>
        <v>5.0203660540390452E-2</v>
      </c>
      <c r="O219" s="20">
        <f ca="1">GetStockReturns(O218,RiskFreeRate,N218,L219,"Daily")</f>
        <v>-2.3859839879451498E-2</v>
      </c>
      <c r="P219" s="19">
        <f t="shared" ca="1" si="438"/>
        <v>1.7384385015457265E-8</v>
      </c>
      <c r="Q219" s="19">
        <f ca="1">HCTrans(P219,Strike,RiskFreeRate,Dividend,Variance_T0*AnnualVarConvtr,(Simulation!G219)/250,0.5,Variance_Avg*AnnualVarConvtr,Lambda,SQRT(Simulation!N219),Rho,1,"Call")</f>
        <v>-1.5073905463957572E-5</v>
      </c>
      <c r="R219" s="19" t="e">
        <f t="shared" ca="1" si="433"/>
        <v>#VALUE!</v>
      </c>
      <c r="S219" s="19" t="e">
        <f t="shared" ca="1" si="434"/>
        <v>#VALUE!</v>
      </c>
      <c r="T219" s="19" t="e">
        <f t="shared" ca="1" si="439"/>
        <v>#VALUE!</v>
      </c>
      <c r="U219" s="19" t="e">
        <f t="shared" ca="1" si="440"/>
        <v>#VALUE!</v>
      </c>
      <c r="V219" s="21">
        <f t="shared" ca="1" si="441"/>
        <v>8.5404178724498753E-5</v>
      </c>
      <c r="W219">
        <f t="shared" ca="1" si="442"/>
        <v>9.2414381307510118E-3</v>
      </c>
      <c r="X219" s="22">
        <f t="shared" ref="X219" ca="1" si="487">BSdelta(1,P219,Strike,W219*AnnualVarConvtr,Dividend,RiskFreeRate,G219/250)</f>
        <v>0</v>
      </c>
      <c r="Y219" s="22">
        <f t="shared" ca="1" si="448"/>
        <v>0</v>
      </c>
      <c r="Z219" s="22">
        <f t="shared" ca="1" si="449"/>
        <v>-7.4987778689289017</v>
      </c>
      <c r="AA219">
        <f t="shared" si="436"/>
        <v>0.73884103340948371</v>
      </c>
      <c r="AB219">
        <f t="shared" ref="AB219" ca="1" si="488">BSdelta(1,P219,Strike,AA219/AnnualVarConvtr,Dividend,RiskFreeRate,G219/250)</f>
        <v>0</v>
      </c>
      <c r="AC219">
        <f t="shared" ca="1" si="445"/>
        <v>0</v>
      </c>
      <c r="AD219">
        <f t="shared" ca="1" si="446"/>
        <v>-2.5925431183742811</v>
      </c>
    </row>
    <row r="220" spans="7:30" x14ac:dyDescent="0.25">
      <c r="G220" s="19">
        <v>35</v>
      </c>
      <c r="H220" s="19">
        <f t="shared" ca="1" si="352"/>
        <v>6.5278898705552812E-2</v>
      </c>
      <c r="I220" s="19">
        <f t="shared" ca="1" si="352"/>
        <v>0.61606161545419513</v>
      </c>
      <c r="J220" s="19">
        <f t="shared" ca="1" si="431"/>
        <v>-1.7421198557414408</v>
      </c>
      <c r="K220" s="19">
        <f t="shared" ca="1" si="432"/>
        <v>-1.55666029878304</v>
      </c>
      <c r="L220" s="19">
        <f t="array" aca="1" ref="L220:M220" ca="1">MMULT(J220:K220,TRANSPOSE($B$10:$C$11))</f>
        <v>-1.7421198557414408</v>
      </c>
      <c r="M220" s="19">
        <f ca="1"/>
        <v>0.16232274661091406</v>
      </c>
      <c r="N220" s="20">
        <f ca="1">GetVariance(N219,Variance_Avg,Lambda,Eta,M220,"Daily")</f>
        <v>5.0870643684154004E-2</v>
      </c>
      <c r="O220" s="20">
        <f ca="1">GetStockReturns(O219,RiskFreeRate,N219,L220,"Daily")</f>
        <v>-4.8547260609814041E-2</v>
      </c>
      <c r="P220" s="19">
        <f t="shared" ca="1" si="438"/>
        <v>1.6560579292722639E-8</v>
      </c>
      <c r="Q220" s="19">
        <f ca="1">HCTrans(P220,Strike,RiskFreeRate,Dividend,Variance_T0*AnnualVarConvtr,(Simulation!G220)/250,0.5,Variance_Avg*AnnualVarConvtr,Lambda,SQRT(Simulation!N220),Rho,1,"Call")</f>
        <v>-1.507386037012282E-5</v>
      </c>
      <c r="R220" s="19" t="e">
        <f t="shared" ca="1" si="433"/>
        <v>#VALUE!</v>
      </c>
      <c r="S220" s="19" t="e">
        <f t="shared" ca="1" si="434"/>
        <v>#VALUE!</v>
      </c>
      <c r="T220" s="19" t="e">
        <f t="shared" ca="1" si="439"/>
        <v>#VALUE!</v>
      </c>
      <c r="U220" s="19" t="e">
        <f t="shared" ca="1" si="440"/>
        <v>#VALUE!</v>
      </c>
      <c r="V220" s="21">
        <f t="shared" ca="1" si="441"/>
        <v>6.0946874231793428E-4</v>
      </c>
      <c r="W220">
        <f t="shared" ca="1" si="442"/>
        <v>2.4687420730362543E-2</v>
      </c>
      <c r="X220" s="22">
        <f t="shared" ref="X220" ca="1" si="489">BSdelta(1,P220,Strike,W220*AnnualVarConvtr,Dividend,RiskFreeRate,G220/250)</f>
        <v>0</v>
      </c>
      <c r="Y220" s="22">
        <f t="shared" ca="1" si="448"/>
        <v>0</v>
      </c>
      <c r="Z220" s="22">
        <f t="shared" ca="1" si="449"/>
        <v>-7.498777868883808</v>
      </c>
      <c r="AA220">
        <f t="shared" si="436"/>
        <v>0.73884103340948371</v>
      </c>
      <c r="AB220">
        <f t="shared" ref="AB220" ca="1" si="490">BSdelta(1,P220,Strike,AA220/AnnualVarConvtr,Dividend,RiskFreeRate,G220/250)</f>
        <v>0</v>
      </c>
      <c r="AC220">
        <f t="shared" ca="1" si="445"/>
        <v>0</v>
      </c>
      <c r="AD220">
        <f t="shared" ca="1" si="446"/>
        <v>-2.5925431183291874</v>
      </c>
    </row>
    <row r="221" spans="7:30" x14ac:dyDescent="0.25">
      <c r="G221" s="19">
        <v>34</v>
      </c>
      <c r="H221" s="19">
        <f t="shared" ca="1" si="352"/>
        <v>0.82057796531691662</v>
      </c>
      <c r="I221" s="19">
        <f t="shared" ca="1" si="352"/>
        <v>0.49405071020009039</v>
      </c>
      <c r="J221" s="19">
        <f t="shared" ca="1" si="431"/>
        <v>-0.62844278775333418</v>
      </c>
      <c r="K221" s="19">
        <f t="shared" ca="1" si="432"/>
        <v>2.3502447190500965E-2</v>
      </c>
      <c r="L221" s="19">
        <f t="array" aca="1" ref="L221:M221" ca="1">MMULT(J221:K221,TRANSPOSE($B$10:$C$11))</f>
        <v>-0.62844278775333418</v>
      </c>
      <c r="M221" s="19">
        <f ca="1"/>
        <v>0.46667426120018674</v>
      </c>
      <c r="N221" s="20">
        <f ca="1">GetVariance(N220,Variance_Avg,Lambda,Eta,M221,"Daily")</f>
        <v>5.3251967327516414E-2</v>
      </c>
      <c r="O221" s="20">
        <f ca="1">GetStockReturns(O220,RiskFreeRate,N220,L221,"Daily")</f>
        <v>-5.7511828459834033E-2</v>
      </c>
      <c r="P221" s="19">
        <f t="shared" ca="1" si="438"/>
        <v>1.5635020488433913E-8</v>
      </c>
      <c r="Q221" s="19">
        <f ca="1">HCTrans(P221,Strike,RiskFreeRate,Dividend,Variance_T0*AnnualVarConvtr,(Simulation!G221)/250,0.5,Variance_Avg*AnnualVarConvtr,Lambda,SQRT(Simulation!N221),Rho,1,"Call")</f>
        <v>-1.5073807380990297E-5</v>
      </c>
      <c r="R221" s="19" t="e">
        <f t="shared" ca="1" si="433"/>
        <v>#VALUE!</v>
      </c>
      <c r="S221" s="19" t="e">
        <f t="shared" ca="1" si="434"/>
        <v>#VALUE!</v>
      </c>
      <c r="T221" s="19" t="e">
        <f t="shared" ca="1" si="439"/>
        <v>#VALUE!</v>
      </c>
      <c r="U221" s="19" t="e">
        <f t="shared" ca="1" si="440"/>
        <v>#VALUE!</v>
      </c>
      <c r="V221" s="21">
        <f t="shared" ca="1" si="441"/>
        <v>8.036347673761205E-5</v>
      </c>
      <c r="W221">
        <f t="shared" ca="1" si="442"/>
        <v>8.9645678500199916E-3</v>
      </c>
      <c r="X221" s="22">
        <f t="shared" ref="X221" ca="1" si="491">BSdelta(1,P221,Strike,W221*AnnualVarConvtr,Dividend,RiskFreeRate,G221/250)</f>
        <v>0</v>
      </c>
      <c r="Y221" s="22">
        <f t="shared" ca="1" si="448"/>
        <v>0</v>
      </c>
      <c r="Z221" s="22">
        <f t="shared" ca="1" si="449"/>
        <v>-7.4987778688308193</v>
      </c>
      <c r="AA221">
        <f t="shared" si="436"/>
        <v>0.73884103340948371</v>
      </c>
      <c r="AB221">
        <f t="shared" ref="AB221" ca="1" si="492">BSdelta(1,P221,Strike,AA221/AnnualVarConvtr,Dividend,RiskFreeRate,G221/250)</f>
        <v>0</v>
      </c>
      <c r="AC221">
        <f t="shared" ca="1" si="445"/>
        <v>0</v>
      </c>
      <c r="AD221">
        <f t="shared" ca="1" si="446"/>
        <v>-2.5925431182761982</v>
      </c>
    </row>
    <row r="222" spans="7:30" x14ac:dyDescent="0.25">
      <c r="G222" s="19">
        <v>33</v>
      </c>
      <c r="H222" s="19">
        <f t="shared" ca="1" si="352"/>
        <v>0.63425341521729683</v>
      </c>
      <c r="I222" s="19">
        <f t="shared" ca="1" si="352"/>
        <v>0.65208050663894335</v>
      </c>
      <c r="J222" s="19">
        <f t="shared" ca="1" si="431"/>
        <v>-0.55076078586030031</v>
      </c>
      <c r="K222" s="19">
        <f t="shared" ca="1" si="432"/>
        <v>-0.77927912103652708</v>
      </c>
      <c r="L222" s="19">
        <f t="array" aca="1" ref="L222:M222" ca="1">MMULT(J222:K222,TRANSPOSE($B$10:$C$11))</f>
        <v>-0.55076078586030031</v>
      </c>
      <c r="M222" s="19">
        <f ca="1"/>
        <v>-0.1489949523146108</v>
      </c>
      <c r="N222" s="20">
        <f ca="1">GetVariance(N221,Variance_Avg,Lambda,Eta,M222,"Daily")</f>
        <v>5.2167283023754361E-2</v>
      </c>
      <c r="O222" s="20">
        <f ca="1">GetStockReturns(O221,RiskFreeRate,N221,L222,"Daily")</f>
        <v>-6.5550065982253075E-2</v>
      </c>
      <c r="P222" s="19">
        <f t="shared" ca="1" si="438"/>
        <v>1.464301215039559E-8</v>
      </c>
      <c r="Q222" s="19">
        <f ca="1">HCTrans(P222,Strike,RiskFreeRate,Dividend,Variance_T0*AnnualVarConvtr,(Simulation!G222)/250,0.5,Variance_Avg*AnnualVarConvtr,Lambda,SQRT(Simulation!N222),Rho,1,"Call")</f>
        <v>-1.507374764193812E-5</v>
      </c>
      <c r="R222" s="19" t="e">
        <f t="shared" ca="1" si="433"/>
        <v>#VALUE!</v>
      </c>
      <c r="S222" s="19" t="e">
        <f t="shared" ca="1" si="434"/>
        <v>#VALUE!</v>
      </c>
      <c r="T222" s="19" t="e">
        <f t="shared" ca="1" si="439"/>
        <v>#VALUE!</v>
      </c>
      <c r="U222" s="19" t="e">
        <f t="shared" ca="1" si="440"/>
        <v>#VALUE!</v>
      </c>
      <c r="V222" s="21">
        <f t="shared" ca="1" si="441"/>
        <v>6.4613262466825427E-5</v>
      </c>
      <c r="W222">
        <f t="shared" ca="1" si="442"/>
        <v>8.0382375224190422E-3</v>
      </c>
      <c r="X222" s="22">
        <f t="shared" ref="X222" ca="1" si="493">BSdelta(1,P222,Strike,W222*AnnualVarConvtr,Dividend,RiskFreeRate,G222/250)</f>
        <v>0</v>
      </c>
      <c r="Y222" s="22">
        <f t="shared" ca="1" si="448"/>
        <v>0</v>
      </c>
      <c r="Z222" s="22">
        <f t="shared" ca="1" si="449"/>
        <v>-7.4987778687710804</v>
      </c>
      <c r="AA222">
        <f t="shared" si="436"/>
        <v>0.73884103340948371</v>
      </c>
      <c r="AB222">
        <f t="shared" ref="AB222" ca="1" si="494">BSdelta(1,P222,Strike,AA222/AnnualVarConvtr,Dividend,RiskFreeRate,G222/250)</f>
        <v>0</v>
      </c>
      <c r="AC222">
        <f t="shared" ca="1" si="445"/>
        <v>0</v>
      </c>
      <c r="AD222">
        <f t="shared" ca="1" si="446"/>
        <v>-2.5925431182164593</v>
      </c>
    </row>
    <row r="223" spans="7:30" x14ac:dyDescent="0.25">
      <c r="G223" s="19">
        <v>32</v>
      </c>
      <c r="H223" s="19">
        <f t="shared" ref="H223:I254" ca="1" si="495">RAND()</f>
        <v>0.68038905485959256</v>
      </c>
      <c r="I223" s="19">
        <f t="shared" ca="1" si="495"/>
        <v>0.85137194521783621</v>
      </c>
      <c r="J223" s="19">
        <f t="shared" ca="1" si="431"/>
        <v>0.52194111657043274</v>
      </c>
      <c r="K223" s="19">
        <f t="shared" ca="1" si="432"/>
        <v>-0.70552000728340825</v>
      </c>
      <c r="L223" s="19">
        <f t="array" aca="1" ref="L223:M223" ca="1">MMULT(J223:K223,TRANSPOSE($B$10:$C$11))</f>
        <v>0.52194111657043274</v>
      </c>
      <c r="M223" s="19">
        <f ca="1"/>
        <v>-0.86613245978359876</v>
      </c>
      <c r="N223" s="20">
        <f ca="1">GetVariance(N222,Variance_Avg,Lambda,Eta,M223,"Daily")</f>
        <v>4.7190092686552144E-2</v>
      </c>
      <c r="O223" s="20">
        <f ca="1">GetStockReturns(O222,RiskFreeRate,N222,L223,"Daily")</f>
        <v>-5.8010425889757702E-2</v>
      </c>
      <c r="P223" s="19">
        <f t="shared" ca="1" si="438"/>
        <v>1.3817733583119171E-8</v>
      </c>
      <c r="Q223" s="19">
        <f ca="1">HCTrans(P223,Strike,RiskFreeRate,Dividend,Variance_T0*AnnualVarConvtr,(Simulation!G223)/250,0.5,Variance_Avg*AnnualVarConvtr,Lambda,SQRT(Simulation!N223),Rho,1,"Call")</f>
        <v>-1.5073695547987537E-5</v>
      </c>
      <c r="R223" s="19" t="e">
        <f t="shared" ca="1" si="433"/>
        <v>#VALUE!</v>
      </c>
      <c r="S223" s="19" t="e">
        <f t="shared" ca="1" si="434"/>
        <v>#VALUE!</v>
      </c>
      <c r="T223" s="19" t="e">
        <f t="shared" ca="1" si="439"/>
        <v>#VALUE!</v>
      </c>
      <c r="U223" s="19" t="e">
        <f t="shared" ca="1" si="440"/>
        <v>#VALUE!</v>
      </c>
      <c r="V223" s="21">
        <f t="shared" ca="1" si="441"/>
        <v>5.6846172724363631E-5</v>
      </c>
      <c r="W223">
        <f t="shared" ca="1" si="442"/>
        <v>7.5396400924953727E-3</v>
      </c>
      <c r="X223" s="22">
        <f t="shared" ref="X223" ca="1" si="496">BSdelta(1,P223,Strike,W223*AnnualVarConvtr,Dividend,RiskFreeRate,G223/250)</f>
        <v>0</v>
      </c>
      <c r="Y223" s="22">
        <f t="shared" ca="1" si="448"/>
        <v>0</v>
      </c>
      <c r="Z223" s="22">
        <f t="shared" ca="1" si="449"/>
        <v>-7.4987778687189861</v>
      </c>
      <c r="AA223">
        <f t="shared" si="436"/>
        <v>0.73884103340948371</v>
      </c>
      <c r="AB223">
        <f t="shared" ref="AB223" ca="1" si="497">BSdelta(1,P223,Strike,AA223/AnnualVarConvtr,Dividend,RiskFreeRate,G223/250)</f>
        <v>0</v>
      </c>
      <c r="AC223">
        <f t="shared" ca="1" si="445"/>
        <v>0</v>
      </c>
      <c r="AD223">
        <f t="shared" ca="1" si="446"/>
        <v>-2.5925431181643654</v>
      </c>
    </row>
    <row r="224" spans="7:30" x14ac:dyDescent="0.25">
      <c r="G224" s="19">
        <v>31</v>
      </c>
      <c r="H224" s="19">
        <f t="shared" ca="1" si="495"/>
        <v>0.12634818186366648</v>
      </c>
      <c r="I224" s="19">
        <f t="shared" ca="1" si="495"/>
        <v>0.99978995122153436</v>
      </c>
      <c r="J224" s="19">
        <f t="shared" ca="1" si="431"/>
        <v>2.0340650095978781</v>
      </c>
      <c r="K224" s="19">
        <f t="shared" ca="1" si="432"/>
        <v>-2.6845105175482701E-3</v>
      </c>
      <c r="L224" s="19">
        <f t="array" aca="1" ref="L224:M224" ca="1">MMULT(J224:K224,TRANSPOSE($B$10:$C$11))</f>
        <v>2.0340650095978781</v>
      </c>
      <c r="M224" s="19">
        <f ca="1"/>
        <v>-1.4592802592604797</v>
      </c>
      <c r="N224" s="20">
        <f ca="1">GetVariance(N223,Variance_Avg,Lambda,Eta,M224,"Daily")</f>
        <v>3.9524345078413216E-2</v>
      </c>
      <c r="O224" s="20">
        <f ca="1">GetStockReturns(O223,RiskFreeRate,N223,L224,"Daily")</f>
        <v>-3.0064388235380407E-2</v>
      </c>
      <c r="P224" s="19">
        <f t="shared" ca="1" si="438"/>
        <v>1.3408494462408314E-8</v>
      </c>
      <c r="Q224" s="19">
        <f ca="1">HCTrans(P224,Strike,RiskFreeRate,Dividend,Variance_T0*AnnualVarConvtr,(Simulation!G224)/250,0.5,Variance_Avg*AnnualVarConvtr,Lambda,SQRT(Simulation!N224),Rho,1,"Call")</f>
        <v>-1.5073669176128158E-5</v>
      </c>
      <c r="R224" s="19" t="e">
        <f t="shared" ca="1" si="433"/>
        <v>#VALUE!</v>
      </c>
      <c r="S224" s="19" t="e">
        <f t="shared" ca="1" si="434"/>
        <v>#VALUE!</v>
      </c>
      <c r="T224" s="19" t="e">
        <f t="shared" ca="1" si="439"/>
        <v>#VALUE!</v>
      </c>
      <c r="U224" s="19" t="e">
        <f t="shared" ca="1" si="440"/>
        <v>#VALUE!</v>
      </c>
      <c r="V224" s="21">
        <f t="shared" ca="1" si="441"/>
        <v>7.8098102057987367E-4</v>
      </c>
      <c r="W224">
        <f t="shared" ca="1" si="442"/>
        <v>2.7946037654377295E-2</v>
      </c>
      <c r="X224" s="22">
        <f t="shared" ref="X224" ca="1" si="498">BSdelta(1,P224,Strike,W224*AnnualVarConvtr,Dividend,RiskFreeRate,G224/250)</f>
        <v>0</v>
      </c>
      <c r="Y224" s="22">
        <f t="shared" ca="1" si="448"/>
        <v>0</v>
      </c>
      <c r="Z224" s="22">
        <f t="shared" ca="1" si="449"/>
        <v>-7.4987778686926143</v>
      </c>
      <c r="AA224">
        <f t="shared" si="436"/>
        <v>0.73884103340948371</v>
      </c>
      <c r="AB224">
        <f t="shared" ref="AB224" ca="1" si="499">BSdelta(1,P224,Strike,AA224/AnnualVarConvtr,Dividend,RiskFreeRate,G224/250)</f>
        <v>0</v>
      </c>
      <c r="AC224">
        <f t="shared" ca="1" si="445"/>
        <v>0</v>
      </c>
      <c r="AD224">
        <f t="shared" ca="1" si="446"/>
        <v>-2.5925431181379937</v>
      </c>
    </row>
    <row r="225" spans="7:30" x14ac:dyDescent="0.25">
      <c r="G225" s="19">
        <v>30</v>
      </c>
      <c r="H225" s="19">
        <f t="shared" ca="1" si="495"/>
        <v>0.41024163505492761</v>
      </c>
      <c r="I225" s="19">
        <f t="shared" ca="1" si="495"/>
        <v>0.30386405416421103</v>
      </c>
      <c r="J225" s="19">
        <f t="shared" ca="1" si="431"/>
        <v>-0.44321286196260135</v>
      </c>
      <c r="K225" s="19">
        <f t="shared" ca="1" si="432"/>
        <v>1.2591982517359837</v>
      </c>
      <c r="L225" s="19">
        <f t="array" aca="1" ref="L225:M225" ca="1">MMULT(J225:K225,TRANSPOSE($B$10:$C$11))</f>
        <v>-0.44321286196260135</v>
      </c>
      <c r="M225" s="19">
        <f ca="1"/>
        <v>1.1959624614413298</v>
      </c>
      <c r="N225" s="20">
        <f ca="1">GetVariance(N224,Variance_Avg,Lambda,Eta,M225,"Daily")</f>
        <v>4.5397259721661205E-2</v>
      </c>
      <c r="O225" s="20">
        <f ca="1">GetStockReturns(O224,RiskFreeRate,N224,L225,"Daily")</f>
        <v>-3.5637204080043616E-2</v>
      </c>
      <c r="P225" s="19">
        <f t="shared" ca="1" si="438"/>
        <v>1.293906742283068E-8</v>
      </c>
      <c r="Q225" s="19">
        <f ca="1">HCTrans(P225,Strike,RiskFreeRate,Dividend,Variance_T0*AnnualVarConvtr,(Simulation!G225)/250,0.5,Variance_Avg*AnnualVarConvtr,Lambda,SQRT(Simulation!N225),Rho,1,"Call")</f>
        <v>-1.507363799541518E-5</v>
      </c>
      <c r="R225" s="19" t="e">
        <f t="shared" ca="1" si="433"/>
        <v>#VALUE!</v>
      </c>
      <c r="S225" s="19" t="e">
        <f t="shared" ca="1" si="434"/>
        <v>#VALUE!</v>
      </c>
      <c r="T225" s="19" t="e">
        <f t="shared" ca="1" si="439"/>
        <v>#VALUE!</v>
      </c>
      <c r="U225" s="19" t="e">
        <f t="shared" ca="1" si="440"/>
        <v>#VALUE!</v>
      </c>
      <c r="V225" s="21">
        <f t="shared" ca="1" si="441"/>
        <v>3.1056276438529317E-5</v>
      </c>
      <c r="W225">
        <f t="shared" ca="1" si="442"/>
        <v>5.5728158446632092E-3</v>
      </c>
      <c r="X225" s="22">
        <f t="shared" ref="X225" ca="1" si="500">BSdelta(1,P225,Strike,W225*AnnualVarConvtr,Dividend,RiskFreeRate,G225/250)</f>
        <v>0</v>
      </c>
      <c r="Y225" s="22">
        <f t="shared" ca="1" si="448"/>
        <v>0</v>
      </c>
      <c r="Z225" s="22">
        <f t="shared" ca="1" si="449"/>
        <v>-7.4987778686614339</v>
      </c>
      <c r="AA225">
        <f t="shared" si="436"/>
        <v>0.73884103340948371</v>
      </c>
      <c r="AB225">
        <f t="shared" ref="AB225" ca="1" si="501">BSdelta(1,P225,Strike,AA225/AnnualVarConvtr,Dividend,RiskFreeRate,G225/250)</f>
        <v>0</v>
      </c>
      <c r="AC225">
        <f t="shared" ca="1" si="445"/>
        <v>0</v>
      </c>
      <c r="AD225">
        <f t="shared" ca="1" si="446"/>
        <v>-2.5925431181068128</v>
      </c>
    </row>
    <row r="226" spans="7:30" x14ac:dyDescent="0.25">
      <c r="G226" s="19">
        <v>29</v>
      </c>
      <c r="H226" s="19">
        <f t="shared" ca="1" si="495"/>
        <v>9.785687829575207E-2</v>
      </c>
      <c r="I226" s="19">
        <f t="shared" ca="1" si="495"/>
        <v>0.72186401651499932</v>
      </c>
      <c r="J226" s="19">
        <f t="shared" ca="1" si="431"/>
        <v>-0.37916988080491865</v>
      </c>
      <c r="K226" s="19">
        <f t="shared" ca="1" si="432"/>
        <v>-2.1224346369540483</v>
      </c>
      <c r="L226" s="19">
        <f t="array" aca="1" ref="L226:M226" ca="1">MMULT(J226:K226,TRANSPOSE($B$10:$C$11))</f>
        <v>-0.37916988080491865</v>
      </c>
      <c r="M226" s="19">
        <f ca="1"/>
        <v>-1.2089077853489274</v>
      </c>
      <c r="N226" s="20">
        <f ca="1">GetVariance(N225,Variance_Avg,Lambda,Eta,M226,"Daily")</f>
        <v>3.9097745756670341E-2</v>
      </c>
      <c r="O226" s="20">
        <f ca="1">GetStockReturns(O225,RiskFreeRate,N225,L226,"Daily")</f>
        <v>-4.0746706945517693E-2</v>
      </c>
      <c r="P226" s="19">
        <f t="shared" ca="1" si="438"/>
        <v>1.2422439946087645E-8</v>
      </c>
      <c r="Q226" s="19">
        <f ca="1">HCTrans(P226,Strike,RiskFreeRate,Dividend,Variance_T0*AnnualVarConvtr,(Simulation!G226)/250,0.5,Variance_Avg*AnnualVarConvtr,Lambda,SQRT(Simulation!N226),Rho,1,"Call")</f>
        <v>-1.5073602512979971E-5</v>
      </c>
      <c r="R226" s="19" t="e">
        <f t="shared" ca="1" si="433"/>
        <v>#VALUE!</v>
      </c>
      <c r="S226" s="19" t="e">
        <f t="shared" ca="1" si="434"/>
        <v>#VALUE!</v>
      </c>
      <c r="T226" s="19" t="e">
        <f t="shared" ca="1" si="439"/>
        <v>#VALUE!</v>
      </c>
      <c r="U226" s="19" t="e">
        <f t="shared" ca="1" si="440"/>
        <v>#VALUE!</v>
      </c>
      <c r="V226" s="21">
        <f t="shared" ca="1" si="441"/>
        <v>2.6107019532287797E-5</v>
      </c>
      <c r="W226">
        <f t="shared" ca="1" si="442"/>
        <v>5.1095028654740762E-3</v>
      </c>
      <c r="X226" s="22">
        <f t="shared" ref="X226" ca="1" si="502">BSdelta(1,P226,Strike,W226*AnnualVarConvtr,Dividend,RiskFreeRate,G226/250)</f>
        <v>0</v>
      </c>
      <c r="Y226" s="22">
        <f t="shared" ca="1" si="448"/>
        <v>0</v>
      </c>
      <c r="Z226" s="22">
        <f t="shared" ca="1" si="449"/>
        <v>-7.4987778686259512</v>
      </c>
      <c r="AA226">
        <f t="shared" si="436"/>
        <v>0.73884103340948371</v>
      </c>
      <c r="AB226">
        <f t="shared" ref="AB226" ca="1" si="503">BSdelta(1,P226,Strike,AA226/AnnualVarConvtr,Dividend,RiskFreeRate,G226/250)</f>
        <v>0</v>
      </c>
      <c r="AC226">
        <f t="shared" ca="1" si="445"/>
        <v>0</v>
      </c>
      <c r="AD226">
        <f t="shared" ca="1" si="446"/>
        <v>-2.5925431180713305</v>
      </c>
    </row>
    <row r="227" spans="7:30" x14ac:dyDescent="0.25">
      <c r="G227" s="19">
        <v>28</v>
      </c>
      <c r="H227" s="19">
        <f t="shared" ca="1" si="495"/>
        <v>0.50874182732431639</v>
      </c>
      <c r="I227" s="19">
        <f t="shared" ca="1" si="495"/>
        <v>0.26032281617998854</v>
      </c>
      <c r="J227" s="19">
        <f t="shared" ca="1" si="431"/>
        <v>-7.5353304619087902E-2</v>
      </c>
      <c r="K227" s="19">
        <f t="shared" ca="1" si="432"/>
        <v>1.1601513231671485</v>
      </c>
      <c r="L227" s="19">
        <f t="array" aca="1" ref="L227:M227" ca="1">MMULT(J227:K227,TRANSPOSE($B$10:$C$11))</f>
        <v>-7.5353304619087902E-2</v>
      </c>
      <c r="M227" s="19">
        <f ca="1"/>
        <v>0.86329722979850609</v>
      </c>
      <c r="N227" s="20">
        <f ca="1">GetVariance(N226,Variance_Avg,Lambda,Eta,M227,"Daily")</f>
        <v>4.3225497548772966E-2</v>
      </c>
      <c r="O227" s="20">
        <f ca="1">GetStockReturns(O226,RiskFreeRate,N226,L227,"Daily")</f>
        <v>-4.1689048098922481E-2</v>
      </c>
      <c r="P227" s="19">
        <f t="shared" ca="1" si="438"/>
        <v>1.1915206745481736E-8</v>
      </c>
      <c r="Q227" s="19">
        <f ca="1">HCTrans(P227,Strike,RiskFreeRate,Dividend,Variance_T0*AnnualVarConvtr,(Simulation!G227)/250,0.5,Variance_Avg*AnnualVarConvtr,Lambda,SQRT(Simulation!N227),Rho,1,"Call")</f>
        <v>-1.5073566516435765E-5</v>
      </c>
      <c r="R227" s="19" t="e">
        <f t="shared" ca="1" si="433"/>
        <v>#VALUE!</v>
      </c>
      <c r="S227" s="19" t="e">
        <f t="shared" ca="1" si="434"/>
        <v>#VALUE!</v>
      </c>
      <c r="T227" s="19" t="e">
        <f t="shared" ca="1" si="439"/>
        <v>#VALUE!</v>
      </c>
      <c r="U227" s="19" t="e">
        <f t="shared" ca="1" si="440"/>
        <v>#VALUE!</v>
      </c>
      <c r="V227" s="21">
        <f t="shared" ca="1" si="441"/>
        <v>8.8800684940026656E-7</v>
      </c>
      <c r="W227">
        <f t="shared" ca="1" si="442"/>
        <v>9.4234115340478819E-4</v>
      </c>
      <c r="X227" s="22">
        <f t="shared" ref="X227" ca="1" si="504">BSdelta(1,P227,Strike,W227*AnnualVarConvtr,Dividend,RiskFreeRate,G227/250)</f>
        <v>0</v>
      </c>
      <c r="Y227" s="22">
        <f t="shared" ca="1" si="448"/>
        <v>0</v>
      </c>
      <c r="Z227" s="22">
        <f t="shared" ca="1" si="449"/>
        <v>-7.4987778685899542</v>
      </c>
      <c r="AA227">
        <f t="shared" si="436"/>
        <v>0.73884103340948371</v>
      </c>
      <c r="AB227">
        <f t="shared" ref="AB227" ca="1" si="505">BSdelta(1,P227,Strike,AA227/AnnualVarConvtr,Dividend,RiskFreeRate,G227/250)</f>
        <v>0</v>
      </c>
      <c r="AC227">
        <f t="shared" ca="1" si="445"/>
        <v>0</v>
      </c>
      <c r="AD227">
        <f t="shared" ca="1" si="446"/>
        <v>-2.592543118035334</v>
      </c>
    </row>
    <row r="228" spans="7:30" x14ac:dyDescent="0.25">
      <c r="G228" s="19">
        <v>27</v>
      </c>
      <c r="H228" s="19">
        <f t="shared" ca="1" si="495"/>
        <v>0.33201800982365093</v>
      </c>
      <c r="I228" s="19">
        <f t="shared" ca="1" si="495"/>
        <v>0.33902712159822468</v>
      </c>
      <c r="J228" s="19">
        <f t="shared" ca="1" si="431"/>
        <v>-0.78800701628578218</v>
      </c>
      <c r="K228" s="19">
        <f t="shared" ca="1" si="432"/>
        <v>1.2586409624848096</v>
      </c>
      <c r="L228" s="19">
        <f t="array" aca="1" ref="L228:M228" ca="1">MMULT(J228:K228,TRANSPOSE($B$10:$C$11))</f>
        <v>-0.78800701628578218</v>
      </c>
      <c r="M228" s="19">
        <f ca="1"/>
        <v>1.4426187152261289</v>
      </c>
      <c r="N228" s="20">
        <f ca="1">GetVariance(N227,Variance_Avg,Lambda,Eta,M228,"Daily")</f>
        <v>5.0700923783312368E-2</v>
      </c>
      <c r="O228" s="20">
        <f ca="1">GetStockReturns(O227,RiskFreeRate,N227,L228,"Daily")</f>
        <v>-5.2050725825079525E-2</v>
      </c>
      <c r="P228" s="19">
        <f t="shared" ca="1" si="438"/>
        <v>1.1310875949819698E-8</v>
      </c>
      <c r="Q228" s="19">
        <f ca="1">HCTrans(P228,Strike,RiskFreeRate,Dividend,Variance_T0*AnnualVarConvtr,(Simulation!G228)/250,0.5,Variance_Avg*AnnualVarConvtr,Lambda,SQRT(Simulation!N228),Rho,1,"Call")</f>
        <v>-1.5073521836777067E-5</v>
      </c>
      <c r="R228" s="19" t="e">
        <f t="shared" ca="1" si="433"/>
        <v>#VALUE!</v>
      </c>
      <c r="S228" s="19" t="e">
        <f t="shared" ca="1" si="434"/>
        <v>#VALUE!</v>
      </c>
      <c r="T228" s="19" t="e">
        <f t="shared" ca="1" si="439"/>
        <v>#VALUE!</v>
      </c>
      <c r="U228" s="19" t="e">
        <f t="shared" ca="1" si="440"/>
        <v>#VALUE!</v>
      </c>
      <c r="V228" s="21">
        <f t="shared" ca="1" si="441"/>
        <v>1.0736436530073901E-4</v>
      </c>
      <c r="W228">
        <f t="shared" ca="1" si="442"/>
        <v>1.0361677726157044E-2</v>
      </c>
      <c r="X228" s="22">
        <f t="shared" ref="X228" ca="1" si="506">BSdelta(1,P228,Strike,W228*AnnualVarConvtr,Dividend,RiskFreeRate,G228/250)</f>
        <v>0</v>
      </c>
      <c r="Y228" s="22">
        <f t="shared" ca="1" si="448"/>
        <v>0</v>
      </c>
      <c r="Z228" s="22">
        <f t="shared" ca="1" si="449"/>
        <v>-7.4987778685452744</v>
      </c>
      <c r="AA228">
        <f t="shared" si="436"/>
        <v>0.73884103340948371</v>
      </c>
      <c r="AB228">
        <f t="shared" ref="AB228" ca="1" si="507">BSdelta(1,P228,Strike,AA228/AnnualVarConvtr,Dividend,RiskFreeRate,G228/250)</f>
        <v>0</v>
      </c>
      <c r="AC228">
        <f t="shared" ca="1" si="445"/>
        <v>0</v>
      </c>
      <c r="AD228">
        <f t="shared" ca="1" si="446"/>
        <v>-2.5925431179906542</v>
      </c>
    </row>
    <row r="229" spans="7:30" x14ac:dyDescent="0.25">
      <c r="G229" s="19">
        <v>26</v>
      </c>
      <c r="H229" s="19">
        <f t="shared" ca="1" si="495"/>
        <v>6.4964203456868486E-2</v>
      </c>
      <c r="I229" s="19">
        <f t="shared" ca="1" si="495"/>
        <v>0.76856667412480906</v>
      </c>
      <c r="J229" s="19">
        <f t="shared" ca="1" si="431"/>
        <v>0.27216751588777682</v>
      </c>
      <c r="K229" s="19">
        <f t="shared" ca="1" si="432"/>
        <v>-2.3224475445022201</v>
      </c>
      <c r="L229" s="19">
        <f t="array" aca="1" ref="L229:M229" ca="1">MMULT(J229:K229,TRANSPOSE($B$10:$C$11))</f>
        <v>0.27216751588777682</v>
      </c>
      <c r="M229" s="19">
        <f ca="1"/>
        <v>-1.8151174524856271</v>
      </c>
      <c r="N229" s="20">
        <f ca="1">GetVariance(N228,Variance_Avg,Lambda,Eta,M229,"Daily")</f>
        <v>4.094309020391252E-2</v>
      </c>
      <c r="O229" s="20">
        <f ca="1">GetStockReturns(O228,RiskFreeRate,N228,L229,"Daily")</f>
        <v>-4.8174811030188926E-2</v>
      </c>
      <c r="P229" s="19">
        <f t="shared" ca="1" si="438"/>
        <v>1.0778893595016732E-8</v>
      </c>
      <c r="Q229" s="19">
        <f ca="1">HCTrans(P229,Strike,RiskFreeRate,Dividend,Variance_T0*AnnualVarConvtr,(Simulation!G229)/250,0.5,Variance_Avg*AnnualVarConvtr,Lambda,SQRT(Simulation!N229),Rho,1,"Call")</f>
        <v>-1.5073480980167385E-5</v>
      </c>
      <c r="R229" s="19" t="e">
        <f t="shared" ca="1" si="433"/>
        <v>#VALUE!</v>
      </c>
      <c r="S229" s="19" t="e">
        <f t="shared" ca="1" si="434"/>
        <v>#VALUE!</v>
      </c>
      <c r="T229" s="19" t="e">
        <f t="shared" ca="1" si="439"/>
        <v>#VALUE!</v>
      </c>
      <c r="U229" s="19" t="e">
        <f t="shared" ca="1" si="440"/>
        <v>#VALUE!</v>
      </c>
      <c r="V229" s="21">
        <f t="shared" ca="1" si="441"/>
        <v>1.5022715497251834E-5</v>
      </c>
      <c r="W229">
        <f t="shared" ca="1" si="442"/>
        <v>3.8759147948905989E-3</v>
      </c>
      <c r="X229" s="22">
        <f t="shared" ref="X229" ca="1" si="508">BSdelta(1,P229,Strike,W229*AnnualVarConvtr,Dividend,RiskFreeRate,G229/250)</f>
        <v>0</v>
      </c>
      <c r="Y229" s="22">
        <f t="shared" ca="1" si="448"/>
        <v>0</v>
      </c>
      <c r="Z229" s="22">
        <f t="shared" ca="1" si="449"/>
        <v>-7.4987778685044182</v>
      </c>
      <c r="AA229">
        <f t="shared" si="436"/>
        <v>0.73884103340948371</v>
      </c>
      <c r="AB229">
        <f t="shared" ref="AB229" ca="1" si="509">BSdelta(1,P229,Strike,AA229/AnnualVarConvtr,Dividend,RiskFreeRate,G229/250)</f>
        <v>0</v>
      </c>
      <c r="AC229">
        <f t="shared" ca="1" si="445"/>
        <v>0</v>
      </c>
      <c r="AD229">
        <f t="shared" ca="1" si="446"/>
        <v>-2.5925431179497975</v>
      </c>
    </row>
    <row r="230" spans="7:30" x14ac:dyDescent="0.25">
      <c r="G230" s="19">
        <v>25</v>
      </c>
      <c r="H230" s="19">
        <f t="shared" ca="1" si="495"/>
        <v>0.34672668583528587</v>
      </c>
      <c r="I230" s="19">
        <f t="shared" ca="1" si="495"/>
        <v>0.68709225694856857</v>
      </c>
      <c r="J230" s="19">
        <f t="shared" ca="1" si="431"/>
        <v>-0.5604332100324243</v>
      </c>
      <c r="K230" s="19">
        <f t="shared" ca="1" si="432"/>
        <v>-1.3432615283925067</v>
      </c>
      <c r="L230" s="19">
        <f t="array" aca="1" ref="L230:M230" ca="1">MMULT(J230:K230,TRANSPOSE($B$10:$C$11))</f>
        <v>-0.5604332100324243</v>
      </c>
      <c r="M230" s="19">
        <f ca="1"/>
        <v>-0.53549150750797425</v>
      </c>
      <c r="N230" s="20">
        <f ca="1">GetVariance(N229,Variance_Avg,Lambda,Eta,M230,"Daily")</f>
        <v>3.8149635679293491E-2</v>
      </c>
      <c r="O230" s="20">
        <f ca="1">GetStockReturns(O229,RiskFreeRate,N229,L230,"Daily")</f>
        <v>-5.5346875213979206E-2</v>
      </c>
      <c r="P230" s="19">
        <f t="shared" ca="1" si="438"/>
        <v>1.0198524470069953E-8</v>
      </c>
      <c r="Q230" s="19">
        <f ca="1">HCTrans(P230,Strike,RiskFreeRate,Dividend,Variance_T0*AnnualVarConvtr,(Simulation!G230)/250,0.5,Variance_Avg*AnnualVarConvtr,Lambda,SQRT(Simulation!N230),Rho,1,"Call")</f>
        <v>-1.5073434462794371E-5</v>
      </c>
      <c r="R230" s="19" t="e">
        <f t="shared" ca="1" si="433"/>
        <v>#VALUE!</v>
      </c>
      <c r="S230" s="19" t="e">
        <f t="shared" ca="1" si="434"/>
        <v>#VALUE!</v>
      </c>
      <c r="T230" s="19" t="e">
        <f t="shared" ca="1" si="439"/>
        <v>#VALUE!</v>
      </c>
      <c r="U230" s="19" t="e">
        <f t="shared" ca="1" si="440"/>
        <v>#VALUE!</v>
      </c>
      <c r="V230" s="21">
        <f t="shared" ca="1" si="441"/>
        <v>5.1438504656407339E-5</v>
      </c>
      <c r="W230">
        <f t="shared" ca="1" si="442"/>
        <v>7.1720641837902804E-3</v>
      </c>
      <c r="X230" s="22">
        <f t="shared" ref="X230" ca="1" si="510">BSdelta(1,P230,Strike,W230*AnnualVarConvtr,Dividend,RiskFreeRate,G230/250)</f>
        <v>0</v>
      </c>
      <c r="Y230" s="22">
        <f t="shared" ca="1" si="448"/>
        <v>0</v>
      </c>
      <c r="Z230" s="22">
        <f t="shared" ca="1" si="449"/>
        <v>-7.4987778684579007</v>
      </c>
      <c r="AA230">
        <f t="shared" si="436"/>
        <v>0.73884103340948371</v>
      </c>
      <c r="AB230">
        <f t="shared" ref="AB230" ca="1" si="511">BSdelta(1,P230,Strike,AA230/AnnualVarConvtr,Dividend,RiskFreeRate,G230/250)</f>
        <v>0</v>
      </c>
      <c r="AC230">
        <f t="shared" ca="1" si="445"/>
        <v>0</v>
      </c>
      <c r="AD230">
        <f t="shared" ca="1" si="446"/>
        <v>-2.5925431179032801</v>
      </c>
    </row>
    <row r="231" spans="7:30" x14ac:dyDescent="0.25">
      <c r="G231" s="19">
        <v>24</v>
      </c>
      <c r="H231" s="19">
        <f t="shared" ca="1" si="495"/>
        <v>0.84453092732181156</v>
      </c>
      <c r="I231" s="19">
        <f t="shared" ca="1" si="495"/>
        <v>2.5549845259849269E-2</v>
      </c>
      <c r="J231" s="19">
        <f t="shared" ca="1" si="431"/>
        <v>0.57385803889880438</v>
      </c>
      <c r="K231" s="19">
        <f t="shared" ca="1" si="432"/>
        <v>9.2923591727481089E-2</v>
      </c>
      <c r="L231" s="19">
        <f t="array" aca="1" ref="L231:M231" ca="1">MMULT(J231:K231,TRANSPOSE($B$10:$C$11))</f>
        <v>0.57385803889880438</v>
      </c>
      <c r="M231" s="19">
        <f ca="1"/>
        <v>-0.34634698680123399</v>
      </c>
      <c r="N231" s="20">
        <f ca="1">GetVariance(N230,Variance_Avg,Lambda,Eta,M231,"Daily")</f>
        <v>3.6344023175302345E-2</v>
      </c>
      <c r="O231" s="20">
        <f ca="1">GetStockReturns(O230,RiskFreeRate,N230,L231,"Daily")</f>
        <v>-4.8257961944233999E-2</v>
      </c>
      <c r="P231" s="19">
        <f t="shared" ca="1" si="438"/>
        <v>9.7180510400513485E-9</v>
      </c>
      <c r="Q231" s="19">
        <f ca="1">HCTrans(P231,Strike,RiskFreeRate,Dividend,Variance_T0*AnnualVarConvtr,(Simulation!G231)/250,0.5,Variance_Avg*AnnualVarConvtr,Lambda,SQRT(Simulation!N231),Rho,1,"Call")</f>
        <v>-1.5073394456699325E-5</v>
      </c>
      <c r="R231" s="19" t="e">
        <f t="shared" ca="1" si="433"/>
        <v>#VALUE!</v>
      </c>
      <c r="S231" s="19" t="e">
        <f t="shared" ca="1" si="434"/>
        <v>#VALUE!</v>
      </c>
      <c r="T231" s="19" t="e">
        <f t="shared" ca="1" si="439"/>
        <v>#VALUE!</v>
      </c>
      <c r="U231" s="19" t="e">
        <f t="shared" ca="1" si="440"/>
        <v>#VALUE!</v>
      </c>
      <c r="V231" s="21">
        <f t="shared" ca="1" si="441"/>
        <v>5.0252691345969689E-5</v>
      </c>
      <c r="W231">
        <f t="shared" ca="1" si="442"/>
        <v>7.0889132697452076E-3</v>
      </c>
      <c r="X231" s="22">
        <f t="shared" ref="X231" ca="1" si="512">BSdelta(1,P231,Strike,W231*AnnualVarConvtr,Dividend,RiskFreeRate,G231/250)</f>
        <v>0</v>
      </c>
      <c r="Y231" s="22">
        <f t="shared" ca="1" si="448"/>
        <v>0</v>
      </c>
      <c r="Z231" s="22">
        <f t="shared" ca="1" si="449"/>
        <v>-7.4987778684178945</v>
      </c>
      <c r="AA231">
        <f t="shared" si="436"/>
        <v>0.73884103340948371</v>
      </c>
      <c r="AB231">
        <f t="shared" ref="AB231" ca="1" si="513">BSdelta(1,P231,Strike,AA231/AnnualVarConvtr,Dividend,RiskFreeRate,G231/250)</f>
        <v>0</v>
      </c>
      <c r="AC231">
        <f t="shared" ca="1" si="445"/>
        <v>0</v>
      </c>
      <c r="AD231">
        <f t="shared" ca="1" si="446"/>
        <v>-2.5925431178632738</v>
      </c>
    </row>
    <row r="232" spans="7:30" x14ac:dyDescent="0.25">
      <c r="G232" s="19">
        <v>23</v>
      </c>
      <c r="H232" s="19">
        <f t="shared" ca="1" si="495"/>
        <v>0.93419277426956138</v>
      </c>
      <c r="I232" s="19">
        <f t="shared" ca="1" si="495"/>
        <v>0.51625470313454092</v>
      </c>
      <c r="J232" s="19">
        <f t="shared" ca="1" si="431"/>
        <v>-0.36705552816620085</v>
      </c>
      <c r="K232" s="19">
        <f t="shared" ca="1" si="432"/>
        <v>-3.7618751632766817E-2</v>
      </c>
      <c r="L232" s="19">
        <f t="array" aca="1" ref="L232:M232" ca="1">MMULT(J232:K232,TRANSPOSE($B$10:$C$11))</f>
        <v>-0.36705552816620085</v>
      </c>
      <c r="M232" s="19">
        <f ca="1"/>
        <v>0.23675293039985251</v>
      </c>
      <c r="N232" s="20">
        <f ca="1">GetVariance(N231,Variance_Avg,Lambda,Eta,M232,"Daily")</f>
        <v>3.7303852420519167E-2</v>
      </c>
      <c r="O232" s="20">
        <f ca="1">GetStockReturns(O231,RiskFreeRate,N231,L232,"Daily")</f>
        <v>-5.2683624175976836E-2</v>
      </c>
      <c r="P232" s="19">
        <f t="shared" ca="1" si="438"/>
        <v>9.2193216758104477E-9</v>
      </c>
      <c r="Q232" s="19">
        <f ca="1">HCTrans(P232,Strike,RiskFreeRate,Dividend,Variance_T0*AnnualVarConvtr,(Simulation!G232)/250,0.5,Variance_Avg*AnnualVarConvtr,Lambda,SQRT(Simulation!N232),Rho,1,"Call")</f>
        <v>-1.5073351201014425E-5</v>
      </c>
      <c r="R232" s="19" t="e">
        <f t="shared" ca="1" si="433"/>
        <v>#VALUE!</v>
      </c>
      <c r="S232" s="19" t="e">
        <f t="shared" ca="1" si="434"/>
        <v>#VALUE!</v>
      </c>
      <c r="T232" s="19" t="e">
        <f t="shared" ca="1" si="439"/>
        <v>#VALUE!</v>
      </c>
      <c r="U232" s="19" t="e">
        <f t="shared" ca="1" si="440"/>
        <v>#VALUE!</v>
      </c>
      <c r="V232" s="21">
        <f t="shared" ca="1" si="441"/>
        <v>1.958648618947499E-5</v>
      </c>
      <c r="W232">
        <f t="shared" ca="1" si="442"/>
        <v>4.4256622317428371E-3</v>
      </c>
      <c r="X232" s="22">
        <f t="shared" ref="X232" ca="1" si="514">BSdelta(1,P232,Strike,W232*AnnualVarConvtr,Dividend,RiskFreeRate,G232/250)</f>
        <v>0</v>
      </c>
      <c r="Y232" s="22">
        <f t="shared" ca="1" si="448"/>
        <v>0</v>
      </c>
      <c r="Z232" s="22">
        <f t="shared" ca="1" si="449"/>
        <v>-7.4987778683746384</v>
      </c>
      <c r="AA232">
        <f t="shared" si="436"/>
        <v>0.73884103340948371</v>
      </c>
      <c r="AB232">
        <f t="shared" ref="AB232" ca="1" si="515">BSdelta(1,P232,Strike,AA232/AnnualVarConvtr,Dividend,RiskFreeRate,G232/250)</f>
        <v>0</v>
      </c>
      <c r="AC232">
        <f t="shared" ca="1" si="445"/>
        <v>0</v>
      </c>
      <c r="AD232">
        <f t="shared" ca="1" si="446"/>
        <v>-2.5925431178200182</v>
      </c>
    </row>
    <row r="233" spans="7:30" x14ac:dyDescent="0.25">
      <c r="G233" s="19">
        <v>22</v>
      </c>
      <c r="H233" s="19">
        <f t="shared" ca="1" si="495"/>
        <v>0.51560051051839872</v>
      </c>
      <c r="I233" s="19">
        <f t="shared" ca="1" si="495"/>
        <v>0.20382401037195608</v>
      </c>
      <c r="J233" s="19">
        <f t="shared" ca="1" si="431"/>
        <v>0.32928252324146323</v>
      </c>
      <c r="K233" s="19">
        <f t="shared" ca="1" si="432"/>
        <v>1.1029138930280706</v>
      </c>
      <c r="L233" s="19">
        <f t="array" aca="1" ref="L233:M233" ca="1">MMULT(J233:K233,TRANSPOSE($B$10:$C$11))</f>
        <v>0.32928252324146323</v>
      </c>
      <c r="M233" s="19">
        <f ca="1"/>
        <v>0.53344756673009774</v>
      </c>
      <c r="N233" s="20">
        <f ca="1">GetVariance(N232,Variance_Avg,Lambda,Eta,M233,"Daily")</f>
        <v>3.9712576958565296E-2</v>
      </c>
      <c r="O233" s="20">
        <f ca="1">GetStockReturns(O232,RiskFreeRate,N232,L233,"Daily")</f>
        <v>-4.8661314359709329E-2</v>
      </c>
      <c r="P233" s="19">
        <f t="shared" ca="1" si="438"/>
        <v>8.7814377716078906E-9</v>
      </c>
      <c r="Q233" s="19">
        <f ca="1">HCTrans(P233,Strike,RiskFreeRate,Dividend,Variance_T0*AnnualVarConvtr,(Simulation!G233)/250,0.5,Variance_Avg*AnnualVarConvtr,Lambda,SQRT(Simulation!N233),Rho,1,"Call")</f>
        <v>-1.5073311749803426E-5</v>
      </c>
      <c r="R233" s="19" t="e">
        <f t="shared" ca="1" si="433"/>
        <v>#VALUE!</v>
      </c>
      <c r="S233" s="19" t="e">
        <f t="shared" ca="1" si="434"/>
        <v>#VALUE!</v>
      </c>
      <c r="T233" s="19" t="e">
        <f t="shared" ca="1" si="439"/>
        <v>#VALUE!</v>
      </c>
      <c r="U233" s="19" t="e">
        <f t="shared" ca="1" si="440"/>
        <v>#VALUE!</v>
      </c>
      <c r="V233" s="21">
        <f t="shared" ca="1" si="441"/>
        <v>1.6178976258041943E-5</v>
      </c>
      <c r="W233">
        <f t="shared" ca="1" si="442"/>
        <v>4.0223098162675067E-3</v>
      </c>
      <c r="X233" s="22">
        <f t="shared" ref="X233" ca="1" si="516">BSdelta(1,P233,Strike,W233*AnnualVarConvtr,Dividend,RiskFreeRate,G233/250)</f>
        <v>0</v>
      </c>
      <c r="Y233" s="22">
        <f t="shared" ca="1" si="448"/>
        <v>0</v>
      </c>
      <c r="Z233" s="22">
        <f t="shared" ca="1" si="449"/>
        <v>-7.4987778683351873</v>
      </c>
      <c r="AA233">
        <f t="shared" si="436"/>
        <v>0.73884103340948371</v>
      </c>
      <c r="AB233">
        <f t="shared" ref="AB233" ca="1" si="517">BSdelta(1,P233,Strike,AA233/AnnualVarConvtr,Dividend,RiskFreeRate,G233/250)</f>
        <v>0</v>
      </c>
      <c r="AC233">
        <f t="shared" ca="1" si="445"/>
        <v>0</v>
      </c>
      <c r="AD233">
        <f t="shared" ca="1" si="446"/>
        <v>-2.5925431177805671</v>
      </c>
    </row>
    <row r="234" spans="7:30" x14ac:dyDescent="0.25">
      <c r="G234" s="19">
        <v>21</v>
      </c>
      <c r="H234" s="19">
        <f t="shared" ca="1" si="495"/>
        <v>0.96387107721111653</v>
      </c>
      <c r="I234" s="19">
        <f t="shared" ca="1" si="495"/>
        <v>0.12803091637027142</v>
      </c>
      <c r="J234" s="19">
        <f t="shared" ca="1" si="431"/>
        <v>0.18813965972373964</v>
      </c>
      <c r="K234" s="19">
        <f t="shared" ca="1" si="432"/>
        <v>0.19544546486224923</v>
      </c>
      <c r="L234" s="19">
        <f t="array" aca="1" ref="L234:M234" ca="1">MMULT(J234:K234,TRANSPOSE($B$10:$C$11))</f>
        <v>0.18813965972373964</v>
      </c>
      <c r="M234" s="19">
        <f ca="1"/>
        <v>1.5381671562025856E-3</v>
      </c>
      <c r="N234" s="20">
        <f ca="1">GetVariance(N233,Variance_Avg,Lambda,Eta,M234,"Daily")</f>
        <v>3.9546920305337283E-2</v>
      </c>
      <c r="O234" s="20">
        <f ca="1">GetStockReturns(O233,RiskFreeRate,N233,L234,"Daily")</f>
        <v>-4.629008051743979E-2</v>
      </c>
      <c r="P234" s="19">
        <f t="shared" ca="1" si="438"/>
        <v>8.384209111748694E-9</v>
      </c>
      <c r="Q234" s="19">
        <f ca="1">HCTrans(P234,Strike,RiskFreeRate,Dividend,Variance_T0*AnnualVarConvtr,(Simulation!G234)/250,0.5,Variance_Avg*AnnualVarConvtr,Lambda,SQRT(Simulation!N234),Rho,1,"Call")</f>
        <v>-1.5073274649544794E-5</v>
      </c>
      <c r="R234" s="19" t="e">
        <f t="shared" ca="1" si="433"/>
        <v>#VALUE!</v>
      </c>
      <c r="S234" s="19" t="e">
        <f t="shared" ca="1" si="434"/>
        <v>#VALUE!</v>
      </c>
      <c r="T234" s="19" t="e">
        <f t="shared" ca="1" si="439"/>
        <v>#VALUE!</v>
      </c>
      <c r="U234" s="19" t="e">
        <f t="shared" ca="1" si="440"/>
        <v>#VALUE!</v>
      </c>
      <c r="V234" s="21">
        <f t="shared" ca="1" si="441"/>
        <v>5.6227499347243619E-6</v>
      </c>
      <c r="W234">
        <f t="shared" ca="1" si="442"/>
        <v>2.3712338422695392E-3</v>
      </c>
      <c r="X234" s="22">
        <f t="shared" ref="X234" ca="1" si="518">BSdelta(1,P234,Strike,W234*AnnualVarConvtr,Dividend,RiskFreeRate,G234/250)</f>
        <v>0</v>
      </c>
      <c r="Y234" s="22">
        <f t="shared" ca="1" si="448"/>
        <v>0</v>
      </c>
      <c r="Z234" s="22">
        <f t="shared" ca="1" si="449"/>
        <v>-7.4987778682980872</v>
      </c>
      <c r="AA234">
        <f t="shared" si="436"/>
        <v>0.73884103340948371</v>
      </c>
      <c r="AB234">
        <f t="shared" ref="AB234" ca="1" si="519">BSdelta(1,P234,Strike,AA234/AnnualVarConvtr,Dividend,RiskFreeRate,G234/250)</f>
        <v>0</v>
      </c>
      <c r="AC234">
        <f t="shared" ca="1" si="445"/>
        <v>0</v>
      </c>
      <c r="AD234">
        <f t="shared" ca="1" si="446"/>
        <v>-2.592543117743467</v>
      </c>
    </row>
    <row r="235" spans="7:30" x14ac:dyDescent="0.25">
      <c r="G235" s="19">
        <v>20</v>
      </c>
      <c r="H235" s="19">
        <f t="shared" ca="1" si="495"/>
        <v>1.0112626372691946E-2</v>
      </c>
      <c r="I235" s="19">
        <f t="shared" ca="1" si="495"/>
        <v>0.40196980656669845</v>
      </c>
      <c r="J235" s="19">
        <f t="shared" ca="1" si="431"/>
        <v>-2.4741240625639183</v>
      </c>
      <c r="K235" s="19">
        <f t="shared" ca="1" si="432"/>
        <v>1.7511856335152984</v>
      </c>
      <c r="L235" s="19">
        <f t="array" aca="1" ref="L235:M235" ca="1">MMULT(J235:K235,TRANSPOSE($B$10:$C$11))</f>
        <v>-2.4741240625639183</v>
      </c>
      <c r="M235" s="19">
        <f ca="1"/>
        <v>2.9943143833021058</v>
      </c>
      <c r="N235" s="20">
        <f ca="1">GetVariance(N234,Variance_Avg,Lambda,Eta,M235,"Daily")</f>
        <v>5.5323200826110044E-2</v>
      </c>
      <c r="O235" s="20">
        <f ca="1">GetStockReturns(O234,RiskFreeRate,N234,L235,"Daily")</f>
        <v>-7.7407802987435409E-2</v>
      </c>
      <c r="P235" s="19">
        <f t="shared" ca="1" si="438"/>
        <v>7.7596890773773413E-9</v>
      </c>
      <c r="Q235" s="19">
        <f ca="1">HCTrans(P235,Strike,RiskFreeRate,Dividend,Variance_T0*AnnualVarConvtr,(Simulation!G235)/250,0.5,Variance_Avg*AnnualVarConvtr,Lambda,SQRT(Simulation!N235),Rho,1,"Call")</f>
        <v>-1.5073213005070206E-5</v>
      </c>
      <c r="R235" s="19" t="e">
        <f t="shared" ca="1" si="433"/>
        <v>#VALUE!</v>
      </c>
      <c r="S235" s="19" t="e">
        <f t="shared" ca="1" si="434"/>
        <v>#VALUE!</v>
      </c>
      <c r="T235" s="19" t="e">
        <f t="shared" ca="1" si="439"/>
        <v>#VALUE!</v>
      </c>
      <c r="U235" s="19" t="e">
        <f t="shared" ca="1" si="440"/>
        <v>#VALUE!</v>
      </c>
      <c r="V235" s="21">
        <f t="shared" ca="1" si="441"/>
        <v>9.6831265171967024E-4</v>
      </c>
      <c r="W235">
        <f t="shared" ca="1" si="442"/>
        <v>3.1117722469995619E-2</v>
      </c>
      <c r="X235" s="22">
        <f t="shared" ref="X235" ca="1" si="520">BSdelta(1,P235,Strike,W235*AnnualVarConvtr,Dividend,RiskFreeRate,G235/250)</f>
        <v>0</v>
      </c>
      <c r="Y235" s="22">
        <f t="shared" ca="1" si="448"/>
        <v>0</v>
      </c>
      <c r="Z235" s="22">
        <f t="shared" ca="1" si="449"/>
        <v>-7.4987778682364423</v>
      </c>
      <c r="AA235">
        <f t="shared" si="436"/>
        <v>0.73884103340948371</v>
      </c>
      <c r="AB235">
        <f t="shared" ref="AB235" ca="1" si="521">BSdelta(1,P235,Strike,AA235/AnnualVarConvtr,Dividend,RiskFreeRate,G235/250)</f>
        <v>0</v>
      </c>
      <c r="AC235">
        <f t="shared" ca="1" si="445"/>
        <v>0</v>
      </c>
      <c r="AD235">
        <f t="shared" ca="1" si="446"/>
        <v>-2.5925431176818226</v>
      </c>
    </row>
    <row r="236" spans="7:30" x14ac:dyDescent="0.25">
      <c r="G236" s="19">
        <v>19</v>
      </c>
      <c r="H236" s="19">
        <f t="shared" ca="1" si="495"/>
        <v>0.84283059379922665</v>
      </c>
      <c r="I236" s="19">
        <f t="shared" ca="1" si="495"/>
        <v>0.20522803922979904</v>
      </c>
      <c r="J236" s="19">
        <f t="shared" ca="1" si="431"/>
        <v>0.16234623905067677</v>
      </c>
      <c r="K236" s="19">
        <f t="shared" ca="1" si="432"/>
        <v>0.56180271778456792</v>
      </c>
      <c r="L236" s="19">
        <f t="array" aca="1" ref="L236:M236" ca="1">MMULT(J236:K236,TRANSPOSE($B$10:$C$11))</f>
        <v>0.16234623905067677</v>
      </c>
      <c r="M236" s="19">
        <f ca="1"/>
        <v>0.27558524352474184</v>
      </c>
      <c r="N236" s="20">
        <f ca="1">GetVariance(N235,Variance_Avg,Lambda,Eta,M236,"Daily")</f>
        <v>5.6668096428716709E-2</v>
      </c>
      <c r="O236" s="20">
        <f ca="1">GetStockReturns(O235,RiskFreeRate,N235,L236,"Daily")</f>
        <v>-7.4992754373656559E-2</v>
      </c>
      <c r="P236" s="19">
        <f t="shared" ca="1" si="438"/>
        <v>7.1990531589318913E-9</v>
      </c>
      <c r="Q236" s="19">
        <f ca="1">HCTrans(P236,Strike,RiskFreeRate,Dividend,Variance_T0*AnnualVarConvtr,(Simulation!G236)/250,0.5,Variance_Avg*AnnualVarConvtr,Lambda,SQRT(Simulation!N236),Rho,1,"Call")</f>
        <v>-1.5073154327544059E-5</v>
      </c>
      <c r="R236" s="19" t="e">
        <f t="shared" ca="1" si="433"/>
        <v>#VALUE!</v>
      </c>
      <c r="S236" s="19" t="e">
        <f t="shared" ca="1" si="434"/>
        <v>#VALUE!</v>
      </c>
      <c r="T236" s="19" t="e">
        <f t="shared" ca="1" si="439"/>
        <v>#VALUE!</v>
      </c>
      <c r="U236" s="19" t="e">
        <f t="shared" ca="1" si="440"/>
        <v>#VALUE!</v>
      </c>
      <c r="V236" s="21">
        <f t="shared" ca="1" si="441"/>
        <v>5.832459806915146E-6</v>
      </c>
      <c r="W236">
        <f t="shared" ca="1" si="442"/>
        <v>2.4150486137788502E-3</v>
      </c>
      <c r="X236" s="22">
        <f t="shared" ref="X236" ca="1" si="522">BSdelta(1,P236,Strike,W236*AnnualVarConvtr,Dividend,RiskFreeRate,G236/250)</f>
        <v>0</v>
      </c>
      <c r="Y236" s="22">
        <f t="shared" ca="1" si="448"/>
        <v>0</v>
      </c>
      <c r="Z236" s="22">
        <f t="shared" ca="1" si="449"/>
        <v>-7.4987778681777648</v>
      </c>
      <c r="AA236">
        <f t="shared" si="436"/>
        <v>0.73884103340948371</v>
      </c>
      <c r="AB236">
        <f t="shared" ref="AB236" ca="1" si="523">BSdelta(1,P236,Strike,AA236/AnnualVarConvtr,Dividend,RiskFreeRate,G236/250)</f>
        <v>0</v>
      </c>
      <c r="AC236">
        <f t="shared" ca="1" si="445"/>
        <v>0</v>
      </c>
      <c r="AD236">
        <f t="shared" ca="1" si="446"/>
        <v>-2.592543117623145</v>
      </c>
    </row>
    <row r="237" spans="7:30" x14ac:dyDescent="0.25">
      <c r="G237" s="19">
        <v>18</v>
      </c>
      <c r="H237" s="19">
        <f t="shared" ca="1" si="495"/>
        <v>0.42760475401080666</v>
      </c>
      <c r="I237" s="19">
        <f t="shared" ca="1" si="495"/>
        <v>0.98330118821694279</v>
      </c>
      <c r="J237" s="19">
        <f t="shared" ca="1" si="431"/>
        <v>1.2963316355746406</v>
      </c>
      <c r="K237" s="19">
        <f t="shared" ca="1" si="432"/>
        <v>-0.13651466811152868</v>
      </c>
      <c r="L237" s="19">
        <f t="array" aca="1" ref="L237:M237" ca="1">MMULT(J237:K237,TRANSPOSE($B$10:$C$11))</f>
        <v>1.2963316355746406</v>
      </c>
      <c r="M237" s="19">
        <f ca="1"/>
        <v>-1.0240524871419856</v>
      </c>
      <c r="N237" s="20">
        <f ca="1">GetVariance(N236,Variance_Avg,Lambda,Eta,M237,"Daily")</f>
        <v>5.0585198771373852E-2</v>
      </c>
      <c r="O237" s="20">
        <f ca="1">GetStockReturns(O236,RiskFreeRate,N236,L237,"Daily")</f>
        <v>-5.5475648077289712E-2</v>
      </c>
      <c r="P237" s="19">
        <f t="shared" ca="1" si="438"/>
        <v>6.8105566955230891E-9</v>
      </c>
      <c r="Q237" s="19">
        <f ca="1">HCTrans(P237,Strike,RiskFreeRate,Dividend,Variance_T0*AnnualVarConvtr,(Simulation!G237)/250,0.5,Variance_Avg*AnnualVarConvtr,Lambda,SQRT(Simulation!N237),Rho,1,"Call")</f>
        <v>-1.5073111735537514E-5</v>
      </c>
      <c r="R237" s="19" t="e">
        <f t="shared" ca="1" si="433"/>
        <v>#VALUE!</v>
      </c>
      <c r="S237" s="19" t="e">
        <f t="shared" ca="1" si="434"/>
        <v>#VALUE!</v>
      </c>
      <c r="T237" s="19" t="e">
        <f t="shared" ca="1" si="439"/>
        <v>#VALUE!</v>
      </c>
      <c r="U237" s="19" t="e">
        <f t="shared" ca="1" si="440"/>
        <v>#VALUE!</v>
      </c>
      <c r="V237" s="21">
        <f t="shared" ca="1" si="441"/>
        <v>3.8091743818368241E-4</v>
      </c>
      <c r="W237">
        <f t="shared" ca="1" si="442"/>
        <v>1.9517106296366847E-2</v>
      </c>
      <c r="X237" s="22">
        <f t="shared" ref="X237" ca="1" si="524">BSdelta(1,P237,Strike,W237*AnnualVarConvtr,Dividend,RiskFreeRate,G237/250)</f>
        <v>0</v>
      </c>
      <c r="Y237" s="22">
        <f t="shared" ca="1" si="448"/>
        <v>0</v>
      </c>
      <c r="Z237" s="22">
        <f t="shared" ca="1" si="449"/>
        <v>-7.4987778681351731</v>
      </c>
      <c r="AA237">
        <f t="shared" si="436"/>
        <v>0.73884103340948371</v>
      </c>
      <c r="AB237">
        <f t="shared" ref="AB237" ca="1" si="525">BSdelta(1,P237,Strike,AA237/AnnualVarConvtr,Dividend,RiskFreeRate,G237/250)</f>
        <v>0</v>
      </c>
      <c r="AC237">
        <f t="shared" ca="1" si="445"/>
        <v>0</v>
      </c>
      <c r="AD237">
        <f t="shared" ca="1" si="446"/>
        <v>-2.5925431175805529</v>
      </c>
    </row>
    <row r="238" spans="7:30" x14ac:dyDescent="0.25">
      <c r="G238" s="19">
        <v>17</v>
      </c>
      <c r="H238" s="19">
        <f t="shared" ca="1" si="495"/>
        <v>0.8352928168162187</v>
      </c>
      <c r="I238" s="19">
        <f t="shared" ca="1" si="495"/>
        <v>0.61356069362629773</v>
      </c>
      <c r="J238" s="19">
        <f t="shared" ca="1" si="431"/>
        <v>-0.45360240128327145</v>
      </c>
      <c r="K238" s="19">
        <f t="shared" ca="1" si="432"/>
        <v>-0.39267128124662898</v>
      </c>
      <c r="L238" s="19">
        <f t="array" aca="1" ref="L238:M238" ca="1">MMULT(J238:K238,TRANSPOSE($B$10:$C$11))</f>
        <v>-0.45360240128327145</v>
      </c>
      <c r="M238" s="19">
        <f ca="1"/>
        <v>5.1083703583059525E-2</v>
      </c>
      <c r="N238" s="20">
        <f ca="1">GetVariance(N237,Variance_Avg,Lambda,Eta,M238,"Daily")</f>
        <v>5.0636501392099902E-2</v>
      </c>
      <c r="O238" s="20">
        <f ca="1">GetStockReturns(O237,RiskFreeRate,N237,L238,"Daily")</f>
        <v>-6.1927985507003777E-2</v>
      </c>
      <c r="P238" s="19">
        <f t="shared" ca="1" si="438"/>
        <v>6.4015866780624172E-9</v>
      </c>
      <c r="Q238" s="19">
        <f ca="1">HCTrans(P238,Strike,RiskFreeRate,Dividend,Variance_T0*AnnualVarConvtr,(Simulation!G238)/250,0.5,Variance_Avg*AnnualVarConvtr,Lambda,SQRT(Simulation!N238),Rho,1,"Call")</f>
        <v>-1.507306474936379E-5</v>
      </c>
      <c r="R238" s="19" t="e">
        <f t="shared" ca="1" si="433"/>
        <v>#VALUE!</v>
      </c>
      <c r="S238" s="19" t="e">
        <f t="shared" ca="1" si="434"/>
        <v>#VALUE!</v>
      </c>
      <c r="T238" s="19" t="e">
        <f t="shared" ca="1" si="439"/>
        <v>#VALUE!</v>
      </c>
      <c r="U238" s="19" t="e">
        <f t="shared" ca="1" si="440"/>
        <v>#VALUE!</v>
      </c>
      <c r="V238" s="21">
        <f t="shared" ca="1" si="441"/>
        <v>4.1632658306889114E-5</v>
      </c>
      <c r="W238">
        <f t="shared" ca="1" si="442"/>
        <v>6.4523374297140654E-3</v>
      </c>
      <c r="X238" s="22">
        <f t="shared" ref="X238" ca="1" si="526">BSdelta(1,P238,Strike,W238*AnnualVarConvtr,Dividend,RiskFreeRate,G238/250)</f>
        <v>0</v>
      </c>
      <c r="Y238" s="22">
        <f t="shared" ca="1" si="448"/>
        <v>0</v>
      </c>
      <c r="Z238" s="22">
        <f t="shared" ca="1" si="449"/>
        <v>-7.4987778680881867</v>
      </c>
      <c r="AA238">
        <f t="shared" si="436"/>
        <v>0.73884103340948371</v>
      </c>
      <c r="AB238">
        <f t="shared" ref="AB238" ca="1" si="527">BSdelta(1,P238,Strike,AA238/AnnualVarConvtr,Dividend,RiskFreeRate,G238/250)</f>
        <v>0</v>
      </c>
      <c r="AC238">
        <f t="shared" ca="1" si="445"/>
        <v>0</v>
      </c>
      <c r="AD238">
        <f t="shared" ca="1" si="446"/>
        <v>-2.5925431175335669</v>
      </c>
    </row>
    <row r="239" spans="7:30" x14ac:dyDescent="0.25">
      <c r="G239" s="19">
        <v>16</v>
      </c>
      <c r="H239" s="19">
        <f t="shared" ca="1" si="495"/>
        <v>0.36736245794245048</v>
      </c>
      <c r="I239" s="19">
        <f t="shared" ca="1" si="495"/>
        <v>0.36214487749053059</v>
      </c>
      <c r="J239" s="19">
        <f t="shared" ca="1" si="431"/>
        <v>-0.91670036191197879</v>
      </c>
      <c r="K239" s="19">
        <f t="shared" ca="1" si="432"/>
        <v>1.0781804280554657</v>
      </c>
      <c r="L239" s="19">
        <f t="array" aca="1" ref="L239:M239" ca="1">MMULT(J239:K239,TRANSPOSE($B$10:$C$11))</f>
        <v>-0.91670036191197879</v>
      </c>
      <c r="M239" s="19">
        <f ca="1"/>
        <v>1.4089405580536143</v>
      </c>
      <c r="N239" s="20">
        <f ca="1">GetVariance(N238,Variance_Avg,Lambda,Eta,M239,"Daily")</f>
        <v>5.8477906744322176E-2</v>
      </c>
      <c r="O239" s="20">
        <f ca="1">GetStockReturns(O238,RiskFreeRate,N238,L239,"Daily")</f>
        <v>-7.4974342082252787E-2</v>
      </c>
      <c r="P239" s="19">
        <f t="shared" ca="1" si="438"/>
        <v>5.9391827278470128E-9</v>
      </c>
      <c r="Q239" s="19">
        <f ca="1">HCTrans(P239,Strike,RiskFreeRate,Dividend,Variance_T0*AnnualVarConvtr,(Simulation!G239)/250,0.5,Variance_Avg*AnnualVarConvtr,Lambda,SQRT(Simulation!N239),Rho,1,"Call")</f>
        <v>-1.5073008620712106E-5</v>
      </c>
      <c r="R239" s="19" t="e">
        <f t="shared" ca="1" si="433"/>
        <v>#VALUE!</v>
      </c>
      <c r="S239" s="19" t="e">
        <f t="shared" ca="1" si="434"/>
        <v>#VALUE!</v>
      </c>
      <c r="T239" s="19" t="e">
        <f t="shared" ca="1" si="439"/>
        <v>#VALUE!</v>
      </c>
      <c r="U239" s="19" t="e">
        <f t="shared" ca="1" si="440"/>
        <v>#VALUE!</v>
      </c>
      <c r="V239" s="21">
        <f t="shared" ca="1" si="441"/>
        <v>1.7020741988854309E-4</v>
      </c>
      <c r="W239">
        <f t="shared" ca="1" si="442"/>
        <v>1.304635657524901E-2</v>
      </c>
      <c r="X239" s="22">
        <f t="shared" ref="X239" ca="1" si="528">BSdelta(1,P239,Strike,W239*AnnualVarConvtr,Dividend,RiskFreeRate,G239/250)</f>
        <v>0</v>
      </c>
      <c r="Y239" s="22">
        <f t="shared" ca="1" si="448"/>
        <v>0</v>
      </c>
      <c r="Z239" s="22">
        <f t="shared" ca="1" si="449"/>
        <v>-7.4987778680320583</v>
      </c>
      <c r="AA239">
        <f t="shared" si="436"/>
        <v>0.73884103340948371</v>
      </c>
      <c r="AB239">
        <f t="shared" ref="AB239" ca="1" si="529">BSdelta(1,P239,Strike,AA239/AnnualVarConvtr,Dividend,RiskFreeRate,G239/250)</f>
        <v>0</v>
      </c>
      <c r="AC239">
        <f t="shared" ca="1" si="445"/>
        <v>0</v>
      </c>
      <c r="AD239">
        <f t="shared" ca="1" si="446"/>
        <v>-2.5925431174774385</v>
      </c>
    </row>
    <row r="240" spans="7:30" x14ac:dyDescent="0.25">
      <c r="G240" s="19">
        <v>15</v>
      </c>
      <c r="H240" s="19">
        <f t="shared" ca="1" si="495"/>
        <v>0.83625934409594382</v>
      </c>
      <c r="I240" s="19">
        <f t="shared" ca="1" si="495"/>
        <v>8.2504928361751717E-2</v>
      </c>
      <c r="J240" s="19">
        <f t="shared" ca="1" si="431"/>
        <v>0.51945352302633863</v>
      </c>
      <c r="K240" s="19">
        <f t="shared" ca="1" si="432"/>
        <v>0.296312377409649</v>
      </c>
      <c r="L240" s="19">
        <f t="array" aca="1" ref="L240:M240" ca="1">MMULT(J240:K240,TRANSPOSE($B$10:$C$11))</f>
        <v>0.51945352302633863</v>
      </c>
      <c r="M240" s="19">
        <f ca="1"/>
        <v>-0.16548475976402663</v>
      </c>
      <c r="N240" s="20">
        <f ca="1">GetVariance(N239,Variance_Avg,Lambda,Eta,M240,"Daily")</f>
        <v>5.7228121070485943E-2</v>
      </c>
      <c r="O240" s="20">
        <f ca="1">GetStockReturns(O239,RiskFreeRate,N239,L240,"Daily")</f>
        <v>-6.7029731747024923E-2</v>
      </c>
      <c r="P240" s="19">
        <f t="shared" ca="1" si="438"/>
        <v>5.5541300505003026E-9</v>
      </c>
      <c r="Q240" s="19">
        <f ca="1">HCTrans(P240,Strike,RiskFreeRate,Dividend,Variance_T0*AnnualVarConvtr,(Simulation!G240)/250,0.5,Variance_Avg*AnnualVarConvtr,Lambda,SQRT(Simulation!N240),Rho,1,"Call")</f>
        <v>-1.5072959326367675E-5</v>
      </c>
      <c r="R240" s="19" t="e">
        <f t="shared" ca="1" si="433"/>
        <v>#VALUE!</v>
      </c>
      <c r="S240" s="19" t="e">
        <f t="shared" ca="1" si="434"/>
        <v>#VALUE!</v>
      </c>
      <c r="T240" s="19" t="e">
        <f t="shared" ca="1" si="439"/>
        <v>#VALUE!</v>
      </c>
      <c r="U240" s="19" t="e">
        <f t="shared" ca="1" si="440"/>
        <v>#VALUE!</v>
      </c>
      <c r="V240" s="21">
        <f t="shared" ca="1" si="441"/>
        <v>6.3116833378609391E-5</v>
      </c>
      <c r="W240">
        <f t="shared" ca="1" si="442"/>
        <v>7.9446103352278641E-3</v>
      </c>
      <c r="X240" s="22">
        <f t="shared" ref="X240" ca="1" si="530">BSdelta(1,P240,Strike,W240*AnnualVarConvtr,Dividend,RiskFreeRate,G240/250)</f>
        <v>0</v>
      </c>
      <c r="Y240" s="22">
        <f t="shared" ca="1" si="448"/>
        <v>0</v>
      </c>
      <c r="Z240" s="22">
        <f t="shared" ca="1" si="449"/>
        <v>-7.4987778679827644</v>
      </c>
      <c r="AA240">
        <f t="shared" si="436"/>
        <v>0.73884103340948371</v>
      </c>
      <c r="AB240">
        <f t="shared" ref="AB240" ca="1" si="531">BSdelta(1,P240,Strike,AA240/AnnualVarConvtr,Dividend,RiskFreeRate,G240/250)</f>
        <v>0</v>
      </c>
      <c r="AC240">
        <f t="shared" ca="1" si="445"/>
        <v>0</v>
      </c>
      <c r="AD240">
        <f t="shared" ca="1" si="446"/>
        <v>-2.5925431174281441</v>
      </c>
    </row>
    <row r="241" spans="7:30" x14ac:dyDescent="0.25">
      <c r="G241" s="19">
        <v>14</v>
      </c>
      <c r="H241" s="19">
        <f t="shared" ca="1" si="495"/>
        <v>0.7731772710885082</v>
      </c>
      <c r="I241" s="19">
        <f t="shared" ca="1" si="495"/>
        <v>0.1565647903488393</v>
      </c>
      <c r="J241" s="19">
        <f t="shared" ca="1" si="431"/>
        <v>0.39732029148399589</v>
      </c>
      <c r="K241" s="19">
        <f t="shared" ca="1" si="432"/>
        <v>0.59718543346208652</v>
      </c>
      <c r="L241" s="19">
        <f t="array" aca="1" ref="L241:M241" ca="1">MMULT(J241:K241,TRANSPOSE($B$10:$C$11))</f>
        <v>0.39732029148399589</v>
      </c>
      <c r="M241" s="19">
        <f ca="1"/>
        <v>0.13190886066935253</v>
      </c>
      <c r="N241" s="20">
        <f ca="1">GetVariance(N240,Variance_Avg,Lambda,Eta,M241,"Daily")</f>
        <v>5.7738466808491914E-2</v>
      </c>
      <c r="O241" s="20">
        <f ca="1">GetStockReturns(O240,RiskFreeRate,N240,L241,"Daily")</f>
        <v>-6.1018333716477025E-2</v>
      </c>
      <c r="P241" s="19">
        <f t="shared" ca="1" si="438"/>
        <v>5.2253588271235673E-9</v>
      </c>
      <c r="Q241" s="19">
        <f ca="1">HCTrans(P241,Strike,RiskFreeRate,Dividend,Variance_T0*AnnualVarConvtr,(Simulation!G241)/250,0.5,Variance_Avg*AnnualVarConvtr,Lambda,SQRT(Simulation!N241),Rho,1,"Call")</f>
        <v>-1.5072915173391966E-5</v>
      </c>
      <c r="R241" s="19" t="e">
        <f t="shared" ca="1" si="433"/>
        <v>#VALUE!</v>
      </c>
      <c r="S241" s="19" t="e">
        <f t="shared" ca="1" si="434"/>
        <v>#VALUE!</v>
      </c>
      <c r="T241" s="19" t="e">
        <f t="shared" ca="1" si="439"/>
        <v>#VALUE!</v>
      </c>
      <c r="U241" s="19" t="e">
        <f t="shared" ca="1" si="440"/>
        <v>#VALUE!</v>
      </c>
      <c r="V241" s="21">
        <f t="shared" ca="1" si="441"/>
        <v>3.6136906281675154E-5</v>
      </c>
      <c r="W241">
        <f t="shared" ca="1" si="442"/>
        <v>6.0113980305478987E-3</v>
      </c>
      <c r="X241" s="22">
        <f t="shared" ref="X241" ca="1" si="532">BSdelta(1,P241,Strike,W241*AnnualVarConvtr,Dividend,RiskFreeRate,G241/250)</f>
        <v>0</v>
      </c>
      <c r="Y241" s="22">
        <f t="shared" ca="1" si="448"/>
        <v>0</v>
      </c>
      <c r="Z241" s="22">
        <f t="shared" ca="1" si="449"/>
        <v>-7.4987778679386112</v>
      </c>
      <c r="AA241">
        <f>$R$5</f>
        <v>0.73884103340948371</v>
      </c>
      <c r="AB241">
        <f t="shared" ref="AB241" ca="1" si="533">BSdelta(1,P241,Strike,AA241/AnnualVarConvtr,Dividend,RiskFreeRate,G241/250)</f>
        <v>0</v>
      </c>
      <c r="AC241">
        <f t="shared" ca="1" si="445"/>
        <v>0</v>
      </c>
      <c r="AD241">
        <f t="shared" ca="1" si="446"/>
        <v>-2.592543117383991</v>
      </c>
    </row>
    <row r="242" spans="7:30" x14ac:dyDescent="0.25">
      <c r="G242" s="19">
        <v>13</v>
      </c>
      <c r="H242" s="19">
        <f t="shared" ca="1" si="495"/>
        <v>7.2636254505528908E-2</v>
      </c>
      <c r="I242" s="19">
        <f t="shared" ca="1" si="495"/>
        <v>0.52827802946322278</v>
      </c>
      <c r="J242" s="19">
        <f t="shared" ca="1" si="431"/>
        <v>-2.2540523471016134</v>
      </c>
      <c r="K242" s="19">
        <f t="shared" ca="1" si="432"/>
        <v>-0.40475947599834344</v>
      </c>
      <c r="L242" s="19">
        <f t="array" aca="1" ref="L242:M242" ca="1">MMULT(J242:K242,TRANSPOSE($B$10:$C$11))</f>
        <v>-2.2540523471016134</v>
      </c>
      <c r="M242" s="19">
        <f ca="1"/>
        <v>1.3326735211455381</v>
      </c>
      <c r="N242" s="20">
        <f ca="1">GetVariance(N241,Variance_Avg,Lambda,Eta,M242,"Daily")</f>
        <v>6.5588724822784633E-2</v>
      </c>
      <c r="O242" s="20">
        <f ca="1">GetStockReturns(O241,RiskFreeRate,N241,L242,"Daily")</f>
        <v>-9.5273542357500351E-2</v>
      </c>
      <c r="P242" s="19">
        <f t="shared" ca="1" si="438"/>
        <v>4.7505002494879853E-9</v>
      </c>
      <c r="Q242" s="19">
        <f ca="1">HCTrans(P242,Strike,RiskFreeRate,Dividend,Variance_T0*AnnualVarConvtr,(Simulation!G242)/250,0.5,Variance_Avg*AnnualVarConvtr,Lambda,SQRT(Simulation!N242),Rho,1,"Call")</f>
        <v>-1.507284714164559E-5</v>
      </c>
      <c r="R242" s="19" t="e">
        <f t="shared" ca="1" si="433"/>
        <v>#VALUE!</v>
      </c>
      <c r="S242" s="19" t="e">
        <f t="shared" ca="1" si="434"/>
        <v>#VALUE!</v>
      </c>
      <c r="T242" s="19" t="e">
        <f t="shared" ca="1" si="439"/>
        <v>#VALUE!</v>
      </c>
      <c r="U242" s="19" t="e">
        <f t="shared" ca="1" si="440"/>
        <v>#VALUE!</v>
      </c>
      <c r="V242" s="21">
        <f t="shared" ca="1" si="441"/>
        <v>1.1734193190400392E-3</v>
      </c>
      <c r="W242">
        <f t="shared" ca="1" si="442"/>
        <v>3.4255208641023327E-2</v>
      </c>
      <c r="X242" s="22">
        <f t="shared" ref="X242" ca="1" si="534">BSdelta(1,P242,Strike,W242*AnnualVarConvtr,Dividend,RiskFreeRate,G242/250)</f>
        <v>0</v>
      </c>
      <c r="Y242" s="22">
        <f t="shared" ca="1" si="448"/>
        <v>0</v>
      </c>
      <c r="Z242" s="22">
        <f t="shared" ca="1" si="449"/>
        <v>-7.4987778678705794</v>
      </c>
      <c r="AA242">
        <f t="shared" ref="AA242:AA254" si="535">$R$5</f>
        <v>0.73884103340948371</v>
      </c>
      <c r="AB242">
        <f t="shared" ref="AB242" ca="1" si="536">BSdelta(1,P242,Strike,AA242/AnnualVarConvtr,Dividend,RiskFreeRate,G242/250)</f>
        <v>0</v>
      </c>
      <c r="AC242">
        <f t="shared" ca="1" si="445"/>
        <v>0</v>
      </c>
      <c r="AD242">
        <f t="shared" ca="1" si="446"/>
        <v>-2.5925431173159592</v>
      </c>
    </row>
    <row r="243" spans="7:30" x14ac:dyDescent="0.25">
      <c r="G243" s="19">
        <v>12</v>
      </c>
      <c r="H243" s="19">
        <f t="shared" ca="1" si="495"/>
        <v>0.82594169751596924</v>
      </c>
      <c r="I243" s="19">
        <f t="shared" ca="1" si="495"/>
        <v>9.96669233979387E-2</v>
      </c>
      <c r="J243" s="19">
        <f t="shared" ca="1" si="431"/>
        <v>0.50108428896978585</v>
      </c>
      <c r="K243" s="19">
        <f t="shared" ca="1" si="432"/>
        <v>0.36245926597966832</v>
      </c>
      <c r="L243" s="19">
        <f t="array" aca="1" ref="L243:M243" ca="1">MMULT(J243:K243,TRANSPOSE($B$10:$C$11))</f>
        <v>0.50108428896978585</v>
      </c>
      <c r="M243" s="19">
        <f ca="1"/>
        <v>-0.10617998796395489</v>
      </c>
      <c r="N243" s="20">
        <f ca="1">GetVariance(N242,Variance_Avg,Lambda,Eta,M243,"Daily")</f>
        <v>6.4613290939064691E-2</v>
      </c>
      <c r="O243" s="20">
        <f ca="1">GetStockReturns(O242,RiskFreeRate,N242,L243,"Daily")</f>
        <v>-8.7157293113401355E-2</v>
      </c>
      <c r="P243" s="19">
        <f t="shared" ca="1" si="438"/>
        <v>4.3539898650195003E-9</v>
      </c>
      <c r="Q243" s="19">
        <f ca="1">HCTrans(P243,Strike,RiskFreeRate,Dividend,Variance_T0*AnnualVarConvtr,(Simulation!G243)/250,0.5,Variance_Avg*AnnualVarConvtr,Lambda,SQRT(Simulation!N243),Rho,1,"Call")</f>
        <v>-1.5072786283544236E-5</v>
      </c>
      <c r="R243" s="19" t="e">
        <f t="shared" ca="1" si="433"/>
        <v>#VALUE!</v>
      </c>
      <c r="S243" s="19" t="e">
        <f t="shared" ca="1" si="434"/>
        <v>#VALUE!</v>
      </c>
      <c r="T243" s="19" t="e">
        <f t="shared" ca="1" si="439"/>
        <v>#VALUE!</v>
      </c>
      <c r="U243" s="19" t="e">
        <f t="shared" ca="1" si="440"/>
        <v>#VALUE!</v>
      </c>
      <c r="V243" s="21">
        <f t="shared" ca="1" si="441"/>
        <v>6.5873501792337538E-5</v>
      </c>
      <c r="W243">
        <f t="shared" ca="1" si="442"/>
        <v>8.116249244098997E-3</v>
      </c>
      <c r="X243" s="22">
        <f t="shared" ref="X243" ca="1" si="537">BSdelta(1,P243,Strike,W243*AnnualVarConvtr,Dividend,RiskFreeRate,G243/250)</f>
        <v>0</v>
      </c>
      <c r="Y243" s="22">
        <f t="shared" ca="1" si="448"/>
        <v>0</v>
      </c>
      <c r="Z243" s="22">
        <f t="shared" ca="1" si="449"/>
        <v>-7.4987778678097214</v>
      </c>
      <c r="AA243">
        <f t="shared" si="535"/>
        <v>0.73884103340948371</v>
      </c>
      <c r="AB243">
        <f t="shared" ref="AB243" ca="1" si="538">BSdelta(1,P243,Strike,AA243/AnnualVarConvtr,Dividend,RiskFreeRate,G243/250)</f>
        <v>0</v>
      </c>
      <c r="AC243">
        <f t="shared" ca="1" si="445"/>
        <v>0</v>
      </c>
      <c r="AD243">
        <f t="shared" ca="1" si="446"/>
        <v>-2.5925431172551012</v>
      </c>
    </row>
    <row r="244" spans="7:30" x14ac:dyDescent="0.25">
      <c r="G244" s="19">
        <v>11</v>
      </c>
      <c r="H244" s="19">
        <f t="shared" ca="1" si="495"/>
        <v>0.79164676906502884</v>
      </c>
      <c r="I244" s="19">
        <f t="shared" ca="1" si="495"/>
        <v>0.59050613776826133</v>
      </c>
      <c r="J244" s="19">
        <f t="shared" ca="1" si="431"/>
        <v>-0.57599692280796344</v>
      </c>
      <c r="K244" s="19">
        <f t="shared" ca="1" si="432"/>
        <v>-0.36811345470612272</v>
      </c>
      <c r="L244" s="19">
        <f t="array" aca="1" ref="L244:M244" ca="1">MMULT(J244:K244,TRANSPOSE($B$10:$C$11))</f>
        <v>-0.57599692280796344</v>
      </c>
      <c r="M244" s="19">
        <f ca="1"/>
        <v>0.15591060104145138</v>
      </c>
      <c r="N244" s="20">
        <f ca="1">GetVariance(N243,Variance_Avg,Lambda,Eta,M244,"Daily")</f>
        <v>6.5283535441685969E-2</v>
      </c>
      <c r="O244" s="20">
        <f ca="1">GetStockReturns(O243,RiskFreeRate,N243,L244,"Daily")</f>
        <v>-9.6417295309065454E-2</v>
      </c>
      <c r="P244" s="19">
        <f t="shared" ca="1" si="438"/>
        <v>3.9537928751827374E-9</v>
      </c>
      <c r="Q244" s="19">
        <f ca="1">HCTrans(P244,Strike,RiskFreeRate,Dividend,Variance_T0*AnnualVarConvtr,(Simulation!G244)/250,0.5,Variance_Avg*AnnualVarConvtr,Lambda,SQRT(Simulation!N244),Rho,1,"Call")</f>
        <v>-1.5072720350095167E-5</v>
      </c>
      <c r="R244" s="19" t="e">
        <f t="shared" ca="1" si="433"/>
        <v>#VALUE!</v>
      </c>
      <c r="S244" s="19" t="e">
        <f t="shared" ca="1" si="434"/>
        <v>#VALUE!</v>
      </c>
      <c r="T244" s="19" t="e">
        <f t="shared" ca="1" si="439"/>
        <v>#VALUE!</v>
      </c>
      <c r="U244" s="19" t="e">
        <f t="shared" ca="1" si="440"/>
        <v>#VALUE!</v>
      </c>
      <c r="V244" s="21">
        <f t="shared" ca="1" si="441"/>
        <v>8.5747640663703936E-5</v>
      </c>
      <c r="W244">
        <f t="shared" ca="1" si="442"/>
        <v>9.2600021956640993E-3</v>
      </c>
      <c r="X244" s="22">
        <f t="shared" ref="X244" ca="1" si="539">BSdelta(1,P244,Strike,W244*AnnualVarConvtr,Dividend,RiskFreeRate,G244/250)</f>
        <v>0</v>
      </c>
      <c r="Y244" s="22">
        <f t="shared" ca="1" si="448"/>
        <v>0</v>
      </c>
      <c r="Z244" s="22">
        <f t="shared" ca="1" si="449"/>
        <v>-7.4987778677437884</v>
      </c>
      <c r="AA244">
        <f t="shared" si="535"/>
        <v>0.73884103340948371</v>
      </c>
      <c r="AB244">
        <f t="shared" ref="AB244" ca="1" si="540">BSdelta(1,P244,Strike,AA244/AnnualVarConvtr,Dividend,RiskFreeRate,G244/250)</f>
        <v>0</v>
      </c>
      <c r="AC244">
        <f t="shared" ca="1" si="445"/>
        <v>0</v>
      </c>
      <c r="AD244">
        <f t="shared" ca="1" si="446"/>
        <v>-2.5925431171891677</v>
      </c>
    </row>
    <row r="245" spans="7:30" x14ac:dyDescent="0.25">
      <c r="G245" s="19">
        <v>10</v>
      </c>
      <c r="H245" s="19">
        <f t="shared" ca="1" si="495"/>
        <v>3.7760359082036787E-2</v>
      </c>
      <c r="I245" s="19">
        <f t="shared" ca="1" si="495"/>
        <v>0.91138656132417961</v>
      </c>
      <c r="J245" s="19">
        <f t="shared" ca="1" si="431"/>
        <v>2.1732467295618543</v>
      </c>
      <c r="K245" s="19">
        <f t="shared" ca="1" si="432"/>
        <v>-1.3527710481722814</v>
      </c>
      <c r="L245" s="19">
        <f t="array" aca="1" ref="L245:M245" ca="1">MMULT(J245:K245,TRANSPOSE($B$10:$C$11))</f>
        <v>2.1732467295618543</v>
      </c>
      <c r="M245" s="19">
        <f ca="1"/>
        <v>-2.5008069024704596</v>
      </c>
      <c r="N245" s="20">
        <f ca="1">GetVariance(N244,Variance_Avg,Lambda,Eta,M245,"Daily")</f>
        <v>5.0247065953139047E-2</v>
      </c>
      <c r="O245" s="20">
        <f ca="1">GetStockReturns(O244,RiskFreeRate,N244,L245,"Daily")</f>
        <v>-6.1298398637102895E-2</v>
      </c>
      <c r="P245" s="19">
        <f t="shared" ca="1" si="438"/>
        <v>3.7187103985413187E-9</v>
      </c>
      <c r="Q245" s="19">
        <f ca="1">HCTrans(P245,Strike,RiskFreeRate,Dividend,Variance_T0*AnnualVarConvtr,(Simulation!G245)/250,0.5,Variance_Avg*AnnualVarConvtr,Lambda,SQRT(Simulation!N245),Rho,1,"Call")</f>
        <v>-1.5072679421518529E-5</v>
      </c>
      <c r="R245" s="19" t="e">
        <f t="shared" ca="1" si="433"/>
        <v>#VALUE!</v>
      </c>
      <c r="S245" s="19" t="e">
        <f t="shared" ca="1" si="434"/>
        <v>#VALUE!</v>
      </c>
      <c r="T245" s="19" t="e">
        <f t="shared" ca="1" si="439"/>
        <v>#VALUE!</v>
      </c>
      <c r="U245" s="19" t="e">
        <f t="shared" ca="1" si="440"/>
        <v>#VALUE!</v>
      </c>
      <c r="V245" s="21">
        <f t="shared" ca="1" si="441"/>
        <v>1.2333369034559828E-3</v>
      </c>
      <c r="W245">
        <f t="shared" ca="1" si="442"/>
        <v>3.5118896671962559E-2</v>
      </c>
      <c r="X245" s="22">
        <f t="shared" ref="X245" ca="1" si="541">BSdelta(1,P245,Strike,W245*AnnualVarConvtr,Dividend,RiskFreeRate,G245/250)</f>
        <v>0</v>
      </c>
      <c r="Y245" s="22">
        <f t="shared" ca="1" si="448"/>
        <v>0</v>
      </c>
      <c r="Z245" s="22">
        <f t="shared" ca="1" si="449"/>
        <v>-7.4987778677028603</v>
      </c>
      <c r="AA245">
        <f t="shared" si="535"/>
        <v>0.73884103340948371</v>
      </c>
      <c r="AB245">
        <f t="shared" ref="AB245" ca="1" si="542">BSdelta(1,P245,Strike,AA245/AnnualVarConvtr,Dividend,RiskFreeRate,G245/250)</f>
        <v>0</v>
      </c>
      <c r="AC245">
        <f t="shared" ca="1" si="445"/>
        <v>0</v>
      </c>
      <c r="AD245">
        <f t="shared" ca="1" si="446"/>
        <v>-2.5925431171482392</v>
      </c>
    </row>
    <row r="246" spans="7:30" x14ac:dyDescent="0.25">
      <c r="G246" s="19">
        <v>9</v>
      </c>
      <c r="H246" s="19">
        <f t="shared" ca="1" si="495"/>
        <v>0.57127990742432411</v>
      </c>
      <c r="I246" s="19">
        <f t="shared" ca="1" si="495"/>
        <v>0.86036415015122325</v>
      </c>
      <c r="J246" s="19">
        <f t="shared" ca="1" si="431"/>
        <v>0.67637520158268571</v>
      </c>
      <c r="K246" s="19">
        <f t="shared" ca="1" si="432"/>
        <v>-0.81379884140105785</v>
      </c>
      <c r="L246" s="19">
        <f t="array" aca="1" ref="L246:M246" ca="1">MMULT(J246:K246,TRANSPOSE($B$10:$C$11))</f>
        <v>0.67637520158268571</v>
      </c>
      <c r="M246" s="19">
        <f ca="1"/>
        <v>-1.0523183986403695</v>
      </c>
      <c r="N246" s="20">
        <f ca="1">GetVariance(N245,Variance_Avg,Lambda,Eta,M246,"Daily")</f>
        <v>4.4400497818062983E-2</v>
      </c>
      <c r="O246" s="20">
        <f ca="1">GetStockReturns(O245,RiskFreeRate,N245,L246,"Daily")</f>
        <v>-5.1709405104649733E-2</v>
      </c>
      <c r="P246" s="19">
        <f t="shared" ca="1" si="438"/>
        <v>3.5313051589304247E-9</v>
      </c>
      <c r="Q246" s="19">
        <f ca="1">HCTrans(P246,Strike,RiskFreeRate,Dividend,Variance_T0*AnnualVarConvtr,(Simulation!G246)/250,0.5,Variance_Avg*AnnualVarConvtr,Lambda,SQRT(Simulation!N246),Rho,1,"Call")</f>
        <v>-1.5072645445798729E-5</v>
      </c>
      <c r="R246" s="19" t="e">
        <f t="shared" ca="1" si="433"/>
        <v>#VALUE!</v>
      </c>
      <c r="S246" s="19" t="e">
        <f t="shared" ca="1" si="434"/>
        <v>#VALUE!</v>
      </c>
      <c r="T246" s="19" t="e">
        <f t="shared" ca="1" si="439"/>
        <v>#VALUE!</v>
      </c>
      <c r="U246" s="19" t="e">
        <f t="shared" ca="1" si="440"/>
        <v>#VALUE!</v>
      </c>
      <c r="V246" s="21">
        <f t="shared" ca="1" si="441"/>
        <v>9.1948796965428569E-5</v>
      </c>
      <c r="W246">
        <f t="shared" ca="1" si="442"/>
        <v>9.5889935324531619E-3</v>
      </c>
      <c r="X246" s="22">
        <f t="shared" ref="X246" ca="1" si="543">BSdelta(1,P246,Strike,W246*AnnualVarConvtr,Dividend,RiskFreeRate,G246/250)</f>
        <v>0</v>
      </c>
      <c r="Y246" s="22">
        <f t="shared" ca="1" si="448"/>
        <v>0</v>
      </c>
      <c r="Z246" s="22">
        <f t="shared" ca="1" si="449"/>
        <v>-7.4987778676688848</v>
      </c>
      <c r="AA246">
        <f t="shared" si="535"/>
        <v>0.73884103340948371</v>
      </c>
      <c r="AB246">
        <f t="shared" ref="AB246" ca="1" si="544">BSdelta(1,P246,Strike,AA246/AnnualVarConvtr,Dividend,RiskFreeRate,G246/250)</f>
        <v>0</v>
      </c>
      <c r="AC246">
        <f t="shared" ca="1" si="445"/>
        <v>0</v>
      </c>
      <c r="AD246">
        <f t="shared" ca="1" si="446"/>
        <v>-2.5925431171142632</v>
      </c>
    </row>
    <row r="247" spans="7:30" x14ac:dyDescent="0.25">
      <c r="G247" s="19">
        <v>8</v>
      </c>
      <c r="H247" s="19">
        <f t="shared" ca="1" si="495"/>
        <v>0.44952845267536889</v>
      </c>
      <c r="I247" s="19">
        <f t="shared" ca="1" si="495"/>
        <v>0.89994424719157529</v>
      </c>
      <c r="J247" s="19">
        <f t="shared" ca="1" si="431"/>
        <v>1.0227901736503671</v>
      </c>
      <c r="K247" s="19">
        <f t="shared" ca="1" si="432"/>
        <v>-0.74364811425391431</v>
      </c>
      <c r="L247" s="19">
        <f t="array" aca="1" ref="L247:M247" ca="1">MMULT(J247:K247,TRANSPOSE($B$10:$C$11))</f>
        <v>1.0227901736503671</v>
      </c>
      <c r="M247" s="19">
        <f ca="1"/>
        <v>-1.2515884844211125</v>
      </c>
      <c r="N247" s="20">
        <f ca="1">GetVariance(N246,Variance_Avg,Lambda,Eta,M247,"Daily")</f>
        <v>3.7971253200551683E-2</v>
      </c>
      <c r="O247" s="20">
        <f ca="1">GetStockReturns(O246,RiskFreeRate,N246,L247,"Daily")</f>
        <v>-3.8078946683457127E-2</v>
      </c>
      <c r="P247" s="19">
        <f t="shared" ca="1" si="438"/>
        <v>3.3993647955680196E-9</v>
      </c>
      <c r="Q247" s="19">
        <f ca="1">HCTrans(P247,Strike,RiskFreeRate,Dividend,Variance_T0*AnnualVarConvtr,(Simulation!G247)/250,0.5,Variance_Avg*AnnualVarConvtr,Lambda,SQRT(Simulation!N247),Rho,1,"Call")</f>
        <v>-1.5072620839015282E-5</v>
      </c>
      <c r="R247" s="19" t="e">
        <f t="shared" ca="1" si="433"/>
        <v>#VALUE!</v>
      </c>
      <c r="S247" s="19" t="e">
        <f t="shared" ca="1" si="434"/>
        <v>#VALUE!</v>
      </c>
      <c r="T247" s="19" t="e">
        <f t="shared" ca="1" si="439"/>
        <v>#VALUE!</v>
      </c>
      <c r="U247" s="19" t="e">
        <f t="shared" ca="1" si="440"/>
        <v>#VALUE!</v>
      </c>
      <c r="V247" s="21">
        <f t="shared" ca="1" si="441"/>
        <v>1.8578939677186044E-4</v>
      </c>
      <c r="W247">
        <f t="shared" ca="1" si="442"/>
        <v>1.3630458421192607E-2</v>
      </c>
      <c r="X247" s="22">
        <f t="shared" ref="X247" ca="1" si="545">BSdelta(1,P247,Strike,W247*AnnualVarConvtr,Dividend,RiskFreeRate,G247/250)</f>
        <v>0</v>
      </c>
      <c r="Y247" s="22">
        <f t="shared" ca="1" si="448"/>
        <v>0</v>
      </c>
      <c r="Z247" s="22">
        <f t="shared" ca="1" si="449"/>
        <v>-7.4987778676442778</v>
      </c>
      <c r="AA247">
        <f t="shared" si="535"/>
        <v>0.73884103340948371</v>
      </c>
      <c r="AB247">
        <f t="shared" ref="AB247" ca="1" si="546">BSdelta(1,P247,Strike,AA247/AnnualVarConvtr,Dividend,RiskFreeRate,G247/250)</f>
        <v>0</v>
      </c>
      <c r="AC247">
        <f t="shared" ca="1" si="445"/>
        <v>0</v>
      </c>
      <c r="AD247">
        <f t="shared" ca="1" si="446"/>
        <v>-2.5925431170896562</v>
      </c>
    </row>
    <row r="248" spans="7:30" x14ac:dyDescent="0.25">
      <c r="G248" s="19">
        <v>7</v>
      </c>
      <c r="H248" s="19">
        <f t="shared" ca="1" si="495"/>
        <v>0.10817729428749201</v>
      </c>
      <c r="I248" s="19">
        <f t="shared" ca="1" si="495"/>
        <v>1.5429818502984527E-2</v>
      </c>
      <c r="J248" s="19">
        <f t="shared" ca="1" si="431"/>
        <v>2.0991169484038954</v>
      </c>
      <c r="K248" s="19">
        <f t="shared" ca="1" si="432"/>
        <v>0.20414603851971214</v>
      </c>
      <c r="L248" s="19">
        <f t="array" aca="1" ref="L248:M248" ca="1">MMULT(J248:K248,TRANSPOSE($B$10:$C$11))</f>
        <v>2.0991169484038954</v>
      </c>
      <c r="M248" s="19">
        <f ca="1"/>
        <v>-1.3616076523124563</v>
      </c>
      <c r="N248" s="20">
        <f ca="1">GetVariance(N247,Variance_Avg,Lambda,Eta,M248,"Daily")</f>
        <v>3.158011664526604E-2</v>
      </c>
      <c r="O248" s="20">
        <f ca="1">GetStockReturns(O247,RiskFreeRate,N247,L248,"Daily")</f>
        <v>-1.2209085624260613E-2</v>
      </c>
      <c r="P248" s="19">
        <f t="shared" ca="1" si="438"/>
        <v>3.3581139894315088E-9</v>
      </c>
      <c r="Q248" s="19">
        <f ca="1">HCTrans(P248,Strike,RiskFreeRate,Dividend,Variance_T0*AnnualVarConvtr,(Simulation!G248)/250,0.5,Variance_Avg*AnnualVarConvtr,Lambda,SQRT(Simulation!N248),Rho,1,"Call")</f>
        <v>-1.5072613373445301E-5</v>
      </c>
      <c r="R248" s="19" t="e">
        <f t="shared" ca="1" si="433"/>
        <v>#VALUE!</v>
      </c>
      <c r="S248" s="19" t="e">
        <f t="shared" ca="1" si="434"/>
        <v>#VALUE!</v>
      </c>
      <c r="T248" s="19" t="e">
        <f t="shared" ca="1" si="439"/>
        <v>#VALUE!</v>
      </c>
      <c r="U248" s="19" t="e">
        <f t="shared" ca="1" si="440"/>
        <v>#VALUE!</v>
      </c>
      <c r="V248" s="21">
        <f t="shared" ca="1" si="441"/>
        <v>6.6924971122213209E-4</v>
      </c>
      <c r="W248">
        <f t="shared" ca="1" si="442"/>
        <v>2.5869861059196513E-2</v>
      </c>
      <c r="X248" s="22">
        <f t="shared" ref="X248" ca="1" si="547">BSdelta(1,P248,Strike,W248*AnnualVarConvtr,Dividend,RiskFreeRate,G248/250)</f>
        <v>0</v>
      </c>
      <c r="Y248" s="22">
        <f t="shared" ca="1" si="448"/>
        <v>0</v>
      </c>
      <c r="Z248" s="22">
        <f t="shared" ca="1" si="449"/>
        <v>-7.4987778676368126</v>
      </c>
      <c r="AA248">
        <f t="shared" si="535"/>
        <v>0.73884103340948371</v>
      </c>
      <c r="AB248">
        <f t="shared" ref="AB248" ca="1" si="548">BSdelta(1,P248,Strike,AA248/AnnualVarConvtr,Dividend,RiskFreeRate,G248/250)</f>
        <v>0</v>
      </c>
      <c r="AC248">
        <f t="shared" ca="1" si="445"/>
        <v>0</v>
      </c>
      <c r="AD248">
        <f t="shared" ca="1" si="446"/>
        <v>-2.5925431170821907</v>
      </c>
    </row>
    <row r="249" spans="7:30" x14ac:dyDescent="0.25">
      <c r="G249" s="19">
        <v>6</v>
      </c>
      <c r="H249" s="19">
        <f t="shared" ca="1" si="495"/>
        <v>0.13405572969052881</v>
      </c>
      <c r="I249" s="19">
        <f t="shared" ca="1" si="495"/>
        <v>3.1862218871097636E-2</v>
      </c>
      <c r="J249" s="19">
        <f t="shared" ca="1" si="431"/>
        <v>1.9647046058773863</v>
      </c>
      <c r="K249" s="19">
        <f t="shared" ca="1" si="432"/>
        <v>0.39866672321634006</v>
      </c>
      <c r="L249" s="19">
        <f t="array" aca="1" ref="L249:M249" ca="1">MMULT(J249:K249,TRANSPOSE($B$10:$C$11))</f>
        <v>1.9647046058773863</v>
      </c>
      <c r="M249" s="19">
        <f ca="1"/>
        <v>-1.1296060902498124</v>
      </c>
      <c r="N249" s="20">
        <f ca="1">GetVariance(N248,Variance_Avg,Lambda,Eta,M249,"Daily")</f>
        <v>2.6719649136519388E-2</v>
      </c>
      <c r="O249" s="20">
        <f ca="1">GetStockReturns(O248,RiskFreeRate,N248,L249,"Daily")</f>
        <v>9.8726966703360682E-3</v>
      </c>
      <c r="P249" s="19">
        <f t="shared" ca="1" si="438"/>
        <v>3.3914318280667646E-9</v>
      </c>
      <c r="Q249" s="19">
        <f ca="1">HCTrans(P249,Strike,RiskFreeRate,Dividend,Variance_T0*AnnualVarConvtr,(Simulation!G249)/250,0.5,Variance_Avg*AnnualVarConvtr,Lambda,SQRT(Simulation!N249),Rho,1,"Call")</f>
        <v>-1.5072620415375748E-5</v>
      </c>
      <c r="R249" s="19" t="e">
        <f t="shared" ca="1" si="433"/>
        <v>#VALUE!</v>
      </c>
      <c r="S249" s="19" t="e">
        <f t="shared" ca="1" si="434"/>
        <v>#VALUE!</v>
      </c>
      <c r="T249" s="19" t="e">
        <f t="shared" ca="1" si="439"/>
        <v>#VALUE!</v>
      </c>
      <c r="U249" s="19" t="e">
        <f t="shared" ca="1" si="440"/>
        <v>#VALUE!</v>
      </c>
      <c r="V249" s="21">
        <f t="shared" ca="1" si="441"/>
        <v>4.8760510930596348E-4</v>
      </c>
      <c r="W249">
        <f t="shared" ca="1" si="442"/>
        <v>2.2081782294596682E-2</v>
      </c>
      <c r="X249" s="22">
        <f t="shared" ref="X249" ca="1" si="549">BSdelta(1,P249,Strike,W249*AnnualVarConvtr,Dividend,RiskFreeRate,G249/250)</f>
        <v>0</v>
      </c>
      <c r="Y249" s="22">
        <f t="shared" ca="1" si="448"/>
        <v>0</v>
      </c>
      <c r="Z249" s="22">
        <f t="shared" ca="1" si="449"/>
        <v>-7.498777867643855</v>
      </c>
      <c r="AA249">
        <f t="shared" si="535"/>
        <v>0.73884103340948371</v>
      </c>
      <c r="AB249">
        <f t="shared" ref="AB249" ca="1" si="550">BSdelta(1,P249,Strike,AA249/AnnualVarConvtr,Dividend,RiskFreeRate,G249/250)</f>
        <v>0</v>
      </c>
      <c r="AC249">
        <f t="shared" ca="1" si="445"/>
        <v>0</v>
      </c>
      <c r="AD249">
        <f t="shared" ca="1" si="446"/>
        <v>-2.5925431170892326</v>
      </c>
    </row>
    <row r="250" spans="7:30" x14ac:dyDescent="0.25">
      <c r="G250" s="19">
        <v>5</v>
      </c>
      <c r="H250" s="19">
        <f t="shared" ca="1" si="495"/>
        <v>0.89672318227999681</v>
      </c>
      <c r="I250" s="19">
        <f t="shared" ca="1" si="495"/>
        <v>0.1314195596954153</v>
      </c>
      <c r="J250" s="19">
        <f t="shared" ca="1" si="431"/>
        <v>0.31658152292048158</v>
      </c>
      <c r="K250" s="19">
        <f t="shared" ca="1" si="432"/>
        <v>0.34320879402544624</v>
      </c>
      <c r="L250" s="19">
        <f t="array" aca="1" ref="L250:M250" ca="1">MMULT(J250:K250,TRANSPOSE($B$10:$C$11))</f>
        <v>0.31658152292048158</v>
      </c>
      <c r="M250" s="19">
        <f ca="1"/>
        <v>1.258736317296158E-2</v>
      </c>
      <c r="N250" s="20">
        <f ca="1">GetVariance(N249,Variance_Avg,Lambda,Eta,M250,"Daily")</f>
        <v>2.6665829653227342E-2</v>
      </c>
      <c r="O250" s="20">
        <f ca="1">GetStockReturns(O249,RiskFreeRate,N249,L250,"Daily")</f>
        <v>1.3145583097818511E-2</v>
      </c>
      <c r="P250" s="19">
        <f t="shared" ca="1" si="438"/>
        <v>3.4363084957191733E-9</v>
      </c>
      <c r="Q250" s="19">
        <f ca="1">HCTrans(P250,Strike,RiskFreeRate,Dividend,Variance_T0*AnnualVarConvtr,(Simulation!G250)/250,0.5,Variance_Avg*AnnualVarConvtr,Lambda,SQRT(Simulation!N250),Rho,1,"Call")</f>
        <v>-1.5072629635522815E-5</v>
      </c>
      <c r="R250" s="19" t="e">
        <f t="shared" ca="1" si="433"/>
        <v>#VALUE!</v>
      </c>
      <c r="S250" s="19" t="e">
        <f t="shared" ca="1" si="434"/>
        <v>#VALUE!</v>
      </c>
      <c r="T250" s="19" t="e">
        <f t="shared" ca="1" si="439"/>
        <v>#VALUE!</v>
      </c>
      <c r="U250" s="19" t="e">
        <f t="shared" ca="1" si="440"/>
        <v>#VALUE!</v>
      </c>
      <c r="V250" s="21">
        <f t="shared" ca="1" si="441"/>
        <v>1.0711785567198786E-5</v>
      </c>
      <c r="W250">
        <f t="shared" ca="1" si="442"/>
        <v>3.2728864274824427E-3</v>
      </c>
      <c r="X250" s="22">
        <f t="shared" ref="X250" ca="1" si="551">BSdelta(1,P250,Strike,W250*AnnualVarConvtr,Dividend,RiskFreeRate,G250/250)</f>
        <v>0</v>
      </c>
      <c r="Y250" s="22">
        <f t="shared" ca="1" si="448"/>
        <v>0</v>
      </c>
      <c r="Z250" s="22">
        <f t="shared" ca="1" si="449"/>
        <v>-7.4987778676530752</v>
      </c>
      <c r="AA250">
        <f t="shared" si="535"/>
        <v>0.73884103340948371</v>
      </c>
      <c r="AB250">
        <f t="shared" ref="AB250" ca="1" si="552">BSdelta(1,P250,Strike,AA250/AnnualVarConvtr,Dividend,RiskFreeRate,G250/250)</f>
        <v>0</v>
      </c>
      <c r="AC250">
        <f t="shared" ca="1" si="445"/>
        <v>0</v>
      </c>
      <c r="AD250">
        <f t="shared" ca="1" si="446"/>
        <v>-2.5925431170984528</v>
      </c>
    </row>
    <row r="251" spans="7:30" x14ac:dyDescent="0.25">
      <c r="G251" s="19">
        <v>4</v>
      </c>
      <c r="H251" s="19">
        <f t="shared" ca="1" si="495"/>
        <v>0.65603621100090592</v>
      </c>
      <c r="I251" s="19">
        <f t="shared" ca="1" si="495"/>
        <v>0.57871754416084253</v>
      </c>
      <c r="J251" s="19">
        <f t="shared" ca="1" si="431"/>
        <v>-0.80815695213464134</v>
      </c>
      <c r="K251" s="19">
        <f t="shared" ca="1" si="432"/>
        <v>-0.43584506931526895</v>
      </c>
      <c r="L251" s="19">
        <f t="array" aca="1" ref="L251:M251" ca="1">MMULT(J251:K251,TRANSPOSE($B$10:$C$11))</f>
        <v>-0.80815695213464134</v>
      </c>
      <c r="M251" s="19">
        <f ca="1"/>
        <v>0.27500456202726392</v>
      </c>
      <c r="N251" s="20">
        <f ca="1">GetVariance(N250,Variance_Avg,Lambda,Eta,M251,"Daily")</f>
        <v>2.7674329405937871E-2</v>
      </c>
      <c r="O251" s="20">
        <f ca="1">GetStockReturns(O250,RiskFreeRate,N250,L251,"Daily")</f>
        <v>4.7991049792418371E-3</v>
      </c>
      <c r="P251" s="19">
        <f t="shared" ca="1" si="438"/>
        <v>3.4528393358223502E-9</v>
      </c>
      <c r="Q251" s="19">
        <f ca="1">HCTrans(P251,Strike,RiskFreeRate,Dividend,Variance_T0*AnnualVarConvtr,(Simulation!G251)/250,0.5,Variance_Avg*AnnualVarConvtr,Lambda,SQRT(Simulation!N251),Rho,1,"Call")</f>
        <v>-1.5072633364884415E-5</v>
      </c>
      <c r="R251" s="19" t="e">
        <f t="shared" ca="1" si="433"/>
        <v>#VALUE!</v>
      </c>
      <c r="S251" s="19" t="e">
        <f t="shared" ca="1" si="434"/>
        <v>#VALUE!</v>
      </c>
      <c r="T251" s="19" t="e">
        <f t="shared" ca="1" si="439"/>
        <v>#VALUE!</v>
      </c>
      <c r="U251" s="19" t="e">
        <f t="shared" ca="1" si="440"/>
        <v>#VALUE!</v>
      </c>
      <c r="V251" s="21">
        <f t="shared" ca="1" si="441"/>
        <v>6.9663696983879208E-5</v>
      </c>
      <c r="W251">
        <f t="shared" ca="1" si="442"/>
        <v>8.3464781185766737E-3</v>
      </c>
      <c r="X251" s="22">
        <f t="shared" ref="X251" ca="1" si="553">BSdelta(1,P251,Strike,W251*AnnualVarConvtr,Dividend,RiskFreeRate,G251/250)</f>
        <v>0</v>
      </c>
      <c r="Y251" s="22">
        <f t="shared" ca="1" si="448"/>
        <v>0</v>
      </c>
      <c r="Z251" s="22">
        <f t="shared" ca="1" si="449"/>
        <v>-7.4987778676568047</v>
      </c>
      <c r="AA251">
        <f t="shared" si="535"/>
        <v>0.73884103340948371</v>
      </c>
      <c r="AB251">
        <f t="shared" ref="AB251" ca="1" si="554">BSdelta(1,P251,Strike,AA251/AnnualVarConvtr,Dividend,RiskFreeRate,G251/250)</f>
        <v>0</v>
      </c>
      <c r="AC251">
        <f t="shared" ca="1" si="445"/>
        <v>0</v>
      </c>
      <c r="AD251">
        <f t="shared" ca="1" si="446"/>
        <v>-2.5925431171021822</v>
      </c>
    </row>
    <row r="252" spans="7:30" x14ac:dyDescent="0.25">
      <c r="G252" s="19">
        <v>3</v>
      </c>
      <c r="H252" s="19">
        <f t="shared" ca="1" si="495"/>
        <v>0.33155192792667532</v>
      </c>
      <c r="I252" s="19">
        <f t="shared" ca="1" si="495"/>
        <v>0.61752202861210859</v>
      </c>
      <c r="J252" s="19">
        <f t="shared" ca="1" si="431"/>
        <v>-1.0988900859784805</v>
      </c>
      <c r="K252" s="19">
        <f t="shared" ca="1" si="432"/>
        <v>-1.0001911075025463</v>
      </c>
      <c r="L252" s="19">
        <f t="array" aca="1" ref="L252:M252" ca="1">MMULT(J252:K252,TRANSPOSE($B$10:$C$11))</f>
        <v>-1.0988900859784805</v>
      </c>
      <c r="M252" s="19">
        <f ca="1"/>
        <v>8.9634341139758877E-2</v>
      </c>
      <c r="N252" s="20">
        <f ca="1">GetVariance(N251,Variance_Avg,Lambda,Eta,M252,"Daily")</f>
        <v>2.7931808527922788E-2</v>
      </c>
      <c r="O252" s="20">
        <f ca="1">GetStockReturns(O251,RiskFreeRate,N251,L252,"Daily")</f>
        <v>-6.762624510018439E-3</v>
      </c>
      <c r="P252" s="19">
        <f t="shared" ca="1" si="438"/>
        <v>3.4295678567278701E-9</v>
      </c>
      <c r="Q252" s="19">
        <f ca="1">HCTrans(P252,Strike,RiskFreeRate,Dividend,Variance_T0*AnnualVarConvtr,(Simulation!G252)/250,0.5,Variance_Avg*AnnualVarConvtr,Lambda,SQRT(Simulation!N252),Rho,1,"Call")</f>
        <v>-1.5072629457543708E-5</v>
      </c>
      <c r="R252" s="19" t="e">
        <f t="shared" ca="1" si="433"/>
        <v>#VALUE!</v>
      </c>
      <c r="S252" s="19" t="e">
        <f t="shared" ca="1" si="434"/>
        <v>#VALUE!</v>
      </c>
      <c r="T252" s="19" t="e">
        <f t="shared" ca="1" si="439"/>
        <v>#VALUE!</v>
      </c>
      <c r="U252" s="19" t="e">
        <f t="shared" ca="1" si="440"/>
        <v>#VALUE!</v>
      </c>
      <c r="V252" s="21">
        <f t="shared" ca="1" si="441"/>
        <v>1.3367358878283068E-4</v>
      </c>
      <c r="W252">
        <f t="shared" ca="1" si="442"/>
        <v>1.1561729489260276E-2</v>
      </c>
      <c r="X252" s="22">
        <f t="shared" ref="X252" ca="1" si="555">BSdelta(1,P252,Strike,W252*AnnualVarConvtr,Dividend,RiskFreeRate,G252/250)</f>
        <v>0</v>
      </c>
      <c r="Y252" s="22">
        <f t="shared" ca="1" si="448"/>
        <v>0</v>
      </c>
      <c r="Z252" s="22">
        <f t="shared" ca="1" si="449"/>
        <v>-7.4987778676528976</v>
      </c>
      <c r="AA252">
        <f t="shared" si="535"/>
        <v>0.73884103340948371</v>
      </c>
      <c r="AB252">
        <f t="shared" ref="AB252" ca="1" si="556">BSdelta(1,P252,Strike,AA252/AnnualVarConvtr,Dividend,RiskFreeRate,G252/250)</f>
        <v>0</v>
      </c>
      <c r="AC252">
        <f t="shared" ca="1" si="445"/>
        <v>0</v>
      </c>
      <c r="AD252">
        <f t="shared" ca="1" si="446"/>
        <v>-2.5925431170982747</v>
      </c>
    </row>
    <row r="253" spans="7:30" x14ac:dyDescent="0.25">
      <c r="G253" s="19">
        <v>2</v>
      </c>
      <c r="H253" s="19">
        <f t="shared" ca="1" si="495"/>
        <v>0.18282519931729568</v>
      </c>
      <c r="I253" s="19">
        <f t="shared" ca="1" si="495"/>
        <v>0.18843298199526071</v>
      </c>
      <c r="J253" s="19">
        <f t="shared" ca="1" si="431"/>
        <v>0.69547631258473241</v>
      </c>
      <c r="K253" s="19">
        <f t="shared" ca="1" si="432"/>
        <v>1.7072674816409932</v>
      </c>
      <c r="L253" s="19">
        <f t="array" aca="1" ref="L253:M253" ca="1">MMULT(J253:K253,TRANSPOSE($B$10:$C$11))</f>
        <v>0.69547631258473241</v>
      </c>
      <c r="M253" s="19">
        <f ca="1"/>
        <v>0.6926589786852051</v>
      </c>
      <c r="N253" s="20">
        <f ca="1">GetVariance(N252,Variance_Avg,Lambda,Eta,M253,"Daily")</f>
        <v>3.0731741959023454E-2</v>
      </c>
      <c r="O253" s="20">
        <f ca="1">GetStockReturns(O252,RiskFreeRate,N252,L253,"Daily")</f>
        <v>5.8863690259791483E-4</v>
      </c>
      <c r="P253" s="19">
        <f t="shared" ca="1" si="438"/>
        <v>3.4315872212062214E-9</v>
      </c>
      <c r="Q253" s="19">
        <f ca="1">HCTrans(P253,Strike,RiskFreeRate,Dividend,Variance_T0*AnnualVarConvtr,(Simulation!G253)/250,0.5,Variance_Avg*AnnualVarConvtr,Lambda,SQRT(Simulation!N253),Rho,1,"Call")</f>
        <v>-1.5072630405344409E-5</v>
      </c>
      <c r="R253" s="19" t="e">
        <f t="shared" ca="1" si="433"/>
        <v>#VALUE!</v>
      </c>
      <c r="S253" s="19" t="e">
        <f t="shared" ca="1" si="434"/>
        <v>#VALUE!</v>
      </c>
      <c r="T253" s="19" t="e">
        <f t="shared" ca="1" si="439"/>
        <v>#VALUE!</v>
      </c>
      <c r="U253" s="19" t="e">
        <f t="shared" ca="1" si="440"/>
        <v>#VALUE!</v>
      </c>
      <c r="V253" s="21">
        <f t="shared" ca="1" si="441"/>
        <v>5.4041044356622189E-5</v>
      </c>
      <c r="W253">
        <f t="shared" ca="1" si="442"/>
        <v>7.3512614126163538E-3</v>
      </c>
      <c r="X253" s="22">
        <f t="shared" ref="X253" ca="1" si="557">BSdelta(1,P253,Strike,W253*AnnualVarConvtr,Dividend,RiskFreeRate,G253/250)</f>
        <v>0</v>
      </c>
      <c r="Y253" s="22">
        <f t="shared" ca="1" si="448"/>
        <v>0</v>
      </c>
      <c r="Z253" s="22">
        <f t="shared" ca="1" si="449"/>
        <v>-7.4987778676538452</v>
      </c>
      <c r="AA253">
        <f t="shared" si="535"/>
        <v>0.73884103340948371</v>
      </c>
      <c r="AB253">
        <f t="shared" ref="AB253" ca="1" si="558">BSdelta(1,P253,Strike,AA253/AnnualVarConvtr,Dividend,RiskFreeRate,G253/250)</f>
        <v>0</v>
      </c>
      <c r="AC253">
        <f t="shared" ca="1" si="445"/>
        <v>0</v>
      </c>
      <c r="AD253">
        <f t="shared" ca="1" si="446"/>
        <v>-2.5925431170992224</v>
      </c>
    </row>
    <row r="254" spans="7:30" x14ac:dyDescent="0.25">
      <c r="G254" s="19">
        <v>1</v>
      </c>
      <c r="H254" s="19">
        <f t="shared" ca="1" si="495"/>
        <v>0.23757302561259985</v>
      </c>
      <c r="I254" s="19">
        <f t="shared" ca="1" si="495"/>
        <v>0.93635009570878491</v>
      </c>
      <c r="J254" s="19">
        <f t="shared" ca="1" si="431"/>
        <v>1.5616655898568632</v>
      </c>
      <c r="K254" s="19">
        <f t="shared" ca="1" si="432"/>
        <v>-0.66012198756519092</v>
      </c>
      <c r="L254" s="19">
        <f t="array" aca="1" ref="L254:M254" ca="1">MMULT(J254:K254,TRANSPOSE($B$10:$C$11))</f>
        <v>1.5616655898568632</v>
      </c>
      <c r="M254" s="19">
        <f ca="1"/>
        <v>-1.5794259723656356</v>
      </c>
      <c r="N254" s="20">
        <f ca="1">GetVariance(N253,Variance_Avg,Lambda,Eta,M254,"Daily")</f>
        <v>2.419194162494934E-2</v>
      </c>
      <c r="O254" s="20">
        <f ca="1">GetStockReturns(O253,RiskFreeRate,N253,L254,"Daily")</f>
        <v>1.7903203521205779E-2</v>
      </c>
      <c r="P254" s="19">
        <f t="shared" ca="1" si="438"/>
        <v>3.4935768765772945E-9</v>
      </c>
      <c r="Q254" s="19">
        <f ca="1">HCTrans(P254,Strike,RiskFreeRate,Dividend,Variance_T0*AnnualVarConvtr,(Simulation!G254)/250,0.5,Variance_Avg*AnnualVarConvtr,Lambda,SQRT(Simulation!N254),Rho,1,"Call")</f>
        <v>-1.5072642814230019E-5</v>
      </c>
      <c r="R254" s="19" t="e">
        <f t="shared" ca="1" si="433"/>
        <v>#VALUE!</v>
      </c>
      <c r="S254" s="19" t="e">
        <f t="shared" ca="1" si="434"/>
        <v>#VALUE!</v>
      </c>
      <c r="T254" s="19" t="e">
        <f t="shared" ca="1" si="439"/>
        <v>#VALUE!</v>
      </c>
      <c r="U254" s="19" t="e">
        <f t="shared" ca="1" si="440"/>
        <v>#VALUE!</v>
      </c>
      <c r="V254" s="21">
        <f t="shared" ca="1" si="441"/>
        <v>2.997942171902097E-4</v>
      </c>
      <c r="W254">
        <f t="shared" ca="1" si="442"/>
        <v>1.7314566618607863E-2</v>
      </c>
      <c r="X254" s="22">
        <f t="shared" ref="X254" ca="1" si="559">BSdelta(1,P254,Strike,W254*AnnualVarConvtr,Dividend,RiskFreeRate,G254/250)</f>
        <v>0</v>
      </c>
      <c r="Y254" s="22">
        <f t="shared" ca="1" si="448"/>
        <v>0</v>
      </c>
      <c r="Z254" s="22">
        <f t="shared" ca="1" si="449"/>
        <v>-7.498777867666254</v>
      </c>
      <c r="AA254">
        <f t="shared" si="535"/>
        <v>0.73884103340948371</v>
      </c>
      <c r="AB254">
        <f t="shared" ref="AB254" ca="1" si="560">BSdelta(1,P254,Strike,AA254/AnnualVarConvtr,Dividend,RiskFreeRate,G254/250)</f>
        <v>0</v>
      </c>
      <c r="AC254">
        <f t="shared" ca="1" si="445"/>
        <v>0</v>
      </c>
      <c r="AD254">
        <f t="shared" ca="1" si="446"/>
        <v>-2.5925431171116311</v>
      </c>
    </row>
  </sheetData>
  <mergeCells count="6">
    <mergeCell ref="G1:AD1"/>
    <mergeCell ref="G2:M2"/>
    <mergeCell ref="N2:P2"/>
    <mergeCell ref="R2:U2"/>
    <mergeCell ref="V2:Z2"/>
    <mergeCell ref="AA2:AD2"/>
  </mergeCell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D34" sqref="D34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10</vt:i4>
      </vt:variant>
    </vt:vector>
  </HeadingPairs>
  <TitlesOfParts>
    <vt:vector size="13" baseType="lpstr">
      <vt:lpstr>Inputs</vt:lpstr>
      <vt:lpstr>Simulation</vt:lpstr>
      <vt:lpstr>Graph</vt:lpstr>
      <vt:lpstr>AnnualVarConvtr</vt:lpstr>
      <vt:lpstr>Dividend</vt:lpstr>
      <vt:lpstr>Eta</vt:lpstr>
      <vt:lpstr>Lambda</vt:lpstr>
      <vt:lpstr>Rho</vt:lpstr>
      <vt:lpstr>RiskFreeRate</vt:lpstr>
      <vt:lpstr>StockPrice_T0</vt:lpstr>
      <vt:lpstr>Strike</vt:lpstr>
      <vt:lpstr>Variance_Avg</vt:lpstr>
      <vt:lpstr>Variance_T0</vt:lpstr>
    </vt:vector>
  </TitlesOfParts>
  <Company>Barclays Capital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siluvaie</dc:creator>
  <cp:lastModifiedBy>Edwin</cp:lastModifiedBy>
  <dcterms:created xsi:type="dcterms:W3CDTF">2014-12-23T13:54:23Z</dcterms:created>
  <dcterms:modified xsi:type="dcterms:W3CDTF">2015-01-04T20:45:44Z</dcterms:modified>
</cp:coreProperties>
</file>